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36cc89c3b879ce5/Desktop/"/>
    </mc:Choice>
  </mc:AlternateContent>
  <xr:revisionPtr revIDLastSave="2" documentId="13_ncr:1_{40AB2B60-DD8B-1940-B46C-26ACF050CC03}" xr6:coauthVersionLast="47" xr6:coauthVersionMax="47" xr10:uidLastSave="{46CD4A7E-C2D6-407C-BD08-8729BEE298B6}"/>
  <bookViews>
    <workbookView xWindow="2730" yWindow="3330" windowWidth="28800" windowHeight="15435" activeTab="4" xr2:uid="{00000000-000D-0000-FFFF-FFFF00000000}"/>
  </bookViews>
  <sheets>
    <sheet name="Assumptions" sheetId="23" r:id="rId1"/>
    <sheet name="Time &amp; Technical" sheetId="3" r:id="rId2"/>
    <sheet name="Construction" sheetId="6" r:id="rId3"/>
    <sheet name="Revenues" sheetId="10" r:id="rId4"/>
    <sheet name="Costs" sheetId="21" r:id="rId5"/>
    <sheet name="Debt" sheetId="7" r:id="rId6"/>
    <sheet name="CapEx" sheetId="8" r:id="rId7"/>
    <sheet name="Depreciation" sheetId="9" r:id="rId8"/>
    <sheet name="Working Capital" sheetId="12" r:id="rId9"/>
    <sheet name="Tax" sheetId="13" r:id="rId10"/>
    <sheet name="Reserves" sheetId="14" r:id="rId11"/>
    <sheet name="Waterfall" sheetId="15" r:id="rId12"/>
    <sheet name="CF" sheetId="16" r:id="rId13"/>
    <sheet name="IS" sheetId="17" r:id="rId14"/>
    <sheet name="BS" sheetId="18" r:id="rId15"/>
    <sheet name="Value" sheetId="20" r:id="rId16"/>
    <sheet name="Bank" sheetId="19" r:id="rId17"/>
    <sheet name="Summary" sheetId="24" r:id="rId18"/>
  </sheets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43572.7832986111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solver_eng" localSheetId="0" hidden="1">1</definedName>
    <definedName name="solver_lin" localSheetId="0" hidden="1">2</definedName>
    <definedName name="solver_neg" localSheetId="0" hidden="1">1</definedName>
    <definedName name="solver_num" localSheetId="0" hidden="1">0</definedName>
    <definedName name="solver_opt" localSheetId="0" hidden="1">Assumptions!$D$170</definedName>
    <definedName name="solver_typ" localSheetId="0" hidden="1">1</definedName>
    <definedName name="solver_val" localSheetId="0" hidden="1">0</definedName>
    <definedName name="solver_ver" localSheetId="0" hidden="1">2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3" l="1"/>
  <c r="G11" i="3"/>
  <c r="G18" i="3"/>
  <c r="G25" i="3"/>
  <c r="G26" i="3"/>
  <c r="G7" i="7"/>
  <c r="G9" i="7"/>
  <c r="G22" i="7"/>
  <c r="G23" i="7"/>
  <c r="G16" i="7"/>
  <c r="D14" i="7"/>
  <c r="G24" i="7"/>
  <c r="G25" i="7"/>
  <c r="H11" i="3"/>
  <c r="H18" i="3"/>
  <c r="H25" i="3"/>
  <c r="H26" i="3"/>
  <c r="H7" i="7"/>
  <c r="H9" i="7"/>
  <c r="H22" i="7"/>
  <c r="H23" i="7"/>
  <c r="H16" i="7"/>
  <c r="H24" i="7"/>
  <c r="H25" i="7"/>
  <c r="I11" i="3"/>
  <c r="D16" i="3"/>
  <c r="I18" i="3"/>
  <c r="I25" i="3"/>
  <c r="I26" i="3"/>
  <c r="I7" i="7"/>
  <c r="I9" i="7"/>
  <c r="I22" i="7"/>
  <c r="I23" i="7"/>
  <c r="I16" i="7"/>
  <c r="I24" i="7"/>
  <c r="I25" i="7"/>
  <c r="J11" i="3"/>
  <c r="J18" i="3"/>
  <c r="J25" i="3"/>
  <c r="J26" i="3"/>
  <c r="J7" i="7"/>
  <c r="J9" i="7"/>
  <c r="J22" i="7"/>
  <c r="J23" i="7"/>
  <c r="J16" i="7"/>
  <c r="J24" i="7"/>
  <c r="J25" i="7"/>
  <c r="K11" i="3"/>
  <c r="K18" i="3"/>
  <c r="K25" i="3"/>
  <c r="K26" i="3"/>
  <c r="K7" i="7"/>
  <c r="K9" i="7"/>
  <c r="K22" i="7"/>
  <c r="K23" i="7"/>
  <c r="K16" i="7"/>
  <c r="K24" i="7"/>
  <c r="K25" i="7"/>
  <c r="L11" i="3"/>
  <c r="L18" i="3"/>
  <c r="L25" i="3"/>
  <c r="L26" i="3"/>
  <c r="L7" i="7"/>
  <c r="L9" i="7"/>
  <c r="L22" i="7"/>
  <c r="L23" i="7"/>
  <c r="L16" i="7"/>
  <c r="L24" i="7"/>
  <c r="L25" i="7"/>
  <c r="M11" i="3"/>
  <c r="M18" i="3"/>
  <c r="M25" i="3"/>
  <c r="M26" i="3"/>
  <c r="M7" i="7"/>
  <c r="M9" i="7"/>
  <c r="M22" i="7"/>
  <c r="M23" i="7"/>
  <c r="M16" i="7"/>
  <c r="M24" i="7"/>
  <c r="M25" i="7"/>
  <c r="N11" i="3"/>
  <c r="N18" i="3"/>
  <c r="N25" i="3"/>
  <c r="N26" i="3"/>
  <c r="N7" i="7"/>
  <c r="N9" i="7"/>
  <c r="N22" i="7"/>
  <c r="N23" i="7"/>
  <c r="N16" i="7"/>
  <c r="N24" i="7"/>
  <c r="N25" i="7"/>
  <c r="O11" i="3"/>
  <c r="O18" i="3"/>
  <c r="O25" i="3"/>
  <c r="O26" i="3"/>
  <c r="O7" i="7"/>
  <c r="O9" i="7"/>
  <c r="O22" i="7"/>
  <c r="O23" i="7"/>
  <c r="O16" i="7"/>
  <c r="O24" i="7"/>
  <c r="O25" i="7"/>
  <c r="P11" i="3"/>
  <c r="P18" i="3"/>
  <c r="P25" i="3"/>
  <c r="P26" i="3"/>
  <c r="P7" i="7"/>
  <c r="P9" i="7"/>
  <c r="P22" i="7"/>
  <c r="P23" i="7"/>
  <c r="P16" i="7"/>
  <c r="P24" i="7"/>
  <c r="P25" i="7"/>
  <c r="Q11" i="3"/>
  <c r="Q18" i="3"/>
  <c r="Q25" i="3"/>
  <c r="Q26" i="3"/>
  <c r="Q7" i="7"/>
  <c r="Q9" i="7"/>
  <c r="Q22" i="7"/>
  <c r="Q23" i="7"/>
  <c r="Q16" i="7"/>
  <c r="Q24" i="7"/>
  <c r="Q25" i="7"/>
  <c r="R11" i="3"/>
  <c r="R18" i="3"/>
  <c r="R25" i="3"/>
  <c r="R26" i="3"/>
  <c r="R7" i="7"/>
  <c r="R9" i="7"/>
  <c r="R22" i="7"/>
  <c r="R23" i="7"/>
  <c r="R16" i="7"/>
  <c r="R24" i="7"/>
  <c r="R25" i="7"/>
  <c r="S11" i="3"/>
  <c r="S18" i="3"/>
  <c r="S25" i="3"/>
  <c r="S26" i="3"/>
  <c r="S7" i="7"/>
  <c r="S9" i="7"/>
  <c r="S22" i="7"/>
  <c r="S23" i="7"/>
  <c r="S16" i="7"/>
  <c r="S24" i="7"/>
  <c r="S25" i="7"/>
  <c r="T11" i="3"/>
  <c r="T18" i="3"/>
  <c r="T25" i="3"/>
  <c r="T26" i="3"/>
  <c r="T7" i="7"/>
  <c r="T9" i="7"/>
  <c r="T22" i="7"/>
  <c r="T23" i="7"/>
  <c r="T16" i="7"/>
  <c r="T24" i="7"/>
  <c r="T25" i="7"/>
  <c r="U11" i="3"/>
  <c r="U18" i="3"/>
  <c r="U25" i="3"/>
  <c r="U26" i="3"/>
  <c r="U7" i="7"/>
  <c r="U9" i="7"/>
  <c r="U22" i="7"/>
  <c r="U23" i="7"/>
  <c r="U16" i="7"/>
  <c r="U24" i="7"/>
  <c r="U25" i="7"/>
  <c r="V11" i="3"/>
  <c r="V18" i="3"/>
  <c r="V25" i="3"/>
  <c r="V26" i="3"/>
  <c r="V7" i="7"/>
  <c r="V9" i="7"/>
  <c r="V22" i="7"/>
  <c r="V23" i="7"/>
  <c r="V16" i="7"/>
  <c r="V24" i="7"/>
  <c r="V25" i="7"/>
  <c r="W11" i="3"/>
  <c r="W18" i="3"/>
  <c r="D23" i="3"/>
  <c r="W25" i="3"/>
  <c r="W26" i="3"/>
  <c r="W7" i="7"/>
  <c r="D168" i="23"/>
  <c r="D12" i="7"/>
  <c r="W9" i="7"/>
  <c r="W22" i="7"/>
  <c r="W29" i="3"/>
  <c r="W3" i="3"/>
  <c r="W3" i="7"/>
  <c r="W23" i="7"/>
  <c r="D45" i="6"/>
  <c r="D46" i="6"/>
  <c r="D47" i="6"/>
  <c r="D10" i="7"/>
  <c r="W11" i="7"/>
  <c r="W13" i="7"/>
  <c r="W16" i="7"/>
  <c r="W24" i="7"/>
  <c r="W25" i="7"/>
  <c r="X11" i="3"/>
  <c r="X18" i="3"/>
  <c r="X25" i="3"/>
  <c r="X26" i="3"/>
  <c r="X7" i="7"/>
  <c r="X9" i="7"/>
  <c r="X22" i="7"/>
  <c r="X29" i="3"/>
  <c r="X3" i="3"/>
  <c r="X3" i="7"/>
  <c r="X23" i="7"/>
  <c r="X11" i="7"/>
  <c r="X13" i="7"/>
  <c r="X16" i="7"/>
  <c r="X24" i="7"/>
  <c r="X25" i="7"/>
  <c r="Y11" i="3"/>
  <c r="Y18" i="3"/>
  <c r="Y25" i="3"/>
  <c r="Y26" i="3"/>
  <c r="Y7" i="7"/>
  <c r="Y9" i="7"/>
  <c r="Y22" i="7"/>
  <c r="Y29" i="3"/>
  <c r="Y3" i="3"/>
  <c r="Y3" i="7"/>
  <c r="Y23" i="7"/>
  <c r="Y11" i="7"/>
  <c r="Y13" i="7"/>
  <c r="Y16" i="7"/>
  <c r="Y24" i="7"/>
  <c r="Y25" i="7"/>
  <c r="Z11" i="3"/>
  <c r="Z18" i="3"/>
  <c r="Z25" i="3"/>
  <c r="Z26" i="3"/>
  <c r="Z7" i="7"/>
  <c r="Z9" i="7"/>
  <c r="Z22" i="7"/>
  <c r="Z29" i="3"/>
  <c r="Z3" i="3"/>
  <c r="Z3" i="7"/>
  <c r="Z23" i="7"/>
  <c r="Z11" i="7"/>
  <c r="Z13" i="7"/>
  <c r="Z16" i="7"/>
  <c r="Z24" i="7"/>
  <c r="Z25" i="7"/>
  <c r="AA11" i="3"/>
  <c r="AA18" i="3"/>
  <c r="AA25" i="3"/>
  <c r="AA26" i="3"/>
  <c r="AA7" i="7"/>
  <c r="AA9" i="7"/>
  <c r="AA22" i="7"/>
  <c r="AA29" i="3"/>
  <c r="AA3" i="3"/>
  <c r="AA3" i="7"/>
  <c r="AA23" i="7"/>
  <c r="AA11" i="7"/>
  <c r="AA13" i="7"/>
  <c r="AA16" i="7"/>
  <c r="AA24" i="7"/>
  <c r="AA25" i="7"/>
  <c r="AB11" i="3"/>
  <c r="AB18" i="3"/>
  <c r="AB25" i="3"/>
  <c r="AB26" i="3"/>
  <c r="AB7" i="7"/>
  <c r="AB9" i="7"/>
  <c r="AB22" i="7"/>
  <c r="AB29" i="3"/>
  <c r="AB3" i="3"/>
  <c r="AB3" i="7"/>
  <c r="AB23" i="7"/>
  <c r="AB11" i="7"/>
  <c r="AB13" i="7"/>
  <c r="AB16" i="7"/>
  <c r="AB24" i="7"/>
  <c r="AB25" i="7"/>
  <c r="AC11" i="3"/>
  <c r="AC18" i="3"/>
  <c r="AC25" i="3"/>
  <c r="AC26" i="3"/>
  <c r="AC7" i="7"/>
  <c r="AC9" i="7"/>
  <c r="AC22" i="7"/>
  <c r="AC29" i="3"/>
  <c r="AC3" i="3"/>
  <c r="AC3" i="7"/>
  <c r="AC23" i="7"/>
  <c r="AC11" i="7"/>
  <c r="AC13" i="7"/>
  <c r="AC16" i="7"/>
  <c r="AC24" i="7"/>
  <c r="AC25" i="7"/>
  <c r="AD11" i="3"/>
  <c r="AD18" i="3"/>
  <c r="AD25" i="3"/>
  <c r="AD26" i="3"/>
  <c r="AD7" i="7"/>
  <c r="AD9" i="7"/>
  <c r="AD22" i="7"/>
  <c r="AD29" i="3"/>
  <c r="AD3" i="3"/>
  <c r="AD3" i="7"/>
  <c r="AD23" i="7"/>
  <c r="AD11" i="7"/>
  <c r="AD13" i="7"/>
  <c r="AD16" i="7"/>
  <c r="AD24" i="7"/>
  <c r="AD25" i="7"/>
  <c r="AE11" i="3"/>
  <c r="AE18" i="3"/>
  <c r="AE25" i="3"/>
  <c r="AE26" i="3"/>
  <c r="AE7" i="7"/>
  <c r="AE9" i="7"/>
  <c r="AE22" i="7"/>
  <c r="AE29" i="3"/>
  <c r="AE3" i="3"/>
  <c r="AE3" i="7"/>
  <c r="AE23" i="7"/>
  <c r="AE11" i="7"/>
  <c r="AE13" i="7"/>
  <c r="AE16" i="7"/>
  <c r="AE24" i="7"/>
  <c r="AE25" i="7"/>
  <c r="AF11" i="3"/>
  <c r="AF18" i="3"/>
  <c r="AF25" i="3"/>
  <c r="AF26" i="3"/>
  <c r="AF7" i="7"/>
  <c r="AF9" i="7"/>
  <c r="AF22" i="7"/>
  <c r="AF29" i="3"/>
  <c r="AF3" i="3"/>
  <c r="AF3" i="7"/>
  <c r="AF23" i="7"/>
  <c r="AF11" i="7"/>
  <c r="AF13" i="7"/>
  <c r="AF16" i="7"/>
  <c r="AF24" i="7"/>
  <c r="AF25" i="7"/>
  <c r="AG11" i="3"/>
  <c r="AG18" i="3"/>
  <c r="AG25" i="3"/>
  <c r="AG26" i="3"/>
  <c r="AG7" i="7"/>
  <c r="AG9" i="7"/>
  <c r="AG22" i="7"/>
  <c r="AG29" i="3"/>
  <c r="AG3" i="3"/>
  <c r="AG3" i="7"/>
  <c r="AG23" i="7"/>
  <c r="AG11" i="7"/>
  <c r="AG13" i="7"/>
  <c r="AG16" i="7"/>
  <c r="AG24" i="7"/>
  <c r="AG25" i="7"/>
  <c r="AH11" i="3"/>
  <c r="AH18" i="3"/>
  <c r="AH25" i="3"/>
  <c r="AH26" i="3"/>
  <c r="AH7" i="7"/>
  <c r="AH9" i="7"/>
  <c r="AH22" i="7"/>
  <c r="AH29" i="3"/>
  <c r="AH3" i="3"/>
  <c r="AH3" i="7"/>
  <c r="AH23" i="7"/>
  <c r="AH11" i="7"/>
  <c r="AH13" i="7"/>
  <c r="AH16" i="7"/>
  <c r="AH24" i="7"/>
  <c r="AH25" i="7"/>
  <c r="AI11" i="3"/>
  <c r="AI18" i="3"/>
  <c r="AI25" i="3"/>
  <c r="AI26" i="3"/>
  <c r="AI7" i="7"/>
  <c r="AI9" i="7"/>
  <c r="AI22" i="7"/>
  <c r="AI29" i="3"/>
  <c r="AI3" i="3"/>
  <c r="AI3" i="7"/>
  <c r="AI23" i="7"/>
  <c r="AI11" i="7"/>
  <c r="AI13" i="7"/>
  <c r="AI16" i="7"/>
  <c r="AI24" i="7"/>
  <c r="AI25" i="7"/>
  <c r="AJ11" i="3"/>
  <c r="AJ18" i="3"/>
  <c r="AJ25" i="3"/>
  <c r="AJ26" i="3"/>
  <c r="AJ7" i="7"/>
  <c r="AJ9" i="7"/>
  <c r="AJ22" i="7"/>
  <c r="AJ29" i="3"/>
  <c r="AJ3" i="3"/>
  <c r="AJ3" i="7"/>
  <c r="AJ23" i="7"/>
  <c r="AJ11" i="7"/>
  <c r="AJ13" i="7"/>
  <c r="AJ16" i="7"/>
  <c r="AJ24" i="7"/>
  <c r="AJ25" i="7"/>
  <c r="AK11" i="3"/>
  <c r="AK18" i="3"/>
  <c r="AK25" i="3"/>
  <c r="AK26" i="3"/>
  <c r="AK7" i="7"/>
  <c r="AK9" i="7"/>
  <c r="AK22" i="7"/>
  <c r="AK29" i="3"/>
  <c r="AK3" i="3"/>
  <c r="AK3" i="7"/>
  <c r="AK23" i="7"/>
  <c r="AK11" i="7"/>
  <c r="AK13" i="7"/>
  <c r="AK16" i="7"/>
  <c r="AK24" i="7"/>
  <c r="AK25" i="7"/>
  <c r="AL11" i="3"/>
  <c r="AL18" i="3"/>
  <c r="AL25" i="3"/>
  <c r="AL26" i="3"/>
  <c r="AL7" i="7"/>
  <c r="AL9" i="7"/>
  <c r="AL22" i="7"/>
  <c r="AL29" i="3"/>
  <c r="AL3" i="3"/>
  <c r="AL3" i="7"/>
  <c r="AL23" i="7"/>
  <c r="AL11" i="7"/>
  <c r="AL13" i="7"/>
  <c r="AL16" i="7"/>
  <c r="AL24" i="7"/>
  <c r="AL25" i="7"/>
  <c r="AM11" i="3"/>
  <c r="AM18" i="3"/>
  <c r="AM25" i="3"/>
  <c r="AM26" i="3"/>
  <c r="AM7" i="7"/>
  <c r="AM9" i="7"/>
  <c r="AM22" i="7"/>
  <c r="AM29" i="3"/>
  <c r="AM3" i="3"/>
  <c r="AM3" i="7"/>
  <c r="AM23" i="7"/>
  <c r="AM11" i="7"/>
  <c r="AM13" i="7"/>
  <c r="AM16" i="7"/>
  <c r="AM24" i="7"/>
  <c r="AM25" i="7"/>
  <c r="AN11" i="3"/>
  <c r="AN18" i="3"/>
  <c r="AN25" i="3"/>
  <c r="AN26" i="3"/>
  <c r="AN7" i="7"/>
  <c r="AN9" i="7"/>
  <c r="AN22" i="7"/>
  <c r="AN29" i="3"/>
  <c r="AN3" i="3"/>
  <c r="AN3" i="7"/>
  <c r="AN23" i="7"/>
  <c r="AN11" i="7"/>
  <c r="AN13" i="7"/>
  <c r="AN16" i="7"/>
  <c r="AN24" i="7"/>
  <c r="AN25" i="7"/>
  <c r="AO11" i="3"/>
  <c r="AO18" i="3"/>
  <c r="AO25" i="3"/>
  <c r="AO26" i="3"/>
  <c r="AO7" i="7"/>
  <c r="AO9" i="7"/>
  <c r="AO22" i="7"/>
  <c r="AO29" i="3"/>
  <c r="AO3" i="3"/>
  <c r="AO3" i="7"/>
  <c r="AO23" i="7"/>
  <c r="AO11" i="7"/>
  <c r="AO13" i="7"/>
  <c r="AO16" i="7"/>
  <c r="AO24" i="7"/>
  <c r="AO25" i="7"/>
  <c r="AP11" i="3"/>
  <c r="AP18" i="3"/>
  <c r="AP25" i="3"/>
  <c r="AP26" i="3"/>
  <c r="AP7" i="7"/>
  <c r="AP9" i="7"/>
  <c r="AP22" i="7"/>
  <c r="AP29" i="3"/>
  <c r="AP3" i="3"/>
  <c r="AP3" i="7"/>
  <c r="AP23" i="7"/>
  <c r="AP11" i="7"/>
  <c r="AP13" i="7"/>
  <c r="AP16" i="7"/>
  <c r="AP24" i="7"/>
  <c r="AP25" i="7"/>
  <c r="AQ11" i="3"/>
  <c r="AQ18" i="3"/>
  <c r="AQ25" i="3"/>
  <c r="AQ26" i="3"/>
  <c r="AQ7" i="7"/>
  <c r="AQ9" i="7"/>
  <c r="AQ22" i="7"/>
  <c r="AQ29" i="3"/>
  <c r="AQ3" i="3"/>
  <c r="AQ3" i="7"/>
  <c r="AQ23" i="7"/>
  <c r="AQ11" i="7"/>
  <c r="AQ13" i="7"/>
  <c r="AQ16" i="7"/>
  <c r="AQ24" i="7"/>
  <c r="AQ25" i="7"/>
  <c r="AR11" i="3"/>
  <c r="AR18" i="3"/>
  <c r="AR25" i="3"/>
  <c r="AR26" i="3"/>
  <c r="AR7" i="7"/>
  <c r="AR9" i="7"/>
  <c r="AR22" i="7"/>
  <c r="AR29" i="3"/>
  <c r="AR3" i="3"/>
  <c r="AR3" i="7"/>
  <c r="AR23" i="7"/>
  <c r="AR11" i="7"/>
  <c r="AR13" i="7"/>
  <c r="AR16" i="7"/>
  <c r="AR24" i="7"/>
  <c r="AR25" i="7"/>
  <c r="AS11" i="3"/>
  <c r="AS18" i="3"/>
  <c r="AS25" i="3"/>
  <c r="AS26" i="3"/>
  <c r="AS7" i="7"/>
  <c r="AS9" i="7"/>
  <c r="AS22" i="7"/>
  <c r="AS29" i="3"/>
  <c r="AS3" i="3"/>
  <c r="AS3" i="7"/>
  <c r="AS23" i="7"/>
  <c r="AS11" i="7"/>
  <c r="AS13" i="7"/>
  <c r="AS16" i="7"/>
  <c r="AS24" i="7"/>
  <c r="AS25" i="7"/>
  <c r="AT11" i="3"/>
  <c r="AT18" i="3"/>
  <c r="AT25" i="3"/>
  <c r="AT26" i="3"/>
  <c r="AT7" i="7"/>
  <c r="AT9" i="7"/>
  <c r="AT22" i="7"/>
  <c r="AT29" i="3"/>
  <c r="AT3" i="3"/>
  <c r="AT3" i="7"/>
  <c r="AT23" i="7"/>
  <c r="AT11" i="7"/>
  <c r="AT13" i="7"/>
  <c r="AT16" i="7"/>
  <c r="AT24" i="7"/>
  <c r="AT25" i="7"/>
  <c r="AU11" i="3"/>
  <c r="AU18" i="3"/>
  <c r="AU25" i="3"/>
  <c r="AU26" i="3"/>
  <c r="AU7" i="7"/>
  <c r="AU9" i="7"/>
  <c r="AU22" i="7"/>
  <c r="AU29" i="3"/>
  <c r="AU3" i="3"/>
  <c r="AU3" i="7"/>
  <c r="AU23" i="7"/>
  <c r="AU11" i="7"/>
  <c r="AU13" i="7"/>
  <c r="AU16" i="7"/>
  <c r="AU24" i="7"/>
  <c r="AU25" i="7"/>
  <c r="AV11" i="3"/>
  <c r="AV18" i="3"/>
  <c r="AV25" i="3"/>
  <c r="AV26" i="3"/>
  <c r="AV7" i="7"/>
  <c r="AV9" i="7"/>
  <c r="AV22" i="7"/>
  <c r="AV29" i="3"/>
  <c r="AV3" i="3"/>
  <c r="AV3" i="7"/>
  <c r="AV23" i="7"/>
  <c r="AV11" i="7"/>
  <c r="AV13" i="7"/>
  <c r="AV16" i="7"/>
  <c r="AV24" i="7"/>
  <c r="AV25" i="7"/>
  <c r="AW11" i="3"/>
  <c r="AW18" i="3"/>
  <c r="AW25" i="3"/>
  <c r="AW26" i="3"/>
  <c r="AW7" i="7"/>
  <c r="AW9" i="7"/>
  <c r="AW22" i="7"/>
  <c r="AW23" i="7"/>
  <c r="AW16" i="7"/>
  <c r="AW24" i="7"/>
  <c r="AW25" i="7"/>
  <c r="AX11" i="3"/>
  <c r="AX18" i="3"/>
  <c r="AX25" i="3"/>
  <c r="AX26" i="3"/>
  <c r="AX7" i="7"/>
  <c r="AX9" i="7"/>
  <c r="AX22" i="7"/>
  <c r="AX23" i="7"/>
  <c r="AX16" i="7"/>
  <c r="AX24" i="7"/>
  <c r="AX25" i="7"/>
  <c r="AY11" i="3"/>
  <c r="AY18" i="3"/>
  <c r="AY25" i="3"/>
  <c r="AY26" i="3"/>
  <c r="AY7" i="7"/>
  <c r="AY9" i="7"/>
  <c r="AY22" i="7"/>
  <c r="AY23" i="7"/>
  <c r="AY16" i="7"/>
  <c r="AY24" i="7"/>
  <c r="AY25" i="7"/>
  <c r="AZ11" i="3"/>
  <c r="AZ18" i="3"/>
  <c r="AZ25" i="3"/>
  <c r="AZ26" i="3"/>
  <c r="AZ7" i="7"/>
  <c r="AZ9" i="7"/>
  <c r="AZ22" i="7"/>
  <c r="AZ23" i="7"/>
  <c r="AZ16" i="7"/>
  <c r="AZ24" i="7"/>
  <c r="AZ25" i="7"/>
  <c r="BA11" i="3"/>
  <c r="BA18" i="3"/>
  <c r="BA25" i="3"/>
  <c r="BA26" i="3"/>
  <c r="BA7" i="7"/>
  <c r="BA9" i="7"/>
  <c r="BA22" i="7"/>
  <c r="BA23" i="7"/>
  <c r="BA16" i="7"/>
  <c r="BA24" i="7"/>
  <c r="BA25" i="7"/>
  <c r="BB11" i="3"/>
  <c r="BB18" i="3"/>
  <c r="BB25" i="3"/>
  <c r="BB26" i="3"/>
  <c r="BB7" i="7"/>
  <c r="BB9" i="7"/>
  <c r="BB22" i="7"/>
  <c r="BB23" i="7"/>
  <c r="BB16" i="7"/>
  <c r="BB24" i="7"/>
  <c r="BB25" i="7"/>
  <c r="BC11" i="3"/>
  <c r="BC18" i="3"/>
  <c r="BC25" i="3"/>
  <c r="BC26" i="3"/>
  <c r="BC7" i="7"/>
  <c r="BC9" i="7"/>
  <c r="BC22" i="7"/>
  <c r="BC23" i="7"/>
  <c r="BC16" i="7"/>
  <c r="BC24" i="7"/>
  <c r="BC25" i="7"/>
  <c r="BD11" i="3"/>
  <c r="BD18" i="3"/>
  <c r="BD25" i="3"/>
  <c r="BD26" i="3"/>
  <c r="BD7" i="7"/>
  <c r="BD9" i="7"/>
  <c r="BD22" i="7"/>
  <c r="BD23" i="7"/>
  <c r="BD16" i="7"/>
  <c r="BD24" i="7"/>
  <c r="BD25" i="7"/>
  <c r="BE11" i="3"/>
  <c r="BE18" i="3"/>
  <c r="BE25" i="3"/>
  <c r="BE26" i="3"/>
  <c r="BE7" i="7"/>
  <c r="BE9" i="7"/>
  <c r="BE22" i="7"/>
  <c r="BE23" i="7"/>
  <c r="BE16" i="7"/>
  <c r="BE24" i="7"/>
  <c r="BE25" i="7"/>
  <c r="BF11" i="3"/>
  <c r="BF18" i="3"/>
  <c r="BF25" i="3"/>
  <c r="BF26" i="3"/>
  <c r="BF7" i="7"/>
  <c r="BF9" i="7"/>
  <c r="BF22" i="7"/>
  <c r="BF23" i="7"/>
  <c r="BF16" i="7"/>
  <c r="BF24" i="7"/>
  <c r="BF25" i="7"/>
  <c r="BG11" i="3"/>
  <c r="BG18" i="3"/>
  <c r="BG25" i="3"/>
  <c r="BG26" i="3"/>
  <c r="BG7" i="7"/>
  <c r="BG9" i="7"/>
  <c r="BG22" i="7"/>
  <c r="BG23" i="7"/>
  <c r="BG16" i="7"/>
  <c r="BG24" i="7"/>
  <c r="BG25" i="7"/>
  <c r="BH11" i="3"/>
  <c r="BH18" i="3"/>
  <c r="BH25" i="3"/>
  <c r="BH26" i="3"/>
  <c r="BH7" i="7"/>
  <c r="BH9" i="7"/>
  <c r="BH22" i="7"/>
  <c r="BH23" i="7"/>
  <c r="BH16" i="7"/>
  <c r="BH24" i="7"/>
  <c r="BH25" i="7"/>
  <c r="BI11" i="3"/>
  <c r="BI18" i="3"/>
  <c r="BI25" i="3"/>
  <c r="BI26" i="3"/>
  <c r="BI7" i="7"/>
  <c r="BI9" i="7"/>
  <c r="BI22" i="7"/>
  <c r="BI23" i="7"/>
  <c r="BI16" i="7"/>
  <c r="BI24" i="7"/>
  <c r="BI25" i="7"/>
  <c r="BJ11" i="3"/>
  <c r="BJ18" i="3"/>
  <c r="BJ25" i="3"/>
  <c r="BJ26" i="3"/>
  <c r="BJ7" i="7"/>
  <c r="BJ9" i="7"/>
  <c r="BJ22" i="7"/>
  <c r="BJ23" i="7"/>
  <c r="BJ16" i="7"/>
  <c r="BJ24" i="7"/>
  <c r="BJ25" i="7"/>
  <c r="E25" i="7"/>
  <c r="Q19" i="24"/>
  <c r="AL7" i="15"/>
  <c r="G164" i="3"/>
  <c r="D8" i="3"/>
  <c r="D7" i="3"/>
  <c r="G12" i="3"/>
  <c r="G19" i="3"/>
  <c r="G27" i="3"/>
  <c r="G1" i="3"/>
  <c r="D159" i="3"/>
  <c r="D157" i="3"/>
  <c r="G163" i="3"/>
  <c r="G29" i="3"/>
  <c r="G3" i="3"/>
  <c r="G166" i="3"/>
  <c r="H164" i="3"/>
  <c r="H12" i="3"/>
  <c r="H19" i="3"/>
  <c r="H27" i="3"/>
  <c r="H1" i="3"/>
  <c r="H163" i="3"/>
  <c r="H29" i="3"/>
  <c r="H3" i="3"/>
  <c r="H166" i="3"/>
  <c r="I164" i="3"/>
  <c r="I12" i="3"/>
  <c r="D15" i="3"/>
  <c r="D10" i="23"/>
  <c r="D12" i="23"/>
  <c r="D14" i="3"/>
  <c r="I19" i="3"/>
  <c r="I27" i="3"/>
  <c r="I1" i="3"/>
  <c r="I163" i="3"/>
  <c r="I29" i="3"/>
  <c r="I3" i="3"/>
  <c r="I166" i="3"/>
  <c r="J164" i="3"/>
  <c r="J12" i="3"/>
  <c r="J19" i="3"/>
  <c r="J27" i="3"/>
  <c r="J1" i="3"/>
  <c r="J163" i="3"/>
  <c r="J29" i="3"/>
  <c r="J3" i="3"/>
  <c r="J166" i="3"/>
  <c r="K164" i="3"/>
  <c r="K12" i="3"/>
  <c r="K19" i="3"/>
  <c r="K27" i="3"/>
  <c r="K1" i="3"/>
  <c r="K163" i="3"/>
  <c r="K29" i="3"/>
  <c r="K3" i="3"/>
  <c r="K166" i="3"/>
  <c r="L164" i="3"/>
  <c r="L12" i="3"/>
  <c r="L19" i="3"/>
  <c r="L27" i="3"/>
  <c r="L1" i="3"/>
  <c r="L163" i="3"/>
  <c r="L29" i="3"/>
  <c r="L3" i="3"/>
  <c r="L166" i="3"/>
  <c r="M164" i="3"/>
  <c r="M12" i="3"/>
  <c r="M19" i="3"/>
  <c r="M27" i="3"/>
  <c r="M1" i="3"/>
  <c r="M163" i="3"/>
  <c r="M29" i="3"/>
  <c r="M3" i="3"/>
  <c r="M166" i="3"/>
  <c r="N164" i="3"/>
  <c r="N12" i="3"/>
  <c r="N19" i="3"/>
  <c r="N27" i="3"/>
  <c r="N1" i="3"/>
  <c r="N163" i="3"/>
  <c r="N29" i="3"/>
  <c r="N3" i="3"/>
  <c r="N166" i="3"/>
  <c r="O164" i="3"/>
  <c r="O12" i="3"/>
  <c r="O19" i="3"/>
  <c r="O27" i="3"/>
  <c r="O1" i="3"/>
  <c r="O163" i="3"/>
  <c r="O29" i="3"/>
  <c r="O3" i="3"/>
  <c r="O166" i="3"/>
  <c r="P164" i="3"/>
  <c r="P12" i="3"/>
  <c r="P19" i="3"/>
  <c r="P27" i="3"/>
  <c r="P1" i="3"/>
  <c r="P163" i="3"/>
  <c r="P29" i="3"/>
  <c r="P3" i="3"/>
  <c r="P166" i="3"/>
  <c r="Q164" i="3"/>
  <c r="Q12" i="3"/>
  <c r="Q19" i="3"/>
  <c r="Q27" i="3"/>
  <c r="Q1" i="3"/>
  <c r="Q163" i="3"/>
  <c r="Q29" i="3"/>
  <c r="Q3" i="3"/>
  <c r="Q166" i="3"/>
  <c r="R164" i="3"/>
  <c r="R12" i="3"/>
  <c r="R19" i="3"/>
  <c r="R27" i="3"/>
  <c r="R1" i="3"/>
  <c r="R163" i="3"/>
  <c r="R29" i="3"/>
  <c r="R3" i="3"/>
  <c r="R166" i="3"/>
  <c r="S164" i="3"/>
  <c r="S12" i="3"/>
  <c r="S19" i="3"/>
  <c r="S27" i="3"/>
  <c r="S1" i="3"/>
  <c r="S163" i="3"/>
  <c r="S29" i="3"/>
  <c r="S3" i="3"/>
  <c r="S166" i="3"/>
  <c r="T164" i="3"/>
  <c r="T12" i="3"/>
  <c r="T19" i="3"/>
  <c r="T27" i="3"/>
  <c r="T1" i="3"/>
  <c r="T163" i="3"/>
  <c r="T29" i="3"/>
  <c r="T3" i="3"/>
  <c r="T166" i="3"/>
  <c r="U164" i="3"/>
  <c r="U12" i="3"/>
  <c r="U19" i="3"/>
  <c r="U27" i="3"/>
  <c r="U1" i="3"/>
  <c r="U163" i="3"/>
  <c r="U29" i="3"/>
  <c r="U3" i="3"/>
  <c r="U166" i="3"/>
  <c r="V164" i="3"/>
  <c r="V12" i="3"/>
  <c r="V19" i="3"/>
  <c r="V27" i="3"/>
  <c r="V1" i="3"/>
  <c r="V163" i="3"/>
  <c r="V29" i="3"/>
  <c r="V3" i="3"/>
  <c r="V166" i="3"/>
  <c r="W164" i="3"/>
  <c r="W12" i="3"/>
  <c r="W19" i="3"/>
  <c r="D22" i="3"/>
  <c r="D15" i="23"/>
  <c r="D17" i="23"/>
  <c r="D21" i="3"/>
  <c r="W27" i="3"/>
  <c r="W1" i="3"/>
  <c r="W163" i="3"/>
  <c r="W166" i="3"/>
  <c r="X164" i="3"/>
  <c r="X12" i="3"/>
  <c r="X19" i="3"/>
  <c r="X27" i="3"/>
  <c r="X1" i="3"/>
  <c r="D158" i="3"/>
  <c r="X163" i="3"/>
  <c r="X166" i="3"/>
  <c r="Y164" i="3"/>
  <c r="Y12" i="3"/>
  <c r="Y19" i="3"/>
  <c r="Y27" i="3"/>
  <c r="Y1" i="3"/>
  <c r="Y163" i="3"/>
  <c r="Y166" i="3"/>
  <c r="Z164" i="3"/>
  <c r="Z12" i="3"/>
  <c r="Z19" i="3"/>
  <c r="Z27" i="3"/>
  <c r="Z1" i="3"/>
  <c r="Z163" i="3"/>
  <c r="Z166" i="3"/>
  <c r="AA164" i="3"/>
  <c r="AA12" i="3"/>
  <c r="AA19" i="3"/>
  <c r="AA27" i="3"/>
  <c r="AA1" i="3"/>
  <c r="AA163" i="3"/>
  <c r="AA166" i="3"/>
  <c r="AB164" i="3"/>
  <c r="AB12" i="3"/>
  <c r="AB19" i="3"/>
  <c r="AB27" i="3"/>
  <c r="AB1" i="3"/>
  <c r="AB163" i="3"/>
  <c r="AB166" i="3"/>
  <c r="AC164" i="3"/>
  <c r="AC12" i="3"/>
  <c r="AC19" i="3"/>
  <c r="AC27" i="3"/>
  <c r="AC1" i="3"/>
  <c r="AC163" i="3"/>
  <c r="AC166" i="3"/>
  <c r="AD164" i="3"/>
  <c r="AD12" i="3"/>
  <c r="AD19" i="3"/>
  <c r="AD27" i="3"/>
  <c r="AD1" i="3"/>
  <c r="AD163" i="3"/>
  <c r="AD166" i="3"/>
  <c r="AE164" i="3"/>
  <c r="AE12" i="3"/>
  <c r="AE19" i="3"/>
  <c r="AE27" i="3"/>
  <c r="AE1" i="3"/>
  <c r="AE163" i="3"/>
  <c r="AE166" i="3"/>
  <c r="AF164" i="3"/>
  <c r="AF12" i="3"/>
  <c r="AF19" i="3"/>
  <c r="AF27" i="3"/>
  <c r="AF1" i="3"/>
  <c r="AF163" i="3"/>
  <c r="AF166" i="3"/>
  <c r="AG164" i="3"/>
  <c r="AG12" i="3"/>
  <c r="AG19" i="3"/>
  <c r="AG27" i="3"/>
  <c r="AG1" i="3"/>
  <c r="AG163" i="3"/>
  <c r="AG166" i="3"/>
  <c r="AH164" i="3"/>
  <c r="AH12" i="3"/>
  <c r="AH19" i="3"/>
  <c r="AH27" i="3"/>
  <c r="AH1" i="3"/>
  <c r="AH163" i="3"/>
  <c r="AH166" i="3"/>
  <c r="AI164" i="3"/>
  <c r="AI12" i="3"/>
  <c r="AI19" i="3"/>
  <c r="AI27" i="3"/>
  <c r="AI1" i="3"/>
  <c r="AI163" i="3"/>
  <c r="AI166" i="3"/>
  <c r="AJ164" i="3"/>
  <c r="AJ12" i="3"/>
  <c r="AJ19" i="3"/>
  <c r="AJ27" i="3"/>
  <c r="AJ1" i="3"/>
  <c r="AJ163" i="3"/>
  <c r="AJ166" i="3"/>
  <c r="AK164" i="3"/>
  <c r="AK12" i="3"/>
  <c r="AK19" i="3"/>
  <c r="AK27" i="3"/>
  <c r="AK1" i="3"/>
  <c r="AK163" i="3"/>
  <c r="AK166" i="3"/>
  <c r="AL164" i="3"/>
  <c r="AL12" i="3"/>
  <c r="AL19" i="3"/>
  <c r="AL27" i="3"/>
  <c r="AL1" i="3"/>
  <c r="AL163" i="3"/>
  <c r="AL166" i="3"/>
  <c r="AL165" i="3"/>
  <c r="AL28" i="10"/>
  <c r="D86" i="23"/>
  <c r="D114" i="3"/>
  <c r="AL115" i="3"/>
  <c r="AL2" i="3"/>
  <c r="B123" i="3"/>
  <c r="B124" i="3"/>
  <c r="B125" i="3"/>
  <c r="B126" i="3"/>
  <c r="B127" i="3"/>
  <c r="B134" i="3"/>
  <c r="B130" i="3"/>
  <c r="B131" i="3"/>
  <c r="B132" i="3"/>
  <c r="B133" i="3"/>
  <c r="D130" i="3"/>
  <c r="D131" i="3"/>
  <c r="D132" i="3"/>
  <c r="D133" i="3"/>
  <c r="D134" i="3"/>
  <c r="AL129" i="3"/>
  <c r="AL27" i="10"/>
  <c r="AL29" i="10"/>
  <c r="D62" i="3"/>
  <c r="D88" i="3"/>
  <c r="AL88" i="3"/>
  <c r="V58" i="3"/>
  <c r="D55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L89" i="3"/>
  <c r="D90" i="3"/>
  <c r="AL90" i="3"/>
  <c r="AL91" i="3"/>
  <c r="AL92" i="3"/>
  <c r="D124" i="3"/>
  <c r="AL122" i="3"/>
  <c r="AL93" i="3"/>
  <c r="AL94" i="3"/>
  <c r="D53" i="3"/>
  <c r="W59" i="3"/>
  <c r="D54" i="3"/>
  <c r="W61" i="3"/>
  <c r="X59" i="3"/>
  <c r="X61" i="3"/>
  <c r="Y59" i="3"/>
  <c r="Y61" i="3"/>
  <c r="Z59" i="3"/>
  <c r="Z61" i="3"/>
  <c r="AA59" i="3"/>
  <c r="AA61" i="3"/>
  <c r="AB59" i="3"/>
  <c r="AB61" i="3"/>
  <c r="AC59" i="3"/>
  <c r="AC61" i="3"/>
  <c r="AD59" i="3"/>
  <c r="D56" i="3"/>
  <c r="AD61" i="3"/>
  <c r="AE59" i="3"/>
  <c r="AE61" i="3"/>
  <c r="AF59" i="3"/>
  <c r="AF61" i="3"/>
  <c r="AG59" i="3"/>
  <c r="AG61" i="3"/>
  <c r="AH59" i="3"/>
  <c r="AH61" i="3"/>
  <c r="AI59" i="3"/>
  <c r="AI61" i="3"/>
  <c r="AJ59" i="3"/>
  <c r="AJ61" i="3"/>
  <c r="AK59" i="3"/>
  <c r="AK61" i="3"/>
  <c r="AL59" i="3"/>
  <c r="AL61" i="3"/>
  <c r="AL60" i="3"/>
  <c r="AL63" i="3"/>
  <c r="AL75" i="3"/>
  <c r="AL23" i="10"/>
  <c r="AL30" i="10"/>
  <c r="D177" i="3"/>
  <c r="D134" i="23"/>
  <c r="D178" i="3"/>
  <c r="L181" i="3"/>
  <c r="M179" i="3"/>
  <c r="M167" i="3"/>
  <c r="G170" i="3"/>
  <c r="D162" i="3"/>
  <c r="D160" i="3"/>
  <c r="G169" i="3"/>
  <c r="G172" i="3"/>
  <c r="H170" i="3"/>
  <c r="H169" i="3"/>
  <c r="H172" i="3"/>
  <c r="I170" i="3"/>
  <c r="I169" i="3"/>
  <c r="I172" i="3"/>
  <c r="J170" i="3"/>
  <c r="J169" i="3"/>
  <c r="J172" i="3"/>
  <c r="K170" i="3"/>
  <c r="K169" i="3"/>
  <c r="K172" i="3"/>
  <c r="L170" i="3"/>
  <c r="L169" i="3"/>
  <c r="L172" i="3"/>
  <c r="M170" i="3"/>
  <c r="M169" i="3"/>
  <c r="M172" i="3"/>
  <c r="M173" i="3"/>
  <c r="M174" i="3"/>
  <c r="M181" i="3"/>
  <c r="N179" i="3"/>
  <c r="N167" i="3"/>
  <c r="N170" i="3"/>
  <c r="N169" i="3"/>
  <c r="N172" i="3"/>
  <c r="N173" i="3"/>
  <c r="N174" i="3"/>
  <c r="N181" i="3"/>
  <c r="O179" i="3"/>
  <c r="O167" i="3"/>
  <c r="O170" i="3"/>
  <c r="O169" i="3"/>
  <c r="O172" i="3"/>
  <c r="O173" i="3"/>
  <c r="O174" i="3"/>
  <c r="O181" i="3"/>
  <c r="P179" i="3"/>
  <c r="P167" i="3"/>
  <c r="P170" i="3"/>
  <c r="P169" i="3"/>
  <c r="P172" i="3"/>
  <c r="P173" i="3"/>
  <c r="P174" i="3"/>
  <c r="P181" i="3"/>
  <c r="Q179" i="3"/>
  <c r="Q167" i="3"/>
  <c r="Q170" i="3"/>
  <c r="Q169" i="3"/>
  <c r="Q172" i="3"/>
  <c r="Q173" i="3"/>
  <c r="Q174" i="3"/>
  <c r="Q181" i="3"/>
  <c r="R179" i="3"/>
  <c r="R167" i="3"/>
  <c r="R170" i="3"/>
  <c r="R169" i="3"/>
  <c r="R172" i="3"/>
  <c r="R173" i="3"/>
  <c r="R174" i="3"/>
  <c r="R181" i="3"/>
  <c r="S179" i="3"/>
  <c r="S167" i="3"/>
  <c r="S170" i="3"/>
  <c r="S169" i="3"/>
  <c r="S172" i="3"/>
  <c r="S173" i="3"/>
  <c r="S174" i="3"/>
  <c r="S181" i="3"/>
  <c r="T179" i="3"/>
  <c r="T167" i="3"/>
  <c r="T170" i="3"/>
  <c r="T169" i="3"/>
  <c r="T172" i="3"/>
  <c r="T173" i="3"/>
  <c r="T174" i="3"/>
  <c r="T181" i="3"/>
  <c r="U179" i="3"/>
  <c r="U167" i="3"/>
  <c r="U170" i="3"/>
  <c r="U169" i="3"/>
  <c r="U172" i="3"/>
  <c r="U173" i="3"/>
  <c r="U174" i="3"/>
  <c r="U181" i="3"/>
  <c r="V179" i="3"/>
  <c r="V167" i="3"/>
  <c r="V170" i="3"/>
  <c r="V169" i="3"/>
  <c r="V172" i="3"/>
  <c r="V173" i="3"/>
  <c r="V174" i="3"/>
  <c r="V181" i="3"/>
  <c r="W179" i="3"/>
  <c r="W167" i="3"/>
  <c r="W170" i="3"/>
  <c r="W169" i="3"/>
  <c r="W172" i="3"/>
  <c r="W173" i="3"/>
  <c r="W174" i="3"/>
  <c r="W181" i="3"/>
  <c r="X179" i="3"/>
  <c r="X167" i="3"/>
  <c r="X170" i="3"/>
  <c r="X169" i="3"/>
  <c r="X172" i="3"/>
  <c r="X173" i="3"/>
  <c r="X174" i="3"/>
  <c r="X181" i="3"/>
  <c r="Y179" i="3"/>
  <c r="Y167" i="3"/>
  <c r="Y170" i="3"/>
  <c r="Y169" i="3"/>
  <c r="Y172" i="3"/>
  <c r="Y173" i="3"/>
  <c r="Y174" i="3"/>
  <c r="Y181" i="3"/>
  <c r="Z179" i="3"/>
  <c r="Z167" i="3"/>
  <c r="Z170" i="3"/>
  <c r="Z169" i="3"/>
  <c r="Z172" i="3"/>
  <c r="Z173" i="3"/>
  <c r="Z174" i="3"/>
  <c r="Z181" i="3"/>
  <c r="AA179" i="3"/>
  <c r="AA167" i="3"/>
  <c r="AA170" i="3"/>
  <c r="AA169" i="3"/>
  <c r="AA172" i="3"/>
  <c r="AA173" i="3"/>
  <c r="AA174" i="3"/>
  <c r="AA181" i="3"/>
  <c r="AB179" i="3"/>
  <c r="AB167" i="3"/>
  <c r="AB170" i="3"/>
  <c r="AB169" i="3"/>
  <c r="AB172" i="3"/>
  <c r="AB173" i="3"/>
  <c r="AB174" i="3"/>
  <c r="AB181" i="3"/>
  <c r="AC179" i="3"/>
  <c r="AC167" i="3"/>
  <c r="AC170" i="3"/>
  <c r="D161" i="3"/>
  <c r="AC169" i="3"/>
  <c r="AC172" i="3"/>
  <c r="AC173" i="3"/>
  <c r="AC174" i="3"/>
  <c r="AC181" i="3"/>
  <c r="AD179" i="3"/>
  <c r="AD167" i="3"/>
  <c r="AD170" i="3"/>
  <c r="AD169" i="3"/>
  <c r="AD172" i="3"/>
  <c r="AD173" i="3"/>
  <c r="AD174" i="3"/>
  <c r="AD181" i="3"/>
  <c r="AE179" i="3"/>
  <c r="AE167" i="3"/>
  <c r="AE170" i="3"/>
  <c r="AE169" i="3"/>
  <c r="AE172" i="3"/>
  <c r="AE173" i="3"/>
  <c r="AE174" i="3"/>
  <c r="AE181" i="3"/>
  <c r="AF179" i="3"/>
  <c r="AF167" i="3"/>
  <c r="AF170" i="3"/>
  <c r="AF169" i="3"/>
  <c r="AF172" i="3"/>
  <c r="AF173" i="3"/>
  <c r="AF174" i="3"/>
  <c r="AF181" i="3"/>
  <c r="AG179" i="3"/>
  <c r="AG167" i="3"/>
  <c r="AG170" i="3"/>
  <c r="AG169" i="3"/>
  <c r="AG172" i="3"/>
  <c r="AG173" i="3"/>
  <c r="AG174" i="3"/>
  <c r="AG181" i="3"/>
  <c r="AH179" i="3"/>
  <c r="AH167" i="3"/>
  <c r="AH170" i="3"/>
  <c r="AH169" i="3"/>
  <c r="AH172" i="3"/>
  <c r="AH173" i="3"/>
  <c r="AH174" i="3"/>
  <c r="AH181" i="3"/>
  <c r="AI179" i="3"/>
  <c r="AI167" i="3"/>
  <c r="AI170" i="3"/>
  <c r="AI169" i="3"/>
  <c r="AI172" i="3"/>
  <c r="AI173" i="3"/>
  <c r="AI174" i="3"/>
  <c r="AI181" i="3"/>
  <c r="AJ179" i="3"/>
  <c r="AJ167" i="3"/>
  <c r="AJ170" i="3"/>
  <c r="AJ169" i="3"/>
  <c r="AJ172" i="3"/>
  <c r="AJ173" i="3"/>
  <c r="AJ174" i="3"/>
  <c r="AJ181" i="3"/>
  <c r="AK179" i="3"/>
  <c r="AK167" i="3"/>
  <c r="AK170" i="3"/>
  <c r="AK169" i="3"/>
  <c r="AK172" i="3"/>
  <c r="AK173" i="3"/>
  <c r="AK174" i="3"/>
  <c r="AK181" i="3"/>
  <c r="AL179" i="3"/>
  <c r="AL167" i="3"/>
  <c r="AL170" i="3"/>
  <c r="AL169" i="3"/>
  <c r="AL172" i="3"/>
  <c r="AL173" i="3"/>
  <c r="AL174" i="3"/>
  <c r="AL181" i="3"/>
  <c r="AL180" i="3"/>
  <c r="AL31" i="10"/>
  <c r="AL32" i="10"/>
  <c r="AL7" i="10"/>
  <c r="AL18" i="10"/>
  <c r="AL22" i="10"/>
  <c r="AL24" i="10"/>
  <c r="AL33" i="10"/>
  <c r="AL8" i="10"/>
  <c r="AL11" i="10"/>
  <c r="AL9" i="10"/>
  <c r="AL3" i="10"/>
  <c r="AL14" i="10"/>
  <c r="AL35" i="10"/>
  <c r="AL35" i="15"/>
  <c r="AL36" i="15"/>
  <c r="AL37" i="15"/>
  <c r="AL7" i="16"/>
  <c r="AL8" i="16"/>
  <c r="AL9" i="16"/>
  <c r="D66" i="3"/>
  <c r="W70" i="3"/>
  <c r="D67" i="3"/>
  <c r="W72" i="3"/>
  <c r="X70" i="3"/>
  <c r="X72" i="3"/>
  <c r="Y70" i="3"/>
  <c r="Y72" i="3"/>
  <c r="Z70" i="3"/>
  <c r="Z72" i="3"/>
  <c r="AA70" i="3"/>
  <c r="AA72" i="3"/>
  <c r="AB70" i="3"/>
  <c r="AB72" i="3"/>
  <c r="AC70" i="3"/>
  <c r="AC72" i="3"/>
  <c r="AD70" i="3"/>
  <c r="D68" i="3"/>
  <c r="AD72" i="3"/>
  <c r="AE70" i="3"/>
  <c r="AE72" i="3"/>
  <c r="AF70" i="3"/>
  <c r="AF72" i="3"/>
  <c r="AG70" i="3"/>
  <c r="AG72" i="3"/>
  <c r="AH70" i="3"/>
  <c r="AH72" i="3"/>
  <c r="AI70" i="3"/>
  <c r="AI72" i="3"/>
  <c r="AJ70" i="3"/>
  <c r="AJ72" i="3"/>
  <c r="AK70" i="3"/>
  <c r="AK72" i="3"/>
  <c r="AL70" i="3"/>
  <c r="AL72" i="3"/>
  <c r="AL71" i="3"/>
  <c r="AL73" i="3"/>
  <c r="AL9" i="21"/>
  <c r="AL8" i="21"/>
  <c r="AL16" i="21"/>
  <c r="AL17" i="21"/>
  <c r="AL24" i="21"/>
  <c r="AL25" i="21"/>
  <c r="B141" i="3"/>
  <c r="B137" i="3"/>
  <c r="B138" i="3"/>
  <c r="D138" i="3"/>
  <c r="AL136" i="3"/>
  <c r="AL28" i="21"/>
  <c r="AL171" i="3"/>
  <c r="AL21" i="21"/>
  <c r="AL29" i="21"/>
  <c r="AL30" i="21"/>
  <c r="AL31" i="21"/>
  <c r="AL12" i="16"/>
  <c r="AL40" i="21"/>
  <c r="D39" i="21"/>
  <c r="AL41" i="21"/>
  <c r="AL36" i="21"/>
  <c r="AL42" i="21"/>
  <c r="AL37" i="21"/>
  <c r="AL43" i="21"/>
  <c r="AL13" i="16"/>
  <c r="AL7" i="21"/>
  <c r="D44" i="21"/>
  <c r="AL3" i="21"/>
  <c r="AL45" i="21"/>
  <c r="AL46" i="21"/>
  <c r="AL47" i="21"/>
  <c r="AL14" i="16"/>
  <c r="AL35" i="21"/>
  <c r="D48" i="21"/>
  <c r="AL49" i="21"/>
  <c r="AL38" i="21"/>
  <c r="AL50" i="21"/>
  <c r="AL15" i="16"/>
  <c r="AL34" i="21"/>
  <c r="D51" i="21"/>
  <c r="AL51" i="21"/>
  <c r="AL52" i="21"/>
  <c r="AL16" i="16"/>
  <c r="D54" i="21"/>
  <c r="AL53" i="21"/>
  <c r="AL55" i="21"/>
  <c r="AL17" i="16"/>
  <c r="AL18" i="16"/>
  <c r="AL19" i="16"/>
  <c r="AL8" i="15"/>
  <c r="D30" i="14"/>
  <c r="AL3" i="14"/>
  <c r="G7" i="14"/>
  <c r="G15" i="7"/>
  <c r="G17" i="7"/>
  <c r="H15" i="7"/>
  <c r="H11" i="7"/>
  <c r="H18" i="7"/>
  <c r="H19" i="7"/>
  <c r="G9" i="14"/>
  <c r="G11" i="14"/>
  <c r="G11" i="7"/>
  <c r="G18" i="7"/>
  <c r="G19" i="7"/>
  <c r="G14" i="14"/>
  <c r="G7" i="15"/>
  <c r="G8" i="15"/>
  <c r="G9" i="15"/>
  <c r="G10" i="15"/>
  <c r="G11" i="15"/>
  <c r="G12" i="15"/>
  <c r="G13" i="15"/>
  <c r="G10" i="14"/>
  <c r="G15" i="15"/>
  <c r="G16" i="15"/>
  <c r="G13" i="14"/>
  <c r="G15" i="14"/>
  <c r="G17" i="14"/>
  <c r="G18" i="14"/>
  <c r="G22" i="14"/>
  <c r="G20" i="14"/>
  <c r="G23" i="14"/>
  <c r="G24" i="14"/>
  <c r="G26" i="14"/>
  <c r="H7" i="14"/>
  <c r="H17" i="7"/>
  <c r="I15" i="7"/>
  <c r="I11" i="7"/>
  <c r="I18" i="7"/>
  <c r="I19" i="7"/>
  <c r="H9" i="14"/>
  <c r="H11" i="14"/>
  <c r="H14" i="14"/>
  <c r="H7" i="15"/>
  <c r="H8" i="15"/>
  <c r="H9" i="15"/>
  <c r="H10" i="15"/>
  <c r="H11" i="15"/>
  <c r="H12" i="15"/>
  <c r="H13" i="15"/>
  <c r="H10" i="14"/>
  <c r="H15" i="15"/>
  <c r="H16" i="15"/>
  <c r="H13" i="14"/>
  <c r="H15" i="14"/>
  <c r="H17" i="14"/>
  <c r="H18" i="14"/>
  <c r="H22" i="14"/>
  <c r="H20" i="14"/>
  <c r="H23" i="14"/>
  <c r="H24" i="14"/>
  <c r="H26" i="14"/>
  <c r="I7" i="14"/>
  <c r="I17" i="7"/>
  <c r="J15" i="7"/>
  <c r="J11" i="7"/>
  <c r="J18" i="7"/>
  <c r="J19" i="7"/>
  <c r="I9" i="14"/>
  <c r="I11" i="14"/>
  <c r="I14" i="14"/>
  <c r="I7" i="15"/>
  <c r="I8" i="15"/>
  <c r="I9" i="15"/>
  <c r="I10" i="15"/>
  <c r="I11" i="15"/>
  <c r="I12" i="15"/>
  <c r="I13" i="15"/>
  <c r="I10" i="14"/>
  <c r="I15" i="15"/>
  <c r="I16" i="15"/>
  <c r="I13" i="14"/>
  <c r="I15" i="14"/>
  <c r="I17" i="14"/>
  <c r="I18" i="14"/>
  <c r="I22" i="14"/>
  <c r="I20" i="14"/>
  <c r="I23" i="14"/>
  <c r="I24" i="14"/>
  <c r="I26" i="14"/>
  <c r="J7" i="14"/>
  <c r="J17" i="7"/>
  <c r="K15" i="7"/>
  <c r="K11" i="7"/>
  <c r="K18" i="7"/>
  <c r="K19" i="7"/>
  <c r="J9" i="14"/>
  <c r="J11" i="14"/>
  <c r="J14" i="14"/>
  <c r="J7" i="15"/>
  <c r="J8" i="15"/>
  <c r="J9" i="15"/>
  <c r="J10" i="15"/>
  <c r="J11" i="15"/>
  <c r="J12" i="15"/>
  <c r="J13" i="15"/>
  <c r="J10" i="14"/>
  <c r="J15" i="15"/>
  <c r="J16" i="15"/>
  <c r="J13" i="14"/>
  <c r="J15" i="14"/>
  <c r="J17" i="14"/>
  <c r="J18" i="14"/>
  <c r="J22" i="14"/>
  <c r="J20" i="14"/>
  <c r="J23" i="14"/>
  <c r="J24" i="14"/>
  <c r="J26" i="14"/>
  <c r="K7" i="14"/>
  <c r="K17" i="7"/>
  <c r="L15" i="7"/>
  <c r="L11" i="7"/>
  <c r="L18" i="7"/>
  <c r="L19" i="7"/>
  <c r="K9" i="14"/>
  <c r="K11" i="14"/>
  <c r="K14" i="14"/>
  <c r="K7" i="15"/>
  <c r="K8" i="15"/>
  <c r="K9" i="15"/>
  <c r="K10" i="15"/>
  <c r="K11" i="15"/>
  <c r="K12" i="15"/>
  <c r="K13" i="15"/>
  <c r="K10" i="14"/>
  <c r="K15" i="15"/>
  <c r="K16" i="15"/>
  <c r="K13" i="14"/>
  <c r="K15" i="14"/>
  <c r="K17" i="14"/>
  <c r="K18" i="14"/>
  <c r="K22" i="14"/>
  <c r="K20" i="14"/>
  <c r="K23" i="14"/>
  <c r="K24" i="14"/>
  <c r="K26" i="14"/>
  <c r="L7" i="14"/>
  <c r="L17" i="7"/>
  <c r="M15" i="7"/>
  <c r="M11" i="7"/>
  <c r="M18" i="7"/>
  <c r="M19" i="7"/>
  <c r="L9" i="14"/>
  <c r="L11" i="14"/>
  <c r="L14" i="14"/>
  <c r="L7" i="15"/>
  <c r="L8" i="15"/>
  <c r="L9" i="15"/>
  <c r="L10" i="15"/>
  <c r="L11" i="15"/>
  <c r="L12" i="15"/>
  <c r="L13" i="15"/>
  <c r="L10" i="14"/>
  <c r="L15" i="15"/>
  <c r="L16" i="15"/>
  <c r="L13" i="14"/>
  <c r="L15" i="14"/>
  <c r="L17" i="14"/>
  <c r="L18" i="14"/>
  <c r="L22" i="14"/>
  <c r="L20" i="14"/>
  <c r="L23" i="14"/>
  <c r="L24" i="14"/>
  <c r="L26" i="14"/>
  <c r="M7" i="14"/>
  <c r="M17" i="7"/>
  <c r="N15" i="7"/>
  <c r="N11" i="7"/>
  <c r="N18" i="7"/>
  <c r="N19" i="7"/>
  <c r="M9" i="14"/>
  <c r="M11" i="14"/>
  <c r="M14" i="14"/>
  <c r="M7" i="15"/>
  <c r="M8" i="15"/>
  <c r="M9" i="15"/>
  <c r="M10" i="15"/>
  <c r="M11" i="15"/>
  <c r="M12" i="15"/>
  <c r="M13" i="15"/>
  <c r="M10" i="14"/>
  <c r="M15" i="15"/>
  <c r="M16" i="15"/>
  <c r="M13" i="14"/>
  <c r="M15" i="14"/>
  <c r="M17" i="14"/>
  <c r="M18" i="14"/>
  <c r="M22" i="14"/>
  <c r="M20" i="14"/>
  <c r="M23" i="14"/>
  <c r="M24" i="14"/>
  <c r="M26" i="14"/>
  <c r="N7" i="14"/>
  <c r="N17" i="7"/>
  <c r="O15" i="7"/>
  <c r="O11" i="7"/>
  <c r="O18" i="7"/>
  <c r="O19" i="7"/>
  <c r="N9" i="14"/>
  <c r="N11" i="14"/>
  <c r="N14" i="14"/>
  <c r="N7" i="15"/>
  <c r="N8" i="15"/>
  <c r="N9" i="15"/>
  <c r="N10" i="15"/>
  <c r="N11" i="15"/>
  <c r="N12" i="15"/>
  <c r="N13" i="15"/>
  <c r="N10" i="14"/>
  <c r="N15" i="15"/>
  <c r="N16" i="15"/>
  <c r="N13" i="14"/>
  <c r="N15" i="14"/>
  <c r="N17" i="14"/>
  <c r="N18" i="14"/>
  <c r="N22" i="14"/>
  <c r="N20" i="14"/>
  <c r="N23" i="14"/>
  <c r="N24" i="14"/>
  <c r="N26" i="14"/>
  <c r="O7" i="14"/>
  <c r="O17" i="7"/>
  <c r="P15" i="7"/>
  <c r="P11" i="7"/>
  <c r="P18" i="7"/>
  <c r="P19" i="7"/>
  <c r="O9" i="14"/>
  <c r="O11" i="14"/>
  <c r="O14" i="14"/>
  <c r="O7" i="15"/>
  <c r="O8" i="15"/>
  <c r="O9" i="15"/>
  <c r="O10" i="15"/>
  <c r="O11" i="15"/>
  <c r="O12" i="15"/>
  <c r="O13" i="15"/>
  <c r="O10" i="14"/>
  <c r="O15" i="15"/>
  <c r="O16" i="15"/>
  <c r="O13" i="14"/>
  <c r="O15" i="14"/>
  <c r="O17" i="14"/>
  <c r="O18" i="14"/>
  <c r="O22" i="14"/>
  <c r="O20" i="14"/>
  <c r="O23" i="14"/>
  <c r="O24" i="14"/>
  <c r="O26" i="14"/>
  <c r="P7" i="14"/>
  <c r="P17" i="7"/>
  <c r="Q15" i="7"/>
  <c r="Q11" i="7"/>
  <c r="Q18" i="7"/>
  <c r="Q19" i="7"/>
  <c r="P9" i="14"/>
  <c r="P11" i="14"/>
  <c r="P14" i="14"/>
  <c r="P7" i="15"/>
  <c r="P8" i="15"/>
  <c r="P9" i="15"/>
  <c r="P10" i="15"/>
  <c r="P11" i="15"/>
  <c r="P12" i="15"/>
  <c r="P13" i="15"/>
  <c r="P10" i="14"/>
  <c r="P15" i="15"/>
  <c r="P16" i="15"/>
  <c r="P13" i="14"/>
  <c r="P15" i="14"/>
  <c r="P17" i="14"/>
  <c r="P18" i="14"/>
  <c r="P22" i="14"/>
  <c r="P20" i="14"/>
  <c r="P23" i="14"/>
  <c r="P24" i="14"/>
  <c r="P26" i="14"/>
  <c r="Q7" i="14"/>
  <c r="Q17" i="7"/>
  <c r="R15" i="7"/>
  <c r="R11" i="7"/>
  <c r="R18" i="7"/>
  <c r="R19" i="7"/>
  <c r="Q9" i="14"/>
  <c r="Q11" i="14"/>
  <c r="Q14" i="14"/>
  <c r="Q7" i="15"/>
  <c r="Q8" i="15"/>
  <c r="Q9" i="15"/>
  <c r="Q10" i="15"/>
  <c r="Q11" i="15"/>
  <c r="Q12" i="15"/>
  <c r="Q13" i="15"/>
  <c r="Q10" i="14"/>
  <c r="Q15" i="15"/>
  <c r="Q16" i="15"/>
  <c r="Q13" i="14"/>
  <c r="Q15" i="14"/>
  <c r="Q17" i="14"/>
  <c r="Q18" i="14"/>
  <c r="Q22" i="14"/>
  <c r="Q20" i="14"/>
  <c r="Q23" i="14"/>
  <c r="Q24" i="14"/>
  <c r="Q26" i="14"/>
  <c r="R7" i="14"/>
  <c r="R17" i="7"/>
  <c r="S15" i="7"/>
  <c r="S11" i="7"/>
  <c r="S18" i="7"/>
  <c r="S19" i="7"/>
  <c r="R9" i="14"/>
  <c r="R11" i="14"/>
  <c r="R14" i="14"/>
  <c r="R7" i="15"/>
  <c r="R8" i="15"/>
  <c r="R9" i="15"/>
  <c r="R10" i="15"/>
  <c r="R11" i="15"/>
  <c r="R12" i="15"/>
  <c r="R13" i="15"/>
  <c r="R10" i="14"/>
  <c r="R15" i="15"/>
  <c r="R16" i="15"/>
  <c r="R13" i="14"/>
  <c r="R15" i="14"/>
  <c r="R17" i="14"/>
  <c r="R18" i="14"/>
  <c r="R22" i="14"/>
  <c r="R20" i="14"/>
  <c r="R23" i="14"/>
  <c r="R24" i="14"/>
  <c r="R26" i="14"/>
  <c r="S7" i="14"/>
  <c r="S17" i="7"/>
  <c r="T15" i="7"/>
  <c r="T11" i="7"/>
  <c r="T18" i="7"/>
  <c r="T19" i="7"/>
  <c r="S9" i="14"/>
  <c r="S11" i="14"/>
  <c r="S14" i="14"/>
  <c r="S7" i="15"/>
  <c r="S8" i="15"/>
  <c r="S9" i="15"/>
  <c r="S10" i="15"/>
  <c r="S11" i="15"/>
  <c r="S12" i="15"/>
  <c r="S13" i="15"/>
  <c r="S10" i="14"/>
  <c r="S15" i="15"/>
  <c r="S16" i="15"/>
  <c r="S13" i="14"/>
  <c r="S15" i="14"/>
  <c r="S17" i="14"/>
  <c r="S18" i="14"/>
  <c r="S22" i="14"/>
  <c r="S20" i="14"/>
  <c r="S23" i="14"/>
  <c r="S24" i="14"/>
  <c r="S26" i="14"/>
  <c r="T7" i="14"/>
  <c r="T17" i="7"/>
  <c r="U15" i="7"/>
  <c r="U11" i="7"/>
  <c r="U18" i="7"/>
  <c r="U19" i="7"/>
  <c r="T9" i="14"/>
  <c r="T11" i="14"/>
  <c r="T14" i="14"/>
  <c r="T7" i="15"/>
  <c r="T8" i="15"/>
  <c r="T9" i="15"/>
  <c r="T10" i="15"/>
  <c r="T11" i="15"/>
  <c r="T12" i="15"/>
  <c r="T13" i="15"/>
  <c r="T10" i="14"/>
  <c r="T15" i="15"/>
  <c r="T16" i="15"/>
  <c r="T13" i="14"/>
  <c r="T15" i="14"/>
  <c r="T17" i="14"/>
  <c r="T18" i="14"/>
  <c r="T22" i="14"/>
  <c r="T20" i="14"/>
  <c r="T23" i="14"/>
  <c r="T24" i="14"/>
  <c r="T26" i="14"/>
  <c r="U7" i="14"/>
  <c r="U17" i="7"/>
  <c r="V15" i="7"/>
  <c r="V11" i="7"/>
  <c r="V18" i="7"/>
  <c r="V19" i="7"/>
  <c r="U9" i="14"/>
  <c r="U11" i="14"/>
  <c r="U14" i="14"/>
  <c r="U7" i="15"/>
  <c r="U8" i="15"/>
  <c r="U9" i="15"/>
  <c r="U10" i="15"/>
  <c r="U11" i="15"/>
  <c r="U12" i="15"/>
  <c r="U13" i="15"/>
  <c r="U10" i="14"/>
  <c r="U15" i="15"/>
  <c r="U16" i="15"/>
  <c r="U13" i="14"/>
  <c r="U15" i="14"/>
  <c r="U17" i="14"/>
  <c r="U18" i="14"/>
  <c r="U22" i="14"/>
  <c r="U20" i="14"/>
  <c r="U23" i="14"/>
  <c r="U24" i="14"/>
  <c r="U26" i="14"/>
  <c r="V7" i="14"/>
  <c r="V17" i="7"/>
  <c r="W15" i="7"/>
  <c r="W18" i="7"/>
  <c r="W19" i="7"/>
  <c r="V9" i="14"/>
  <c r="V11" i="14"/>
  <c r="V14" i="14"/>
  <c r="V7" i="15"/>
  <c r="V8" i="15"/>
  <c r="V9" i="15"/>
  <c r="V10" i="15"/>
  <c r="V11" i="15"/>
  <c r="V12" i="15"/>
  <c r="V13" i="15"/>
  <c r="V10" i="14"/>
  <c r="V15" i="15"/>
  <c r="V16" i="15"/>
  <c r="V13" i="14"/>
  <c r="V15" i="14"/>
  <c r="V17" i="14"/>
  <c r="V18" i="14"/>
  <c r="V22" i="14"/>
  <c r="V20" i="14"/>
  <c r="V23" i="14"/>
  <c r="V24" i="14"/>
  <c r="V26" i="14"/>
  <c r="W7" i="14"/>
  <c r="W17" i="7"/>
  <c r="X15" i="7"/>
  <c r="X18" i="7"/>
  <c r="X19" i="7"/>
  <c r="W9" i="14"/>
  <c r="W11" i="14"/>
  <c r="W14" i="14"/>
  <c r="W7" i="15"/>
  <c r="W165" i="3"/>
  <c r="W28" i="10"/>
  <c r="W115" i="3"/>
  <c r="W129" i="3"/>
  <c r="W27" i="10"/>
  <c r="W29" i="10"/>
  <c r="W88" i="3"/>
  <c r="D89" i="3"/>
  <c r="W89" i="3"/>
  <c r="W90" i="3"/>
  <c r="W91" i="3"/>
  <c r="W92" i="3"/>
  <c r="D97" i="3"/>
  <c r="W122" i="3"/>
  <c r="W93" i="3"/>
  <c r="W94" i="3"/>
  <c r="W60" i="3"/>
  <c r="W63" i="3"/>
  <c r="W75" i="3"/>
  <c r="W23" i="10"/>
  <c r="W30" i="10"/>
  <c r="W180" i="3"/>
  <c r="W31" i="10"/>
  <c r="W32" i="10"/>
  <c r="W7" i="10"/>
  <c r="W18" i="10"/>
  <c r="W2" i="3"/>
  <c r="B100" i="3"/>
  <c r="D100" i="3"/>
  <c r="W100" i="3"/>
  <c r="B101" i="3"/>
  <c r="W101" i="3"/>
  <c r="B102" i="3"/>
  <c r="W102" i="3"/>
  <c r="B103" i="3"/>
  <c r="W103" i="3"/>
  <c r="B104" i="3"/>
  <c r="W104" i="3"/>
  <c r="B105" i="3"/>
  <c r="W105" i="3"/>
  <c r="B106" i="3"/>
  <c r="W106" i="3"/>
  <c r="W107" i="3"/>
  <c r="W108" i="3"/>
  <c r="W19" i="10"/>
  <c r="W1" i="10"/>
  <c r="T12" i="10"/>
  <c r="W13" i="10"/>
  <c r="W21" i="10"/>
  <c r="W22" i="10"/>
  <c r="W24" i="10"/>
  <c r="W33" i="10"/>
  <c r="W7" i="16"/>
  <c r="W8" i="10"/>
  <c r="D98" i="3"/>
  <c r="D10" i="10"/>
  <c r="W11" i="10"/>
  <c r="W9" i="10"/>
  <c r="W3" i="10"/>
  <c r="W14" i="10"/>
  <c r="W8" i="16"/>
  <c r="W9" i="16"/>
  <c r="W71" i="3"/>
  <c r="W73" i="3"/>
  <c r="W9" i="21"/>
  <c r="W8" i="21"/>
  <c r="D111" i="3"/>
  <c r="D12" i="21"/>
  <c r="D116" i="3"/>
  <c r="D10" i="21"/>
  <c r="W171" i="3"/>
  <c r="W11" i="21"/>
  <c r="W15" i="21"/>
  <c r="D112" i="3"/>
  <c r="D13" i="21"/>
  <c r="D113" i="3"/>
  <c r="D14" i="21"/>
  <c r="W16" i="21"/>
  <c r="W17" i="21"/>
  <c r="D20" i="21"/>
  <c r="W21" i="21"/>
  <c r="W22" i="21"/>
  <c r="D118" i="3"/>
  <c r="D23" i="21"/>
  <c r="W24" i="21"/>
  <c r="W25" i="21"/>
  <c r="W136" i="3"/>
  <c r="W28" i="21"/>
  <c r="W29" i="21"/>
  <c r="W30" i="21"/>
  <c r="W31" i="21"/>
  <c r="W12" i="16"/>
  <c r="W40" i="21"/>
  <c r="W41" i="21"/>
  <c r="W36" i="21"/>
  <c r="W42" i="21"/>
  <c r="W37" i="21"/>
  <c r="W43" i="21"/>
  <c r="W13" i="16"/>
  <c r="W7" i="21"/>
  <c r="W3" i="21"/>
  <c r="W45" i="21"/>
  <c r="W46" i="21"/>
  <c r="W47" i="21"/>
  <c r="W14" i="16"/>
  <c r="W35" i="21"/>
  <c r="W49" i="21"/>
  <c r="W38" i="21"/>
  <c r="W50" i="21"/>
  <c r="W15" i="16"/>
  <c r="W34" i="21"/>
  <c r="W51" i="21"/>
  <c r="W52" i="21"/>
  <c r="W16" i="16"/>
  <c r="W35" i="10"/>
  <c r="W53" i="21"/>
  <c r="W55" i="21"/>
  <c r="W17" i="16"/>
  <c r="W18" i="16"/>
  <c r="W19" i="16"/>
  <c r="W8" i="15"/>
  <c r="W3" i="14"/>
  <c r="W32" i="14"/>
  <c r="W9" i="15"/>
  <c r="D7" i="12"/>
  <c r="V1" i="12"/>
  <c r="U1" i="12"/>
  <c r="V165" i="3"/>
  <c r="V28" i="10"/>
  <c r="V115" i="3"/>
  <c r="V2" i="3"/>
  <c r="V129" i="3"/>
  <c r="V27" i="10"/>
  <c r="V29" i="10"/>
  <c r="V92" i="3"/>
  <c r="V122" i="3"/>
  <c r="V93" i="3"/>
  <c r="V94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G59" i="3"/>
  <c r="G61" i="3"/>
  <c r="H59" i="3"/>
  <c r="H61" i="3"/>
  <c r="I59" i="3"/>
  <c r="I61" i="3"/>
  <c r="J59" i="3"/>
  <c r="J61" i="3"/>
  <c r="K59" i="3"/>
  <c r="K61" i="3"/>
  <c r="L59" i="3"/>
  <c r="L61" i="3"/>
  <c r="M59" i="3"/>
  <c r="M61" i="3"/>
  <c r="N59" i="3"/>
  <c r="N61" i="3"/>
  <c r="O59" i="3"/>
  <c r="O61" i="3"/>
  <c r="P59" i="3"/>
  <c r="P61" i="3"/>
  <c r="Q59" i="3"/>
  <c r="Q61" i="3"/>
  <c r="R59" i="3"/>
  <c r="R61" i="3"/>
  <c r="S59" i="3"/>
  <c r="S61" i="3"/>
  <c r="T59" i="3"/>
  <c r="T61" i="3"/>
  <c r="U59" i="3"/>
  <c r="U61" i="3"/>
  <c r="V59" i="3"/>
  <c r="V61" i="3"/>
  <c r="V60" i="3"/>
  <c r="V63" i="3"/>
  <c r="V75" i="3"/>
  <c r="V23" i="10"/>
  <c r="V30" i="10"/>
  <c r="V180" i="3"/>
  <c r="V31" i="10"/>
  <c r="V32" i="10"/>
  <c r="V7" i="10"/>
  <c r="V18" i="10"/>
  <c r="V22" i="10"/>
  <c r="V24" i="10"/>
  <c r="V33" i="10"/>
  <c r="V8" i="10"/>
  <c r="V11" i="10"/>
  <c r="V9" i="10"/>
  <c r="V3" i="10"/>
  <c r="V14" i="10"/>
  <c r="V35" i="10"/>
  <c r="V8" i="12"/>
  <c r="V9" i="12"/>
  <c r="D18" i="12"/>
  <c r="V40" i="21"/>
  <c r="V41" i="21"/>
  <c r="V36" i="21"/>
  <c r="V42" i="21"/>
  <c r="V37" i="21"/>
  <c r="V43" i="21"/>
  <c r="V7" i="21"/>
  <c r="V45" i="21"/>
  <c r="V46" i="21"/>
  <c r="V47" i="21"/>
  <c r="V35" i="21"/>
  <c r="V49" i="21"/>
  <c r="V171" i="3"/>
  <c r="V38" i="21"/>
  <c r="V50" i="21"/>
  <c r="V34" i="21"/>
  <c r="V51" i="21"/>
  <c r="V52" i="21"/>
  <c r="V53" i="21"/>
  <c r="V55" i="21"/>
  <c r="V152" i="3"/>
  <c r="V56" i="21"/>
  <c r="G70" i="3"/>
  <c r="G72" i="3"/>
  <c r="H70" i="3"/>
  <c r="H72" i="3"/>
  <c r="I70" i="3"/>
  <c r="I72" i="3"/>
  <c r="J70" i="3"/>
  <c r="J72" i="3"/>
  <c r="K70" i="3"/>
  <c r="K72" i="3"/>
  <c r="L70" i="3"/>
  <c r="L72" i="3"/>
  <c r="M70" i="3"/>
  <c r="M72" i="3"/>
  <c r="N70" i="3"/>
  <c r="N72" i="3"/>
  <c r="O70" i="3"/>
  <c r="O72" i="3"/>
  <c r="P70" i="3"/>
  <c r="P72" i="3"/>
  <c r="Q70" i="3"/>
  <c r="Q72" i="3"/>
  <c r="R70" i="3"/>
  <c r="R72" i="3"/>
  <c r="S70" i="3"/>
  <c r="S72" i="3"/>
  <c r="T70" i="3"/>
  <c r="T72" i="3"/>
  <c r="U70" i="3"/>
  <c r="U72" i="3"/>
  <c r="V70" i="3"/>
  <c r="V72" i="3"/>
  <c r="V71" i="3"/>
  <c r="V73" i="3"/>
  <c r="V9" i="21"/>
  <c r="V8" i="21"/>
  <c r="V16" i="21"/>
  <c r="V17" i="21"/>
  <c r="V24" i="21"/>
  <c r="V25" i="21"/>
  <c r="B139" i="3"/>
  <c r="B140" i="3"/>
  <c r="V136" i="3"/>
  <c r="V28" i="21"/>
  <c r="V21" i="21"/>
  <c r="V29" i="21"/>
  <c r="V30" i="21"/>
  <c r="V31" i="21"/>
  <c r="V57" i="21"/>
  <c r="V13" i="12"/>
  <c r="V14" i="12"/>
  <c r="V15" i="12"/>
  <c r="V16" i="12"/>
  <c r="V17" i="12"/>
  <c r="V19" i="12"/>
  <c r="V21" i="12"/>
  <c r="W1" i="12"/>
  <c r="W8" i="12"/>
  <c r="W9" i="12"/>
  <c r="D149" i="3"/>
  <c r="W152" i="3"/>
  <c r="W56" i="21"/>
  <c r="W57" i="21"/>
  <c r="W13" i="12"/>
  <c r="W14" i="12"/>
  <c r="W15" i="12"/>
  <c r="W16" i="12"/>
  <c r="W17" i="12"/>
  <c r="W19" i="12"/>
  <c r="W21" i="12"/>
  <c r="W23" i="12"/>
  <c r="W10" i="15"/>
  <c r="W8" i="8"/>
  <c r="W12" i="8"/>
  <c r="W7" i="8"/>
  <c r="W13" i="8"/>
  <c r="W11" i="15"/>
  <c r="W7" i="13"/>
  <c r="W8" i="13"/>
  <c r="W67" i="21"/>
  <c r="W68" i="21"/>
  <c r="D70" i="21"/>
  <c r="W74" i="3"/>
  <c r="W69" i="21"/>
  <c r="W71" i="21"/>
  <c r="W9" i="13"/>
  <c r="W10" i="13"/>
  <c r="W7" i="9"/>
  <c r="D14" i="9"/>
  <c r="D15" i="9"/>
  <c r="D16" i="9"/>
  <c r="G34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8" i="6"/>
  <c r="D6" i="6"/>
  <c r="G9" i="6"/>
  <c r="G14" i="6"/>
  <c r="H11" i="6"/>
  <c r="H7" i="6"/>
  <c r="G11" i="6"/>
  <c r="G7" i="6"/>
  <c r="G10" i="6"/>
  <c r="G15" i="6"/>
  <c r="G16" i="6"/>
  <c r="G3" i="6"/>
  <c r="G48" i="6"/>
  <c r="G49" i="6"/>
  <c r="G17" i="6"/>
  <c r="G1" i="6"/>
  <c r="G19" i="6"/>
  <c r="G21" i="6"/>
  <c r="D17" i="3"/>
  <c r="G22" i="6"/>
  <c r="G23" i="6"/>
  <c r="G24" i="6"/>
  <c r="G27" i="6"/>
  <c r="D34" i="3"/>
  <c r="H34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8" i="6"/>
  <c r="H9" i="6"/>
  <c r="H14" i="6"/>
  <c r="I11" i="6"/>
  <c r="I7" i="6"/>
  <c r="D10" i="6"/>
  <c r="H10" i="6"/>
  <c r="H15" i="6"/>
  <c r="H16" i="6"/>
  <c r="D35" i="6"/>
  <c r="G36" i="6"/>
  <c r="G42" i="6"/>
  <c r="G41" i="6"/>
  <c r="G43" i="6"/>
  <c r="H3" i="6"/>
  <c r="H48" i="6"/>
  <c r="H49" i="6"/>
  <c r="H17" i="6"/>
  <c r="H1" i="6"/>
  <c r="D18" i="6"/>
  <c r="D30" i="6"/>
  <c r="H19" i="6"/>
  <c r="H21" i="6"/>
  <c r="H22" i="6"/>
  <c r="H23" i="6"/>
  <c r="H24" i="6"/>
  <c r="H27" i="6"/>
  <c r="I34" i="3"/>
  <c r="D36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8" i="6"/>
  <c r="I9" i="6"/>
  <c r="I14" i="6"/>
  <c r="J11" i="6"/>
  <c r="J7" i="6"/>
  <c r="I10" i="6"/>
  <c r="I15" i="6"/>
  <c r="I16" i="6"/>
  <c r="H36" i="6"/>
  <c r="H42" i="6"/>
  <c r="H41" i="6"/>
  <c r="H43" i="6"/>
  <c r="I3" i="6"/>
  <c r="I48" i="6"/>
  <c r="I49" i="6"/>
  <c r="I17" i="6"/>
  <c r="I1" i="6"/>
  <c r="I19" i="6"/>
  <c r="D20" i="6"/>
  <c r="H31" i="6"/>
  <c r="H32" i="6"/>
  <c r="I21" i="6"/>
  <c r="I22" i="6"/>
  <c r="I23" i="6"/>
  <c r="I24" i="6"/>
  <c r="I27" i="6"/>
  <c r="J34" i="3"/>
  <c r="J36" i="3"/>
  <c r="D37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8" i="6"/>
  <c r="J9" i="6"/>
  <c r="J14" i="6"/>
  <c r="K11" i="6"/>
  <c r="K7" i="6"/>
  <c r="J10" i="6"/>
  <c r="J15" i="6"/>
  <c r="J16" i="6"/>
  <c r="I36" i="6"/>
  <c r="I42" i="6"/>
  <c r="I41" i="6"/>
  <c r="I43" i="6"/>
  <c r="J3" i="6"/>
  <c r="J48" i="6"/>
  <c r="J49" i="6"/>
  <c r="J17" i="6"/>
  <c r="J1" i="6"/>
  <c r="J19" i="6"/>
  <c r="I31" i="6"/>
  <c r="I32" i="6"/>
  <c r="J21" i="6"/>
  <c r="J22" i="6"/>
  <c r="J23" i="6"/>
  <c r="J24" i="6"/>
  <c r="J27" i="6"/>
  <c r="K34" i="3"/>
  <c r="K36" i="3"/>
  <c r="K37" i="3"/>
  <c r="D38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8" i="6"/>
  <c r="K9" i="6"/>
  <c r="K14" i="6"/>
  <c r="L11" i="6"/>
  <c r="L7" i="6"/>
  <c r="K10" i="6"/>
  <c r="K15" i="6"/>
  <c r="K16" i="6"/>
  <c r="J36" i="6"/>
  <c r="J42" i="6"/>
  <c r="J41" i="6"/>
  <c r="J43" i="6"/>
  <c r="K3" i="6"/>
  <c r="K48" i="6"/>
  <c r="K49" i="6"/>
  <c r="K17" i="6"/>
  <c r="K1" i="6"/>
  <c r="K19" i="6"/>
  <c r="J31" i="6"/>
  <c r="J32" i="6"/>
  <c r="K21" i="6"/>
  <c r="K22" i="6"/>
  <c r="K23" i="6"/>
  <c r="K24" i="6"/>
  <c r="K27" i="6"/>
  <c r="L34" i="3"/>
  <c r="L36" i="3"/>
  <c r="L37" i="3"/>
  <c r="L38" i="3"/>
  <c r="D39" i="3"/>
  <c r="L39" i="3"/>
  <c r="L40" i="3"/>
  <c r="L41" i="3"/>
  <c r="L42" i="3"/>
  <c r="L43" i="3"/>
  <c r="L44" i="3"/>
  <c r="L45" i="3"/>
  <c r="L46" i="3"/>
  <c r="L47" i="3"/>
  <c r="L48" i="3"/>
  <c r="L49" i="3"/>
  <c r="L50" i="3"/>
  <c r="L8" i="6"/>
  <c r="L9" i="6"/>
  <c r="L14" i="6"/>
  <c r="M11" i="6"/>
  <c r="M7" i="6"/>
  <c r="L10" i="6"/>
  <c r="L15" i="6"/>
  <c r="L16" i="6"/>
  <c r="K36" i="6"/>
  <c r="K42" i="6"/>
  <c r="K41" i="6"/>
  <c r="K43" i="6"/>
  <c r="L3" i="6"/>
  <c r="L48" i="6"/>
  <c r="L49" i="6"/>
  <c r="L17" i="6"/>
  <c r="L1" i="6"/>
  <c r="L19" i="6"/>
  <c r="K31" i="6"/>
  <c r="K32" i="6"/>
  <c r="L21" i="6"/>
  <c r="L22" i="6"/>
  <c r="L23" i="6"/>
  <c r="L24" i="6"/>
  <c r="L27" i="6"/>
  <c r="M34" i="3"/>
  <c r="M36" i="3"/>
  <c r="M37" i="3"/>
  <c r="M38" i="3"/>
  <c r="M39" i="3"/>
  <c r="D40" i="3"/>
  <c r="M40" i="3"/>
  <c r="M41" i="3"/>
  <c r="M42" i="3"/>
  <c r="M43" i="3"/>
  <c r="M44" i="3"/>
  <c r="M45" i="3"/>
  <c r="M46" i="3"/>
  <c r="M47" i="3"/>
  <c r="M48" i="3"/>
  <c r="M49" i="3"/>
  <c r="M50" i="3"/>
  <c r="M8" i="6"/>
  <c r="M9" i="6"/>
  <c r="M14" i="6"/>
  <c r="N11" i="6"/>
  <c r="N7" i="6"/>
  <c r="M10" i="6"/>
  <c r="M15" i="6"/>
  <c r="M16" i="6"/>
  <c r="L36" i="6"/>
  <c r="L42" i="6"/>
  <c r="L41" i="6"/>
  <c r="L43" i="6"/>
  <c r="M3" i="6"/>
  <c r="M48" i="6"/>
  <c r="M49" i="6"/>
  <c r="M17" i="6"/>
  <c r="M1" i="6"/>
  <c r="M19" i="6"/>
  <c r="L31" i="6"/>
  <c r="L32" i="6"/>
  <c r="M21" i="6"/>
  <c r="M22" i="6"/>
  <c r="M23" i="6"/>
  <c r="M24" i="6"/>
  <c r="M27" i="6"/>
  <c r="N34" i="3"/>
  <c r="N36" i="3"/>
  <c r="N37" i="3"/>
  <c r="N38" i="3"/>
  <c r="N39" i="3"/>
  <c r="N40" i="3"/>
  <c r="D41" i="3"/>
  <c r="N41" i="3"/>
  <c r="N42" i="3"/>
  <c r="N43" i="3"/>
  <c r="N44" i="3"/>
  <c r="N45" i="3"/>
  <c r="N46" i="3"/>
  <c r="N47" i="3"/>
  <c r="N48" i="3"/>
  <c r="N49" i="3"/>
  <c r="N50" i="3"/>
  <c r="N8" i="6"/>
  <c r="N9" i="6"/>
  <c r="N14" i="6"/>
  <c r="O11" i="6"/>
  <c r="O7" i="6"/>
  <c r="N10" i="6"/>
  <c r="N15" i="6"/>
  <c r="N16" i="6"/>
  <c r="M36" i="6"/>
  <c r="M42" i="6"/>
  <c r="M41" i="6"/>
  <c r="M43" i="6"/>
  <c r="N3" i="6"/>
  <c r="N48" i="6"/>
  <c r="N49" i="6"/>
  <c r="N17" i="6"/>
  <c r="N1" i="6"/>
  <c r="N19" i="6"/>
  <c r="M31" i="6"/>
  <c r="M32" i="6"/>
  <c r="N21" i="6"/>
  <c r="N22" i="6"/>
  <c r="N23" i="6"/>
  <c r="N24" i="6"/>
  <c r="N27" i="6"/>
  <c r="O34" i="3"/>
  <c r="O36" i="3"/>
  <c r="O37" i="3"/>
  <c r="O38" i="3"/>
  <c r="O39" i="3"/>
  <c r="O40" i="3"/>
  <c r="O41" i="3"/>
  <c r="D42" i="3"/>
  <c r="O42" i="3"/>
  <c r="O43" i="3"/>
  <c r="O44" i="3"/>
  <c r="O45" i="3"/>
  <c r="O46" i="3"/>
  <c r="O47" i="3"/>
  <c r="O48" i="3"/>
  <c r="O49" i="3"/>
  <c r="O50" i="3"/>
  <c r="O8" i="6"/>
  <c r="O9" i="6"/>
  <c r="O14" i="6"/>
  <c r="P11" i="6"/>
  <c r="P7" i="6"/>
  <c r="O10" i="6"/>
  <c r="O15" i="6"/>
  <c r="O16" i="6"/>
  <c r="N36" i="6"/>
  <c r="N42" i="6"/>
  <c r="N41" i="6"/>
  <c r="N43" i="6"/>
  <c r="O3" i="6"/>
  <c r="O48" i="6"/>
  <c r="O49" i="6"/>
  <c r="O17" i="6"/>
  <c r="O1" i="6"/>
  <c r="O19" i="6"/>
  <c r="N31" i="6"/>
  <c r="N32" i="6"/>
  <c r="O21" i="6"/>
  <c r="O22" i="6"/>
  <c r="O23" i="6"/>
  <c r="O24" i="6"/>
  <c r="O27" i="6"/>
  <c r="P34" i="3"/>
  <c r="P36" i="3"/>
  <c r="P37" i="3"/>
  <c r="P38" i="3"/>
  <c r="P39" i="3"/>
  <c r="P40" i="3"/>
  <c r="P41" i="3"/>
  <c r="P42" i="3"/>
  <c r="D43" i="3"/>
  <c r="P43" i="3"/>
  <c r="P44" i="3"/>
  <c r="P45" i="3"/>
  <c r="P46" i="3"/>
  <c r="P47" i="3"/>
  <c r="P48" i="3"/>
  <c r="P49" i="3"/>
  <c r="P50" i="3"/>
  <c r="P8" i="6"/>
  <c r="P9" i="6"/>
  <c r="P14" i="6"/>
  <c r="Q11" i="6"/>
  <c r="Q7" i="6"/>
  <c r="P10" i="6"/>
  <c r="P15" i="6"/>
  <c r="P16" i="6"/>
  <c r="O36" i="6"/>
  <c r="O42" i="6"/>
  <c r="O41" i="6"/>
  <c r="O43" i="6"/>
  <c r="P3" i="6"/>
  <c r="P48" i="6"/>
  <c r="P49" i="6"/>
  <c r="P17" i="6"/>
  <c r="P1" i="6"/>
  <c r="P19" i="6"/>
  <c r="O31" i="6"/>
  <c r="O32" i="6"/>
  <c r="P21" i="6"/>
  <c r="P22" i="6"/>
  <c r="P23" i="6"/>
  <c r="P24" i="6"/>
  <c r="P27" i="6"/>
  <c r="Q34" i="3"/>
  <c r="Q36" i="3"/>
  <c r="Q37" i="3"/>
  <c r="Q38" i="3"/>
  <c r="Q39" i="3"/>
  <c r="Q40" i="3"/>
  <c r="Q41" i="3"/>
  <c r="Q42" i="3"/>
  <c r="Q43" i="3"/>
  <c r="D44" i="3"/>
  <c r="Q44" i="3"/>
  <c r="Q45" i="3"/>
  <c r="Q46" i="3"/>
  <c r="Q47" i="3"/>
  <c r="Q48" i="3"/>
  <c r="Q49" i="3"/>
  <c r="Q50" i="3"/>
  <c r="Q8" i="6"/>
  <c r="Q9" i="6"/>
  <c r="Q14" i="6"/>
  <c r="R11" i="6"/>
  <c r="R7" i="6"/>
  <c r="Q10" i="6"/>
  <c r="Q15" i="6"/>
  <c r="Q16" i="6"/>
  <c r="P36" i="6"/>
  <c r="P42" i="6"/>
  <c r="P41" i="6"/>
  <c r="P43" i="6"/>
  <c r="Q3" i="6"/>
  <c r="Q48" i="6"/>
  <c r="Q49" i="6"/>
  <c r="Q17" i="6"/>
  <c r="Q1" i="6"/>
  <c r="Q19" i="6"/>
  <c r="P31" i="6"/>
  <c r="P32" i="6"/>
  <c r="Q21" i="6"/>
  <c r="Q22" i="6"/>
  <c r="Q23" i="6"/>
  <c r="Q24" i="6"/>
  <c r="Q27" i="6"/>
  <c r="R34" i="3"/>
  <c r="R36" i="3"/>
  <c r="R37" i="3"/>
  <c r="R38" i="3"/>
  <c r="R39" i="3"/>
  <c r="R40" i="3"/>
  <c r="R41" i="3"/>
  <c r="R42" i="3"/>
  <c r="R43" i="3"/>
  <c r="R44" i="3"/>
  <c r="D45" i="3"/>
  <c r="R45" i="3"/>
  <c r="R46" i="3"/>
  <c r="R47" i="3"/>
  <c r="R48" i="3"/>
  <c r="R49" i="3"/>
  <c r="R50" i="3"/>
  <c r="R8" i="6"/>
  <c r="R9" i="6"/>
  <c r="R14" i="6"/>
  <c r="S11" i="6"/>
  <c r="S7" i="6"/>
  <c r="R10" i="6"/>
  <c r="R15" i="6"/>
  <c r="R16" i="6"/>
  <c r="Q36" i="6"/>
  <c r="Q42" i="6"/>
  <c r="Q41" i="6"/>
  <c r="Q43" i="6"/>
  <c r="R3" i="6"/>
  <c r="R48" i="6"/>
  <c r="R49" i="6"/>
  <c r="R17" i="6"/>
  <c r="R1" i="6"/>
  <c r="R19" i="6"/>
  <c r="Q31" i="6"/>
  <c r="Q32" i="6"/>
  <c r="R21" i="6"/>
  <c r="R22" i="6"/>
  <c r="R23" i="6"/>
  <c r="R24" i="6"/>
  <c r="R27" i="6"/>
  <c r="S34" i="3"/>
  <c r="S36" i="3"/>
  <c r="S37" i="3"/>
  <c r="S38" i="3"/>
  <c r="S39" i="3"/>
  <c r="S40" i="3"/>
  <c r="S41" i="3"/>
  <c r="S42" i="3"/>
  <c r="S43" i="3"/>
  <c r="S44" i="3"/>
  <c r="S45" i="3"/>
  <c r="D46" i="3"/>
  <c r="S46" i="3"/>
  <c r="S47" i="3"/>
  <c r="S48" i="3"/>
  <c r="S49" i="3"/>
  <c r="S50" i="3"/>
  <c r="S8" i="6"/>
  <c r="S9" i="6"/>
  <c r="S14" i="6"/>
  <c r="T11" i="6"/>
  <c r="T7" i="6"/>
  <c r="S10" i="6"/>
  <c r="S15" i="6"/>
  <c r="S16" i="6"/>
  <c r="R36" i="6"/>
  <c r="R42" i="6"/>
  <c r="R41" i="6"/>
  <c r="R43" i="6"/>
  <c r="S3" i="6"/>
  <c r="S48" i="6"/>
  <c r="S49" i="6"/>
  <c r="S17" i="6"/>
  <c r="S1" i="6"/>
  <c r="S19" i="6"/>
  <c r="R31" i="6"/>
  <c r="R32" i="6"/>
  <c r="S21" i="6"/>
  <c r="S22" i="6"/>
  <c r="S23" i="6"/>
  <c r="S24" i="6"/>
  <c r="S27" i="6"/>
  <c r="T34" i="3"/>
  <c r="T36" i="3"/>
  <c r="T37" i="3"/>
  <c r="T38" i="3"/>
  <c r="T39" i="3"/>
  <c r="T40" i="3"/>
  <c r="T41" i="3"/>
  <c r="T42" i="3"/>
  <c r="T43" i="3"/>
  <c r="T44" i="3"/>
  <c r="T45" i="3"/>
  <c r="T46" i="3"/>
  <c r="D47" i="3"/>
  <c r="T47" i="3"/>
  <c r="T48" i="3"/>
  <c r="T49" i="3"/>
  <c r="T50" i="3"/>
  <c r="T8" i="6"/>
  <c r="T9" i="6"/>
  <c r="T14" i="6"/>
  <c r="U11" i="6"/>
  <c r="U7" i="6"/>
  <c r="T10" i="6"/>
  <c r="T15" i="6"/>
  <c r="T16" i="6"/>
  <c r="S36" i="6"/>
  <c r="S42" i="6"/>
  <c r="S41" i="6"/>
  <c r="S43" i="6"/>
  <c r="T3" i="6"/>
  <c r="T48" i="6"/>
  <c r="T49" i="6"/>
  <c r="T17" i="6"/>
  <c r="T1" i="6"/>
  <c r="T19" i="6"/>
  <c r="S31" i="6"/>
  <c r="S32" i="6"/>
  <c r="T21" i="6"/>
  <c r="T22" i="6"/>
  <c r="T23" i="6"/>
  <c r="T24" i="6"/>
  <c r="T27" i="6"/>
  <c r="U34" i="3"/>
  <c r="U36" i="3"/>
  <c r="U37" i="3"/>
  <c r="U38" i="3"/>
  <c r="U39" i="3"/>
  <c r="U40" i="3"/>
  <c r="U41" i="3"/>
  <c r="U42" i="3"/>
  <c r="U43" i="3"/>
  <c r="U44" i="3"/>
  <c r="U45" i="3"/>
  <c r="U46" i="3"/>
  <c r="U47" i="3"/>
  <c r="D48" i="3"/>
  <c r="U48" i="3"/>
  <c r="U49" i="3"/>
  <c r="U50" i="3"/>
  <c r="U8" i="6"/>
  <c r="U9" i="6"/>
  <c r="U14" i="6"/>
  <c r="V11" i="6"/>
  <c r="V7" i="6"/>
  <c r="U10" i="6"/>
  <c r="U15" i="6"/>
  <c r="U16" i="6"/>
  <c r="T36" i="6"/>
  <c r="T42" i="6"/>
  <c r="T41" i="6"/>
  <c r="T43" i="6"/>
  <c r="U3" i="6"/>
  <c r="U48" i="6"/>
  <c r="U49" i="6"/>
  <c r="U17" i="6"/>
  <c r="U1" i="6"/>
  <c r="U19" i="6"/>
  <c r="T31" i="6"/>
  <c r="T32" i="6"/>
  <c r="U21" i="6"/>
  <c r="U22" i="6"/>
  <c r="U23" i="6"/>
  <c r="U24" i="6"/>
  <c r="U27" i="6"/>
  <c r="V34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D49" i="3"/>
  <c r="V49" i="3"/>
  <c r="V50" i="3"/>
  <c r="V8" i="6"/>
  <c r="V9" i="6"/>
  <c r="V14" i="6"/>
  <c r="V10" i="6"/>
  <c r="V15" i="6"/>
  <c r="V16" i="6"/>
  <c r="U36" i="6"/>
  <c r="U42" i="6"/>
  <c r="U41" i="6"/>
  <c r="U43" i="6"/>
  <c r="V3" i="6"/>
  <c r="V48" i="6"/>
  <c r="V49" i="6"/>
  <c r="V17" i="6"/>
  <c r="V1" i="6"/>
  <c r="V19" i="6"/>
  <c r="U31" i="6"/>
  <c r="U32" i="6"/>
  <c r="V21" i="6"/>
  <c r="G12" i="12"/>
  <c r="H12" i="12"/>
  <c r="G22" i="12"/>
  <c r="I12" i="12"/>
  <c r="H22" i="12"/>
  <c r="J12" i="12"/>
  <c r="I22" i="12"/>
  <c r="K12" i="12"/>
  <c r="J22" i="12"/>
  <c r="L12" i="12"/>
  <c r="K22" i="12"/>
  <c r="M12" i="12"/>
  <c r="L22" i="12"/>
  <c r="N12" i="12"/>
  <c r="M22" i="12"/>
  <c r="O12" i="12"/>
  <c r="N22" i="12"/>
  <c r="P12" i="12"/>
  <c r="O22" i="12"/>
  <c r="Q12" i="12"/>
  <c r="P22" i="12"/>
  <c r="R12" i="12"/>
  <c r="Q22" i="12"/>
  <c r="S12" i="12"/>
  <c r="R22" i="12"/>
  <c r="T12" i="12"/>
  <c r="S22" i="12"/>
  <c r="U12" i="12"/>
  <c r="T22" i="12"/>
  <c r="V12" i="12"/>
  <c r="U22" i="12"/>
  <c r="W12" i="12"/>
  <c r="V22" i="12"/>
  <c r="X12" i="12"/>
  <c r="W22" i="12"/>
  <c r="Y12" i="12"/>
  <c r="X22" i="12"/>
  <c r="Z12" i="12"/>
  <c r="Y22" i="12"/>
  <c r="AA12" i="12"/>
  <c r="Z22" i="12"/>
  <c r="AB12" i="12"/>
  <c r="AA22" i="12"/>
  <c r="AC12" i="12"/>
  <c r="AB22" i="12"/>
  <c r="AD12" i="12"/>
  <c r="AC22" i="12"/>
  <c r="AE12" i="12"/>
  <c r="AD22" i="12"/>
  <c r="AF12" i="12"/>
  <c r="AE22" i="12"/>
  <c r="AG12" i="12"/>
  <c r="AF22" i="12"/>
  <c r="AH12" i="12"/>
  <c r="AG22" i="12"/>
  <c r="AI12" i="12"/>
  <c r="AH22" i="12"/>
  <c r="AJ12" i="12"/>
  <c r="AI22" i="12"/>
  <c r="AK12" i="12"/>
  <c r="AJ22" i="12"/>
  <c r="AL12" i="12"/>
  <c r="AK22" i="12"/>
  <c r="AM12" i="12"/>
  <c r="AL22" i="12"/>
  <c r="AN12" i="12"/>
  <c r="AM22" i="12"/>
  <c r="AO12" i="12"/>
  <c r="AN22" i="12"/>
  <c r="AP12" i="12"/>
  <c r="AO22" i="12"/>
  <c r="AQ12" i="12"/>
  <c r="AP22" i="12"/>
  <c r="AR12" i="12"/>
  <c r="AQ22" i="12"/>
  <c r="AS12" i="12"/>
  <c r="AR22" i="12"/>
  <c r="AT12" i="12"/>
  <c r="AS22" i="12"/>
  <c r="AU12" i="12"/>
  <c r="AT22" i="12"/>
  <c r="AV12" i="12"/>
  <c r="AU22" i="12"/>
  <c r="AW12" i="12"/>
  <c r="AV22" i="12"/>
  <c r="AX12" i="12"/>
  <c r="AW22" i="12"/>
  <c r="AY12" i="12"/>
  <c r="AX22" i="12"/>
  <c r="AZ12" i="12"/>
  <c r="AY22" i="12"/>
  <c r="BA12" i="12"/>
  <c r="AZ22" i="12"/>
  <c r="BB12" i="12"/>
  <c r="BA22" i="12"/>
  <c r="BC12" i="12"/>
  <c r="BB22" i="12"/>
  <c r="BD12" i="12"/>
  <c r="BC22" i="12"/>
  <c r="BE12" i="12"/>
  <c r="BD22" i="12"/>
  <c r="BF12" i="12"/>
  <c r="BE22" i="12"/>
  <c r="BG12" i="12"/>
  <c r="BF22" i="12"/>
  <c r="BH12" i="12"/>
  <c r="BG22" i="12"/>
  <c r="BI12" i="12"/>
  <c r="BH22" i="12"/>
  <c r="BJ12" i="12"/>
  <c r="BI22" i="12"/>
  <c r="BJ22" i="12"/>
  <c r="E22" i="12"/>
  <c r="D22" i="6"/>
  <c r="V22" i="6"/>
  <c r="W24" i="14"/>
  <c r="X17" i="7"/>
  <c r="Y15" i="7"/>
  <c r="Y18" i="7"/>
  <c r="Y19" i="7"/>
  <c r="X9" i="14"/>
  <c r="X24" i="14"/>
  <c r="Y17" i="7"/>
  <c r="Z15" i="7"/>
  <c r="Z18" i="7"/>
  <c r="Z19" i="7"/>
  <c r="Y9" i="14"/>
  <c r="Y24" i="14"/>
  <c r="Z17" i="7"/>
  <c r="AA15" i="7"/>
  <c r="AA18" i="7"/>
  <c r="AA19" i="7"/>
  <c r="Z9" i="14"/>
  <c r="Z24" i="14"/>
  <c r="AA17" i="7"/>
  <c r="AB15" i="7"/>
  <c r="AB18" i="7"/>
  <c r="AB19" i="7"/>
  <c r="AA9" i="14"/>
  <c r="AA24" i="14"/>
  <c r="AB17" i="7"/>
  <c r="AC15" i="7"/>
  <c r="AC18" i="7"/>
  <c r="AC19" i="7"/>
  <c r="AB9" i="14"/>
  <c r="AB24" i="14"/>
  <c r="AC17" i="7"/>
  <c r="AD15" i="7"/>
  <c r="AD18" i="7"/>
  <c r="AD19" i="7"/>
  <c r="AC9" i="14"/>
  <c r="AC24" i="14"/>
  <c r="AD17" i="7"/>
  <c r="AE15" i="7"/>
  <c r="AE18" i="7"/>
  <c r="AE19" i="7"/>
  <c r="AD9" i="14"/>
  <c r="AD24" i="14"/>
  <c r="AE17" i="7"/>
  <c r="AF15" i="7"/>
  <c r="AF18" i="7"/>
  <c r="AF19" i="7"/>
  <c r="AE9" i="14"/>
  <c r="AE24" i="14"/>
  <c r="AF17" i="7"/>
  <c r="AG15" i="7"/>
  <c r="AG18" i="7"/>
  <c r="AG19" i="7"/>
  <c r="AF9" i="14"/>
  <c r="AF24" i="14"/>
  <c r="AG17" i="7"/>
  <c r="AH15" i="7"/>
  <c r="AH18" i="7"/>
  <c r="AH19" i="7"/>
  <c r="AG9" i="14"/>
  <c r="AG24" i="14"/>
  <c r="AH17" i="7"/>
  <c r="AI15" i="7"/>
  <c r="AI18" i="7"/>
  <c r="AI19" i="7"/>
  <c r="AH9" i="14"/>
  <c r="AH24" i="14"/>
  <c r="AI17" i="7"/>
  <c r="AJ15" i="7"/>
  <c r="AJ18" i="7"/>
  <c r="AJ19" i="7"/>
  <c r="AI9" i="14"/>
  <c r="AI24" i="14"/>
  <c r="AJ17" i="7"/>
  <c r="AK15" i="7"/>
  <c r="AK18" i="7"/>
  <c r="AK19" i="7"/>
  <c r="AJ9" i="14"/>
  <c r="AJ24" i="14"/>
  <c r="AK17" i="7"/>
  <c r="AL15" i="7"/>
  <c r="AL18" i="7"/>
  <c r="AL19" i="7"/>
  <c r="AK9" i="14"/>
  <c r="AK24" i="14"/>
  <c r="AL17" i="7"/>
  <c r="AM15" i="7"/>
  <c r="AM18" i="7"/>
  <c r="AM19" i="7"/>
  <c r="AL9" i="14"/>
  <c r="AL24" i="14"/>
  <c r="AM17" i="7"/>
  <c r="AN15" i="7"/>
  <c r="AN18" i="7"/>
  <c r="AN19" i="7"/>
  <c r="AM9" i="14"/>
  <c r="AM24" i="14"/>
  <c r="AN17" i="7"/>
  <c r="AO15" i="7"/>
  <c r="AO18" i="7"/>
  <c r="AO19" i="7"/>
  <c r="AN9" i="14"/>
  <c r="AN24" i="14"/>
  <c r="AO17" i="7"/>
  <c r="AP15" i="7"/>
  <c r="AP18" i="7"/>
  <c r="AP19" i="7"/>
  <c r="AO9" i="14"/>
  <c r="AO24" i="14"/>
  <c r="AP17" i="7"/>
  <c r="AQ15" i="7"/>
  <c r="AQ18" i="7"/>
  <c r="AQ19" i="7"/>
  <c r="AP9" i="14"/>
  <c r="AP24" i="14"/>
  <c r="AQ17" i="7"/>
  <c r="AR15" i="7"/>
  <c r="AR18" i="7"/>
  <c r="AR19" i="7"/>
  <c r="AQ9" i="14"/>
  <c r="AQ24" i="14"/>
  <c r="AR17" i="7"/>
  <c r="AS15" i="7"/>
  <c r="AS18" i="7"/>
  <c r="AS19" i="7"/>
  <c r="AR9" i="14"/>
  <c r="AR24" i="14"/>
  <c r="AS17" i="7"/>
  <c r="AT15" i="7"/>
  <c r="AT18" i="7"/>
  <c r="AT19" i="7"/>
  <c r="AS9" i="14"/>
  <c r="AS24" i="14"/>
  <c r="AT17" i="7"/>
  <c r="AU15" i="7"/>
  <c r="AU18" i="7"/>
  <c r="AU19" i="7"/>
  <c r="AT9" i="14"/>
  <c r="AT24" i="14"/>
  <c r="AU17" i="7"/>
  <c r="AV15" i="7"/>
  <c r="AV18" i="7"/>
  <c r="AV19" i="7"/>
  <c r="AU9" i="14"/>
  <c r="AU24" i="14"/>
  <c r="AV17" i="7"/>
  <c r="AW15" i="7"/>
  <c r="AW11" i="7"/>
  <c r="AW18" i="7"/>
  <c r="AW19" i="7"/>
  <c r="AV9" i="14"/>
  <c r="AV24" i="14"/>
  <c r="AW17" i="7"/>
  <c r="AX15" i="7"/>
  <c r="AX11" i="7"/>
  <c r="AX18" i="7"/>
  <c r="AX19" i="7"/>
  <c r="AW9" i="14"/>
  <c r="AW24" i="14"/>
  <c r="AX17" i="7"/>
  <c r="AY15" i="7"/>
  <c r="AY11" i="7"/>
  <c r="AY18" i="7"/>
  <c r="AY19" i="7"/>
  <c r="AX9" i="14"/>
  <c r="AX24" i="14"/>
  <c r="AY17" i="7"/>
  <c r="AZ15" i="7"/>
  <c r="AZ11" i="7"/>
  <c r="AZ18" i="7"/>
  <c r="AZ19" i="7"/>
  <c r="AY9" i="14"/>
  <c r="AY24" i="14"/>
  <c r="AZ17" i="7"/>
  <c r="BA15" i="7"/>
  <c r="BA11" i="7"/>
  <c r="BA18" i="7"/>
  <c r="BA19" i="7"/>
  <c r="AZ9" i="14"/>
  <c r="AZ24" i="14"/>
  <c r="BA17" i="7"/>
  <c r="BB15" i="7"/>
  <c r="BB11" i="7"/>
  <c r="BB18" i="7"/>
  <c r="BB19" i="7"/>
  <c r="BA9" i="14"/>
  <c r="BA24" i="14"/>
  <c r="BB17" i="7"/>
  <c r="BC15" i="7"/>
  <c r="BC11" i="7"/>
  <c r="BC18" i="7"/>
  <c r="BC19" i="7"/>
  <c r="BB9" i="14"/>
  <c r="BB24" i="14"/>
  <c r="BC17" i="7"/>
  <c r="BD15" i="7"/>
  <c r="BD11" i="7"/>
  <c r="BD18" i="7"/>
  <c r="BD19" i="7"/>
  <c r="BC9" i="14"/>
  <c r="BC24" i="14"/>
  <c r="BD17" i="7"/>
  <c r="BE15" i="7"/>
  <c r="BE11" i="7"/>
  <c r="BE18" i="7"/>
  <c r="BE19" i="7"/>
  <c r="BD9" i="14"/>
  <c r="BD24" i="14"/>
  <c r="BE17" i="7"/>
  <c r="BF15" i="7"/>
  <c r="BF11" i="7"/>
  <c r="BF18" i="7"/>
  <c r="BF19" i="7"/>
  <c r="BE9" i="14"/>
  <c r="BE24" i="14"/>
  <c r="BF17" i="7"/>
  <c r="BG15" i="7"/>
  <c r="BG11" i="7"/>
  <c r="BG18" i="7"/>
  <c r="BG19" i="7"/>
  <c r="BF9" i="14"/>
  <c r="BF24" i="14"/>
  <c r="BG17" i="7"/>
  <c r="BH15" i="7"/>
  <c r="BH11" i="7"/>
  <c r="BH18" i="7"/>
  <c r="BH19" i="7"/>
  <c r="BG9" i="14"/>
  <c r="BG24" i="14"/>
  <c r="BH17" i="7"/>
  <c r="BI15" i="7"/>
  <c r="BI11" i="7"/>
  <c r="BI18" i="7"/>
  <c r="BI19" i="7"/>
  <c r="BH9" i="14"/>
  <c r="BH24" i="14"/>
  <c r="BI17" i="7"/>
  <c r="BJ15" i="7"/>
  <c r="BJ11" i="7"/>
  <c r="BJ18" i="7"/>
  <c r="BJ19" i="7"/>
  <c r="BI9" i="14"/>
  <c r="BI24" i="14"/>
  <c r="BJ9" i="14"/>
  <c r="BJ24" i="14"/>
  <c r="D24" i="14"/>
  <c r="D23" i="6"/>
  <c r="V23" i="6"/>
  <c r="V24" i="6"/>
  <c r="V27" i="6"/>
  <c r="E27" i="6"/>
  <c r="D13" i="9"/>
  <c r="W18" i="9"/>
  <c r="G152" i="3"/>
  <c r="G8" i="8"/>
  <c r="G9" i="8"/>
  <c r="G22" i="9"/>
  <c r="H152" i="3"/>
  <c r="H8" i="8"/>
  <c r="H9" i="8"/>
  <c r="H22" i="9"/>
  <c r="I152" i="3"/>
  <c r="I8" i="8"/>
  <c r="I9" i="8"/>
  <c r="I22" i="9"/>
  <c r="J152" i="3"/>
  <c r="J8" i="8"/>
  <c r="J9" i="8"/>
  <c r="J22" i="9"/>
  <c r="K152" i="3"/>
  <c r="K8" i="8"/>
  <c r="K9" i="8"/>
  <c r="K22" i="9"/>
  <c r="L152" i="3"/>
  <c r="L8" i="8"/>
  <c r="L9" i="8"/>
  <c r="L22" i="9"/>
  <c r="M152" i="3"/>
  <c r="M8" i="8"/>
  <c r="M9" i="8"/>
  <c r="M22" i="9"/>
  <c r="N152" i="3"/>
  <c r="N8" i="8"/>
  <c r="N9" i="8"/>
  <c r="N22" i="9"/>
  <c r="O152" i="3"/>
  <c r="O8" i="8"/>
  <c r="O9" i="8"/>
  <c r="O22" i="9"/>
  <c r="P152" i="3"/>
  <c r="P8" i="8"/>
  <c r="P9" i="8"/>
  <c r="P22" i="9"/>
  <c r="Q152" i="3"/>
  <c r="Q8" i="8"/>
  <c r="Q9" i="8"/>
  <c r="Q22" i="9"/>
  <c r="R152" i="3"/>
  <c r="R8" i="8"/>
  <c r="R9" i="8"/>
  <c r="R22" i="9"/>
  <c r="S152" i="3"/>
  <c r="S8" i="8"/>
  <c r="S9" i="8"/>
  <c r="S22" i="9"/>
  <c r="T152" i="3"/>
  <c r="T8" i="8"/>
  <c r="T9" i="8"/>
  <c r="T22" i="9"/>
  <c r="U152" i="3"/>
  <c r="U8" i="8"/>
  <c r="U9" i="8"/>
  <c r="U22" i="9"/>
  <c r="V8" i="8"/>
  <c r="V9" i="8"/>
  <c r="V22" i="9"/>
  <c r="W9" i="8"/>
  <c r="W22" i="9"/>
  <c r="D25" i="9"/>
  <c r="D26" i="9"/>
  <c r="W23" i="9"/>
  <c r="W29" i="9"/>
  <c r="G10" i="8"/>
  <c r="G32" i="9"/>
  <c r="H10" i="8"/>
  <c r="H32" i="9"/>
  <c r="I10" i="8"/>
  <c r="I32" i="9"/>
  <c r="J10" i="8"/>
  <c r="J32" i="9"/>
  <c r="K10" i="8"/>
  <c r="K32" i="9"/>
  <c r="L10" i="8"/>
  <c r="L32" i="9"/>
  <c r="M10" i="8"/>
  <c r="M32" i="9"/>
  <c r="N10" i="8"/>
  <c r="N32" i="9"/>
  <c r="O10" i="8"/>
  <c r="O32" i="9"/>
  <c r="P10" i="8"/>
  <c r="P32" i="9"/>
  <c r="Q10" i="8"/>
  <c r="Q32" i="9"/>
  <c r="R10" i="8"/>
  <c r="R32" i="9"/>
  <c r="S10" i="8"/>
  <c r="S32" i="9"/>
  <c r="T10" i="8"/>
  <c r="T32" i="9"/>
  <c r="U10" i="8"/>
  <c r="U32" i="9"/>
  <c r="V10" i="8"/>
  <c r="V32" i="9"/>
  <c r="W10" i="8"/>
  <c r="W32" i="9"/>
  <c r="W33" i="9"/>
  <c r="W39" i="9"/>
  <c r="W43" i="9"/>
  <c r="W11" i="13"/>
  <c r="W12" i="13"/>
  <c r="D13" i="13"/>
  <c r="W14" i="13"/>
  <c r="W12" i="15"/>
  <c r="W13" i="15"/>
  <c r="W10" i="14"/>
  <c r="W15" i="15"/>
  <c r="W16" i="15"/>
  <c r="W13" i="14"/>
  <c r="W15" i="14"/>
  <c r="W17" i="14"/>
  <c r="W18" i="14"/>
  <c r="W22" i="14"/>
  <c r="W20" i="14"/>
  <c r="W23" i="14"/>
  <c r="W26" i="14"/>
  <c r="X7" i="14"/>
  <c r="X11" i="14"/>
  <c r="X14" i="14"/>
  <c r="X7" i="15"/>
  <c r="X165" i="3"/>
  <c r="X28" i="10"/>
  <c r="X115" i="3"/>
  <c r="X129" i="3"/>
  <c r="X27" i="10"/>
  <c r="X29" i="10"/>
  <c r="X88" i="3"/>
  <c r="X89" i="3"/>
  <c r="X90" i="3"/>
  <c r="X91" i="3"/>
  <c r="X92" i="3"/>
  <c r="X122" i="3"/>
  <c r="X93" i="3"/>
  <c r="X94" i="3"/>
  <c r="X60" i="3"/>
  <c r="X63" i="3"/>
  <c r="X75" i="3"/>
  <c r="X23" i="10"/>
  <c r="X30" i="10"/>
  <c r="X180" i="3"/>
  <c r="X31" i="10"/>
  <c r="X32" i="10"/>
  <c r="X7" i="10"/>
  <c r="X18" i="10"/>
  <c r="X2" i="3"/>
  <c r="X100" i="3"/>
  <c r="D101" i="3"/>
  <c r="X101" i="3"/>
  <c r="X102" i="3"/>
  <c r="X103" i="3"/>
  <c r="X104" i="3"/>
  <c r="X105" i="3"/>
  <c r="X106" i="3"/>
  <c r="X107" i="3"/>
  <c r="X108" i="3"/>
  <c r="X19" i="10"/>
  <c r="X1" i="10"/>
  <c r="X2" i="10"/>
  <c r="Y2" i="3"/>
  <c r="Y2" i="10"/>
  <c r="W12" i="10"/>
  <c r="X13" i="10"/>
  <c r="X21" i="10"/>
  <c r="X22" i="10"/>
  <c r="X24" i="10"/>
  <c r="X33" i="10"/>
  <c r="X7" i="16"/>
  <c r="X8" i="10"/>
  <c r="X11" i="10"/>
  <c r="X9" i="10"/>
  <c r="X3" i="10"/>
  <c r="X14" i="10"/>
  <c r="X8" i="16"/>
  <c r="X9" i="16"/>
  <c r="X71" i="3"/>
  <c r="X73" i="3"/>
  <c r="X9" i="21"/>
  <c r="X8" i="21"/>
  <c r="X171" i="3"/>
  <c r="X11" i="21"/>
  <c r="X15" i="21"/>
  <c r="X16" i="21"/>
  <c r="X17" i="21"/>
  <c r="X21" i="21"/>
  <c r="X22" i="21"/>
  <c r="X24" i="21"/>
  <c r="X25" i="21"/>
  <c r="X136" i="3"/>
  <c r="X28" i="21"/>
  <c r="X29" i="21"/>
  <c r="X30" i="21"/>
  <c r="X31" i="21"/>
  <c r="X12" i="16"/>
  <c r="X40" i="21"/>
  <c r="X41" i="21"/>
  <c r="X36" i="21"/>
  <c r="X42" i="21"/>
  <c r="X37" i="21"/>
  <c r="X43" i="21"/>
  <c r="X13" i="16"/>
  <c r="X7" i="21"/>
  <c r="X3" i="21"/>
  <c r="X45" i="21"/>
  <c r="X46" i="21"/>
  <c r="X47" i="21"/>
  <c r="X14" i="16"/>
  <c r="X35" i="21"/>
  <c r="X49" i="21"/>
  <c r="X38" i="21"/>
  <c r="X50" i="21"/>
  <c r="X15" i="16"/>
  <c r="X34" i="21"/>
  <c r="X51" i="21"/>
  <c r="X52" i="21"/>
  <c r="X16" i="16"/>
  <c r="X35" i="10"/>
  <c r="X53" i="21"/>
  <c r="X55" i="21"/>
  <c r="X17" i="16"/>
  <c r="X18" i="16"/>
  <c r="X19" i="16"/>
  <c r="X8" i="15"/>
  <c r="X3" i="14"/>
  <c r="X32" i="14"/>
  <c r="X9" i="15"/>
  <c r="X1" i="12"/>
  <c r="X8" i="12"/>
  <c r="X9" i="12"/>
  <c r="X152" i="3"/>
  <c r="X56" i="21"/>
  <c r="X57" i="21"/>
  <c r="X13" i="12"/>
  <c r="X14" i="12"/>
  <c r="X15" i="12"/>
  <c r="X16" i="12"/>
  <c r="X17" i="12"/>
  <c r="X19" i="12"/>
  <c r="X21" i="12"/>
  <c r="X23" i="12"/>
  <c r="X10" i="15"/>
  <c r="X8" i="8"/>
  <c r="X12" i="8"/>
  <c r="X7" i="8"/>
  <c r="X13" i="8"/>
  <c r="X11" i="15"/>
  <c r="X7" i="13"/>
  <c r="X8" i="13"/>
  <c r="X67" i="21"/>
  <c r="X68" i="21"/>
  <c r="X74" i="3"/>
  <c r="X69" i="21"/>
  <c r="X71" i="21"/>
  <c r="X9" i="13"/>
  <c r="X10" i="13"/>
  <c r="X7" i="9"/>
  <c r="X18" i="9"/>
  <c r="X9" i="8"/>
  <c r="X22" i="9"/>
  <c r="X23" i="9"/>
  <c r="X29" i="9"/>
  <c r="X10" i="8"/>
  <c r="X32" i="9"/>
  <c r="X33" i="9"/>
  <c r="X39" i="9"/>
  <c r="X43" i="9"/>
  <c r="X11" i="13"/>
  <c r="X12" i="13"/>
  <c r="X14" i="13"/>
  <c r="X12" i="15"/>
  <c r="X13" i="15"/>
  <c r="X10" i="14"/>
  <c r="X15" i="15"/>
  <c r="X16" i="15"/>
  <c r="X13" i="14"/>
  <c r="X15" i="14"/>
  <c r="X17" i="14"/>
  <c r="X18" i="14"/>
  <c r="X22" i="14"/>
  <c r="X20" i="14"/>
  <c r="X23" i="14"/>
  <c r="X26" i="14"/>
  <c r="Y7" i="14"/>
  <c r="Y11" i="14"/>
  <c r="Y14" i="14"/>
  <c r="Y7" i="15"/>
  <c r="Y165" i="3"/>
  <c r="Y28" i="10"/>
  <c r="Y115" i="3"/>
  <c r="Y129" i="3"/>
  <c r="Y27" i="10"/>
  <c r="Y29" i="10"/>
  <c r="Y88" i="3"/>
  <c r="Y89" i="3"/>
  <c r="Y90" i="3"/>
  <c r="Y91" i="3"/>
  <c r="Y92" i="3"/>
  <c r="Y122" i="3"/>
  <c r="Y93" i="3"/>
  <c r="Y94" i="3"/>
  <c r="Y60" i="3"/>
  <c r="Y63" i="3"/>
  <c r="Y75" i="3"/>
  <c r="Y23" i="10"/>
  <c r="Y30" i="10"/>
  <c r="Y180" i="3"/>
  <c r="Y31" i="10"/>
  <c r="Y32" i="10"/>
  <c r="Y7" i="10"/>
  <c r="Y18" i="10"/>
  <c r="Y100" i="3"/>
  <c r="Y101" i="3"/>
  <c r="Y102" i="3"/>
  <c r="Y103" i="3"/>
  <c r="Y104" i="3"/>
  <c r="Y105" i="3"/>
  <c r="Y106" i="3"/>
  <c r="Y107" i="3"/>
  <c r="Y108" i="3"/>
  <c r="Y19" i="10"/>
  <c r="Y1" i="10"/>
  <c r="Z2" i="3"/>
  <c r="Z2" i="10"/>
  <c r="Y13" i="10"/>
  <c r="Y21" i="10"/>
  <c r="Y22" i="10"/>
  <c r="Y24" i="10"/>
  <c r="Y33" i="10"/>
  <c r="Y7" i="16"/>
  <c r="Y8" i="10"/>
  <c r="Y11" i="10"/>
  <c r="Y9" i="10"/>
  <c r="Y3" i="10"/>
  <c r="Y14" i="10"/>
  <c r="Y8" i="16"/>
  <c r="Y9" i="16"/>
  <c r="Y71" i="3"/>
  <c r="Y73" i="3"/>
  <c r="Y9" i="21"/>
  <c r="Y8" i="21"/>
  <c r="Y171" i="3"/>
  <c r="Y11" i="21"/>
  <c r="Y15" i="21"/>
  <c r="Y16" i="21"/>
  <c r="Y17" i="21"/>
  <c r="Y21" i="21"/>
  <c r="Y22" i="21"/>
  <c r="Y24" i="21"/>
  <c r="Y25" i="21"/>
  <c r="Y136" i="3"/>
  <c r="Y28" i="21"/>
  <c r="Y29" i="21"/>
  <c r="Y30" i="21"/>
  <c r="Y31" i="21"/>
  <c r="Y12" i="16"/>
  <c r="Y40" i="21"/>
  <c r="Y41" i="21"/>
  <c r="Y36" i="21"/>
  <c r="Y42" i="21"/>
  <c r="Y37" i="21"/>
  <c r="Y43" i="21"/>
  <c r="Y13" i="16"/>
  <c r="Y7" i="21"/>
  <c r="Y3" i="21"/>
  <c r="Y45" i="21"/>
  <c r="Y46" i="21"/>
  <c r="Y47" i="21"/>
  <c r="Y14" i="16"/>
  <c r="Y35" i="21"/>
  <c r="Y49" i="21"/>
  <c r="Y38" i="21"/>
  <c r="Y50" i="21"/>
  <c r="Y15" i="16"/>
  <c r="Y34" i="21"/>
  <c r="Y51" i="21"/>
  <c r="Y52" i="21"/>
  <c r="Y16" i="16"/>
  <c r="Y35" i="10"/>
  <c r="Y53" i="21"/>
  <c r="Y55" i="21"/>
  <c r="Y17" i="16"/>
  <c r="Y18" i="16"/>
  <c r="Y19" i="16"/>
  <c r="Y8" i="15"/>
  <c r="Y3" i="14"/>
  <c r="Y32" i="14"/>
  <c r="Y9" i="15"/>
  <c r="Y1" i="12"/>
  <c r="Y8" i="12"/>
  <c r="Y9" i="12"/>
  <c r="Y152" i="3"/>
  <c r="Y56" i="21"/>
  <c r="Y57" i="21"/>
  <c r="Y13" i="12"/>
  <c r="Y14" i="12"/>
  <c r="Y15" i="12"/>
  <c r="Y16" i="12"/>
  <c r="Y17" i="12"/>
  <c r="Y19" i="12"/>
  <c r="Y21" i="12"/>
  <c r="Y23" i="12"/>
  <c r="Y10" i="15"/>
  <c r="Y8" i="8"/>
  <c r="Y12" i="8"/>
  <c r="Y7" i="8"/>
  <c r="Y13" i="8"/>
  <c r="Y11" i="15"/>
  <c r="Y7" i="13"/>
  <c r="Y8" i="13"/>
  <c r="Y67" i="21"/>
  <c r="Y68" i="21"/>
  <c r="Y74" i="3"/>
  <c r="Y69" i="21"/>
  <c r="Y71" i="21"/>
  <c r="Y9" i="13"/>
  <c r="Y10" i="13"/>
  <c r="Y7" i="9"/>
  <c r="Y18" i="9"/>
  <c r="Y9" i="8"/>
  <c r="Y22" i="9"/>
  <c r="Y23" i="9"/>
  <c r="Y29" i="9"/>
  <c r="Y10" i="8"/>
  <c r="Y32" i="9"/>
  <c r="Y33" i="9"/>
  <c r="Y39" i="9"/>
  <c r="Y43" i="9"/>
  <c r="Y11" i="13"/>
  <c r="Y12" i="13"/>
  <c r="Y14" i="13"/>
  <c r="Y12" i="15"/>
  <c r="Y13" i="15"/>
  <c r="Y10" i="14"/>
  <c r="Y15" i="15"/>
  <c r="Y16" i="15"/>
  <c r="Y13" i="14"/>
  <c r="Y15" i="14"/>
  <c r="Y17" i="14"/>
  <c r="Y18" i="14"/>
  <c r="Y22" i="14"/>
  <c r="Y20" i="14"/>
  <c r="Y23" i="14"/>
  <c r="Y26" i="14"/>
  <c r="Z7" i="14"/>
  <c r="Z11" i="14"/>
  <c r="Z14" i="14"/>
  <c r="Z7" i="15"/>
  <c r="Z165" i="3"/>
  <c r="Z28" i="10"/>
  <c r="Z115" i="3"/>
  <c r="Z129" i="3"/>
  <c r="Z27" i="10"/>
  <c r="Z29" i="10"/>
  <c r="Z88" i="3"/>
  <c r="Z89" i="3"/>
  <c r="Z90" i="3"/>
  <c r="Z91" i="3"/>
  <c r="Z92" i="3"/>
  <c r="Z122" i="3"/>
  <c r="Z93" i="3"/>
  <c r="Z94" i="3"/>
  <c r="Z60" i="3"/>
  <c r="Z63" i="3"/>
  <c r="Z75" i="3"/>
  <c r="Z23" i="10"/>
  <c r="Z30" i="10"/>
  <c r="Z180" i="3"/>
  <c r="Z31" i="10"/>
  <c r="Z32" i="10"/>
  <c r="Z7" i="10"/>
  <c r="Z18" i="10"/>
  <c r="Z100" i="3"/>
  <c r="Z101" i="3"/>
  <c r="D102" i="3"/>
  <c r="Z102" i="3"/>
  <c r="Z103" i="3"/>
  <c r="Z104" i="3"/>
  <c r="Z105" i="3"/>
  <c r="Z106" i="3"/>
  <c r="Z107" i="3"/>
  <c r="Z108" i="3"/>
  <c r="Z19" i="10"/>
  <c r="Z1" i="10"/>
  <c r="AA2" i="3"/>
  <c r="AA2" i="10"/>
  <c r="Y12" i="10"/>
  <c r="Z13" i="10"/>
  <c r="Z21" i="10"/>
  <c r="Z22" i="10"/>
  <c r="Z24" i="10"/>
  <c r="Z33" i="10"/>
  <c r="Z7" i="16"/>
  <c r="Z8" i="10"/>
  <c r="Z11" i="10"/>
  <c r="Z9" i="10"/>
  <c r="Z3" i="10"/>
  <c r="Z14" i="10"/>
  <c r="Z8" i="16"/>
  <c r="Z9" i="16"/>
  <c r="Z71" i="3"/>
  <c r="Z73" i="3"/>
  <c r="Z9" i="21"/>
  <c r="Z8" i="21"/>
  <c r="Z171" i="3"/>
  <c r="Z11" i="21"/>
  <c r="Z15" i="21"/>
  <c r="Z16" i="21"/>
  <c r="Z17" i="21"/>
  <c r="Z21" i="21"/>
  <c r="Z22" i="21"/>
  <c r="Z24" i="21"/>
  <c r="Z25" i="21"/>
  <c r="Z136" i="3"/>
  <c r="Z28" i="21"/>
  <c r="Z29" i="21"/>
  <c r="Z30" i="21"/>
  <c r="Z31" i="21"/>
  <c r="Z12" i="16"/>
  <c r="Z40" i="21"/>
  <c r="Z41" i="21"/>
  <c r="Z36" i="21"/>
  <c r="Z42" i="21"/>
  <c r="Z37" i="21"/>
  <c r="Z43" i="21"/>
  <c r="Z13" i="16"/>
  <c r="Z7" i="21"/>
  <c r="Z3" i="21"/>
  <c r="Z45" i="21"/>
  <c r="Z46" i="21"/>
  <c r="Z47" i="21"/>
  <c r="Z14" i="16"/>
  <c r="Z35" i="21"/>
  <c r="Z49" i="21"/>
  <c r="Z38" i="21"/>
  <c r="Z50" i="21"/>
  <c r="Z15" i="16"/>
  <c r="Z34" i="21"/>
  <c r="Z51" i="21"/>
  <c r="Z52" i="21"/>
  <c r="Z16" i="16"/>
  <c r="Z35" i="10"/>
  <c r="Z53" i="21"/>
  <c r="Z55" i="21"/>
  <c r="Z17" i="16"/>
  <c r="Z18" i="16"/>
  <c r="Z19" i="16"/>
  <c r="Z8" i="15"/>
  <c r="Z3" i="14"/>
  <c r="Z32" i="14"/>
  <c r="Z9" i="15"/>
  <c r="Z1" i="12"/>
  <c r="Z8" i="12"/>
  <c r="Z9" i="12"/>
  <c r="Z152" i="3"/>
  <c r="Z56" i="21"/>
  <c r="Z57" i="21"/>
  <c r="Z13" i="12"/>
  <c r="Z14" i="12"/>
  <c r="Z15" i="12"/>
  <c r="Z16" i="12"/>
  <c r="Z17" i="12"/>
  <c r="Z19" i="12"/>
  <c r="Z21" i="12"/>
  <c r="Z23" i="12"/>
  <c r="Z10" i="15"/>
  <c r="Z8" i="8"/>
  <c r="Z12" i="8"/>
  <c r="Z7" i="8"/>
  <c r="Z13" i="8"/>
  <c r="Z11" i="15"/>
  <c r="Z7" i="13"/>
  <c r="Z8" i="13"/>
  <c r="Z67" i="21"/>
  <c r="Z68" i="21"/>
  <c r="Z74" i="3"/>
  <c r="Z69" i="21"/>
  <c r="Z71" i="21"/>
  <c r="Z9" i="13"/>
  <c r="Z10" i="13"/>
  <c r="Z7" i="9"/>
  <c r="Z18" i="9"/>
  <c r="Z9" i="8"/>
  <c r="Z22" i="9"/>
  <c r="Z23" i="9"/>
  <c r="Z29" i="9"/>
  <c r="Z10" i="8"/>
  <c r="Z32" i="9"/>
  <c r="Z33" i="9"/>
  <c r="Z39" i="9"/>
  <c r="Z43" i="9"/>
  <c r="Z11" i="13"/>
  <c r="Z12" i="13"/>
  <c r="Z14" i="13"/>
  <c r="Z12" i="15"/>
  <c r="Z13" i="15"/>
  <c r="Z10" i="14"/>
  <c r="Z15" i="15"/>
  <c r="Z16" i="15"/>
  <c r="Z13" i="14"/>
  <c r="Z15" i="14"/>
  <c r="Z17" i="14"/>
  <c r="Z18" i="14"/>
  <c r="Z22" i="14"/>
  <c r="Z20" i="14"/>
  <c r="Z23" i="14"/>
  <c r="Z26" i="14"/>
  <c r="AA7" i="14"/>
  <c r="AA11" i="14"/>
  <c r="AA14" i="14"/>
  <c r="AA7" i="15"/>
  <c r="AA165" i="3"/>
  <c r="AA28" i="10"/>
  <c r="AA115" i="3"/>
  <c r="AA129" i="3"/>
  <c r="AA27" i="10"/>
  <c r="AA29" i="10"/>
  <c r="AA88" i="3"/>
  <c r="AA89" i="3"/>
  <c r="AA90" i="3"/>
  <c r="AA91" i="3"/>
  <c r="AA92" i="3"/>
  <c r="AA122" i="3"/>
  <c r="AA93" i="3"/>
  <c r="AA94" i="3"/>
  <c r="AA60" i="3"/>
  <c r="AA63" i="3"/>
  <c r="AA75" i="3"/>
  <c r="AA23" i="10"/>
  <c r="AA30" i="10"/>
  <c r="AA180" i="3"/>
  <c r="AA31" i="10"/>
  <c r="AA32" i="10"/>
  <c r="AA7" i="10"/>
  <c r="AA18" i="10"/>
  <c r="AA100" i="3"/>
  <c r="AA101" i="3"/>
  <c r="AA102" i="3"/>
  <c r="AA103" i="3"/>
  <c r="AA104" i="3"/>
  <c r="AA105" i="3"/>
  <c r="AA106" i="3"/>
  <c r="AA107" i="3"/>
  <c r="AA108" i="3"/>
  <c r="AA19" i="10"/>
  <c r="AA1" i="10"/>
  <c r="AB2" i="3"/>
  <c r="AB2" i="10"/>
  <c r="AA13" i="10"/>
  <c r="AA21" i="10"/>
  <c r="AA22" i="10"/>
  <c r="AA24" i="10"/>
  <c r="AA33" i="10"/>
  <c r="AA7" i="16"/>
  <c r="AA8" i="10"/>
  <c r="AA11" i="10"/>
  <c r="AA9" i="10"/>
  <c r="AA3" i="10"/>
  <c r="AA14" i="10"/>
  <c r="AA8" i="16"/>
  <c r="AA9" i="16"/>
  <c r="AA71" i="3"/>
  <c r="AA73" i="3"/>
  <c r="AA9" i="21"/>
  <c r="AA8" i="21"/>
  <c r="AA171" i="3"/>
  <c r="AA11" i="21"/>
  <c r="AA15" i="21"/>
  <c r="AA16" i="21"/>
  <c r="AA17" i="21"/>
  <c r="AA21" i="21"/>
  <c r="AA22" i="21"/>
  <c r="AA24" i="21"/>
  <c r="AA25" i="21"/>
  <c r="AA136" i="3"/>
  <c r="AA28" i="21"/>
  <c r="AA29" i="21"/>
  <c r="AA30" i="21"/>
  <c r="AA31" i="21"/>
  <c r="AA12" i="16"/>
  <c r="AA40" i="21"/>
  <c r="AA41" i="21"/>
  <c r="AA36" i="21"/>
  <c r="AA42" i="21"/>
  <c r="AA37" i="21"/>
  <c r="AA43" i="21"/>
  <c r="AA13" i="16"/>
  <c r="AA7" i="21"/>
  <c r="AA3" i="21"/>
  <c r="AA45" i="21"/>
  <c r="AA46" i="21"/>
  <c r="AA47" i="21"/>
  <c r="AA14" i="16"/>
  <c r="AA35" i="21"/>
  <c r="AA49" i="21"/>
  <c r="AA38" i="21"/>
  <c r="AA50" i="21"/>
  <c r="AA15" i="16"/>
  <c r="AA34" i="21"/>
  <c r="AA51" i="21"/>
  <c r="AA52" i="21"/>
  <c r="AA16" i="16"/>
  <c r="AA35" i="10"/>
  <c r="AA53" i="21"/>
  <c r="AA55" i="21"/>
  <c r="AA17" i="16"/>
  <c r="AA18" i="16"/>
  <c r="AA19" i="16"/>
  <c r="AA8" i="15"/>
  <c r="AA3" i="14"/>
  <c r="AA32" i="14"/>
  <c r="AA9" i="15"/>
  <c r="AA1" i="12"/>
  <c r="AA8" i="12"/>
  <c r="AA9" i="12"/>
  <c r="AA152" i="3"/>
  <c r="AA56" i="21"/>
  <c r="AA57" i="21"/>
  <c r="AA13" i="12"/>
  <c r="AA14" i="12"/>
  <c r="AA15" i="12"/>
  <c r="AA16" i="12"/>
  <c r="AA17" i="12"/>
  <c r="AA19" i="12"/>
  <c r="AA21" i="12"/>
  <c r="AA23" i="12"/>
  <c r="AA10" i="15"/>
  <c r="AA8" i="8"/>
  <c r="AA12" i="8"/>
  <c r="AA7" i="8"/>
  <c r="AA13" i="8"/>
  <c r="AA11" i="15"/>
  <c r="AA7" i="13"/>
  <c r="AA8" i="13"/>
  <c r="AA67" i="21"/>
  <c r="AA68" i="21"/>
  <c r="AA74" i="3"/>
  <c r="AA69" i="21"/>
  <c r="AA71" i="21"/>
  <c r="AA9" i="13"/>
  <c r="AA10" i="13"/>
  <c r="AA7" i="9"/>
  <c r="AA18" i="9"/>
  <c r="AA9" i="8"/>
  <c r="AA22" i="9"/>
  <c r="AA23" i="9"/>
  <c r="AA29" i="9"/>
  <c r="AA10" i="8"/>
  <c r="AA32" i="9"/>
  <c r="AA33" i="9"/>
  <c r="AA39" i="9"/>
  <c r="AA43" i="9"/>
  <c r="AA11" i="13"/>
  <c r="AA12" i="13"/>
  <c r="AA14" i="13"/>
  <c r="AA12" i="15"/>
  <c r="AA13" i="15"/>
  <c r="AA10" i="14"/>
  <c r="AA15" i="15"/>
  <c r="AA16" i="15"/>
  <c r="AA13" i="14"/>
  <c r="AA15" i="14"/>
  <c r="AA17" i="14"/>
  <c r="AA18" i="14"/>
  <c r="AA22" i="14"/>
  <c r="AA20" i="14"/>
  <c r="AA23" i="14"/>
  <c r="AA26" i="14"/>
  <c r="AB7" i="14"/>
  <c r="AB11" i="14"/>
  <c r="AB14" i="14"/>
  <c r="AB7" i="15"/>
  <c r="AB165" i="3"/>
  <c r="AB28" i="10"/>
  <c r="AB115" i="3"/>
  <c r="AB129" i="3"/>
  <c r="AB27" i="10"/>
  <c r="AB29" i="10"/>
  <c r="AB88" i="3"/>
  <c r="AB89" i="3"/>
  <c r="AB90" i="3"/>
  <c r="AB91" i="3"/>
  <c r="AB92" i="3"/>
  <c r="AB122" i="3"/>
  <c r="AB93" i="3"/>
  <c r="AB94" i="3"/>
  <c r="AB60" i="3"/>
  <c r="AB63" i="3"/>
  <c r="AB75" i="3"/>
  <c r="AB23" i="10"/>
  <c r="AB30" i="10"/>
  <c r="AB180" i="3"/>
  <c r="AB31" i="10"/>
  <c r="AB32" i="10"/>
  <c r="AB7" i="10"/>
  <c r="AB18" i="10"/>
  <c r="AB100" i="3"/>
  <c r="AB101" i="3"/>
  <c r="AB102" i="3"/>
  <c r="D103" i="3"/>
  <c r="AB103" i="3"/>
  <c r="AB104" i="3"/>
  <c r="AB105" i="3"/>
  <c r="AB106" i="3"/>
  <c r="AB107" i="3"/>
  <c r="AB108" i="3"/>
  <c r="AB19" i="10"/>
  <c r="AB1" i="10"/>
  <c r="AC2" i="3"/>
  <c r="AC2" i="10"/>
  <c r="AA12" i="10"/>
  <c r="AB13" i="10"/>
  <c r="AB21" i="10"/>
  <c r="AB22" i="10"/>
  <c r="AB24" i="10"/>
  <c r="AB33" i="10"/>
  <c r="AB7" i="16"/>
  <c r="AB8" i="10"/>
  <c r="AB11" i="10"/>
  <c r="AB9" i="10"/>
  <c r="AB3" i="10"/>
  <c r="AB14" i="10"/>
  <c r="AB8" i="16"/>
  <c r="AB9" i="16"/>
  <c r="AB71" i="3"/>
  <c r="AB73" i="3"/>
  <c r="AB9" i="21"/>
  <c r="AB8" i="21"/>
  <c r="AB171" i="3"/>
  <c r="AB11" i="21"/>
  <c r="AB15" i="21"/>
  <c r="AB16" i="21"/>
  <c r="AB17" i="21"/>
  <c r="AB21" i="21"/>
  <c r="AB22" i="21"/>
  <c r="AB24" i="21"/>
  <c r="AB25" i="21"/>
  <c r="AB136" i="3"/>
  <c r="AB28" i="21"/>
  <c r="AB29" i="21"/>
  <c r="AB30" i="21"/>
  <c r="AB31" i="21"/>
  <c r="AB12" i="16"/>
  <c r="AB40" i="21"/>
  <c r="AB41" i="21"/>
  <c r="AB36" i="21"/>
  <c r="AB42" i="21"/>
  <c r="AB37" i="21"/>
  <c r="AB43" i="21"/>
  <c r="AB13" i="16"/>
  <c r="AB7" i="21"/>
  <c r="AB3" i="21"/>
  <c r="AB45" i="21"/>
  <c r="AB46" i="21"/>
  <c r="AB47" i="21"/>
  <c r="AB14" i="16"/>
  <c r="AB35" i="21"/>
  <c r="AB49" i="21"/>
  <c r="AB38" i="21"/>
  <c r="AB50" i="21"/>
  <c r="AB15" i="16"/>
  <c r="AB34" i="21"/>
  <c r="AB51" i="21"/>
  <c r="AB52" i="21"/>
  <c r="AB16" i="16"/>
  <c r="AB35" i="10"/>
  <c r="AB53" i="21"/>
  <c r="AB55" i="21"/>
  <c r="AB17" i="16"/>
  <c r="AB18" i="16"/>
  <c r="AB19" i="16"/>
  <c r="AB8" i="15"/>
  <c r="AB3" i="14"/>
  <c r="AB32" i="14"/>
  <c r="AB9" i="15"/>
  <c r="AB1" i="12"/>
  <c r="AB8" i="12"/>
  <c r="AB9" i="12"/>
  <c r="AB152" i="3"/>
  <c r="AB56" i="21"/>
  <c r="AB57" i="21"/>
  <c r="AB13" i="12"/>
  <c r="AB14" i="12"/>
  <c r="AB15" i="12"/>
  <c r="AB16" i="12"/>
  <c r="AB17" i="12"/>
  <c r="AB19" i="12"/>
  <c r="AB21" i="12"/>
  <c r="AB23" i="12"/>
  <c r="AB10" i="15"/>
  <c r="AB8" i="8"/>
  <c r="AB12" i="8"/>
  <c r="AB7" i="8"/>
  <c r="AB13" i="8"/>
  <c r="AB11" i="15"/>
  <c r="AB7" i="13"/>
  <c r="AB8" i="13"/>
  <c r="AB67" i="21"/>
  <c r="AB68" i="21"/>
  <c r="AB74" i="3"/>
  <c r="AB69" i="21"/>
  <c r="AB71" i="21"/>
  <c r="AB9" i="13"/>
  <c r="AB10" i="13"/>
  <c r="AB7" i="9"/>
  <c r="AB18" i="9"/>
  <c r="AB9" i="8"/>
  <c r="AB22" i="9"/>
  <c r="AB23" i="9"/>
  <c r="AB29" i="9"/>
  <c r="AB10" i="8"/>
  <c r="AB32" i="9"/>
  <c r="AB33" i="9"/>
  <c r="AB39" i="9"/>
  <c r="AB43" i="9"/>
  <c r="AB11" i="13"/>
  <c r="AB12" i="13"/>
  <c r="AB14" i="13"/>
  <c r="AB12" i="15"/>
  <c r="AB13" i="15"/>
  <c r="AB10" i="14"/>
  <c r="AB15" i="15"/>
  <c r="AB16" i="15"/>
  <c r="AB13" i="14"/>
  <c r="AB15" i="14"/>
  <c r="AB17" i="14"/>
  <c r="AB18" i="14"/>
  <c r="AB22" i="14"/>
  <c r="AB20" i="14"/>
  <c r="AB23" i="14"/>
  <c r="AB26" i="14"/>
  <c r="AC7" i="14"/>
  <c r="AC11" i="14"/>
  <c r="AC14" i="14"/>
  <c r="AC7" i="15"/>
  <c r="AC165" i="3"/>
  <c r="AC28" i="10"/>
  <c r="AC115" i="3"/>
  <c r="AC129" i="3"/>
  <c r="AC27" i="10"/>
  <c r="AC29" i="10"/>
  <c r="AC88" i="3"/>
  <c r="AC89" i="3"/>
  <c r="AC90" i="3"/>
  <c r="AC91" i="3"/>
  <c r="AC92" i="3"/>
  <c r="AC122" i="3"/>
  <c r="AC93" i="3"/>
  <c r="AC94" i="3"/>
  <c r="AC60" i="3"/>
  <c r="AC63" i="3"/>
  <c r="AC75" i="3"/>
  <c r="AC23" i="10"/>
  <c r="AC30" i="10"/>
  <c r="AC180" i="3"/>
  <c r="AC31" i="10"/>
  <c r="AC32" i="10"/>
  <c r="AC7" i="10"/>
  <c r="AC18" i="10"/>
  <c r="AC100" i="3"/>
  <c r="AC101" i="3"/>
  <c r="AC102" i="3"/>
  <c r="AC103" i="3"/>
  <c r="AC104" i="3"/>
  <c r="AC105" i="3"/>
  <c r="AC106" i="3"/>
  <c r="AC107" i="3"/>
  <c r="AC108" i="3"/>
  <c r="AC19" i="10"/>
  <c r="AC1" i="10"/>
  <c r="AD2" i="3"/>
  <c r="AD2" i="10"/>
  <c r="AC13" i="10"/>
  <c r="AC21" i="10"/>
  <c r="AC22" i="10"/>
  <c r="AC24" i="10"/>
  <c r="AC33" i="10"/>
  <c r="AC7" i="16"/>
  <c r="AC8" i="10"/>
  <c r="AC11" i="10"/>
  <c r="AC9" i="10"/>
  <c r="AC3" i="10"/>
  <c r="AC14" i="10"/>
  <c r="AC8" i="16"/>
  <c r="AC9" i="16"/>
  <c r="AC71" i="3"/>
  <c r="AC73" i="3"/>
  <c r="AC9" i="21"/>
  <c r="AC8" i="21"/>
  <c r="AC171" i="3"/>
  <c r="AC11" i="21"/>
  <c r="AC15" i="21"/>
  <c r="AC16" i="21"/>
  <c r="AC17" i="21"/>
  <c r="AC21" i="21"/>
  <c r="AC22" i="21"/>
  <c r="AC24" i="21"/>
  <c r="AC25" i="21"/>
  <c r="AC136" i="3"/>
  <c r="AC28" i="21"/>
  <c r="AC29" i="21"/>
  <c r="AC30" i="21"/>
  <c r="AC31" i="21"/>
  <c r="AC12" i="16"/>
  <c r="AC40" i="21"/>
  <c r="AC41" i="21"/>
  <c r="AC36" i="21"/>
  <c r="AC42" i="21"/>
  <c r="AC37" i="21"/>
  <c r="AC43" i="21"/>
  <c r="AC13" i="16"/>
  <c r="AC7" i="21"/>
  <c r="AC3" i="21"/>
  <c r="AC45" i="21"/>
  <c r="AC46" i="21"/>
  <c r="AC47" i="21"/>
  <c r="AC14" i="16"/>
  <c r="AC35" i="21"/>
  <c r="AC49" i="21"/>
  <c r="AC38" i="21"/>
  <c r="AC50" i="21"/>
  <c r="AC15" i="16"/>
  <c r="AC34" i="21"/>
  <c r="AC51" i="21"/>
  <c r="AC52" i="21"/>
  <c r="AC16" i="16"/>
  <c r="AC35" i="10"/>
  <c r="AC53" i="21"/>
  <c r="AC55" i="21"/>
  <c r="AC17" i="16"/>
  <c r="AC18" i="16"/>
  <c r="AC19" i="16"/>
  <c r="AC8" i="15"/>
  <c r="AC3" i="14"/>
  <c r="AC32" i="14"/>
  <c r="AC9" i="15"/>
  <c r="AC1" i="12"/>
  <c r="AC8" i="12"/>
  <c r="AC9" i="12"/>
  <c r="AC152" i="3"/>
  <c r="AC56" i="21"/>
  <c r="AC57" i="21"/>
  <c r="AC13" i="12"/>
  <c r="AC14" i="12"/>
  <c r="AC15" i="12"/>
  <c r="AC16" i="12"/>
  <c r="AC17" i="12"/>
  <c r="AC19" i="12"/>
  <c r="AC21" i="12"/>
  <c r="AC23" i="12"/>
  <c r="AC10" i="15"/>
  <c r="AC8" i="8"/>
  <c r="AC12" i="8"/>
  <c r="AC7" i="8"/>
  <c r="AC13" i="8"/>
  <c r="AC11" i="15"/>
  <c r="AC7" i="13"/>
  <c r="AC8" i="13"/>
  <c r="AC67" i="21"/>
  <c r="AC68" i="21"/>
  <c r="AC74" i="3"/>
  <c r="AC69" i="21"/>
  <c r="AC71" i="21"/>
  <c r="AC9" i="13"/>
  <c r="AC10" i="13"/>
  <c r="AC7" i="9"/>
  <c r="AC18" i="9"/>
  <c r="AC9" i="8"/>
  <c r="AC22" i="9"/>
  <c r="AC23" i="9"/>
  <c r="AC29" i="9"/>
  <c r="AC10" i="8"/>
  <c r="AC32" i="9"/>
  <c r="AC33" i="9"/>
  <c r="AC39" i="9"/>
  <c r="AC43" i="9"/>
  <c r="AC11" i="13"/>
  <c r="AC12" i="13"/>
  <c r="AC14" i="13"/>
  <c r="AC12" i="15"/>
  <c r="AC13" i="15"/>
  <c r="AC10" i="14"/>
  <c r="AC15" i="15"/>
  <c r="AC16" i="15"/>
  <c r="AC13" i="14"/>
  <c r="AC15" i="14"/>
  <c r="AC17" i="14"/>
  <c r="AC18" i="14"/>
  <c r="AC22" i="14"/>
  <c r="AC20" i="14"/>
  <c r="AC23" i="14"/>
  <c r="AC26" i="14"/>
  <c r="AD7" i="14"/>
  <c r="AD11" i="14"/>
  <c r="AD14" i="14"/>
  <c r="AD7" i="15"/>
  <c r="AD165" i="3"/>
  <c r="AD28" i="10"/>
  <c r="AD115" i="3"/>
  <c r="AD129" i="3"/>
  <c r="AD27" i="10"/>
  <c r="AD29" i="10"/>
  <c r="AD88" i="3"/>
  <c r="AD89" i="3"/>
  <c r="AD90" i="3"/>
  <c r="AD91" i="3"/>
  <c r="AD92" i="3"/>
  <c r="AD122" i="3"/>
  <c r="AD93" i="3"/>
  <c r="AD94" i="3"/>
  <c r="AD60" i="3"/>
  <c r="AD63" i="3"/>
  <c r="AD75" i="3"/>
  <c r="AD23" i="10"/>
  <c r="AD30" i="10"/>
  <c r="AD180" i="3"/>
  <c r="AD31" i="10"/>
  <c r="AD32" i="10"/>
  <c r="AD7" i="10"/>
  <c r="AD18" i="10"/>
  <c r="AD100" i="3"/>
  <c r="AD101" i="3"/>
  <c r="AD102" i="3"/>
  <c r="AD103" i="3"/>
  <c r="D104" i="3"/>
  <c r="AD104" i="3"/>
  <c r="AD105" i="3"/>
  <c r="AD106" i="3"/>
  <c r="AD107" i="3"/>
  <c r="AD108" i="3"/>
  <c r="AD19" i="10"/>
  <c r="AD1" i="10"/>
  <c r="AE2" i="3"/>
  <c r="AE2" i="10"/>
  <c r="AC12" i="10"/>
  <c r="AD13" i="10"/>
  <c r="AD21" i="10"/>
  <c r="AD22" i="10"/>
  <c r="AD24" i="10"/>
  <c r="AD33" i="10"/>
  <c r="AD7" i="16"/>
  <c r="AD8" i="10"/>
  <c r="AD11" i="10"/>
  <c r="AD9" i="10"/>
  <c r="AD3" i="10"/>
  <c r="AD14" i="10"/>
  <c r="AD8" i="16"/>
  <c r="AD9" i="16"/>
  <c r="AD71" i="3"/>
  <c r="AD73" i="3"/>
  <c r="AD9" i="21"/>
  <c r="AD8" i="21"/>
  <c r="AD171" i="3"/>
  <c r="AD11" i="21"/>
  <c r="AD15" i="21"/>
  <c r="AD16" i="21"/>
  <c r="AD17" i="21"/>
  <c r="AD21" i="21"/>
  <c r="AD22" i="21"/>
  <c r="AD24" i="21"/>
  <c r="AD25" i="21"/>
  <c r="AD136" i="3"/>
  <c r="AD28" i="21"/>
  <c r="AD29" i="21"/>
  <c r="AD30" i="21"/>
  <c r="AD31" i="21"/>
  <c r="AD12" i="16"/>
  <c r="AD40" i="21"/>
  <c r="AD41" i="21"/>
  <c r="AD36" i="21"/>
  <c r="AD42" i="21"/>
  <c r="AD37" i="21"/>
  <c r="AD43" i="21"/>
  <c r="AD13" i="16"/>
  <c r="AD7" i="21"/>
  <c r="AD3" i="21"/>
  <c r="AD45" i="21"/>
  <c r="AD46" i="21"/>
  <c r="AD47" i="21"/>
  <c r="AD14" i="16"/>
  <c r="AD35" i="21"/>
  <c r="AD49" i="21"/>
  <c r="AD38" i="21"/>
  <c r="AD50" i="21"/>
  <c r="AD15" i="16"/>
  <c r="AD34" i="21"/>
  <c r="AD51" i="21"/>
  <c r="AD52" i="21"/>
  <c r="AD16" i="16"/>
  <c r="AD35" i="10"/>
  <c r="AD53" i="21"/>
  <c r="AD55" i="21"/>
  <c r="AD17" i="16"/>
  <c r="AD18" i="16"/>
  <c r="AD19" i="16"/>
  <c r="AD8" i="15"/>
  <c r="AD3" i="14"/>
  <c r="AD32" i="14"/>
  <c r="AD9" i="15"/>
  <c r="AD1" i="12"/>
  <c r="AD8" i="12"/>
  <c r="AD9" i="12"/>
  <c r="AD152" i="3"/>
  <c r="AD56" i="21"/>
  <c r="AD57" i="21"/>
  <c r="AD13" i="12"/>
  <c r="AD14" i="12"/>
  <c r="AD15" i="12"/>
  <c r="AD16" i="12"/>
  <c r="AD17" i="12"/>
  <c r="AD19" i="12"/>
  <c r="AD21" i="12"/>
  <c r="AD23" i="12"/>
  <c r="AD10" i="15"/>
  <c r="AD8" i="8"/>
  <c r="AD12" i="8"/>
  <c r="AD7" i="8"/>
  <c r="AD13" i="8"/>
  <c r="AD11" i="15"/>
  <c r="AD7" i="13"/>
  <c r="AD8" i="13"/>
  <c r="AD67" i="21"/>
  <c r="AD68" i="21"/>
  <c r="AD74" i="3"/>
  <c r="AD69" i="21"/>
  <c r="AD71" i="21"/>
  <c r="AD9" i="13"/>
  <c r="AD10" i="13"/>
  <c r="AD7" i="9"/>
  <c r="AD18" i="9"/>
  <c r="AD9" i="8"/>
  <c r="AD22" i="9"/>
  <c r="AD23" i="9"/>
  <c r="AD29" i="9"/>
  <c r="AD10" i="8"/>
  <c r="AD32" i="9"/>
  <c r="AD33" i="9"/>
  <c r="AD39" i="9"/>
  <c r="AD43" i="9"/>
  <c r="AD11" i="13"/>
  <c r="AD12" i="13"/>
  <c r="AD14" i="13"/>
  <c r="AD12" i="15"/>
  <c r="AD13" i="15"/>
  <c r="AD10" i="14"/>
  <c r="AD15" i="15"/>
  <c r="AD16" i="15"/>
  <c r="AD13" i="14"/>
  <c r="AD15" i="14"/>
  <c r="AD17" i="14"/>
  <c r="AD18" i="14"/>
  <c r="AD22" i="14"/>
  <c r="AD20" i="14"/>
  <c r="AD23" i="14"/>
  <c r="AD26" i="14"/>
  <c r="AE7" i="14"/>
  <c r="AE11" i="14"/>
  <c r="AE14" i="14"/>
  <c r="AE7" i="15"/>
  <c r="AE165" i="3"/>
  <c r="AE28" i="10"/>
  <c r="AE115" i="3"/>
  <c r="AE129" i="3"/>
  <c r="AE27" i="10"/>
  <c r="AE29" i="10"/>
  <c r="AE88" i="3"/>
  <c r="AE89" i="3"/>
  <c r="AE90" i="3"/>
  <c r="AE91" i="3"/>
  <c r="AE92" i="3"/>
  <c r="AE122" i="3"/>
  <c r="AE93" i="3"/>
  <c r="AE94" i="3"/>
  <c r="AE60" i="3"/>
  <c r="AE63" i="3"/>
  <c r="AE75" i="3"/>
  <c r="AE23" i="10"/>
  <c r="AE30" i="10"/>
  <c r="AE180" i="3"/>
  <c r="AE31" i="10"/>
  <c r="AE32" i="10"/>
  <c r="AE7" i="10"/>
  <c r="AE18" i="10"/>
  <c r="AE100" i="3"/>
  <c r="AE101" i="3"/>
  <c r="AE102" i="3"/>
  <c r="AE103" i="3"/>
  <c r="AE104" i="3"/>
  <c r="AE105" i="3"/>
  <c r="AE106" i="3"/>
  <c r="AE107" i="3"/>
  <c r="AE108" i="3"/>
  <c r="AE19" i="10"/>
  <c r="AE1" i="10"/>
  <c r="AF2" i="3"/>
  <c r="AF2" i="10"/>
  <c r="AE13" i="10"/>
  <c r="AE21" i="10"/>
  <c r="AE22" i="10"/>
  <c r="AE24" i="10"/>
  <c r="AE33" i="10"/>
  <c r="AE7" i="16"/>
  <c r="AE8" i="10"/>
  <c r="AE11" i="10"/>
  <c r="AE9" i="10"/>
  <c r="AE3" i="10"/>
  <c r="AE14" i="10"/>
  <c r="AE8" i="16"/>
  <c r="AE9" i="16"/>
  <c r="AE71" i="3"/>
  <c r="AE73" i="3"/>
  <c r="AE9" i="21"/>
  <c r="AE8" i="21"/>
  <c r="AE171" i="3"/>
  <c r="AE11" i="21"/>
  <c r="AE15" i="21"/>
  <c r="AE16" i="21"/>
  <c r="AE17" i="21"/>
  <c r="AE21" i="21"/>
  <c r="AE22" i="21"/>
  <c r="AE24" i="21"/>
  <c r="AE25" i="21"/>
  <c r="AE136" i="3"/>
  <c r="AE28" i="21"/>
  <c r="AE29" i="21"/>
  <c r="AE30" i="21"/>
  <c r="AE31" i="21"/>
  <c r="AE12" i="16"/>
  <c r="AE40" i="21"/>
  <c r="AE41" i="21"/>
  <c r="AE36" i="21"/>
  <c r="AE42" i="21"/>
  <c r="AE37" i="21"/>
  <c r="AE43" i="21"/>
  <c r="AE13" i="16"/>
  <c r="AE7" i="21"/>
  <c r="AE3" i="21"/>
  <c r="AE45" i="21"/>
  <c r="AE46" i="21"/>
  <c r="AE47" i="21"/>
  <c r="AE14" i="16"/>
  <c r="AE35" i="21"/>
  <c r="AE49" i="21"/>
  <c r="AE38" i="21"/>
  <c r="AE50" i="21"/>
  <c r="AE15" i="16"/>
  <c r="AE34" i="21"/>
  <c r="AE51" i="21"/>
  <c r="AE52" i="21"/>
  <c r="AE16" i="16"/>
  <c r="AE35" i="10"/>
  <c r="AE53" i="21"/>
  <c r="AE55" i="21"/>
  <c r="AE17" i="16"/>
  <c r="AE18" i="16"/>
  <c r="AE19" i="16"/>
  <c r="AE8" i="15"/>
  <c r="AE3" i="14"/>
  <c r="AE32" i="14"/>
  <c r="AE9" i="15"/>
  <c r="AE1" i="12"/>
  <c r="AE8" i="12"/>
  <c r="AE9" i="12"/>
  <c r="AE152" i="3"/>
  <c r="AE56" i="21"/>
  <c r="AE57" i="21"/>
  <c r="AE13" i="12"/>
  <c r="AE14" i="12"/>
  <c r="AE15" i="12"/>
  <c r="AE16" i="12"/>
  <c r="AE17" i="12"/>
  <c r="AE19" i="12"/>
  <c r="AE21" i="12"/>
  <c r="AE23" i="12"/>
  <c r="AE10" i="15"/>
  <c r="AE8" i="8"/>
  <c r="AE12" i="8"/>
  <c r="AE7" i="8"/>
  <c r="AE13" i="8"/>
  <c r="AE11" i="15"/>
  <c r="AE7" i="13"/>
  <c r="AE8" i="13"/>
  <c r="AE67" i="21"/>
  <c r="AE68" i="21"/>
  <c r="AE74" i="3"/>
  <c r="AE69" i="21"/>
  <c r="AE71" i="21"/>
  <c r="AE9" i="13"/>
  <c r="AE10" i="13"/>
  <c r="AE7" i="9"/>
  <c r="AE18" i="9"/>
  <c r="AE9" i="8"/>
  <c r="AE22" i="9"/>
  <c r="AE23" i="9"/>
  <c r="AE29" i="9"/>
  <c r="AE10" i="8"/>
  <c r="AE32" i="9"/>
  <c r="AE33" i="9"/>
  <c r="AE39" i="9"/>
  <c r="AE43" i="9"/>
  <c r="AE11" i="13"/>
  <c r="AE12" i="13"/>
  <c r="AE14" i="13"/>
  <c r="AE12" i="15"/>
  <c r="AE13" i="15"/>
  <c r="AE10" i="14"/>
  <c r="AE15" i="15"/>
  <c r="AE16" i="15"/>
  <c r="AE13" i="14"/>
  <c r="AE15" i="14"/>
  <c r="AE17" i="14"/>
  <c r="AE18" i="14"/>
  <c r="AE22" i="14"/>
  <c r="AE20" i="14"/>
  <c r="AE23" i="14"/>
  <c r="AE26" i="14"/>
  <c r="AF7" i="14"/>
  <c r="AF11" i="14"/>
  <c r="AF14" i="14"/>
  <c r="AF7" i="15"/>
  <c r="AF165" i="3"/>
  <c r="AF28" i="10"/>
  <c r="AF115" i="3"/>
  <c r="AF129" i="3"/>
  <c r="AF27" i="10"/>
  <c r="AF29" i="10"/>
  <c r="AF88" i="3"/>
  <c r="AF89" i="3"/>
  <c r="AF90" i="3"/>
  <c r="AF91" i="3"/>
  <c r="AF92" i="3"/>
  <c r="AF122" i="3"/>
  <c r="AF93" i="3"/>
  <c r="AF94" i="3"/>
  <c r="AF60" i="3"/>
  <c r="AF63" i="3"/>
  <c r="AF75" i="3"/>
  <c r="AF23" i="10"/>
  <c r="AF30" i="10"/>
  <c r="AF180" i="3"/>
  <c r="AF31" i="10"/>
  <c r="AF32" i="10"/>
  <c r="AF7" i="10"/>
  <c r="AF18" i="10"/>
  <c r="AF100" i="3"/>
  <c r="AF101" i="3"/>
  <c r="AF102" i="3"/>
  <c r="AF103" i="3"/>
  <c r="AF104" i="3"/>
  <c r="D105" i="3"/>
  <c r="AF105" i="3"/>
  <c r="AF106" i="3"/>
  <c r="AF107" i="3"/>
  <c r="AF108" i="3"/>
  <c r="AF19" i="10"/>
  <c r="AF1" i="10"/>
  <c r="AG2" i="3"/>
  <c r="AG2" i="10"/>
  <c r="AE12" i="10"/>
  <c r="AF13" i="10"/>
  <c r="AF21" i="10"/>
  <c r="AF22" i="10"/>
  <c r="AF24" i="10"/>
  <c r="AF33" i="10"/>
  <c r="AF7" i="16"/>
  <c r="AF8" i="10"/>
  <c r="AF11" i="10"/>
  <c r="AF9" i="10"/>
  <c r="AF3" i="10"/>
  <c r="AF14" i="10"/>
  <c r="AF8" i="16"/>
  <c r="AF9" i="16"/>
  <c r="AF71" i="3"/>
  <c r="AF73" i="3"/>
  <c r="AF9" i="21"/>
  <c r="AF8" i="21"/>
  <c r="AF171" i="3"/>
  <c r="AF11" i="21"/>
  <c r="AF15" i="21"/>
  <c r="AF16" i="21"/>
  <c r="AF17" i="21"/>
  <c r="AF21" i="21"/>
  <c r="AF22" i="21"/>
  <c r="AF24" i="21"/>
  <c r="AF25" i="21"/>
  <c r="AF136" i="3"/>
  <c r="AF28" i="21"/>
  <c r="AF29" i="21"/>
  <c r="AF30" i="21"/>
  <c r="AF31" i="21"/>
  <c r="AF12" i="16"/>
  <c r="AF40" i="21"/>
  <c r="AF41" i="21"/>
  <c r="AF36" i="21"/>
  <c r="AF42" i="21"/>
  <c r="AF37" i="21"/>
  <c r="AF43" i="21"/>
  <c r="AF13" i="16"/>
  <c r="AF7" i="21"/>
  <c r="AF3" i="21"/>
  <c r="AF45" i="21"/>
  <c r="AF46" i="21"/>
  <c r="AF47" i="21"/>
  <c r="AF14" i="16"/>
  <c r="AF35" i="21"/>
  <c r="AF49" i="21"/>
  <c r="AF38" i="21"/>
  <c r="AF50" i="21"/>
  <c r="AF15" i="16"/>
  <c r="AF34" i="21"/>
  <c r="AF51" i="21"/>
  <c r="AF52" i="21"/>
  <c r="AF16" i="16"/>
  <c r="AF35" i="10"/>
  <c r="AF53" i="21"/>
  <c r="AF55" i="21"/>
  <c r="AF17" i="16"/>
  <c r="AF18" i="16"/>
  <c r="AF19" i="16"/>
  <c r="AF8" i="15"/>
  <c r="AF3" i="14"/>
  <c r="AF32" i="14"/>
  <c r="AF9" i="15"/>
  <c r="AF1" i="12"/>
  <c r="AF8" i="12"/>
  <c r="AF9" i="12"/>
  <c r="AF152" i="3"/>
  <c r="AF56" i="21"/>
  <c r="AF57" i="21"/>
  <c r="AF13" i="12"/>
  <c r="AF14" i="12"/>
  <c r="AF15" i="12"/>
  <c r="AF16" i="12"/>
  <c r="AF17" i="12"/>
  <c r="AF19" i="12"/>
  <c r="AF21" i="12"/>
  <c r="AF23" i="12"/>
  <c r="AF10" i="15"/>
  <c r="AF8" i="8"/>
  <c r="AF12" i="8"/>
  <c r="AF7" i="8"/>
  <c r="AF13" i="8"/>
  <c r="AF11" i="15"/>
  <c r="AF7" i="13"/>
  <c r="AF8" i="13"/>
  <c r="AF67" i="21"/>
  <c r="AF68" i="21"/>
  <c r="AF74" i="3"/>
  <c r="AF69" i="21"/>
  <c r="AF71" i="21"/>
  <c r="AF9" i="13"/>
  <c r="AF10" i="13"/>
  <c r="AF7" i="9"/>
  <c r="AF18" i="9"/>
  <c r="AF9" i="8"/>
  <c r="AF22" i="9"/>
  <c r="AF23" i="9"/>
  <c r="AF29" i="9"/>
  <c r="AF10" i="8"/>
  <c r="AF32" i="9"/>
  <c r="AF33" i="9"/>
  <c r="AF39" i="9"/>
  <c r="AF43" i="9"/>
  <c r="AF11" i="13"/>
  <c r="AF12" i="13"/>
  <c r="AF14" i="13"/>
  <c r="AF12" i="15"/>
  <c r="AF13" i="15"/>
  <c r="AF10" i="14"/>
  <c r="AF15" i="15"/>
  <c r="AF16" i="15"/>
  <c r="AF13" i="14"/>
  <c r="AF15" i="14"/>
  <c r="AF17" i="14"/>
  <c r="AF18" i="14"/>
  <c r="AF22" i="14"/>
  <c r="AF20" i="14"/>
  <c r="AF23" i="14"/>
  <c r="AF26" i="14"/>
  <c r="AG7" i="14"/>
  <c r="AG11" i="14"/>
  <c r="AG14" i="14"/>
  <c r="AG7" i="15"/>
  <c r="AG165" i="3"/>
  <c r="AG28" i="10"/>
  <c r="AG115" i="3"/>
  <c r="AG129" i="3"/>
  <c r="AG27" i="10"/>
  <c r="AG29" i="10"/>
  <c r="AG88" i="3"/>
  <c r="AG89" i="3"/>
  <c r="AG90" i="3"/>
  <c r="AG91" i="3"/>
  <c r="AG92" i="3"/>
  <c r="AG122" i="3"/>
  <c r="AG93" i="3"/>
  <c r="AG94" i="3"/>
  <c r="AG60" i="3"/>
  <c r="AG63" i="3"/>
  <c r="AG75" i="3"/>
  <c r="AG23" i="10"/>
  <c r="AG30" i="10"/>
  <c r="AG180" i="3"/>
  <c r="AG31" i="10"/>
  <c r="AG32" i="10"/>
  <c r="AG7" i="10"/>
  <c r="AG18" i="10"/>
  <c r="AG100" i="3"/>
  <c r="AG101" i="3"/>
  <c r="AG102" i="3"/>
  <c r="AG103" i="3"/>
  <c r="AG104" i="3"/>
  <c r="AG105" i="3"/>
  <c r="AG106" i="3"/>
  <c r="AG107" i="3"/>
  <c r="AG108" i="3"/>
  <c r="AG19" i="10"/>
  <c r="AG1" i="10"/>
  <c r="AH2" i="3"/>
  <c r="AH2" i="10"/>
  <c r="AG13" i="10"/>
  <c r="AG21" i="10"/>
  <c r="AG22" i="10"/>
  <c r="AG24" i="10"/>
  <c r="AG33" i="10"/>
  <c r="AG7" i="16"/>
  <c r="AG8" i="10"/>
  <c r="AG11" i="10"/>
  <c r="AG9" i="10"/>
  <c r="AG3" i="10"/>
  <c r="AG14" i="10"/>
  <c r="AG8" i="16"/>
  <c r="AG9" i="16"/>
  <c r="AG71" i="3"/>
  <c r="AG73" i="3"/>
  <c r="AG9" i="21"/>
  <c r="AG8" i="21"/>
  <c r="AG171" i="3"/>
  <c r="AG11" i="21"/>
  <c r="AG15" i="21"/>
  <c r="AG16" i="21"/>
  <c r="AG17" i="21"/>
  <c r="AG21" i="21"/>
  <c r="AG22" i="21"/>
  <c r="AG24" i="21"/>
  <c r="AG25" i="21"/>
  <c r="AG136" i="3"/>
  <c r="AG28" i="21"/>
  <c r="AG29" i="21"/>
  <c r="AG30" i="21"/>
  <c r="AG31" i="21"/>
  <c r="AG12" i="16"/>
  <c r="AG40" i="21"/>
  <c r="AG41" i="21"/>
  <c r="AG36" i="21"/>
  <c r="AG42" i="21"/>
  <c r="AG37" i="21"/>
  <c r="AG43" i="21"/>
  <c r="AG13" i="16"/>
  <c r="AG7" i="21"/>
  <c r="AG3" i="21"/>
  <c r="AG45" i="21"/>
  <c r="AG46" i="21"/>
  <c r="AG47" i="21"/>
  <c r="AG14" i="16"/>
  <c r="AG35" i="21"/>
  <c r="AG49" i="21"/>
  <c r="AG38" i="21"/>
  <c r="AG50" i="21"/>
  <c r="AG15" i="16"/>
  <c r="AG34" i="21"/>
  <c r="AG51" i="21"/>
  <c r="AG52" i="21"/>
  <c r="AG16" i="16"/>
  <c r="AG35" i="10"/>
  <c r="AG53" i="21"/>
  <c r="AG55" i="21"/>
  <c r="AG17" i="16"/>
  <c r="AG18" i="16"/>
  <c r="AG19" i="16"/>
  <c r="AG8" i="15"/>
  <c r="AG3" i="14"/>
  <c r="AG32" i="14"/>
  <c r="AG9" i="15"/>
  <c r="AG1" i="12"/>
  <c r="AG8" i="12"/>
  <c r="AG9" i="12"/>
  <c r="AG152" i="3"/>
  <c r="AG56" i="21"/>
  <c r="AG57" i="21"/>
  <c r="AG13" i="12"/>
  <c r="AG14" i="12"/>
  <c r="AG15" i="12"/>
  <c r="AG16" i="12"/>
  <c r="AG17" i="12"/>
  <c r="AG19" i="12"/>
  <c r="AG21" i="12"/>
  <c r="AG23" i="12"/>
  <c r="AG10" i="15"/>
  <c r="AG8" i="8"/>
  <c r="AG12" i="8"/>
  <c r="AG7" i="8"/>
  <c r="AG13" i="8"/>
  <c r="AG11" i="15"/>
  <c r="AG7" i="13"/>
  <c r="AG8" i="13"/>
  <c r="AG67" i="21"/>
  <c r="AG68" i="21"/>
  <c r="AG74" i="3"/>
  <c r="AG69" i="21"/>
  <c r="AG71" i="21"/>
  <c r="AG9" i="13"/>
  <c r="AG10" i="13"/>
  <c r="AG7" i="9"/>
  <c r="AG18" i="9"/>
  <c r="AG9" i="8"/>
  <c r="AG22" i="9"/>
  <c r="AG23" i="9"/>
  <c r="AG29" i="9"/>
  <c r="AG10" i="8"/>
  <c r="AG32" i="9"/>
  <c r="AG33" i="9"/>
  <c r="AG39" i="9"/>
  <c r="AG43" i="9"/>
  <c r="AG11" i="13"/>
  <c r="AG12" i="13"/>
  <c r="AG14" i="13"/>
  <c r="AG12" i="15"/>
  <c r="AG13" i="15"/>
  <c r="AG10" i="14"/>
  <c r="AG15" i="15"/>
  <c r="AG16" i="15"/>
  <c r="AG13" i="14"/>
  <c r="AG15" i="14"/>
  <c r="AG17" i="14"/>
  <c r="AG18" i="14"/>
  <c r="AG22" i="14"/>
  <c r="AG20" i="14"/>
  <c r="AG23" i="14"/>
  <c r="AG26" i="14"/>
  <c r="AH7" i="14"/>
  <c r="AH11" i="14"/>
  <c r="AH14" i="14"/>
  <c r="AH7" i="15"/>
  <c r="AH165" i="3"/>
  <c r="AH28" i="10"/>
  <c r="AH115" i="3"/>
  <c r="AH129" i="3"/>
  <c r="AH27" i="10"/>
  <c r="AH29" i="10"/>
  <c r="AH88" i="3"/>
  <c r="AH89" i="3"/>
  <c r="AH90" i="3"/>
  <c r="AH91" i="3"/>
  <c r="AH92" i="3"/>
  <c r="AH122" i="3"/>
  <c r="AH93" i="3"/>
  <c r="AH94" i="3"/>
  <c r="AH60" i="3"/>
  <c r="AH63" i="3"/>
  <c r="AH75" i="3"/>
  <c r="AH23" i="10"/>
  <c r="AH30" i="10"/>
  <c r="AH180" i="3"/>
  <c r="AH31" i="10"/>
  <c r="AH32" i="10"/>
  <c r="AH7" i="10"/>
  <c r="AH18" i="10"/>
  <c r="AH100" i="3"/>
  <c r="AH101" i="3"/>
  <c r="AH102" i="3"/>
  <c r="AH103" i="3"/>
  <c r="AH104" i="3"/>
  <c r="AH105" i="3"/>
  <c r="D106" i="3"/>
  <c r="AH106" i="3"/>
  <c r="AH107" i="3"/>
  <c r="AH108" i="3"/>
  <c r="AH19" i="10"/>
  <c r="AH1" i="10"/>
  <c r="AI2" i="3"/>
  <c r="AI2" i="10"/>
  <c r="AG12" i="10"/>
  <c r="AH13" i="10"/>
  <c r="AH21" i="10"/>
  <c r="AH22" i="10"/>
  <c r="AH24" i="10"/>
  <c r="AH33" i="10"/>
  <c r="AH7" i="16"/>
  <c r="AH8" i="10"/>
  <c r="AH11" i="10"/>
  <c r="AH9" i="10"/>
  <c r="AH3" i="10"/>
  <c r="AH14" i="10"/>
  <c r="AH8" i="16"/>
  <c r="AH9" i="16"/>
  <c r="AH71" i="3"/>
  <c r="AH73" i="3"/>
  <c r="AH9" i="21"/>
  <c r="AH8" i="21"/>
  <c r="AH171" i="3"/>
  <c r="AH11" i="21"/>
  <c r="AH15" i="21"/>
  <c r="AH16" i="21"/>
  <c r="AH17" i="21"/>
  <c r="AH21" i="21"/>
  <c r="AH22" i="21"/>
  <c r="AH24" i="21"/>
  <c r="AH25" i="21"/>
  <c r="AH136" i="3"/>
  <c r="AH28" i="21"/>
  <c r="AH29" i="21"/>
  <c r="AH30" i="21"/>
  <c r="AH31" i="21"/>
  <c r="AH12" i="16"/>
  <c r="AH40" i="21"/>
  <c r="AH41" i="21"/>
  <c r="AH36" i="21"/>
  <c r="AH42" i="21"/>
  <c r="AH37" i="21"/>
  <c r="AH43" i="21"/>
  <c r="AH13" i="16"/>
  <c r="AH7" i="21"/>
  <c r="AH3" i="21"/>
  <c r="AH45" i="21"/>
  <c r="AH46" i="21"/>
  <c r="AH47" i="21"/>
  <c r="AH14" i="16"/>
  <c r="AH35" i="21"/>
  <c r="AH49" i="21"/>
  <c r="AH38" i="21"/>
  <c r="AH50" i="21"/>
  <c r="AH15" i="16"/>
  <c r="AH34" i="21"/>
  <c r="AH51" i="21"/>
  <c r="AH52" i="21"/>
  <c r="AH16" i="16"/>
  <c r="AH35" i="10"/>
  <c r="AH53" i="21"/>
  <c r="AH55" i="21"/>
  <c r="AH17" i="16"/>
  <c r="AH18" i="16"/>
  <c r="AH19" i="16"/>
  <c r="AH8" i="15"/>
  <c r="AH3" i="14"/>
  <c r="AH32" i="14"/>
  <c r="AH9" i="15"/>
  <c r="AH1" i="12"/>
  <c r="AH8" i="12"/>
  <c r="AH9" i="12"/>
  <c r="AH152" i="3"/>
  <c r="AH56" i="21"/>
  <c r="AH57" i="21"/>
  <c r="AH13" i="12"/>
  <c r="AH14" i="12"/>
  <c r="AH15" i="12"/>
  <c r="AH16" i="12"/>
  <c r="AH17" i="12"/>
  <c r="AH19" i="12"/>
  <c r="AH21" i="12"/>
  <c r="AH23" i="12"/>
  <c r="AH10" i="15"/>
  <c r="AH8" i="8"/>
  <c r="AH12" i="8"/>
  <c r="AH7" i="8"/>
  <c r="AH13" i="8"/>
  <c r="AH11" i="15"/>
  <c r="AH7" i="13"/>
  <c r="AH8" i="13"/>
  <c r="AH67" i="21"/>
  <c r="AH68" i="21"/>
  <c r="AH74" i="3"/>
  <c r="AH69" i="21"/>
  <c r="AH71" i="21"/>
  <c r="AH9" i="13"/>
  <c r="AH10" i="13"/>
  <c r="AH7" i="9"/>
  <c r="AH18" i="9"/>
  <c r="AH9" i="8"/>
  <c r="AH22" i="9"/>
  <c r="AH23" i="9"/>
  <c r="AH29" i="9"/>
  <c r="AH10" i="8"/>
  <c r="AH32" i="9"/>
  <c r="AH33" i="9"/>
  <c r="AH39" i="9"/>
  <c r="AH43" i="9"/>
  <c r="AH11" i="13"/>
  <c r="AH12" i="13"/>
  <c r="AH14" i="13"/>
  <c r="AH12" i="15"/>
  <c r="AH13" i="15"/>
  <c r="AH10" i="14"/>
  <c r="AH15" i="15"/>
  <c r="AH16" i="15"/>
  <c r="AH13" i="14"/>
  <c r="AH15" i="14"/>
  <c r="AH17" i="14"/>
  <c r="AH18" i="14"/>
  <c r="AH22" i="14"/>
  <c r="AH20" i="14"/>
  <c r="AH23" i="14"/>
  <c r="AH26" i="14"/>
  <c r="AI7" i="14"/>
  <c r="AI11" i="14"/>
  <c r="AI14" i="14"/>
  <c r="AI7" i="15"/>
  <c r="AI165" i="3"/>
  <c r="AI28" i="10"/>
  <c r="AI115" i="3"/>
  <c r="AI129" i="3"/>
  <c r="AI27" i="10"/>
  <c r="AI29" i="10"/>
  <c r="AI88" i="3"/>
  <c r="AI89" i="3"/>
  <c r="AI90" i="3"/>
  <c r="AI91" i="3"/>
  <c r="AI92" i="3"/>
  <c r="AI122" i="3"/>
  <c r="AI93" i="3"/>
  <c r="AI94" i="3"/>
  <c r="AI60" i="3"/>
  <c r="AI63" i="3"/>
  <c r="AI75" i="3"/>
  <c r="AI23" i="10"/>
  <c r="AI30" i="10"/>
  <c r="AI180" i="3"/>
  <c r="AI31" i="10"/>
  <c r="AI32" i="10"/>
  <c r="AI7" i="10"/>
  <c r="AI18" i="10"/>
  <c r="AI100" i="3"/>
  <c r="AI101" i="3"/>
  <c r="AI102" i="3"/>
  <c r="AI103" i="3"/>
  <c r="AI104" i="3"/>
  <c r="AI105" i="3"/>
  <c r="AI106" i="3"/>
  <c r="AI107" i="3"/>
  <c r="AI108" i="3"/>
  <c r="AI19" i="10"/>
  <c r="AI1" i="10"/>
  <c r="AJ2" i="3"/>
  <c r="AJ2" i="10"/>
  <c r="AI13" i="10"/>
  <c r="AI21" i="10"/>
  <c r="AI22" i="10"/>
  <c r="AI24" i="10"/>
  <c r="AI33" i="10"/>
  <c r="AI7" i="16"/>
  <c r="AI8" i="10"/>
  <c r="AI11" i="10"/>
  <c r="AI9" i="10"/>
  <c r="AI3" i="10"/>
  <c r="AI14" i="10"/>
  <c r="AI8" i="16"/>
  <c r="AI9" i="16"/>
  <c r="AI71" i="3"/>
  <c r="AI73" i="3"/>
  <c r="AI9" i="21"/>
  <c r="AI8" i="21"/>
  <c r="AI171" i="3"/>
  <c r="AI11" i="21"/>
  <c r="AI15" i="21"/>
  <c r="AI16" i="21"/>
  <c r="AI17" i="21"/>
  <c r="AI21" i="21"/>
  <c r="AI22" i="21"/>
  <c r="AI24" i="21"/>
  <c r="AI25" i="21"/>
  <c r="AI136" i="3"/>
  <c r="AI28" i="21"/>
  <c r="AI29" i="21"/>
  <c r="AI30" i="21"/>
  <c r="AI31" i="21"/>
  <c r="AI12" i="16"/>
  <c r="AI40" i="21"/>
  <c r="AI41" i="21"/>
  <c r="AI36" i="21"/>
  <c r="AI42" i="21"/>
  <c r="AI37" i="21"/>
  <c r="AI43" i="21"/>
  <c r="AI13" i="16"/>
  <c r="AI7" i="21"/>
  <c r="AI3" i="21"/>
  <c r="AI45" i="21"/>
  <c r="AI46" i="21"/>
  <c r="AI47" i="21"/>
  <c r="AI14" i="16"/>
  <c r="AI35" i="21"/>
  <c r="AI49" i="21"/>
  <c r="AI38" i="21"/>
  <c r="AI50" i="21"/>
  <c r="AI15" i="16"/>
  <c r="AI34" i="21"/>
  <c r="AI51" i="21"/>
  <c r="AI52" i="21"/>
  <c r="AI16" i="16"/>
  <c r="AI35" i="10"/>
  <c r="AI53" i="21"/>
  <c r="AI55" i="21"/>
  <c r="AI17" i="16"/>
  <c r="AI18" i="16"/>
  <c r="AI19" i="16"/>
  <c r="AI8" i="15"/>
  <c r="AI3" i="14"/>
  <c r="AI32" i="14"/>
  <c r="AI9" i="15"/>
  <c r="AI1" i="12"/>
  <c r="AI8" i="12"/>
  <c r="AI9" i="12"/>
  <c r="AI152" i="3"/>
  <c r="AI56" i="21"/>
  <c r="AI57" i="21"/>
  <c r="AI13" i="12"/>
  <c r="AI14" i="12"/>
  <c r="AI15" i="12"/>
  <c r="AI16" i="12"/>
  <c r="AI17" i="12"/>
  <c r="AI19" i="12"/>
  <c r="AI21" i="12"/>
  <c r="AI23" i="12"/>
  <c r="AI10" i="15"/>
  <c r="AI8" i="8"/>
  <c r="AI12" i="8"/>
  <c r="AI7" i="8"/>
  <c r="AI13" i="8"/>
  <c r="AI11" i="15"/>
  <c r="AI7" i="13"/>
  <c r="AI8" i="13"/>
  <c r="AI67" i="21"/>
  <c r="AI68" i="21"/>
  <c r="AI74" i="3"/>
  <c r="AI69" i="21"/>
  <c r="AI71" i="21"/>
  <c r="AI9" i="13"/>
  <c r="AI10" i="13"/>
  <c r="AI7" i="9"/>
  <c r="AI18" i="9"/>
  <c r="AI9" i="8"/>
  <c r="AI22" i="9"/>
  <c r="AI23" i="9"/>
  <c r="AI29" i="9"/>
  <c r="AI10" i="8"/>
  <c r="AI32" i="9"/>
  <c r="AI33" i="9"/>
  <c r="AI39" i="9"/>
  <c r="AI43" i="9"/>
  <c r="AI11" i="13"/>
  <c r="AI12" i="13"/>
  <c r="AI14" i="13"/>
  <c r="AI12" i="15"/>
  <c r="AI13" i="15"/>
  <c r="AI10" i="14"/>
  <c r="AI15" i="15"/>
  <c r="AI16" i="15"/>
  <c r="AI13" i="14"/>
  <c r="AI15" i="14"/>
  <c r="AI17" i="14"/>
  <c r="AI18" i="14"/>
  <c r="AI22" i="14"/>
  <c r="AI20" i="14"/>
  <c r="AI23" i="14"/>
  <c r="AI26" i="14"/>
  <c r="AJ7" i="14"/>
  <c r="AJ11" i="14"/>
  <c r="AJ14" i="14"/>
  <c r="AJ7" i="15"/>
  <c r="AJ165" i="3"/>
  <c r="AJ28" i="10"/>
  <c r="AJ115" i="3"/>
  <c r="AJ129" i="3"/>
  <c r="AJ27" i="10"/>
  <c r="AJ29" i="10"/>
  <c r="AJ88" i="3"/>
  <c r="AJ89" i="3"/>
  <c r="AJ90" i="3"/>
  <c r="AJ91" i="3"/>
  <c r="AJ92" i="3"/>
  <c r="AJ122" i="3"/>
  <c r="AJ93" i="3"/>
  <c r="AJ94" i="3"/>
  <c r="AJ60" i="3"/>
  <c r="AJ63" i="3"/>
  <c r="AJ75" i="3"/>
  <c r="AJ23" i="10"/>
  <c r="AJ30" i="10"/>
  <c r="AJ180" i="3"/>
  <c r="AJ31" i="10"/>
  <c r="AJ32" i="10"/>
  <c r="AJ7" i="10"/>
  <c r="AJ18" i="10"/>
  <c r="AJ100" i="3"/>
  <c r="AJ101" i="3"/>
  <c r="AJ102" i="3"/>
  <c r="AJ103" i="3"/>
  <c r="AJ104" i="3"/>
  <c r="AJ105" i="3"/>
  <c r="AJ106" i="3"/>
  <c r="D107" i="3"/>
  <c r="AJ107" i="3"/>
  <c r="AJ108" i="3"/>
  <c r="AJ19" i="10"/>
  <c r="AJ1" i="10"/>
  <c r="AK2" i="3"/>
  <c r="AK2" i="10"/>
  <c r="AI12" i="10"/>
  <c r="AJ13" i="10"/>
  <c r="AJ21" i="10"/>
  <c r="AJ22" i="10"/>
  <c r="AJ24" i="10"/>
  <c r="AJ33" i="10"/>
  <c r="AJ7" i="16"/>
  <c r="AJ8" i="10"/>
  <c r="AJ11" i="10"/>
  <c r="AJ9" i="10"/>
  <c r="AJ3" i="10"/>
  <c r="AJ14" i="10"/>
  <c r="AJ8" i="16"/>
  <c r="AJ9" i="16"/>
  <c r="AJ71" i="3"/>
  <c r="AJ73" i="3"/>
  <c r="AJ9" i="21"/>
  <c r="AJ8" i="21"/>
  <c r="AJ171" i="3"/>
  <c r="AJ11" i="21"/>
  <c r="AJ15" i="21"/>
  <c r="AJ16" i="21"/>
  <c r="AJ17" i="21"/>
  <c r="AJ21" i="21"/>
  <c r="AJ22" i="21"/>
  <c r="AJ24" i="21"/>
  <c r="AJ25" i="21"/>
  <c r="AJ136" i="3"/>
  <c r="AJ28" i="21"/>
  <c r="AJ29" i="21"/>
  <c r="AJ30" i="21"/>
  <c r="AJ31" i="21"/>
  <c r="AJ12" i="16"/>
  <c r="AJ40" i="21"/>
  <c r="AJ41" i="21"/>
  <c r="AJ36" i="21"/>
  <c r="AJ42" i="21"/>
  <c r="AJ37" i="21"/>
  <c r="AJ43" i="21"/>
  <c r="AJ13" i="16"/>
  <c r="AJ7" i="21"/>
  <c r="AJ3" i="21"/>
  <c r="AJ45" i="21"/>
  <c r="AJ46" i="21"/>
  <c r="AJ47" i="21"/>
  <c r="AJ14" i="16"/>
  <c r="AJ35" i="21"/>
  <c r="AJ49" i="21"/>
  <c r="AJ38" i="21"/>
  <c r="AJ50" i="21"/>
  <c r="AJ15" i="16"/>
  <c r="AJ34" i="21"/>
  <c r="AJ51" i="21"/>
  <c r="AJ52" i="21"/>
  <c r="AJ16" i="16"/>
  <c r="AJ35" i="10"/>
  <c r="AJ53" i="21"/>
  <c r="AJ55" i="21"/>
  <c r="AJ17" i="16"/>
  <c r="AJ18" i="16"/>
  <c r="AJ19" i="16"/>
  <c r="AJ8" i="15"/>
  <c r="AJ3" i="14"/>
  <c r="AJ32" i="14"/>
  <c r="AJ9" i="15"/>
  <c r="AJ1" i="12"/>
  <c r="AJ8" i="12"/>
  <c r="AJ9" i="12"/>
  <c r="AJ152" i="3"/>
  <c r="AJ56" i="21"/>
  <c r="AJ57" i="21"/>
  <c r="AJ13" i="12"/>
  <c r="AJ14" i="12"/>
  <c r="AJ15" i="12"/>
  <c r="AJ16" i="12"/>
  <c r="AJ17" i="12"/>
  <c r="AJ19" i="12"/>
  <c r="AJ21" i="12"/>
  <c r="AJ23" i="12"/>
  <c r="AJ10" i="15"/>
  <c r="AJ8" i="8"/>
  <c r="AJ12" i="8"/>
  <c r="AJ7" i="8"/>
  <c r="AJ13" i="8"/>
  <c r="AJ11" i="15"/>
  <c r="AJ7" i="13"/>
  <c r="AJ8" i="13"/>
  <c r="AJ67" i="21"/>
  <c r="AJ68" i="21"/>
  <c r="AJ74" i="3"/>
  <c r="AJ69" i="21"/>
  <c r="AJ71" i="21"/>
  <c r="AJ9" i="13"/>
  <c r="AJ10" i="13"/>
  <c r="AJ7" i="9"/>
  <c r="AJ18" i="9"/>
  <c r="AJ9" i="8"/>
  <c r="AJ22" i="9"/>
  <c r="AJ23" i="9"/>
  <c r="AJ29" i="9"/>
  <c r="AJ10" i="8"/>
  <c r="AJ32" i="9"/>
  <c r="AJ33" i="9"/>
  <c r="AJ39" i="9"/>
  <c r="AJ43" i="9"/>
  <c r="AJ11" i="13"/>
  <c r="AJ12" i="13"/>
  <c r="AJ14" i="13"/>
  <c r="AJ12" i="15"/>
  <c r="AJ13" i="15"/>
  <c r="AJ10" i="14"/>
  <c r="AJ15" i="15"/>
  <c r="AJ16" i="15"/>
  <c r="AJ13" i="14"/>
  <c r="AJ15" i="14"/>
  <c r="AJ17" i="14"/>
  <c r="AJ18" i="14"/>
  <c r="AJ22" i="14"/>
  <c r="AJ20" i="14"/>
  <c r="AJ23" i="14"/>
  <c r="AJ26" i="14"/>
  <c r="AK7" i="14"/>
  <c r="AK11" i="14"/>
  <c r="AK14" i="14"/>
  <c r="AK7" i="15"/>
  <c r="AK165" i="3"/>
  <c r="AK28" i="10"/>
  <c r="AK115" i="3"/>
  <c r="AK129" i="3"/>
  <c r="AK27" i="10"/>
  <c r="AK29" i="10"/>
  <c r="AK88" i="3"/>
  <c r="AK89" i="3"/>
  <c r="AK90" i="3"/>
  <c r="AK91" i="3"/>
  <c r="AK92" i="3"/>
  <c r="D123" i="3"/>
  <c r="AK122" i="3"/>
  <c r="AK93" i="3"/>
  <c r="AK94" i="3"/>
  <c r="AK60" i="3"/>
  <c r="AK63" i="3"/>
  <c r="AK75" i="3"/>
  <c r="AK23" i="10"/>
  <c r="AK30" i="10"/>
  <c r="AK180" i="3"/>
  <c r="AK31" i="10"/>
  <c r="AK32" i="10"/>
  <c r="AK7" i="10"/>
  <c r="AK18" i="10"/>
  <c r="AK22" i="10"/>
  <c r="AK24" i="10"/>
  <c r="AK33" i="10"/>
  <c r="AK7" i="16"/>
  <c r="AK8" i="10"/>
  <c r="AK11" i="10"/>
  <c r="AK9" i="10"/>
  <c r="AK3" i="10"/>
  <c r="AK14" i="10"/>
  <c r="AK8" i="16"/>
  <c r="AK9" i="16"/>
  <c r="AK71" i="3"/>
  <c r="AK73" i="3"/>
  <c r="AK9" i="21"/>
  <c r="AK8" i="21"/>
  <c r="AK16" i="21"/>
  <c r="AK17" i="21"/>
  <c r="AK24" i="21"/>
  <c r="AK25" i="21"/>
  <c r="D137" i="3"/>
  <c r="AK136" i="3"/>
  <c r="AK28" i="21"/>
  <c r="AK171" i="3"/>
  <c r="AK21" i="21"/>
  <c r="AK29" i="21"/>
  <c r="AK30" i="21"/>
  <c r="AK31" i="21"/>
  <c r="AK12" i="16"/>
  <c r="AK40" i="21"/>
  <c r="AK41" i="21"/>
  <c r="AK36" i="21"/>
  <c r="AK42" i="21"/>
  <c r="AK37" i="21"/>
  <c r="AK43" i="21"/>
  <c r="AK13" i="16"/>
  <c r="AK7" i="21"/>
  <c r="AK3" i="21"/>
  <c r="AK45" i="21"/>
  <c r="AK46" i="21"/>
  <c r="AK47" i="21"/>
  <c r="AK14" i="16"/>
  <c r="AK35" i="21"/>
  <c r="AK49" i="21"/>
  <c r="AK38" i="21"/>
  <c r="AK50" i="21"/>
  <c r="AK15" i="16"/>
  <c r="AK34" i="21"/>
  <c r="AK51" i="21"/>
  <c r="AK52" i="21"/>
  <c r="AK16" i="16"/>
  <c r="AK35" i="10"/>
  <c r="AK53" i="21"/>
  <c r="AK55" i="21"/>
  <c r="AK17" i="16"/>
  <c r="AK18" i="16"/>
  <c r="AK19" i="16"/>
  <c r="AK8" i="15"/>
  <c r="AK3" i="14"/>
  <c r="AK32" i="14"/>
  <c r="AK9" i="15"/>
  <c r="AK1" i="12"/>
  <c r="AK8" i="12"/>
  <c r="AK9" i="12"/>
  <c r="AK152" i="3"/>
  <c r="AK56" i="21"/>
  <c r="AK57" i="21"/>
  <c r="AK13" i="12"/>
  <c r="AK14" i="12"/>
  <c r="AK15" i="12"/>
  <c r="AK16" i="12"/>
  <c r="AK17" i="12"/>
  <c r="AK19" i="12"/>
  <c r="AK21" i="12"/>
  <c r="AK23" i="12"/>
  <c r="AK10" i="15"/>
  <c r="AK8" i="8"/>
  <c r="AK12" i="8"/>
  <c r="AK7" i="8"/>
  <c r="AK13" i="8"/>
  <c r="AK11" i="15"/>
  <c r="AK7" i="13"/>
  <c r="AK8" i="13"/>
  <c r="AK67" i="21"/>
  <c r="AK71" i="21"/>
  <c r="AK9" i="13"/>
  <c r="AK10" i="13"/>
  <c r="AK7" i="9"/>
  <c r="AK18" i="9"/>
  <c r="AK9" i="8"/>
  <c r="AK22" i="9"/>
  <c r="AK23" i="9"/>
  <c r="AK29" i="9"/>
  <c r="AK10" i="8"/>
  <c r="AK32" i="9"/>
  <c r="AK33" i="9"/>
  <c r="AK39" i="9"/>
  <c r="AK43" i="9"/>
  <c r="AK11" i="13"/>
  <c r="AK12" i="13"/>
  <c r="AK14" i="13"/>
  <c r="AK12" i="15"/>
  <c r="AK13" i="15"/>
  <c r="AK10" i="14"/>
  <c r="AK15" i="15"/>
  <c r="AK16" i="15"/>
  <c r="AK13" i="14"/>
  <c r="AK15" i="14"/>
  <c r="AK17" i="14"/>
  <c r="AK18" i="14"/>
  <c r="AK22" i="14"/>
  <c r="AK20" i="14"/>
  <c r="AK23" i="14"/>
  <c r="AK26" i="14"/>
  <c r="AL32" i="14"/>
  <c r="AL9" i="15"/>
  <c r="AL1" i="12"/>
  <c r="AL8" i="12"/>
  <c r="AL9" i="12"/>
  <c r="AL152" i="3"/>
  <c r="AL56" i="21"/>
  <c r="AL57" i="21"/>
  <c r="AL13" i="12"/>
  <c r="AL14" i="12"/>
  <c r="AL15" i="12"/>
  <c r="AL16" i="12"/>
  <c r="AL17" i="12"/>
  <c r="AL19" i="12"/>
  <c r="AL21" i="12"/>
  <c r="AL23" i="12"/>
  <c r="AL10" i="15"/>
  <c r="AL8" i="8"/>
  <c r="D11" i="8"/>
  <c r="AL12" i="8"/>
  <c r="AL7" i="8"/>
  <c r="AL13" i="8"/>
  <c r="AL11" i="15"/>
  <c r="AL7" i="13"/>
  <c r="AL8" i="13"/>
  <c r="AL67" i="21"/>
  <c r="AL71" i="21"/>
  <c r="AL9" i="13"/>
  <c r="AL10" i="13"/>
  <c r="AL7" i="9"/>
  <c r="AL18" i="9"/>
  <c r="AL9" i="8"/>
  <c r="AL22" i="9"/>
  <c r="AL23" i="9"/>
  <c r="G23" i="9"/>
  <c r="G24" i="9"/>
  <c r="H23" i="9"/>
  <c r="H24" i="9"/>
  <c r="I23" i="9"/>
  <c r="I24" i="9"/>
  <c r="J23" i="9"/>
  <c r="J24" i="9"/>
  <c r="K23" i="9"/>
  <c r="K24" i="9"/>
  <c r="L23" i="9"/>
  <c r="L24" i="9"/>
  <c r="M23" i="9"/>
  <c r="M24" i="9"/>
  <c r="N23" i="9"/>
  <c r="N24" i="9"/>
  <c r="O23" i="9"/>
  <c r="O24" i="9"/>
  <c r="P23" i="9"/>
  <c r="P24" i="9"/>
  <c r="Q23" i="9"/>
  <c r="Q24" i="9"/>
  <c r="R23" i="9"/>
  <c r="R24" i="9"/>
  <c r="S23" i="9"/>
  <c r="S24" i="9"/>
  <c r="T23" i="9"/>
  <c r="T24" i="9"/>
  <c r="U23" i="9"/>
  <c r="U24" i="9"/>
  <c r="V23" i="9"/>
  <c r="V24" i="9"/>
  <c r="W24" i="9"/>
  <c r="X24" i="9"/>
  <c r="Y24" i="9"/>
  <c r="Z24" i="9"/>
  <c r="AA24" i="9"/>
  <c r="AB24" i="9"/>
  <c r="AC24" i="9"/>
  <c r="AD24" i="9"/>
  <c r="AE24" i="9"/>
  <c r="AF24" i="9"/>
  <c r="AG24" i="9"/>
  <c r="AH24" i="9"/>
  <c r="AI24" i="9"/>
  <c r="AJ24" i="9"/>
  <c r="AK24" i="9"/>
  <c r="AL24" i="9"/>
  <c r="AM152" i="3"/>
  <c r="AM8" i="8"/>
  <c r="AM9" i="8"/>
  <c r="AM22" i="9"/>
  <c r="AM23" i="9"/>
  <c r="AM56" i="21"/>
  <c r="AM24" i="9"/>
  <c r="AN152" i="3"/>
  <c r="AN8" i="8"/>
  <c r="AN9" i="8"/>
  <c r="AN22" i="9"/>
  <c r="AN23" i="9"/>
  <c r="AN56" i="21"/>
  <c r="AN24" i="9"/>
  <c r="AO152" i="3"/>
  <c r="AO8" i="8"/>
  <c r="AO9" i="8"/>
  <c r="AO22" i="9"/>
  <c r="AO23" i="9"/>
  <c r="AO56" i="21"/>
  <c r="AO24" i="9"/>
  <c r="AP152" i="3"/>
  <c r="AP8" i="8"/>
  <c r="AP9" i="8"/>
  <c r="AP22" i="9"/>
  <c r="AP23" i="9"/>
  <c r="AP56" i="21"/>
  <c r="AP24" i="9"/>
  <c r="AQ152" i="3"/>
  <c r="AQ8" i="8"/>
  <c r="AQ9" i="8"/>
  <c r="AQ22" i="9"/>
  <c r="AQ23" i="9"/>
  <c r="AQ56" i="21"/>
  <c r="AQ24" i="9"/>
  <c r="AR152" i="3"/>
  <c r="AR8" i="8"/>
  <c r="AR9" i="8"/>
  <c r="AR22" i="9"/>
  <c r="AR23" i="9"/>
  <c r="AR56" i="21"/>
  <c r="AR24" i="9"/>
  <c r="AS152" i="3"/>
  <c r="AS8" i="8"/>
  <c r="AS9" i="8"/>
  <c r="AS22" i="9"/>
  <c r="AS23" i="9"/>
  <c r="AS56" i="21"/>
  <c r="AS24" i="9"/>
  <c r="AT152" i="3"/>
  <c r="AT8" i="8"/>
  <c r="AT9" i="8"/>
  <c r="AT22" i="9"/>
  <c r="AT23" i="9"/>
  <c r="AT56" i="21"/>
  <c r="AT24" i="9"/>
  <c r="AU152" i="3"/>
  <c r="AU8" i="8"/>
  <c r="AU9" i="8"/>
  <c r="AU22" i="9"/>
  <c r="AU23" i="9"/>
  <c r="AU56" i="21"/>
  <c r="AU24" i="9"/>
  <c r="AV152" i="3"/>
  <c r="AV8" i="8"/>
  <c r="AV9" i="8"/>
  <c r="AV22" i="9"/>
  <c r="AV23" i="9"/>
  <c r="AV24" i="9"/>
  <c r="AW152" i="3"/>
  <c r="AW8" i="8"/>
  <c r="AW9" i="8"/>
  <c r="AW22" i="9"/>
  <c r="AW23" i="9"/>
  <c r="AW24" i="9"/>
  <c r="AX152" i="3"/>
  <c r="AX8" i="8"/>
  <c r="AX9" i="8"/>
  <c r="AX22" i="9"/>
  <c r="AX23" i="9"/>
  <c r="AX24" i="9"/>
  <c r="AY152" i="3"/>
  <c r="AY8" i="8"/>
  <c r="AY9" i="8"/>
  <c r="AY22" i="9"/>
  <c r="AY23" i="9"/>
  <c r="AY24" i="9"/>
  <c r="AZ152" i="3"/>
  <c r="AZ8" i="8"/>
  <c r="AZ9" i="8"/>
  <c r="AZ22" i="9"/>
  <c r="AZ23" i="9"/>
  <c r="AZ24" i="9"/>
  <c r="BA152" i="3"/>
  <c r="BA8" i="8"/>
  <c r="BA9" i="8"/>
  <c r="BA22" i="9"/>
  <c r="BA23" i="9"/>
  <c r="BA24" i="9"/>
  <c r="BB152" i="3"/>
  <c r="BB8" i="8"/>
  <c r="BB9" i="8"/>
  <c r="BB22" i="9"/>
  <c r="BB23" i="9"/>
  <c r="BB24" i="9"/>
  <c r="BC152" i="3"/>
  <c r="BC8" i="8"/>
  <c r="BC9" i="8"/>
  <c r="BC22" i="9"/>
  <c r="BC23" i="9"/>
  <c r="BC24" i="9"/>
  <c r="BD152" i="3"/>
  <c r="BD8" i="8"/>
  <c r="BD9" i="8"/>
  <c r="BD22" i="9"/>
  <c r="BD23" i="9"/>
  <c r="BD24" i="9"/>
  <c r="BE152" i="3"/>
  <c r="BE8" i="8"/>
  <c r="BE9" i="8"/>
  <c r="BE22" i="9"/>
  <c r="BE23" i="9"/>
  <c r="BE24" i="9"/>
  <c r="BF152" i="3"/>
  <c r="BF8" i="8"/>
  <c r="BF9" i="8"/>
  <c r="BF22" i="9"/>
  <c r="BF23" i="9"/>
  <c r="BF24" i="9"/>
  <c r="BG152" i="3"/>
  <c r="BG8" i="8"/>
  <c r="BG9" i="8"/>
  <c r="BG22" i="9"/>
  <c r="BG23" i="9"/>
  <c r="BG24" i="9"/>
  <c r="BH152" i="3"/>
  <c r="BH8" i="8"/>
  <c r="BH9" i="8"/>
  <c r="BH22" i="9"/>
  <c r="BH23" i="9"/>
  <c r="BH24" i="9"/>
  <c r="BI152" i="3"/>
  <c r="BI8" i="8"/>
  <c r="BI9" i="8"/>
  <c r="BI22" i="9"/>
  <c r="BI23" i="9"/>
  <c r="BI24" i="9"/>
  <c r="BJ152" i="3"/>
  <c r="BJ8" i="8"/>
  <c r="BJ9" i="8"/>
  <c r="BJ22" i="9"/>
  <c r="BJ23" i="9"/>
  <c r="BJ24" i="9"/>
  <c r="E24" i="9"/>
  <c r="D27" i="9"/>
  <c r="AL29" i="9"/>
  <c r="AL10" i="8"/>
  <c r="AL32" i="9"/>
  <c r="AL33" i="9"/>
  <c r="AL39" i="9"/>
  <c r="AL43" i="9"/>
  <c r="AL11" i="13"/>
  <c r="AL12" i="13"/>
  <c r="AL14" i="13"/>
  <c r="AL12" i="15"/>
  <c r="AL13" i="15"/>
  <c r="AL7" i="14"/>
  <c r="AL10" i="14"/>
  <c r="AL15" i="15"/>
  <c r="AL16" i="15"/>
  <c r="AL18" i="15"/>
  <c r="AL20" i="15"/>
  <c r="AL11" i="14"/>
  <c r="AL14" i="14"/>
  <c r="AL13" i="14"/>
  <c r="AL15" i="14"/>
  <c r="AL17" i="14"/>
  <c r="AL30" i="15"/>
  <c r="AL39" i="15"/>
  <c r="AM7" i="15"/>
  <c r="AM164" i="3"/>
  <c r="AM12" i="3"/>
  <c r="AM19" i="3"/>
  <c r="AM27" i="3"/>
  <c r="AM1" i="3"/>
  <c r="AM163" i="3"/>
  <c r="AM166" i="3"/>
  <c r="AM165" i="3"/>
  <c r="AM28" i="10"/>
  <c r="AM115" i="3"/>
  <c r="AM2" i="3"/>
  <c r="AM129" i="3"/>
  <c r="AM27" i="10"/>
  <c r="AM29" i="10"/>
  <c r="AM88" i="3"/>
  <c r="AM58" i="3"/>
  <c r="AM89" i="3"/>
  <c r="AM90" i="3"/>
  <c r="AM91" i="3"/>
  <c r="AM92" i="3"/>
  <c r="AM122" i="3"/>
  <c r="AM93" i="3"/>
  <c r="AM94" i="3"/>
  <c r="AM59" i="3"/>
  <c r="AM61" i="3"/>
  <c r="AM60" i="3"/>
  <c r="AM63" i="3"/>
  <c r="AM75" i="3"/>
  <c r="AM23" i="10"/>
  <c r="AM30" i="10"/>
  <c r="AM179" i="3"/>
  <c r="AM167" i="3"/>
  <c r="AM170" i="3"/>
  <c r="AM169" i="3"/>
  <c r="AM172" i="3"/>
  <c r="AM173" i="3"/>
  <c r="AM174" i="3"/>
  <c r="AM181" i="3"/>
  <c r="AM180" i="3"/>
  <c r="AM31" i="10"/>
  <c r="AM32" i="10"/>
  <c r="AM7" i="10"/>
  <c r="AM18" i="10"/>
  <c r="AM22" i="10"/>
  <c r="AM24" i="10"/>
  <c r="AM33" i="10"/>
  <c r="AM8" i="10"/>
  <c r="AM11" i="10"/>
  <c r="AM9" i="10"/>
  <c r="AM3" i="10"/>
  <c r="AM14" i="10"/>
  <c r="AM35" i="10"/>
  <c r="AM35" i="15"/>
  <c r="AM36" i="15"/>
  <c r="AM37" i="15"/>
  <c r="AM7" i="16"/>
  <c r="AM8" i="16"/>
  <c r="AM9" i="16"/>
  <c r="AM70" i="3"/>
  <c r="AM72" i="3"/>
  <c r="AM71" i="3"/>
  <c r="AM73" i="3"/>
  <c r="AM9" i="21"/>
  <c r="AM8" i="21"/>
  <c r="AM16" i="21"/>
  <c r="AM17" i="21"/>
  <c r="AM24" i="21"/>
  <c r="AM25" i="21"/>
  <c r="AM136" i="3"/>
  <c r="AM28" i="21"/>
  <c r="AM171" i="3"/>
  <c r="AM21" i="21"/>
  <c r="AM29" i="21"/>
  <c r="AM30" i="21"/>
  <c r="AM31" i="21"/>
  <c r="AM12" i="16"/>
  <c r="AM40" i="21"/>
  <c r="AM41" i="21"/>
  <c r="AM36" i="21"/>
  <c r="AM42" i="21"/>
  <c r="AM37" i="21"/>
  <c r="AM43" i="21"/>
  <c r="AM13" i="16"/>
  <c r="AM7" i="21"/>
  <c r="AM3" i="21"/>
  <c r="AM45" i="21"/>
  <c r="AM46" i="21"/>
  <c r="AM47" i="21"/>
  <c r="AM14" i="16"/>
  <c r="AM35" i="21"/>
  <c r="AM49" i="21"/>
  <c r="AM38" i="21"/>
  <c r="AM50" i="21"/>
  <c r="AM15" i="16"/>
  <c r="AM34" i="21"/>
  <c r="AM51" i="21"/>
  <c r="AM52" i="21"/>
  <c r="AM16" i="16"/>
  <c r="AM53" i="21"/>
  <c r="AM55" i="21"/>
  <c r="AM17" i="16"/>
  <c r="AM18" i="16"/>
  <c r="AM19" i="16"/>
  <c r="AM8" i="15"/>
  <c r="AM3" i="14"/>
  <c r="AL18" i="14"/>
  <c r="AL22" i="14"/>
  <c r="AL20" i="14"/>
  <c r="AL23" i="14"/>
  <c r="AL26" i="14"/>
  <c r="AM32" i="14"/>
  <c r="AM9" i="15"/>
  <c r="AM1" i="12"/>
  <c r="AM8" i="12"/>
  <c r="AM9" i="12"/>
  <c r="AM57" i="21"/>
  <c r="AM13" i="12"/>
  <c r="AM14" i="12"/>
  <c r="AM15" i="12"/>
  <c r="AM16" i="12"/>
  <c r="AM17" i="12"/>
  <c r="AM19" i="12"/>
  <c r="AM21" i="12"/>
  <c r="AM23" i="12"/>
  <c r="AM10" i="15"/>
  <c r="AM12" i="8"/>
  <c r="AM7" i="8"/>
  <c r="AM13" i="8"/>
  <c r="AM11" i="15"/>
  <c r="AM7" i="13"/>
  <c r="AM8" i="13"/>
  <c r="AM67" i="21"/>
  <c r="AM71" i="21"/>
  <c r="AM9" i="13"/>
  <c r="AM10" i="13"/>
  <c r="AM7" i="9"/>
  <c r="AM18" i="9"/>
  <c r="AM29" i="9"/>
  <c r="AM10" i="8"/>
  <c r="AM32" i="9"/>
  <c r="AM33" i="9"/>
  <c r="AM39" i="9"/>
  <c r="AM43" i="9"/>
  <c r="AM11" i="13"/>
  <c r="AM12" i="13"/>
  <c r="AM14" i="13"/>
  <c r="AM12" i="15"/>
  <c r="AM13" i="15"/>
  <c r="AM7" i="14"/>
  <c r="AM10" i="14"/>
  <c r="AM15" i="15"/>
  <c r="AM16" i="15"/>
  <c r="AM18" i="15"/>
  <c r="AM20" i="15"/>
  <c r="AM11" i="14"/>
  <c r="AM14" i="14"/>
  <c r="AM13" i="14"/>
  <c r="AM15" i="14"/>
  <c r="AM17" i="14"/>
  <c r="AM18" i="14"/>
  <c r="AM20" i="14"/>
  <c r="AM39" i="15"/>
  <c r="AN7" i="15"/>
  <c r="AN164" i="3"/>
  <c r="AN12" i="3"/>
  <c r="AN19" i="3"/>
  <c r="AN27" i="3"/>
  <c r="AN1" i="3"/>
  <c r="AN163" i="3"/>
  <c r="AN166" i="3"/>
  <c r="AN165" i="3"/>
  <c r="AN28" i="10"/>
  <c r="AN115" i="3"/>
  <c r="AN2" i="3"/>
  <c r="AN129" i="3"/>
  <c r="AN27" i="10"/>
  <c r="AN29" i="10"/>
  <c r="AN88" i="3"/>
  <c r="AN58" i="3"/>
  <c r="AN89" i="3"/>
  <c r="AN90" i="3"/>
  <c r="AN91" i="3"/>
  <c r="AN92" i="3"/>
  <c r="D125" i="3"/>
  <c r="AN122" i="3"/>
  <c r="AN93" i="3"/>
  <c r="AN94" i="3"/>
  <c r="AN59" i="3"/>
  <c r="AN61" i="3"/>
  <c r="AN60" i="3"/>
  <c r="AN63" i="3"/>
  <c r="AN75" i="3"/>
  <c r="AN23" i="10"/>
  <c r="AN30" i="10"/>
  <c r="AN179" i="3"/>
  <c r="AN167" i="3"/>
  <c r="AN170" i="3"/>
  <c r="AN169" i="3"/>
  <c r="AN172" i="3"/>
  <c r="AN173" i="3"/>
  <c r="AN174" i="3"/>
  <c r="AN181" i="3"/>
  <c r="AN180" i="3"/>
  <c r="AN31" i="10"/>
  <c r="AN32" i="10"/>
  <c r="AN7" i="10"/>
  <c r="AN18" i="10"/>
  <c r="AN22" i="10"/>
  <c r="AN24" i="10"/>
  <c r="AN33" i="10"/>
  <c r="AN8" i="10"/>
  <c r="AN11" i="10"/>
  <c r="AN9" i="10"/>
  <c r="AN3" i="10"/>
  <c r="AN14" i="10"/>
  <c r="AN35" i="10"/>
  <c r="AN35" i="15"/>
  <c r="AN36" i="15"/>
  <c r="AN37" i="15"/>
  <c r="AN7" i="16"/>
  <c r="AN8" i="16"/>
  <c r="AN9" i="16"/>
  <c r="AN70" i="3"/>
  <c r="AN72" i="3"/>
  <c r="AN71" i="3"/>
  <c r="AN73" i="3"/>
  <c r="AN9" i="21"/>
  <c r="AN8" i="21"/>
  <c r="AN16" i="21"/>
  <c r="AN17" i="21"/>
  <c r="AN24" i="21"/>
  <c r="AN25" i="21"/>
  <c r="D139" i="3"/>
  <c r="AN136" i="3"/>
  <c r="AN28" i="21"/>
  <c r="AN171" i="3"/>
  <c r="AN21" i="21"/>
  <c r="AN29" i="21"/>
  <c r="AN30" i="21"/>
  <c r="AN31" i="21"/>
  <c r="AN12" i="16"/>
  <c r="AN40" i="21"/>
  <c r="AN41" i="21"/>
  <c r="AN36" i="21"/>
  <c r="AN42" i="21"/>
  <c r="AN37" i="21"/>
  <c r="AN43" i="21"/>
  <c r="AN13" i="16"/>
  <c r="AN7" i="21"/>
  <c r="AN3" i="21"/>
  <c r="AN45" i="21"/>
  <c r="AN46" i="21"/>
  <c r="AN47" i="21"/>
  <c r="AN14" i="16"/>
  <c r="AN35" i="21"/>
  <c r="AN49" i="21"/>
  <c r="AN38" i="21"/>
  <c r="AN50" i="21"/>
  <c r="AN15" i="16"/>
  <c r="AN34" i="21"/>
  <c r="AN51" i="21"/>
  <c r="AN52" i="21"/>
  <c r="AN16" i="16"/>
  <c r="AN53" i="21"/>
  <c r="AN55" i="21"/>
  <c r="AN17" i="16"/>
  <c r="AN18" i="16"/>
  <c r="AN19" i="16"/>
  <c r="AN8" i="15"/>
  <c r="AN3" i="14"/>
  <c r="AM22" i="14"/>
  <c r="AM23" i="14"/>
  <c r="AM26" i="14"/>
  <c r="AN32" i="14"/>
  <c r="AN9" i="15"/>
  <c r="AN1" i="12"/>
  <c r="AN8" i="12"/>
  <c r="AN9" i="12"/>
  <c r="AN57" i="21"/>
  <c r="AN13" i="12"/>
  <c r="AN14" i="12"/>
  <c r="AN15" i="12"/>
  <c r="AN16" i="12"/>
  <c r="AN17" i="12"/>
  <c r="AN19" i="12"/>
  <c r="AN21" i="12"/>
  <c r="AN23" i="12"/>
  <c r="AN10" i="15"/>
  <c r="AN12" i="8"/>
  <c r="AN7" i="8"/>
  <c r="AN13" i="8"/>
  <c r="AN11" i="15"/>
  <c r="AN7" i="13"/>
  <c r="AN8" i="13"/>
  <c r="AN67" i="21"/>
  <c r="AN71" i="21"/>
  <c r="AN9" i="13"/>
  <c r="AN10" i="13"/>
  <c r="AN7" i="9"/>
  <c r="AN18" i="9"/>
  <c r="AN29" i="9"/>
  <c r="AN10" i="8"/>
  <c r="AN32" i="9"/>
  <c r="AN33" i="9"/>
  <c r="AN39" i="9"/>
  <c r="AN43" i="9"/>
  <c r="AN11" i="13"/>
  <c r="AN12" i="13"/>
  <c r="AN14" i="13"/>
  <c r="AN12" i="15"/>
  <c r="AN13" i="15"/>
  <c r="AN7" i="14"/>
  <c r="AN10" i="14"/>
  <c r="AN15" i="15"/>
  <c r="AN16" i="15"/>
  <c r="AN18" i="15"/>
  <c r="AN20" i="15"/>
  <c r="AN11" i="14"/>
  <c r="AN14" i="14"/>
  <c r="AN13" i="14"/>
  <c r="AN15" i="14"/>
  <c r="AN17" i="14"/>
  <c r="AN18" i="14"/>
  <c r="AN20" i="14"/>
  <c r="AN39" i="15"/>
  <c r="AO7" i="15"/>
  <c r="AO164" i="3"/>
  <c r="AO12" i="3"/>
  <c r="AO19" i="3"/>
  <c r="AO27" i="3"/>
  <c r="AO1" i="3"/>
  <c r="AO163" i="3"/>
  <c r="AO166" i="3"/>
  <c r="AO165" i="3"/>
  <c r="AO28" i="10"/>
  <c r="AO115" i="3"/>
  <c r="AO2" i="3"/>
  <c r="AO129" i="3"/>
  <c r="AO27" i="10"/>
  <c r="AO29" i="10"/>
  <c r="AO88" i="3"/>
  <c r="AO58" i="3"/>
  <c r="AO89" i="3"/>
  <c r="AO90" i="3"/>
  <c r="AO91" i="3"/>
  <c r="AO92" i="3"/>
  <c r="AO122" i="3"/>
  <c r="AO93" i="3"/>
  <c r="AO94" i="3"/>
  <c r="AO59" i="3"/>
  <c r="AO61" i="3"/>
  <c r="AO60" i="3"/>
  <c r="AO63" i="3"/>
  <c r="AO75" i="3"/>
  <c r="AO23" i="10"/>
  <c r="AO30" i="10"/>
  <c r="AO179" i="3"/>
  <c r="AO167" i="3"/>
  <c r="AO170" i="3"/>
  <c r="AO169" i="3"/>
  <c r="AO172" i="3"/>
  <c r="AO173" i="3"/>
  <c r="AO174" i="3"/>
  <c r="AO181" i="3"/>
  <c r="AO180" i="3"/>
  <c r="AO31" i="10"/>
  <c r="AO32" i="10"/>
  <c r="AO7" i="10"/>
  <c r="AO18" i="10"/>
  <c r="AO22" i="10"/>
  <c r="AO24" i="10"/>
  <c r="AO33" i="10"/>
  <c r="AO8" i="10"/>
  <c r="AO11" i="10"/>
  <c r="AO9" i="10"/>
  <c r="AO3" i="10"/>
  <c r="AO14" i="10"/>
  <c r="AO35" i="10"/>
  <c r="AO35" i="15"/>
  <c r="AO36" i="15"/>
  <c r="AO37" i="15"/>
  <c r="AO7" i="16"/>
  <c r="AO8" i="16"/>
  <c r="AO9" i="16"/>
  <c r="AO70" i="3"/>
  <c r="AO72" i="3"/>
  <c r="AO71" i="3"/>
  <c r="AO73" i="3"/>
  <c r="AO9" i="21"/>
  <c r="AO8" i="21"/>
  <c r="AO16" i="21"/>
  <c r="AO17" i="21"/>
  <c r="AO24" i="21"/>
  <c r="AO25" i="21"/>
  <c r="AO136" i="3"/>
  <c r="AO28" i="21"/>
  <c r="AO171" i="3"/>
  <c r="AO21" i="21"/>
  <c r="AO29" i="21"/>
  <c r="AO30" i="21"/>
  <c r="AO31" i="21"/>
  <c r="AO12" i="16"/>
  <c r="AO40" i="21"/>
  <c r="AO41" i="21"/>
  <c r="AO36" i="21"/>
  <c r="AO42" i="21"/>
  <c r="AO37" i="21"/>
  <c r="AO43" i="21"/>
  <c r="AO13" i="16"/>
  <c r="AO7" i="21"/>
  <c r="AO3" i="21"/>
  <c r="AO45" i="21"/>
  <c r="AO46" i="21"/>
  <c r="AO47" i="21"/>
  <c r="AO14" i="16"/>
  <c r="AO35" i="21"/>
  <c r="AO49" i="21"/>
  <c r="AO38" i="21"/>
  <c r="AO50" i="21"/>
  <c r="AO15" i="16"/>
  <c r="AO34" i="21"/>
  <c r="AO51" i="21"/>
  <c r="AO52" i="21"/>
  <c r="AO16" i="16"/>
  <c r="AO53" i="21"/>
  <c r="AO55" i="21"/>
  <c r="AO17" i="16"/>
  <c r="AO18" i="16"/>
  <c r="AO19" i="16"/>
  <c r="AO8" i="15"/>
  <c r="AO3" i="14"/>
  <c r="AN22" i="14"/>
  <c r="AN23" i="14"/>
  <c r="AN26" i="14"/>
  <c r="AO32" i="14"/>
  <c r="AO9" i="15"/>
  <c r="AO1" i="12"/>
  <c r="AO8" i="12"/>
  <c r="AO9" i="12"/>
  <c r="AO57" i="21"/>
  <c r="AO13" i="12"/>
  <c r="AO14" i="12"/>
  <c r="AO15" i="12"/>
  <c r="AO16" i="12"/>
  <c r="AO17" i="12"/>
  <c r="AO19" i="12"/>
  <c r="AO21" i="12"/>
  <c r="AO23" i="12"/>
  <c r="AO10" i="15"/>
  <c r="AO12" i="8"/>
  <c r="AO7" i="8"/>
  <c r="AO13" i="8"/>
  <c r="AO11" i="15"/>
  <c r="AO7" i="13"/>
  <c r="AO8" i="13"/>
  <c r="AO67" i="21"/>
  <c r="AO71" i="21"/>
  <c r="AO9" i="13"/>
  <c r="AO10" i="13"/>
  <c r="AO7" i="9"/>
  <c r="AO18" i="9"/>
  <c r="AO29" i="9"/>
  <c r="AO10" i="8"/>
  <c r="AO32" i="9"/>
  <c r="AO33" i="9"/>
  <c r="AO39" i="9"/>
  <c r="AO43" i="9"/>
  <c r="AO11" i="13"/>
  <c r="AO12" i="13"/>
  <c r="AO14" i="13"/>
  <c r="AO12" i="15"/>
  <c r="AO13" i="15"/>
  <c r="AO7" i="14"/>
  <c r="AO10" i="14"/>
  <c r="AO15" i="15"/>
  <c r="AO16" i="15"/>
  <c r="AO18" i="15"/>
  <c r="AO20" i="15"/>
  <c r="AO11" i="14"/>
  <c r="AO14" i="14"/>
  <c r="AO13" i="14"/>
  <c r="AO15" i="14"/>
  <c r="AO17" i="14"/>
  <c r="AO18" i="14"/>
  <c r="AO20" i="14"/>
  <c r="AO39" i="15"/>
  <c r="E40" i="15"/>
  <c r="Q15" i="24"/>
  <c r="W18" i="15"/>
  <c r="W26" i="15"/>
  <c r="X18" i="15"/>
  <c r="X26" i="15"/>
  <c r="Y18" i="15"/>
  <c r="Y26" i="15"/>
  <c r="Z18" i="15"/>
  <c r="Z26" i="15"/>
  <c r="AA18" i="15"/>
  <c r="AA26" i="15"/>
  <c r="AB18" i="15"/>
  <c r="AB26" i="15"/>
  <c r="AC18" i="15"/>
  <c r="AC26" i="15"/>
  <c r="AD18" i="15"/>
  <c r="AD26" i="15"/>
  <c r="AE18" i="15"/>
  <c r="AE26" i="15"/>
  <c r="AF18" i="15"/>
  <c r="AF26" i="15"/>
  <c r="AG18" i="15"/>
  <c r="AG26" i="15"/>
  <c r="AH18" i="15"/>
  <c r="AH26" i="15"/>
  <c r="AI18" i="15"/>
  <c r="AI26" i="15"/>
  <c r="AJ18" i="15"/>
  <c r="AJ26" i="15"/>
  <c r="AK18" i="15"/>
  <c r="AK26" i="15"/>
  <c r="AL26" i="15"/>
  <c r="AM26" i="15"/>
  <c r="AN26" i="15"/>
  <c r="AO26" i="15"/>
  <c r="AP7" i="15"/>
  <c r="AO22" i="14"/>
  <c r="AO23" i="14"/>
  <c r="AO26" i="14"/>
  <c r="AP7" i="14"/>
  <c r="AP10" i="14"/>
  <c r="AP15" i="15"/>
  <c r="AP164" i="3"/>
  <c r="AP12" i="3"/>
  <c r="AP19" i="3"/>
  <c r="AP27" i="3"/>
  <c r="AP1" i="3"/>
  <c r="AP163" i="3"/>
  <c r="AP166" i="3"/>
  <c r="AP165" i="3"/>
  <c r="AP28" i="10"/>
  <c r="AP115" i="3"/>
  <c r="AP2" i="3"/>
  <c r="AP129" i="3"/>
  <c r="AP27" i="10"/>
  <c r="AP29" i="10"/>
  <c r="AP88" i="3"/>
  <c r="AP58" i="3"/>
  <c r="AP89" i="3"/>
  <c r="AP90" i="3"/>
  <c r="AP91" i="3"/>
  <c r="AP92" i="3"/>
  <c r="D126" i="3"/>
  <c r="AP122" i="3"/>
  <c r="AP93" i="3"/>
  <c r="AP94" i="3"/>
  <c r="AP59" i="3"/>
  <c r="AP61" i="3"/>
  <c r="AP60" i="3"/>
  <c r="AP63" i="3"/>
  <c r="AP75" i="3"/>
  <c r="AP23" i="10"/>
  <c r="AP30" i="10"/>
  <c r="AP179" i="3"/>
  <c r="AP167" i="3"/>
  <c r="AP170" i="3"/>
  <c r="AP169" i="3"/>
  <c r="AP172" i="3"/>
  <c r="AP173" i="3"/>
  <c r="AP174" i="3"/>
  <c r="AP181" i="3"/>
  <c r="AP180" i="3"/>
  <c r="AP31" i="10"/>
  <c r="AP32" i="10"/>
  <c r="AP7" i="10"/>
  <c r="AP18" i="10"/>
  <c r="AP22" i="10"/>
  <c r="AP24" i="10"/>
  <c r="AP33" i="10"/>
  <c r="AP7" i="16"/>
  <c r="AP8" i="10"/>
  <c r="AP11" i="10"/>
  <c r="AP9" i="10"/>
  <c r="AP3" i="10"/>
  <c r="AP14" i="10"/>
  <c r="AP8" i="16"/>
  <c r="AP9" i="16"/>
  <c r="AP70" i="3"/>
  <c r="AP72" i="3"/>
  <c r="AP71" i="3"/>
  <c r="AP73" i="3"/>
  <c r="AP9" i="21"/>
  <c r="AP8" i="21"/>
  <c r="AP16" i="21"/>
  <c r="AP17" i="21"/>
  <c r="AP24" i="21"/>
  <c r="AP25" i="21"/>
  <c r="D140" i="3"/>
  <c r="AP136" i="3"/>
  <c r="AP28" i="21"/>
  <c r="AP171" i="3"/>
  <c r="AP21" i="21"/>
  <c r="AP29" i="21"/>
  <c r="AP30" i="21"/>
  <c r="AP31" i="21"/>
  <c r="AP12" i="16"/>
  <c r="AP40" i="21"/>
  <c r="AP41" i="21"/>
  <c r="AP36" i="21"/>
  <c r="AP42" i="21"/>
  <c r="AP37" i="21"/>
  <c r="AP43" i="21"/>
  <c r="AP13" i="16"/>
  <c r="AP7" i="21"/>
  <c r="AP3" i="21"/>
  <c r="AP45" i="21"/>
  <c r="AP46" i="21"/>
  <c r="AP47" i="21"/>
  <c r="AP14" i="16"/>
  <c r="AP35" i="21"/>
  <c r="AP49" i="21"/>
  <c r="AP38" i="21"/>
  <c r="AP50" i="21"/>
  <c r="AP15" i="16"/>
  <c r="AP34" i="21"/>
  <c r="AP51" i="21"/>
  <c r="AP52" i="21"/>
  <c r="AP16" i="16"/>
  <c r="AP35" i="10"/>
  <c r="AP53" i="21"/>
  <c r="AP55" i="21"/>
  <c r="AP17" i="16"/>
  <c r="AP18" i="16"/>
  <c r="AP19" i="16"/>
  <c r="AP8" i="15"/>
  <c r="AP3" i="14"/>
  <c r="AP32" i="14"/>
  <c r="AP9" i="15"/>
  <c r="AP1" i="12"/>
  <c r="AP8" i="12"/>
  <c r="AP9" i="12"/>
  <c r="AP57" i="21"/>
  <c r="AP13" i="12"/>
  <c r="AP14" i="12"/>
  <c r="AP15" i="12"/>
  <c r="AP16" i="12"/>
  <c r="AP17" i="12"/>
  <c r="AP19" i="12"/>
  <c r="AP21" i="12"/>
  <c r="AP23" i="12"/>
  <c r="AP10" i="15"/>
  <c r="AP12" i="8"/>
  <c r="AP7" i="8"/>
  <c r="AP13" i="8"/>
  <c r="AP11" i="15"/>
  <c r="AP7" i="13"/>
  <c r="AP8" i="13"/>
  <c r="AP67" i="21"/>
  <c r="AP71" i="21"/>
  <c r="AP9" i="13"/>
  <c r="AP10" i="13"/>
  <c r="AP7" i="9"/>
  <c r="AP18" i="9"/>
  <c r="AP29" i="9"/>
  <c r="AP10" i="8"/>
  <c r="AP32" i="9"/>
  <c r="AP33" i="9"/>
  <c r="AP39" i="9"/>
  <c r="AP43" i="9"/>
  <c r="AP11" i="13"/>
  <c r="AP12" i="13"/>
  <c r="AP14" i="13"/>
  <c r="AP12" i="15"/>
  <c r="AP13" i="15"/>
  <c r="AP16" i="15"/>
  <c r="AP18" i="15"/>
  <c r="AP26" i="15"/>
  <c r="AQ7" i="15"/>
  <c r="AP11" i="14"/>
  <c r="AP14" i="14"/>
  <c r="AP13" i="14"/>
  <c r="AP15" i="14"/>
  <c r="AP17" i="14"/>
  <c r="AP18" i="14"/>
  <c r="AP22" i="14"/>
  <c r="AP20" i="14"/>
  <c r="AP23" i="14"/>
  <c r="AP26" i="14"/>
  <c r="AQ7" i="14"/>
  <c r="AQ10" i="14"/>
  <c r="AQ15" i="15"/>
  <c r="AQ164" i="3"/>
  <c r="AQ12" i="3"/>
  <c r="AQ19" i="3"/>
  <c r="AQ27" i="3"/>
  <c r="AQ1" i="3"/>
  <c r="AQ163" i="3"/>
  <c r="AQ166" i="3"/>
  <c r="AQ165" i="3"/>
  <c r="AQ28" i="10"/>
  <c r="AQ115" i="3"/>
  <c r="AQ2" i="3"/>
  <c r="AQ129" i="3"/>
  <c r="AQ27" i="10"/>
  <c r="AQ29" i="10"/>
  <c r="AQ88" i="3"/>
  <c r="AQ58" i="3"/>
  <c r="AQ89" i="3"/>
  <c r="AQ90" i="3"/>
  <c r="AQ91" i="3"/>
  <c r="AQ92" i="3"/>
  <c r="AQ122" i="3"/>
  <c r="AQ93" i="3"/>
  <c r="AQ94" i="3"/>
  <c r="AQ59" i="3"/>
  <c r="AQ61" i="3"/>
  <c r="AQ60" i="3"/>
  <c r="AQ63" i="3"/>
  <c r="AQ75" i="3"/>
  <c r="AQ23" i="10"/>
  <c r="AQ30" i="10"/>
  <c r="AQ179" i="3"/>
  <c r="AQ167" i="3"/>
  <c r="AQ170" i="3"/>
  <c r="AQ169" i="3"/>
  <c r="AQ172" i="3"/>
  <c r="AQ173" i="3"/>
  <c r="AQ174" i="3"/>
  <c r="AQ181" i="3"/>
  <c r="AQ180" i="3"/>
  <c r="AQ31" i="10"/>
  <c r="AQ32" i="10"/>
  <c r="AQ7" i="10"/>
  <c r="AQ18" i="10"/>
  <c r="AQ22" i="10"/>
  <c r="AQ24" i="10"/>
  <c r="AQ33" i="10"/>
  <c r="AQ7" i="16"/>
  <c r="AQ8" i="10"/>
  <c r="AQ11" i="10"/>
  <c r="AQ9" i="10"/>
  <c r="AQ3" i="10"/>
  <c r="AQ14" i="10"/>
  <c r="AQ8" i="16"/>
  <c r="AQ9" i="16"/>
  <c r="AQ70" i="3"/>
  <c r="AQ72" i="3"/>
  <c r="AQ71" i="3"/>
  <c r="AQ73" i="3"/>
  <c r="AQ9" i="21"/>
  <c r="AQ8" i="21"/>
  <c r="AQ16" i="21"/>
  <c r="AQ17" i="21"/>
  <c r="AQ24" i="21"/>
  <c r="AQ25" i="21"/>
  <c r="AQ136" i="3"/>
  <c r="AQ28" i="21"/>
  <c r="AQ171" i="3"/>
  <c r="AQ21" i="21"/>
  <c r="AQ29" i="21"/>
  <c r="AQ30" i="21"/>
  <c r="AQ31" i="21"/>
  <c r="AQ12" i="16"/>
  <c r="AQ40" i="21"/>
  <c r="AQ41" i="21"/>
  <c r="AQ36" i="21"/>
  <c r="AQ42" i="21"/>
  <c r="AQ37" i="21"/>
  <c r="AQ43" i="21"/>
  <c r="AQ13" i="16"/>
  <c r="AQ7" i="21"/>
  <c r="AQ3" i="21"/>
  <c r="AQ45" i="21"/>
  <c r="AQ46" i="21"/>
  <c r="AQ47" i="21"/>
  <c r="AQ14" i="16"/>
  <c r="AQ35" i="21"/>
  <c r="AQ49" i="21"/>
  <c r="AQ38" i="21"/>
  <c r="AQ50" i="21"/>
  <c r="AQ15" i="16"/>
  <c r="AQ34" i="21"/>
  <c r="AQ51" i="21"/>
  <c r="AQ52" i="21"/>
  <c r="AQ16" i="16"/>
  <c r="AQ35" i="10"/>
  <c r="AQ53" i="21"/>
  <c r="AQ55" i="21"/>
  <c r="AQ17" i="16"/>
  <c r="AQ18" i="16"/>
  <c r="AQ19" i="16"/>
  <c r="AQ8" i="15"/>
  <c r="AQ3" i="14"/>
  <c r="AQ32" i="14"/>
  <c r="AQ9" i="15"/>
  <c r="AQ1" i="12"/>
  <c r="AQ8" i="12"/>
  <c r="AQ9" i="12"/>
  <c r="AQ57" i="21"/>
  <c r="AQ13" i="12"/>
  <c r="AQ14" i="12"/>
  <c r="AQ15" i="12"/>
  <c r="AQ16" i="12"/>
  <c r="AQ17" i="12"/>
  <c r="AQ19" i="12"/>
  <c r="AQ21" i="12"/>
  <c r="AQ23" i="12"/>
  <c r="AQ10" i="15"/>
  <c r="AQ12" i="8"/>
  <c r="AQ7" i="8"/>
  <c r="AQ13" i="8"/>
  <c r="AQ11" i="15"/>
  <c r="AQ7" i="13"/>
  <c r="AQ8" i="13"/>
  <c r="AQ67" i="21"/>
  <c r="AQ71" i="21"/>
  <c r="AQ9" i="13"/>
  <c r="AQ10" i="13"/>
  <c r="AQ7" i="9"/>
  <c r="AQ18" i="9"/>
  <c r="AQ29" i="9"/>
  <c r="AQ10" i="8"/>
  <c r="AQ32" i="9"/>
  <c r="AQ33" i="9"/>
  <c r="AQ39" i="9"/>
  <c r="AQ43" i="9"/>
  <c r="AQ11" i="13"/>
  <c r="AQ12" i="13"/>
  <c r="AQ14" i="13"/>
  <c r="AQ12" i="15"/>
  <c r="AQ13" i="15"/>
  <c r="AQ16" i="15"/>
  <c r="AQ18" i="15"/>
  <c r="AQ26" i="15"/>
  <c r="AR7" i="15"/>
  <c r="AQ11" i="14"/>
  <c r="AQ14" i="14"/>
  <c r="AQ13" i="14"/>
  <c r="AQ15" i="14"/>
  <c r="AQ17" i="14"/>
  <c r="AQ18" i="14"/>
  <c r="AQ22" i="14"/>
  <c r="AQ20" i="14"/>
  <c r="AQ23" i="14"/>
  <c r="AQ26" i="14"/>
  <c r="AR7" i="14"/>
  <c r="AR10" i="14"/>
  <c r="AR15" i="15"/>
  <c r="AR164" i="3"/>
  <c r="AR12" i="3"/>
  <c r="AR19" i="3"/>
  <c r="AR27" i="3"/>
  <c r="AR1" i="3"/>
  <c r="AR163" i="3"/>
  <c r="AR166" i="3"/>
  <c r="AR165" i="3"/>
  <c r="AR28" i="10"/>
  <c r="AR115" i="3"/>
  <c r="AR2" i="3"/>
  <c r="AR129" i="3"/>
  <c r="AR27" i="10"/>
  <c r="AR29" i="10"/>
  <c r="AR88" i="3"/>
  <c r="AR58" i="3"/>
  <c r="AR89" i="3"/>
  <c r="AR90" i="3"/>
  <c r="AR91" i="3"/>
  <c r="AR92" i="3"/>
  <c r="D127" i="3"/>
  <c r="AR122" i="3"/>
  <c r="AR93" i="3"/>
  <c r="AR94" i="3"/>
  <c r="AR59" i="3"/>
  <c r="AR61" i="3"/>
  <c r="AR60" i="3"/>
  <c r="AR63" i="3"/>
  <c r="AR75" i="3"/>
  <c r="AR23" i="10"/>
  <c r="AR30" i="10"/>
  <c r="AR179" i="3"/>
  <c r="AR167" i="3"/>
  <c r="AR170" i="3"/>
  <c r="AR169" i="3"/>
  <c r="AR172" i="3"/>
  <c r="AR173" i="3"/>
  <c r="AR174" i="3"/>
  <c r="AR181" i="3"/>
  <c r="AR180" i="3"/>
  <c r="AR31" i="10"/>
  <c r="AR32" i="10"/>
  <c r="AR7" i="10"/>
  <c r="AR18" i="10"/>
  <c r="AR22" i="10"/>
  <c r="AR24" i="10"/>
  <c r="AR33" i="10"/>
  <c r="AR7" i="16"/>
  <c r="AR8" i="10"/>
  <c r="AR11" i="10"/>
  <c r="AR9" i="10"/>
  <c r="AR3" i="10"/>
  <c r="AR14" i="10"/>
  <c r="AR8" i="16"/>
  <c r="AR9" i="16"/>
  <c r="AR70" i="3"/>
  <c r="AR72" i="3"/>
  <c r="AR71" i="3"/>
  <c r="AR73" i="3"/>
  <c r="AR9" i="21"/>
  <c r="AR8" i="21"/>
  <c r="AR16" i="21"/>
  <c r="AR17" i="21"/>
  <c r="AR24" i="21"/>
  <c r="AR25" i="21"/>
  <c r="D141" i="3"/>
  <c r="AR136" i="3"/>
  <c r="AR28" i="21"/>
  <c r="AR171" i="3"/>
  <c r="AR21" i="21"/>
  <c r="AR29" i="21"/>
  <c r="AR30" i="21"/>
  <c r="AR31" i="21"/>
  <c r="AR12" i="16"/>
  <c r="AR40" i="21"/>
  <c r="AR41" i="21"/>
  <c r="AR36" i="21"/>
  <c r="AR42" i="21"/>
  <c r="AR37" i="21"/>
  <c r="AR43" i="21"/>
  <c r="AR13" i="16"/>
  <c r="AR7" i="21"/>
  <c r="AR3" i="21"/>
  <c r="AR45" i="21"/>
  <c r="AR46" i="21"/>
  <c r="AR47" i="21"/>
  <c r="AR14" i="16"/>
  <c r="AR35" i="21"/>
  <c r="AR49" i="21"/>
  <c r="AR38" i="21"/>
  <c r="AR50" i="21"/>
  <c r="AR15" i="16"/>
  <c r="AR34" i="21"/>
  <c r="AR51" i="21"/>
  <c r="AR52" i="21"/>
  <c r="AR16" i="16"/>
  <c r="AR35" i="10"/>
  <c r="AR53" i="21"/>
  <c r="AR55" i="21"/>
  <c r="AR17" i="16"/>
  <c r="AR18" i="16"/>
  <c r="AR19" i="16"/>
  <c r="AR8" i="15"/>
  <c r="AR3" i="14"/>
  <c r="AR32" i="14"/>
  <c r="AR9" i="15"/>
  <c r="AR1" i="12"/>
  <c r="AR8" i="12"/>
  <c r="AR9" i="12"/>
  <c r="AR57" i="21"/>
  <c r="AR13" i="12"/>
  <c r="AR14" i="12"/>
  <c r="AR15" i="12"/>
  <c r="AR16" i="12"/>
  <c r="AR17" i="12"/>
  <c r="AR19" i="12"/>
  <c r="AR21" i="12"/>
  <c r="AR23" i="12"/>
  <c r="AR10" i="15"/>
  <c r="AR12" i="8"/>
  <c r="AR7" i="8"/>
  <c r="AR13" i="8"/>
  <c r="AR11" i="15"/>
  <c r="AR7" i="13"/>
  <c r="AR8" i="13"/>
  <c r="AR67" i="21"/>
  <c r="AR71" i="21"/>
  <c r="AR9" i="13"/>
  <c r="AR10" i="13"/>
  <c r="AR7" i="9"/>
  <c r="AR18" i="9"/>
  <c r="AR29" i="9"/>
  <c r="AR10" i="8"/>
  <c r="AR32" i="9"/>
  <c r="AR33" i="9"/>
  <c r="AR39" i="9"/>
  <c r="AR43" i="9"/>
  <c r="AR11" i="13"/>
  <c r="AR12" i="13"/>
  <c r="AR14" i="13"/>
  <c r="AR12" i="15"/>
  <c r="AR13" i="15"/>
  <c r="AR16" i="15"/>
  <c r="AR18" i="15"/>
  <c r="AR26" i="15"/>
  <c r="AS7" i="15"/>
  <c r="AR11" i="14"/>
  <c r="AR14" i="14"/>
  <c r="AR13" i="14"/>
  <c r="AR15" i="14"/>
  <c r="AR17" i="14"/>
  <c r="AR18" i="14"/>
  <c r="AR22" i="14"/>
  <c r="AR20" i="14"/>
  <c r="AR23" i="14"/>
  <c r="AR26" i="14"/>
  <c r="AS7" i="14"/>
  <c r="AS10" i="14"/>
  <c r="AS15" i="15"/>
  <c r="AS164" i="3"/>
  <c r="AS12" i="3"/>
  <c r="AS19" i="3"/>
  <c r="AS27" i="3"/>
  <c r="AS1" i="3"/>
  <c r="AS163" i="3"/>
  <c r="AS166" i="3"/>
  <c r="AS165" i="3"/>
  <c r="AS28" i="10"/>
  <c r="AS115" i="3"/>
  <c r="AS2" i="3"/>
  <c r="AS129" i="3"/>
  <c r="AS27" i="10"/>
  <c r="AS29" i="10"/>
  <c r="AS88" i="3"/>
  <c r="AS58" i="3"/>
  <c r="AS89" i="3"/>
  <c r="AS90" i="3"/>
  <c r="AS91" i="3"/>
  <c r="AS92" i="3"/>
  <c r="AS122" i="3"/>
  <c r="AS93" i="3"/>
  <c r="AS94" i="3"/>
  <c r="AS59" i="3"/>
  <c r="AS61" i="3"/>
  <c r="AS60" i="3"/>
  <c r="AS63" i="3"/>
  <c r="AS75" i="3"/>
  <c r="AS23" i="10"/>
  <c r="AS30" i="10"/>
  <c r="AS179" i="3"/>
  <c r="AS167" i="3"/>
  <c r="AS170" i="3"/>
  <c r="AS169" i="3"/>
  <c r="AS172" i="3"/>
  <c r="AS173" i="3"/>
  <c r="AS174" i="3"/>
  <c r="AS181" i="3"/>
  <c r="AS180" i="3"/>
  <c r="AS31" i="10"/>
  <c r="AS32" i="10"/>
  <c r="AS7" i="10"/>
  <c r="AS18" i="10"/>
  <c r="AS22" i="10"/>
  <c r="AS24" i="10"/>
  <c r="AS33" i="10"/>
  <c r="AS7" i="16"/>
  <c r="AS8" i="10"/>
  <c r="AS11" i="10"/>
  <c r="AS9" i="10"/>
  <c r="AS3" i="10"/>
  <c r="AS14" i="10"/>
  <c r="AS8" i="16"/>
  <c r="AS9" i="16"/>
  <c r="AS70" i="3"/>
  <c r="AS72" i="3"/>
  <c r="AS71" i="3"/>
  <c r="AS73" i="3"/>
  <c r="AS9" i="21"/>
  <c r="AS8" i="21"/>
  <c r="AS16" i="21"/>
  <c r="AS17" i="21"/>
  <c r="AS24" i="21"/>
  <c r="AS25" i="21"/>
  <c r="AS136" i="3"/>
  <c r="AS28" i="21"/>
  <c r="AS171" i="3"/>
  <c r="AS21" i="21"/>
  <c r="AS29" i="21"/>
  <c r="AS30" i="21"/>
  <c r="AS31" i="21"/>
  <c r="AS12" i="16"/>
  <c r="AS40" i="21"/>
  <c r="AS41" i="21"/>
  <c r="AS36" i="21"/>
  <c r="AS42" i="21"/>
  <c r="AS37" i="21"/>
  <c r="AS43" i="21"/>
  <c r="AS13" i="16"/>
  <c r="AS7" i="21"/>
  <c r="AS3" i="21"/>
  <c r="AS45" i="21"/>
  <c r="AS46" i="21"/>
  <c r="AS47" i="21"/>
  <c r="AS14" i="16"/>
  <c r="AS35" i="21"/>
  <c r="AS49" i="21"/>
  <c r="AS38" i="21"/>
  <c r="AS50" i="21"/>
  <c r="AS15" i="16"/>
  <c r="AS34" i="21"/>
  <c r="AS51" i="21"/>
  <c r="AS52" i="21"/>
  <c r="AS16" i="16"/>
  <c r="AS35" i="10"/>
  <c r="AS53" i="21"/>
  <c r="AS55" i="21"/>
  <c r="AS17" i="16"/>
  <c r="AS18" i="16"/>
  <c r="AS19" i="16"/>
  <c r="AS8" i="15"/>
  <c r="AS3" i="14"/>
  <c r="AS32" i="14"/>
  <c r="AS9" i="15"/>
  <c r="AS1" i="12"/>
  <c r="AS8" i="12"/>
  <c r="AS9" i="12"/>
  <c r="AS57" i="21"/>
  <c r="AS13" i="12"/>
  <c r="AS14" i="12"/>
  <c r="AS15" i="12"/>
  <c r="AS16" i="12"/>
  <c r="AS17" i="12"/>
  <c r="AS19" i="12"/>
  <c r="AS21" i="12"/>
  <c r="AS23" i="12"/>
  <c r="AS10" i="15"/>
  <c r="AS12" i="8"/>
  <c r="AS7" i="8"/>
  <c r="AS13" i="8"/>
  <c r="AS11" i="15"/>
  <c r="AS7" i="13"/>
  <c r="AS8" i="13"/>
  <c r="AS67" i="21"/>
  <c r="AS71" i="21"/>
  <c r="AS9" i="13"/>
  <c r="AS10" i="13"/>
  <c r="AS7" i="9"/>
  <c r="AS18" i="9"/>
  <c r="AS29" i="9"/>
  <c r="AS10" i="8"/>
  <c r="AS32" i="9"/>
  <c r="AS33" i="9"/>
  <c r="AS39" i="9"/>
  <c r="AS43" i="9"/>
  <c r="AS11" i="13"/>
  <c r="AS12" i="13"/>
  <c r="AS14" i="13"/>
  <c r="AS12" i="15"/>
  <c r="AS13" i="15"/>
  <c r="AS16" i="15"/>
  <c r="AS18" i="15"/>
  <c r="AS26" i="15"/>
  <c r="AT7" i="15"/>
  <c r="AS11" i="14"/>
  <c r="AS14" i="14"/>
  <c r="AS13" i="14"/>
  <c r="AS15" i="14"/>
  <c r="AS17" i="14"/>
  <c r="AS18" i="14"/>
  <c r="AS22" i="14"/>
  <c r="AS20" i="14"/>
  <c r="AS23" i="14"/>
  <c r="AS26" i="14"/>
  <c r="AT7" i="14"/>
  <c r="AT10" i="14"/>
  <c r="AT15" i="15"/>
  <c r="AT164" i="3"/>
  <c r="AT12" i="3"/>
  <c r="AT19" i="3"/>
  <c r="AT27" i="3"/>
  <c r="AT1" i="3"/>
  <c r="AT163" i="3"/>
  <c r="AT166" i="3"/>
  <c r="AT165" i="3"/>
  <c r="AT28" i="10"/>
  <c r="AT115" i="3"/>
  <c r="AT2" i="3"/>
  <c r="AT129" i="3"/>
  <c r="AT27" i="10"/>
  <c r="AT29" i="10"/>
  <c r="AT88" i="3"/>
  <c r="AT58" i="3"/>
  <c r="AT89" i="3"/>
  <c r="AT90" i="3"/>
  <c r="AT91" i="3"/>
  <c r="AT92" i="3"/>
  <c r="AT122" i="3"/>
  <c r="AT93" i="3"/>
  <c r="AT94" i="3"/>
  <c r="AT59" i="3"/>
  <c r="AT61" i="3"/>
  <c r="AT60" i="3"/>
  <c r="AT63" i="3"/>
  <c r="AT75" i="3"/>
  <c r="AT23" i="10"/>
  <c r="AT30" i="10"/>
  <c r="AT179" i="3"/>
  <c r="AT167" i="3"/>
  <c r="AT170" i="3"/>
  <c r="AT169" i="3"/>
  <c r="AT172" i="3"/>
  <c r="AT173" i="3"/>
  <c r="AT174" i="3"/>
  <c r="AT181" i="3"/>
  <c r="AT180" i="3"/>
  <c r="AT31" i="10"/>
  <c r="AT32" i="10"/>
  <c r="AT7" i="10"/>
  <c r="AT18" i="10"/>
  <c r="AT22" i="10"/>
  <c r="AT24" i="10"/>
  <c r="AT33" i="10"/>
  <c r="AT7" i="16"/>
  <c r="AT8" i="10"/>
  <c r="AT11" i="10"/>
  <c r="AT9" i="10"/>
  <c r="AT3" i="10"/>
  <c r="AT14" i="10"/>
  <c r="AT8" i="16"/>
  <c r="AT9" i="16"/>
  <c r="AT70" i="3"/>
  <c r="AT72" i="3"/>
  <c r="AT71" i="3"/>
  <c r="AT73" i="3"/>
  <c r="AT9" i="21"/>
  <c r="AT8" i="21"/>
  <c r="AT16" i="21"/>
  <c r="AT17" i="21"/>
  <c r="AT24" i="21"/>
  <c r="AT25" i="21"/>
  <c r="AT136" i="3"/>
  <c r="AT28" i="21"/>
  <c r="AT171" i="3"/>
  <c r="AT21" i="21"/>
  <c r="AT29" i="21"/>
  <c r="AT30" i="21"/>
  <c r="AT31" i="21"/>
  <c r="AT12" i="16"/>
  <c r="AT40" i="21"/>
  <c r="AT41" i="21"/>
  <c r="AT36" i="21"/>
  <c r="AT42" i="21"/>
  <c r="AT37" i="21"/>
  <c r="AT43" i="21"/>
  <c r="AT13" i="16"/>
  <c r="AT7" i="21"/>
  <c r="AT3" i="21"/>
  <c r="AT45" i="21"/>
  <c r="AT46" i="21"/>
  <c r="AT47" i="21"/>
  <c r="AT14" i="16"/>
  <c r="AT35" i="21"/>
  <c r="AT49" i="21"/>
  <c r="AT38" i="21"/>
  <c r="AT50" i="21"/>
  <c r="AT15" i="16"/>
  <c r="AT34" i="21"/>
  <c r="AT51" i="21"/>
  <c r="AT52" i="21"/>
  <c r="AT16" i="16"/>
  <c r="AT35" i="10"/>
  <c r="AT53" i="21"/>
  <c r="AT55" i="21"/>
  <c r="AT17" i="16"/>
  <c r="AT18" i="16"/>
  <c r="AT19" i="16"/>
  <c r="AT8" i="15"/>
  <c r="AT3" i="14"/>
  <c r="AT32" i="14"/>
  <c r="AT9" i="15"/>
  <c r="AT1" i="12"/>
  <c r="AT8" i="12"/>
  <c r="AT9" i="12"/>
  <c r="AT57" i="21"/>
  <c r="AT13" i="12"/>
  <c r="AT14" i="12"/>
  <c r="AT15" i="12"/>
  <c r="AT16" i="12"/>
  <c r="AT17" i="12"/>
  <c r="AT19" i="12"/>
  <c r="AT21" i="12"/>
  <c r="AT23" i="12"/>
  <c r="AT10" i="15"/>
  <c r="AT12" i="8"/>
  <c r="AT7" i="8"/>
  <c r="AT13" i="8"/>
  <c r="AT11" i="15"/>
  <c r="AT7" i="13"/>
  <c r="AT8" i="13"/>
  <c r="AT67" i="21"/>
  <c r="AT71" i="21"/>
  <c r="AT9" i="13"/>
  <c r="AT10" i="13"/>
  <c r="AT7" i="9"/>
  <c r="AT18" i="9"/>
  <c r="AT29" i="9"/>
  <c r="AT10" i="8"/>
  <c r="AT32" i="9"/>
  <c r="AT33" i="9"/>
  <c r="AT39" i="9"/>
  <c r="AT43" i="9"/>
  <c r="AT11" i="13"/>
  <c r="AT12" i="13"/>
  <c r="AT14" i="13"/>
  <c r="AT12" i="15"/>
  <c r="AT13" i="15"/>
  <c r="AT16" i="15"/>
  <c r="AT18" i="15"/>
  <c r="AT26" i="15"/>
  <c r="AU7" i="15"/>
  <c r="AT11" i="14"/>
  <c r="AT14" i="14"/>
  <c r="AT13" i="14"/>
  <c r="AT15" i="14"/>
  <c r="AT17" i="14"/>
  <c r="AT18" i="14"/>
  <c r="AT22" i="14"/>
  <c r="AT20" i="14"/>
  <c r="AT23" i="14"/>
  <c r="AT26" i="14"/>
  <c r="AU7" i="14"/>
  <c r="AU10" i="14"/>
  <c r="AU15" i="15"/>
  <c r="AU164" i="3"/>
  <c r="AU12" i="3"/>
  <c r="AU19" i="3"/>
  <c r="AU27" i="3"/>
  <c r="AU1" i="3"/>
  <c r="AU163" i="3"/>
  <c r="AU166" i="3"/>
  <c r="AU165" i="3"/>
  <c r="AU28" i="10"/>
  <c r="AU115" i="3"/>
  <c r="AU2" i="3"/>
  <c r="AU129" i="3"/>
  <c r="AU27" i="10"/>
  <c r="AU29" i="10"/>
  <c r="AU88" i="3"/>
  <c r="AU58" i="3"/>
  <c r="AU89" i="3"/>
  <c r="AU90" i="3"/>
  <c r="AU91" i="3"/>
  <c r="AU92" i="3"/>
  <c r="AU122" i="3"/>
  <c r="AU93" i="3"/>
  <c r="AU94" i="3"/>
  <c r="AU59" i="3"/>
  <c r="AU61" i="3"/>
  <c r="AU60" i="3"/>
  <c r="AU63" i="3"/>
  <c r="AU75" i="3"/>
  <c r="AU23" i="10"/>
  <c r="AU30" i="10"/>
  <c r="AU179" i="3"/>
  <c r="AU167" i="3"/>
  <c r="AU170" i="3"/>
  <c r="AU169" i="3"/>
  <c r="AU172" i="3"/>
  <c r="AU173" i="3"/>
  <c r="AU174" i="3"/>
  <c r="AU181" i="3"/>
  <c r="AU180" i="3"/>
  <c r="AU31" i="10"/>
  <c r="AU32" i="10"/>
  <c r="AU7" i="10"/>
  <c r="AU18" i="10"/>
  <c r="AU22" i="10"/>
  <c r="AU24" i="10"/>
  <c r="AU33" i="10"/>
  <c r="AU7" i="16"/>
  <c r="AU8" i="10"/>
  <c r="AU11" i="10"/>
  <c r="AU9" i="10"/>
  <c r="AU3" i="10"/>
  <c r="AU14" i="10"/>
  <c r="AU8" i="16"/>
  <c r="AU9" i="16"/>
  <c r="AU70" i="3"/>
  <c r="AU72" i="3"/>
  <c r="AU71" i="3"/>
  <c r="AU73" i="3"/>
  <c r="AU9" i="21"/>
  <c r="AU8" i="21"/>
  <c r="AU16" i="21"/>
  <c r="AU17" i="21"/>
  <c r="AU24" i="21"/>
  <c r="AU25" i="21"/>
  <c r="AU136" i="3"/>
  <c r="AU28" i="21"/>
  <c r="AU171" i="3"/>
  <c r="AU21" i="21"/>
  <c r="AU29" i="21"/>
  <c r="AU30" i="21"/>
  <c r="AU31" i="21"/>
  <c r="AU12" i="16"/>
  <c r="AU40" i="21"/>
  <c r="AU41" i="21"/>
  <c r="AU36" i="21"/>
  <c r="AU42" i="21"/>
  <c r="AU37" i="21"/>
  <c r="AU43" i="21"/>
  <c r="AU13" i="16"/>
  <c r="AU7" i="21"/>
  <c r="AU3" i="21"/>
  <c r="AU45" i="21"/>
  <c r="AU46" i="21"/>
  <c r="AU47" i="21"/>
  <c r="AU14" i="16"/>
  <c r="AU35" i="21"/>
  <c r="AU49" i="21"/>
  <c r="AU38" i="21"/>
  <c r="AU50" i="21"/>
  <c r="AU15" i="16"/>
  <c r="AU34" i="21"/>
  <c r="AU51" i="21"/>
  <c r="AU52" i="21"/>
  <c r="AU16" i="16"/>
  <c r="AU35" i="10"/>
  <c r="AU53" i="21"/>
  <c r="AU55" i="21"/>
  <c r="AU17" i="16"/>
  <c r="AU18" i="16"/>
  <c r="AU19" i="16"/>
  <c r="AU8" i="15"/>
  <c r="AU3" i="14"/>
  <c r="AU32" i="14"/>
  <c r="AU9" i="15"/>
  <c r="AU1" i="12"/>
  <c r="AU8" i="12"/>
  <c r="AU9" i="12"/>
  <c r="AU57" i="21"/>
  <c r="AU13" i="12"/>
  <c r="AU14" i="12"/>
  <c r="AU15" i="12"/>
  <c r="AU16" i="12"/>
  <c r="AU17" i="12"/>
  <c r="AU19" i="12"/>
  <c r="AU21" i="12"/>
  <c r="AU23" i="12"/>
  <c r="AU10" i="15"/>
  <c r="AU12" i="8"/>
  <c r="AU7" i="8"/>
  <c r="AU13" i="8"/>
  <c r="AU11" i="15"/>
  <c r="AU7" i="13"/>
  <c r="AU8" i="13"/>
  <c r="AU67" i="21"/>
  <c r="AU71" i="21"/>
  <c r="AU9" i="13"/>
  <c r="AU10" i="13"/>
  <c r="AU7" i="9"/>
  <c r="AU18" i="9"/>
  <c r="AU29" i="9"/>
  <c r="AU10" i="8"/>
  <c r="AU32" i="9"/>
  <c r="AU33" i="9"/>
  <c r="AU39" i="9"/>
  <c r="AU43" i="9"/>
  <c r="AU11" i="13"/>
  <c r="AU12" i="13"/>
  <c r="AU14" i="13"/>
  <c r="AU12" i="15"/>
  <c r="AU13" i="15"/>
  <c r="AU16" i="15"/>
  <c r="AU18" i="15"/>
  <c r="AU26" i="15"/>
  <c r="AV7" i="15"/>
  <c r="AU11" i="14"/>
  <c r="AU14" i="14"/>
  <c r="AU13" i="14"/>
  <c r="AU15" i="14"/>
  <c r="AU17" i="14"/>
  <c r="AU18" i="14"/>
  <c r="AU22" i="14"/>
  <c r="AU20" i="14"/>
  <c r="AU23" i="14"/>
  <c r="AU26" i="14"/>
  <c r="AV7" i="14"/>
  <c r="AV10" i="14"/>
  <c r="AV15" i="15"/>
  <c r="AV164" i="3"/>
  <c r="AV12" i="3"/>
  <c r="AV19" i="3"/>
  <c r="AV27" i="3"/>
  <c r="AV1" i="3"/>
  <c r="AV163" i="3"/>
  <c r="AV166" i="3"/>
  <c r="AV165" i="3"/>
  <c r="AV28" i="10"/>
  <c r="AV115" i="3"/>
  <c r="AV2" i="3"/>
  <c r="AV129" i="3"/>
  <c r="AV27" i="10"/>
  <c r="AV29" i="10"/>
  <c r="AV88" i="3"/>
  <c r="AV58" i="3"/>
  <c r="AV89" i="3"/>
  <c r="AV90" i="3"/>
  <c r="AV91" i="3"/>
  <c r="AV92" i="3"/>
  <c r="AV122" i="3"/>
  <c r="AV93" i="3"/>
  <c r="AV94" i="3"/>
  <c r="AV59" i="3"/>
  <c r="AV61" i="3"/>
  <c r="AV60" i="3"/>
  <c r="AV63" i="3"/>
  <c r="AV75" i="3"/>
  <c r="AV23" i="10"/>
  <c r="AV30" i="10"/>
  <c r="AV179" i="3"/>
  <c r="AV167" i="3"/>
  <c r="AV170" i="3"/>
  <c r="AV169" i="3"/>
  <c r="AV172" i="3"/>
  <c r="AV173" i="3"/>
  <c r="AV174" i="3"/>
  <c r="AV181" i="3"/>
  <c r="AV180" i="3"/>
  <c r="AV31" i="10"/>
  <c r="AV32" i="10"/>
  <c r="AV7" i="10"/>
  <c r="AV18" i="10"/>
  <c r="AV22" i="10"/>
  <c r="AV24" i="10"/>
  <c r="AV33" i="10"/>
  <c r="AV7" i="16"/>
  <c r="AV8" i="10"/>
  <c r="AV11" i="10"/>
  <c r="AV9" i="10"/>
  <c r="AV3" i="10"/>
  <c r="AV14" i="10"/>
  <c r="AV8" i="16"/>
  <c r="AV9" i="16"/>
  <c r="AV70" i="3"/>
  <c r="AV72" i="3"/>
  <c r="AV71" i="3"/>
  <c r="AV73" i="3"/>
  <c r="AV9" i="21"/>
  <c r="AV8" i="21"/>
  <c r="AV16" i="21"/>
  <c r="AV17" i="21"/>
  <c r="AV24" i="21"/>
  <c r="AV25" i="21"/>
  <c r="AV136" i="3"/>
  <c r="AV28" i="21"/>
  <c r="AV171" i="3"/>
  <c r="AV21" i="21"/>
  <c r="AV29" i="21"/>
  <c r="AV30" i="21"/>
  <c r="AV31" i="21"/>
  <c r="AV12" i="16"/>
  <c r="AV40" i="21"/>
  <c r="AV41" i="21"/>
  <c r="AV36" i="21"/>
  <c r="AV42" i="21"/>
  <c r="AV37" i="21"/>
  <c r="AV43" i="21"/>
  <c r="AV13" i="16"/>
  <c r="AV7" i="21"/>
  <c r="AV3" i="21"/>
  <c r="AV45" i="21"/>
  <c r="AV46" i="21"/>
  <c r="AV47" i="21"/>
  <c r="AV14" i="16"/>
  <c r="AV35" i="21"/>
  <c r="AV49" i="21"/>
  <c r="AV38" i="21"/>
  <c r="AV50" i="21"/>
  <c r="AV15" i="16"/>
  <c r="AV34" i="21"/>
  <c r="AV51" i="21"/>
  <c r="AV52" i="21"/>
  <c r="AV16" i="16"/>
  <c r="AV35" i="10"/>
  <c r="AV53" i="21"/>
  <c r="AV55" i="21"/>
  <c r="AV17" i="16"/>
  <c r="AV18" i="16"/>
  <c r="AV19" i="16"/>
  <c r="AV8" i="15"/>
  <c r="AV3" i="14"/>
  <c r="AV32" i="14"/>
  <c r="AV9" i="15"/>
  <c r="AV1" i="12"/>
  <c r="AV8" i="12"/>
  <c r="AV9" i="12"/>
  <c r="AV56" i="21"/>
  <c r="AV57" i="21"/>
  <c r="AV13" i="12"/>
  <c r="AV14" i="12"/>
  <c r="AV15" i="12"/>
  <c r="AV16" i="12"/>
  <c r="AV17" i="12"/>
  <c r="AV19" i="12"/>
  <c r="AV21" i="12"/>
  <c r="AV23" i="12"/>
  <c r="AV10" i="15"/>
  <c r="AV12" i="8"/>
  <c r="AV7" i="8"/>
  <c r="AV13" i="8"/>
  <c r="AV11" i="15"/>
  <c r="AV7" i="13"/>
  <c r="AV8" i="13"/>
  <c r="AV67" i="21"/>
  <c r="AV71" i="21"/>
  <c r="AV9" i="13"/>
  <c r="AV10" i="13"/>
  <c r="AV7" i="9"/>
  <c r="AV18" i="9"/>
  <c r="AV29" i="9"/>
  <c r="AV10" i="8"/>
  <c r="AV32" i="9"/>
  <c r="AV33" i="9"/>
  <c r="AV39" i="9"/>
  <c r="AV43" i="9"/>
  <c r="AV11" i="13"/>
  <c r="AV12" i="13"/>
  <c r="AV14" i="13"/>
  <c r="AV12" i="15"/>
  <c r="AV13" i="15"/>
  <c r="AV16" i="15"/>
  <c r="AV18" i="15"/>
  <c r="AV26" i="15"/>
  <c r="E27" i="15"/>
  <c r="Q14" i="24"/>
  <c r="G26" i="15"/>
  <c r="H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AW7" i="15"/>
  <c r="AW26" i="15"/>
  <c r="AX7" i="15"/>
  <c r="AX26" i="15"/>
  <c r="AY7" i="15"/>
  <c r="AY26" i="15"/>
  <c r="AZ7" i="15"/>
  <c r="AZ26" i="15"/>
  <c r="BA7" i="15"/>
  <c r="BA26" i="15"/>
  <c r="BB7" i="15"/>
  <c r="BB26" i="15"/>
  <c r="BC7" i="15"/>
  <c r="BC26" i="15"/>
  <c r="BD7" i="15"/>
  <c r="BD26" i="15"/>
  <c r="BE7" i="15"/>
  <c r="BE26" i="15"/>
  <c r="BF7" i="15"/>
  <c r="BF26" i="15"/>
  <c r="BG7" i="15"/>
  <c r="BG26" i="15"/>
  <c r="BH7" i="15"/>
  <c r="BH26" i="15"/>
  <c r="BI7" i="15"/>
  <c r="BI26" i="15"/>
  <c r="BJ7" i="15"/>
  <c r="BJ26" i="15"/>
  <c r="E28" i="15"/>
  <c r="Q13" i="24"/>
  <c r="G37" i="6"/>
  <c r="G9" i="20"/>
  <c r="G165" i="3"/>
  <c r="G28" i="10"/>
  <c r="G115" i="3"/>
  <c r="G2" i="3"/>
  <c r="G129" i="3"/>
  <c r="G27" i="10"/>
  <c r="G29" i="10"/>
  <c r="G92" i="3"/>
  <c r="G122" i="3"/>
  <c r="G93" i="3"/>
  <c r="G94" i="3"/>
  <c r="G60" i="3"/>
  <c r="G63" i="3"/>
  <c r="G75" i="3"/>
  <c r="G23" i="10"/>
  <c r="G30" i="10"/>
  <c r="G179" i="3"/>
  <c r="G181" i="3"/>
  <c r="G180" i="3"/>
  <c r="G31" i="10"/>
  <c r="G32" i="10"/>
  <c r="G7" i="10"/>
  <c r="G18" i="10"/>
  <c r="G22" i="10"/>
  <c r="G24" i="10"/>
  <c r="G33" i="10"/>
  <c r="G7" i="16"/>
  <c r="G8" i="10"/>
  <c r="G11" i="10"/>
  <c r="G9" i="10"/>
  <c r="G3" i="10"/>
  <c r="G14" i="10"/>
  <c r="G8" i="16"/>
  <c r="G9" i="16"/>
  <c r="G71" i="3"/>
  <c r="G73" i="3"/>
  <c r="G9" i="21"/>
  <c r="G8" i="21"/>
  <c r="G16" i="21"/>
  <c r="G17" i="21"/>
  <c r="G24" i="21"/>
  <c r="G25" i="21"/>
  <c r="G136" i="3"/>
  <c r="G28" i="21"/>
  <c r="G171" i="3"/>
  <c r="G21" i="21"/>
  <c r="G29" i="21"/>
  <c r="G30" i="21"/>
  <c r="G31" i="21"/>
  <c r="G12" i="16"/>
  <c r="G40" i="21"/>
  <c r="G41" i="21"/>
  <c r="G36" i="21"/>
  <c r="G42" i="21"/>
  <c r="G37" i="21"/>
  <c r="G43" i="21"/>
  <c r="G13" i="16"/>
  <c r="G7" i="21"/>
  <c r="G45" i="21"/>
  <c r="G46" i="21"/>
  <c r="G47" i="21"/>
  <c r="G14" i="16"/>
  <c r="G35" i="21"/>
  <c r="G49" i="21"/>
  <c r="G38" i="21"/>
  <c r="G50" i="21"/>
  <c r="G15" i="16"/>
  <c r="G34" i="21"/>
  <c r="G51" i="21"/>
  <c r="G52" i="21"/>
  <c r="G16" i="16"/>
  <c r="G35" i="10"/>
  <c r="G53" i="21"/>
  <c r="G55" i="21"/>
  <c r="G17" i="16"/>
  <c r="G18" i="16"/>
  <c r="G19" i="16"/>
  <c r="G3" i="14"/>
  <c r="G32" i="14"/>
  <c r="G21" i="16"/>
  <c r="G67" i="21"/>
  <c r="G71" i="21"/>
  <c r="G22" i="16"/>
  <c r="G1" i="12"/>
  <c r="G8" i="12"/>
  <c r="G9" i="12"/>
  <c r="G56" i="21"/>
  <c r="G57" i="21"/>
  <c r="G13" i="12"/>
  <c r="G14" i="12"/>
  <c r="G15" i="12"/>
  <c r="G16" i="12"/>
  <c r="G17" i="12"/>
  <c r="G19" i="12"/>
  <c r="G21" i="12"/>
  <c r="G23" i="12"/>
  <c r="G23" i="16"/>
  <c r="G12" i="8"/>
  <c r="G7" i="8"/>
  <c r="G13" i="8"/>
  <c r="G24" i="16"/>
  <c r="G25" i="16"/>
  <c r="G26" i="16"/>
  <c r="G27" i="16"/>
  <c r="G28" i="16"/>
  <c r="G7" i="13"/>
  <c r="G8" i="13"/>
  <c r="G9" i="13"/>
  <c r="G10" i="13"/>
  <c r="G7" i="9"/>
  <c r="G18" i="9"/>
  <c r="G29" i="9"/>
  <c r="G33" i="9"/>
  <c r="G39" i="9"/>
  <c r="G43" i="9"/>
  <c r="G11" i="13"/>
  <c r="G12" i="13"/>
  <c r="G14" i="13"/>
  <c r="G29" i="16"/>
  <c r="G30" i="16"/>
  <c r="G31" i="16"/>
  <c r="G10" i="20"/>
  <c r="G11" i="20"/>
  <c r="G1" i="20"/>
  <c r="D7" i="20"/>
  <c r="G12" i="20"/>
  <c r="G13" i="20"/>
  <c r="H37" i="6"/>
  <c r="H9" i="20"/>
  <c r="H165" i="3"/>
  <c r="H28" i="10"/>
  <c r="H115" i="3"/>
  <c r="H2" i="3"/>
  <c r="H129" i="3"/>
  <c r="H27" i="10"/>
  <c r="H29" i="10"/>
  <c r="H92" i="3"/>
  <c r="H122" i="3"/>
  <c r="H93" i="3"/>
  <c r="H94" i="3"/>
  <c r="H60" i="3"/>
  <c r="H63" i="3"/>
  <c r="H75" i="3"/>
  <c r="H23" i="10"/>
  <c r="H30" i="10"/>
  <c r="H179" i="3"/>
  <c r="H181" i="3"/>
  <c r="H180" i="3"/>
  <c r="H31" i="10"/>
  <c r="H32" i="10"/>
  <c r="H7" i="10"/>
  <c r="H18" i="10"/>
  <c r="H22" i="10"/>
  <c r="H24" i="10"/>
  <c r="H33" i="10"/>
  <c r="H7" i="16"/>
  <c r="H8" i="10"/>
  <c r="H11" i="10"/>
  <c r="H9" i="10"/>
  <c r="H3" i="10"/>
  <c r="H14" i="10"/>
  <c r="H8" i="16"/>
  <c r="H9" i="16"/>
  <c r="H71" i="3"/>
  <c r="H73" i="3"/>
  <c r="H9" i="21"/>
  <c r="H8" i="21"/>
  <c r="H16" i="21"/>
  <c r="H17" i="21"/>
  <c r="H24" i="21"/>
  <c r="H25" i="21"/>
  <c r="H136" i="3"/>
  <c r="H28" i="21"/>
  <c r="H171" i="3"/>
  <c r="H21" i="21"/>
  <c r="H29" i="21"/>
  <c r="H30" i="21"/>
  <c r="H31" i="21"/>
  <c r="H12" i="16"/>
  <c r="H40" i="21"/>
  <c r="H41" i="21"/>
  <c r="H36" i="21"/>
  <c r="H42" i="21"/>
  <c r="H37" i="21"/>
  <c r="H43" i="21"/>
  <c r="H13" i="16"/>
  <c r="H7" i="21"/>
  <c r="H45" i="21"/>
  <c r="H46" i="21"/>
  <c r="H47" i="21"/>
  <c r="H14" i="16"/>
  <c r="H35" i="21"/>
  <c r="H49" i="21"/>
  <c r="H38" i="21"/>
  <c r="H50" i="21"/>
  <c r="H15" i="16"/>
  <c r="H34" i="21"/>
  <c r="H51" i="21"/>
  <c r="H52" i="21"/>
  <c r="H16" i="16"/>
  <c r="H35" i="10"/>
  <c r="H53" i="21"/>
  <c r="H55" i="21"/>
  <c r="H17" i="16"/>
  <c r="H18" i="16"/>
  <c r="H19" i="16"/>
  <c r="H3" i="14"/>
  <c r="H32" i="14"/>
  <c r="H21" i="16"/>
  <c r="H67" i="21"/>
  <c r="H71" i="21"/>
  <c r="H22" i="16"/>
  <c r="H1" i="12"/>
  <c r="H8" i="12"/>
  <c r="H9" i="12"/>
  <c r="H56" i="21"/>
  <c r="H57" i="21"/>
  <c r="H13" i="12"/>
  <c r="H14" i="12"/>
  <c r="H15" i="12"/>
  <c r="H16" i="12"/>
  <c r="H17" i="12"/>
  <c r="H19" i="12"/>
  <c r="H21" i="12"/>
  <c r="H23" i="12"/>
  <c r="H23" i="16"/>
  <c r="H12" i="8"/>
  <c r="H7" i="8"/>
  <c r="H13" i="8"/>
  <c r="H24" i="16"/>
  <c r="H25" i="16"/>
  <c r="H26" i="16"/>
  <c r="H27" i="16"/>
  <c r="H28" i="16"/>
  <c r="H7" i="13"/>
  <c r="H8" i="13"/>
  <c r="H9" i="13"/>
  <c r="H10" i="13"/>
  <c r="H7" i="9"/>
  <c r="H18" i="9"/>
  <c r="H29" i="9"/>
  <c r="H33" i="9"/>
  <c r="H39" i="9"/>
  <c r="H43" i="9"/>
  <c r="H11" i="13"/>
  <c r="H12" i="13"/>
  <c r="H14" i="13"/>
  <c r="H29" i="16"/>
  <c r="H30" i="16"/>
  <c r="H31" i="16"/>
  <c r="H10" i="20"/>
  <c r="H11" i="20"/>
  <c r="H1" i="20"/>
  <c r="D8" i="20"/>
  <c r="H12" i="20"/>
  <c r="H13" i="20"/>
  <c r="I37" i="6"/>
  <c r="I9" i="20"/>
  <c r="I165" i="3"/>
  <c r="I28" i="10"/>
  <c r="I115" i="3"/>
  <c r="I2" i="3"/>
  <c r="I129" i="3"/>
  <c r="I27" i="10"/>
  <c r="I29" i="10"/>
  <c r="I92" i="3"/>
  <c r="I122" i="3"/>
  <c r="I93" i="3"/>
  <c r="I94" i="3"/>
  <c r="I60" i="3"/>
  <c r="I63" i="3"/>
  <c r="I75" i="3"/>
  <c r="I23" i="10"/>
  <c r="I30" i="10"/>
  <c r="I179" i="3"/>
  <c r="I181" i="3"/>
  <c r="I180" i="3"/>
  <c r="I31" i="10"/>
  <c r="I32" i="10"/>
  <c r="I7" i="10"/>
  <c r="I18" i="10"/>
  <c r="I22" i="10"/>
  <c r="I24" i="10"/>
  <c r="I33" i="10"/>
  <c r="I7" i="16"/>
  <c r="I8" i="10"/>
  <c r="I11" i="10"/>
  <c r="I9" i="10"/>
  <c r="I3" i="10"/>
  <c r="I14" i="10"/>
  <c r="I8" i="16"/>
  <c r="I9" i="16"/>
  <c r="I71" i="3"/>
  <c r="I73" i="3"/>
  <c r="I9" i="21"/>
  <c r="I8" i="21"/>
  <c r="I16" i="21"/>
  <c r="I17" i="21"/>
  <c r="I24" i="21"/>
  <c r="I25" i="21"/>
  <c r="I136" i="3"/>
  <c r="I28" i="21"/>
  <c r="I171" i="3"/>
  <c r="I21" i="21"/>
  <c r="I29" i="21"/>
  <c r="I30" i="21"/>
  <c r="I31" i="21"/>
  <c r="I12" i="16"/>
  <c r="I40" i="21"/>
  <c r="I41" i="21"/>
  <c r="I36" i="21"/>
  <c r="I42" i="21"/>
  <c r="I37" i="21"/>
  <c r="I43" i="21"/>
  <c r="I13" i="16"/>
  <c r="I7" i="21"/>
  <c r="I45" i="21"/>
  <c r="I46" i="21"/>
  <c r="I47" i="21"/>
  <c r="I14" i="16"/>
  <c r="I35" i="21"/>
  <c r="I49" i="21"/>
  <c r="I38" i="21"/>
  <c r="I50" i="21"/>
  <c r="I15" i="16"/>
  <c r="I34" i="21"/>
  <c r="I51" i="21"/>
  <c r="I52" i="21"/>
  <c r="I16" i="16"/>
  <c r="I35" i="10"/>
  <c r="I53" i="21"/>
  <c r="I55" i="21"/>
  <c r="I17" i="16"/>
  <c r="I18" i="16"/>
  <c r="I19" i="16"/>
  <c r="I3" i="14"/>
  <c r="I32" i="14"/>
  <c r="I21" i="16"/>
  <c r="I67" i="21"/>
  <c r="I71" i="21"/>
  <c r="I22" i="16"/>
  <c r="I1" i="12"/>
  <c r="I8" i="12"/>
  <c r="I9" i="12"/>
  <c r="I56" i="21"/>
  <c r="I57" i="21"/>
  <c r="I13" i="12"/>
  <c r="I14" i="12"/>
  <c r="I15" i="12"/>
  <c r="I16" i="12"/>
  <c r="I17" i="12"/>
  <c r="I19" i="12"/>
  <c r="I21" i="12"/>
  <c r="I23" i="12"/>
  <c r="I23" i="16"/>
  <c r="I12" i="8"/>
  <c r="I7" i="8"/>
  <c r="I13" i="8"/>
  <c r="I24" i="16"/>
  <c r="I25" i="16"/>
  <c r="I26" i="16"/>
  <c r="I27" i="16"/>
  <c r="I28" i="16"/>
  <c r="I7" i="13"/>
  <c r="I8" i="13"/>
  <c r="I9" i="13"/>
  <c r="I10" i="13"/>
  <c r="I7" i="9"/>
  <c r="I18" i="9"/>
  <c r="I29" i="9"/>
  <c r="I33" i="9"/>
  <c r="I39" i="9"/>
  <c r="I43" i="9"/>
  <c r="I11" i="13"/>
  <c r="I12" i="13"/>
  <c r="I14" i="13"/>
  <c r="I29" i="16"/>
  <c r="I30" i="16"/>
  <c r="I31" i="16"/>
  <c r="I10" i="20"/>
  <c r="I11" i="20"/>
  <c r="I1" i="20"/>
  <c r="I12" i="20"/>
  <c r="I13" i="20"/>
  <c r="J37" i="6"/>
  <c r="J9" i="20"/>
  <c r="J165" i="3"/>
  <c r="J28" i="10"/>
  <c r="J115" i="3"/>
  <c r="J2" i="3"/>
  <c r="J129" i="3"/>
  <c r="J27" i="10"/>
  <c r="J29" i="10"/>
  <c r="J92" i="3"/>
  <c r="J122" i="3"/>
  <c r="J93" i="3"/>
  <c r="J94" i="3"/>
  <c r="J60" i="3"/>
  <c r="J63" i="3"/>
  <c r="J75" i="3"/>
  <c r="J23" i="10"/>
  <c r="J30" i="10"/>
  <c r="J179" i="3"/>
  <c r="J181" i="3"/>
  <c r="J180" i="3"/>
  <c r="J31" i="10"/>
  <c r="J32" i="10"/>
  <c r="J7" i="10"/>
  <c r="J18" i="10"/>
  <c r="J22" i="10"/>
  <c r="J24" i="10"/>
  <c r="J33" i="10"/>
  <c r="J7" i="16"/>
  <c r="J8" i="10"/>
  <c r="J11" i="10"/>
  <c r="J9" i="10"/>
  <c r="J3" i="10"/>
  <c r="J14" i="10"/>
  <c r="J8" i="16"/>
  <c r="J9" i="16"/>
  <c r="J71" i="3"/>
  <c r="J73" i="3"/>
  <c r="J9" i="21"/>
  <c r="J8" i="21"/>
  <c r="J16" i="21"/>
  <c r="J17" i="21"/>
  <c r="J24" i="21"/>
  <c r="J25" i="21"/>
  <c r="J136" i="3"/>
  <c r="J28" i="21"/>
  <c r="J171" i="3"/>
  <c r="J21" i="21"/>
  <c r="J29" i="21"/>
  <c r="J30" i="21"/>
  <c r="J31" i="21"/>
  <c r="J12" i="16"/>
  <c r="J40" i="21"/>
  <c r="J41" i="21"/>
  <c r="J36" i="21"/>
  <c r="J42" i="21"/>
  <c r="J37" i="21"/>
  <c r="J43" i="21"/>
  <c r="J13" i="16"/>
  <c r="J7" i="21"/>
  <c r="J45" i="21"/>
  <c r="J46" i="21"/>
  <c r="J47" i="21"/>
  <c r="J14" i="16"/>
  <c r="J35" i="21"/>
  <c r="J49" i="21"/>
  <c r="J38" i="21"/>
  <c r="J50" i="21"/>
  <c r="J15" i="16"/>
  <c r="J34" i="21"/>
  <c r="J51" i="21"/>
  <c r="J52" i="21"/>
  <c r="J16" i="16"/>
  <c r="J35" i="10"/>
  <c r="J53" i="21"/>
  <c r="J55" i="21"/>
  <c r="J17" i="16"/>
  <c r="J18" i="16"/>
  <c r="J19" i="16"/>
  <c r="J3" i="14"/>
  <c r="J32" i="14"/>
  <c r="J21" i="16"/>
  <c r="J67" i="21"/>
  <c r="J71" i="21"/>
  <c r="J22" i="16"/>
  <c r="J1" i="12"/>
  <c r="J8" i="12"/>
  <c r="J9" i="12"/>
  <c r="J56" i="21"/>
  <c r="J57" i="21"/>
  <c r="J13" i="12"/>
  <c r="J14" i="12"/>
  <c r="J15" i="12"/>
  <c r="J16" i="12"/>
  <c r="J17" i="12"/>
  <c r="J19" i="12"/>
  <c r="J21" i="12"/>
  <c r="J23" i="12"/>
  <c r="J23" i="16"/>
  <c r="J12" i="8"/>
  <c r="J7" i="8"/>
  <c r="J13" i="8"/>
  <c r="J24" i="16"/>
  <c r="J25" i="16"/>
  <c r="J26" i="16"/>
  <c r="J27" i="16"/>
  <c r="J28" i="16"/>
  <c r="J7" i="13"/>
  <c r="J8" i="13"/>
  <c r="J9" i="13"/>
  <c r="J10" i="13"/>
  <c r="J7" i="9"/>
  <c r="J18" i="9"/>
  <c r="J29" i="9"/>
  <c r="J33" i="9"/>
  <c r="J39" i="9"/>
  <c r="J43" i="9"/>
  <c r="J11" i="13"/>
  <c r="J12" i="13"/>
  <c r="J14" i="13"/>
  <c r="J29" i="16"/>
  <c r="J30" i="16"/>
  <c r="J31" i="16"/>
  <c r="J10" i="20"/>
  <c r="J11" i="20"/>
  <c r="J1" i="20"/>
  <c r="J12" i="20"/>
  <c r="J13" i="20"/>
  <c r="K37" i="6"/>
  <c r="K9" i="20"/>
  <c r="K165" i="3"/>
  <c r="K28" i="10"/>
  <c r="K115" i="3"/>
  <c r="K2" i="3"/>
  <c r="K129" i="3"/>
  <c r="K27" i="10"/>
  <c r="K29" i="10"/>
  <c r="K92" i="3"/>
  <c r="K122" i="3"/>
  <c r="K93" i="3"/>
  <c r="K94" i="3"/>
  <c r="K60" i="3"/>
  <c r="K63" i="3"/>
  <c r="K75" i="3"/>
  <c r="K23" i="10"/>
  <c r="K30" i="10"/>
  <c r="K179" i="3"/>
  <c r="K181" i="3"/>
  <c r="K180" i="3"/>
  <c r="K31" i="10"/>
  <c r="K32" i="10"/>
  <c r="K7" i="10"/>
  <c r="K18" i="10"/>
  <c r="K22" i="10"/>
  <c r="K24" i="10"/>
  <c r="K33" i="10"/>
  <c r="K7" i="16"/>
  <c r="K8" i="10"/>
  <c r="K11" i="10"/>
  <c r="K9" i="10"/>
  <c r="K3" i="10"/>
  <c r="K14" i="10"/>
  <c r="K8" i="16"/>
  <c r="K9" i="16"/>
  <c r="K71" i="3"/>
  <c r="K73" i="3"/>
  <c r="K9" i="21"/>
  <c r="K8" i="21"/>
  <c r="K16" i="21"/>
  <c r="K17" i="21"/>
  <c r="K24" i="21"/>
  <c r="K25" i="21"/>
  <c r="K136" i="3"/>
  <c r="K28" i="21"/>
  <c r="K171" i="3"/>
  <c r="K21" i="21"/>
  <c r="K29" i="21"/>
  <c r="K30" i="21"/>
  <c r="K31" i="21"/>
  <c r="K12" i="16"/>
  <c r="K40" i="21"/>
  <c r="K41" i="21"/>
  <c r="K36" i="21"/>
  <c r="K42" i="21"/>
  <c r="K37" i="21"/>
  <c r="K43" i="21"/>
  <c r="K13" i="16"/>
  <c r="K7" i="21"/>
  <c r="K45" i="21"/>
  <c r="K46" i="21"/>
  <c r="K47" i="21"/>
  <c r="K14" i="16"/>
  <c r="K35" i="21"/>
  <c r="K49" i="21"/>
  <c r="K38" i="21"/>
  <c r="K50" i="21"/>
  <c r="K15" i="16"/>
  <c r="K34" i="21"/>
  <c r="K51" i="21"/>
  <c r="K52" i="21"/>
  <c r="K16" i="16"/>
  <c r="K35" i="10"/>
  <c r="K53" i="21"/>
  <c r="K55" i="21"/>
  <c r="K17" i="16"/>
  <c r="K18" i="16"/>
  <c r="K19" i="16"/>
  <c r="K3" i="14"/>
  <c r="K32" i="14"/>
  <c r="K21" i="16"/>
  <c r="K67" i="21"/>
  <c r="K71" i="21"/>
  <c r="K22" i="16"/>
  <c r="K1" i="12"/>
  <c r="K8" i="12"/>
  <c r="K9" i="12"/>
  <c r="K56" i="21"/>
  <c r="K57" i="21"/>
  <c r="K13" i="12"/>
  <c r="K14" i="12"/>
  <c r="K15" i="12"/>
  <c r="K16" i="12"/>
  <c r="K17" i="12"/>
  <c r="K19" i="12"/>
  <c r="K21" i="12"/>
  <c r="K23" i="12"/>
  <c r="K23" i="16"/>
  <c r="K12" i="8"/>
  <c r="K7" i="8"/>
  <c r="K13" i="8"/>
  <c r="K24" i="16"/>
  <c r="K25" i="16"/>
  <c r="K26" i="16"/>
  <c r="K27" i="16"/>
  <c r="K28" i="16"/>
  <c r="K7" i="13"/>
  <c r="K8" i="13"/>
  <c r="K9" i="13"/>
  <c r="K10" i="13"/>
  <c r="K7" i="9"/>
  <c r="K18" i="9"/>
  <c r="K29" i="9"/>
  <c r="K33" i="9"/>
  <c r="K39" i="9"/>
  <c r="K43" i="9"/>
  <c r="K11" i="13"/>
  <c r="K12" i="13"/>
  <c r="K14" i="13"/>
  <c r="K29" i="16"/>
  <c r="K30" i="16"/>
  <c r="K31" i="16"/>
  <c r="K10" i="20"/>
  <c r="K11" i="20"/>
  <c r="K1" i="20"/>
  <c r="K12" i="20"/>
  <c r="K13" i="20"/>
  <c r="L37" i="6"/>
  <c r="L9" i="20"/>
  <c r="L165" i="3"/>
  <c r="L28" i="10"/>
  <c r="L115" i="3"/>
  <c r="L2" i="3"/>
  <c r="L129" i="3"/>
  <c r="L27" i="10"/>
  <c r="L29" i="10"/>
  <c r="L92" i="3"/>
  <c r="L122" i="3"/>
  <c r="L93" i="3"/>
  <c r="L94" i="3"/>
  <c r="L60" i="3"/>
  <c r="L63" i="3"/>
  <c r="L75" i="3"/>
  <c r="L23" i="10"/>
  <c r="L30" i="10"/>
  <c r="L179" i="3"/>
  <c r="L180" i="3"/>
  <c r="L31" i="10"/>
  <c r="L32" i="10"/>
  <c r="L7" i="10"/>
  <c r="L18" i="10"/>
  <c r="L22" i="10"/>
  <c r="L24" i="10"/>
  <c r="L33" i="10"/>
  <c r="L7" i="16"/>
  <c r="L8" i="10"/>
  <c r="L11" i="10"/>
  <c r="L9" i="10"/>
  <c r="L3" i="10"/>
  <c r="L14" i="10"/>
  <c r="L8" i="16"/>
  <c r="L9" i="16"/>
  <c r="L71" i="3"/>
  <c r="L73" i="3"/>
  <c r="L9" i="21"/>
  <c r="L8" i="21"/>
  <c r="L16" i="21"/>
  <c r="L17" i="21"/>
  <c r="L24" i="21"/>
  <c r="L25" i="21"/>
  <c r="L136" i="3"/>
  <c r="L28" i="21"/>
  <c r="L171" i="3"/>
  <c r="L21" i="21"/>
  <c r="L29" i="21"/>
  <c r="L30" i="21"/>
  <c r="L31" i="21"/>
  <c r="L12" i="16"/>
  <c r="L40" i="21"/>
  <c r="L41" i="21"/>
  <c r="L36" i="21"/>
  <c r="L42" i="21"/>
  <c r="L37" i="21"/>
  <c r="L43" i="21"/>
  <c r="L13" i="16"/>
  <c r="L7" i="21"/>
  <c r="L45" i="21"/>
  <c r="L46" i="21"/>
  <c r="L47" i="21"/>
  <c r="L14" i="16"/>
  <c r="L35" i="21"/>
  <c r="L49" i="21"/>
  <c r="L38" i="21"/>
  <c r="L50" i="21"/>
  <c r="L15" i="16"/>
  <c r="L34" i="21"/>
  <c r="L51" i="21"/>
  <c r="L52" i="21"/>
  <c r="L16" i="16"/>
  <c r="L35" i="10"/>
  <c r="L53" i="21"/>
  <c r="L55" i="21"/>
  <c r="L17" i="16"/>
  <c r="L18" i="16"/>
  <c r="L19" i="16"/>
  <c r="L3" i="14"/>
  <c r="L32" i="14"/>
  <c r="L21" i="16"/>
  <c r="L67" i="21"/>
  <c r="L71" i="21"/>
  <c r="L22" i="16"/>
  <c r="L1" i="12"/>
  <c r="L8" i="12"/>
  <c r="L9" i="12"/>
  <c r="L56" i="21"/>
  <c r="L57" i="21"/>
  <c r="L13" i="12"/>
  <c r="L14" i="12"/>
  <c r="L15" i="12"/>
  <c r="L16" i="12"/>
  <c r="L17" i="12"/>
  <c r="L19" i="12"/>
  <c r="L21" i="12"/>
  <c r="L23" i="12"/>
  <c r="L23" i="16"/>
  <c r="L12" i="8"/>
  <c r="L7" i="8"/>
  <c r="L13" i="8"/>
  <c r="L24" i="16"/>
  <c r="L25" i="16"/>
  <c r="L26" i="16"/>
  <c r="L27" i="16"/>
  <c r="L28" i="16"/>
  <c r="L7" i="13"/>
  <c r="L8" i="13"/>
  <c r="L9" i="13"/>
  <c r="L10" i="13"/>
  <c r="L7" i="9"/>
  <c r="L18" i="9"/>
  <c r="L29" i="9"/>
  <c r="L33" i="9"/>
  <c r="L39" i="9"/>
  <c r="L43" i="9"/>
  <c r="L11" i="13"/>
  <c r="L12" i="13"/>
  <c r="L14" i="13"/>
  <c r="L29" i="16"/>
  <c r="L30" i="16"/>
  <c r="L31" i="16"/>
  <c r="L10" i="20"/>
  <c r="L11" i="20"/>
  <c r="L1" i="20"/>
  <c r="L12" i="20"/>
  <c r="L13" i="20"/>
  <c r="M37" i="6"/>
  <c r="M9" i="20"/>
  <c r="M165" i="3"/>
  <c r="M28" i="10"/>
  <c r="M115" i="3"/>
  <c r="M2" i="3"/>
  <c r="M129" i="3"/>
  <c r="M27" i="10"/>
  <c r="M29" i="10"/>
  <c r="M92" i="3"/>
  <c r="M122" i="3"/>
  <c r="M93" i="3"/>
  <c r="M94" i="3"/>
  <c r="M60" i="3"/>
  <c r="M63" i="3"/>
  <c r="M75" i="3"/>
  <c r="M23" i="10"/>
  <c r="M30" i="10"/>
  <c r="M180" i="3"/>
  <c r="M31" i="10"/>
  <c r="M32" i="10"/>
  <c r="M7" i="10"/>
  <c r="M18" i="10"/>
  <c r="M22" i="10"/>
  <c r="M24" i="10"/>
  <c r="M33" i="10"/>
  <c r="M7" i="16"/>
  <c r="M8" i="10"/>
  <c r="M11" i="10"/>
  <c r="M9" i="10"/>
  <c r="M3" i="10"/>
  <c r="M14" i="10"/>
  <c r="M8" i="16"/>
  <c r="M9" i="16"/>
  <c r="M71" i="3"/>
  <c r="M73" i="3"/>
  <c r="M9" i="21"/>
  <c r="M8" i="21"/>
  <c r="M16" i="21"/>
  <c r="M17" i="21"/>
  <c r="M24" i="21"/>
  <c r="M25" i="21"/>
  <c r="M136" i="3"/>
  <c r="M28" i="21"/>
  <c r="M171" i="3"/>
  <c r="M21" i="21"/>
  <c r="M29" i="21"/>
  <c r="M30" i="21"/>
  <c r="M31" i="21"/>
  <c r="M12" i="16"/>
  <c r="M40" i="21"/>
  <c r="M41" i="21"/>
  <c r="M36" i="21"/>
  <c r="M42" i="21"/>
  <c r="M37" i="21"/>
  <c r="M43" i="21"/>
  <c r="M13" i="16"/>
  <c r="M7" i="21"/>
  <c r="M45" i="21"/>
  <c r="M46" i="21"/>
  <c r="M47" i="21"/>
  <c r="M14" i="16"/>
  <c r="M35" i="21"/>
  <c r="M49" i="21"/>
  <c r="M38" i="21"/>
  <c r="M50" i="21"/>
  <c r="M15" i="16"/>
  <c r="M34" i="21"/>
  <c r="M51" i="21"/>
  <c r="M52" i="21"/>
  <c r="M16" i="16"/>
  <c r="M35" i="10"/>
  <c r="M53" i="21"/>
  <c r="M55" i="21"/>
  <c r="M17" i="16"/>
  <c r="M18" i="16"/>
  <c r="M19" i="16"/>
  <c r="M3" i="14"/>
  <c r="M32" i="14"/>
  <c r="M21" i="16"/>
  <c r="M67" i="21"/>
  <c r="M71" i="21"/>
  <c r="M22" i="16"/>
  <c r="M1" i="12"/>
  <c r="M8" i="12"/>
  <c r="M9" i="12"/>
  <c r="M56" i="21"/>
  <c r="M57" i="21"/>
  <c r="M13" i="12"/>
  <c r="M14" i="12"/>
  <c r="M15" i="12"/>
  <c r="M16" i="12"/>
  <c r="M17" i="12"/>
  <c r="M19" i="12"/>
  <c r="M21" i="12"/>
  <c r="M23" i="12"/>
  <c r="M23" i="16"/>
  <c r="M12" i="8"/>
  <c r="M7" i="8"/>
  <c r="M13" i="8"/>
  <c r="M24" i="16"/>
  <c r="M25" i="16"/>
  <c r="M26" i="16"/>
  <c r="M27" i="16"/>
  <c r="M28" i="16"/>
  <c r="M7" i="13"/>
  <c r="M8" i="13"/>
  <c r="M9" i="13"/>
  <c r="M10" i="13"/>
  <c r="M7" i="9"/>
  <c r="M18" i="9"/>
  <c r="M29" i="9"/>
  <c r="M33" i="9"/>
  <c r="M39" i="9"/>
  <c r="M43" i="9"/>
  <c r="M11" i="13"/>
  <c r="M12" i="13"/>
  <c r="M14" i="13"/>
  <c r="M29" i="16"/>
  <c r="M30" i="16"/>
  <c r="M31" i="16"/>
  <c r="M10" i="20"/>
  <c r="M11" i="20"/>
  <c r="M1" i="20"/>
  <c r="M12" i="20"/>
  <c r="M13" i="20"/>
  <c r="N37" i="6"/>
  <c r="N9" i="20"/>
  <c r="N165" i="3"/>
  <c r="N28" i="10"/>
  <c r="N115" i="3"/>
  <c r="N2" i="3"/>
  <c r="N129" i="3"/>
  <c r="N27" i="10"/>
  <c r="N29" i="10"/>
  <c r="N92" i="3"/>
  <c r="N122" i="3"/>
  <c r="N93" i="3"/>
  <c r="N94" i="3"/>
  <c r="N60" i="3"/>
  <c r="N63" i="3"/>
  <c r="N75" i="3"/>
  <c r="N23" i="10"/>
  <c r="N30" i="10"/>
  <c r="N180" i="3"/>
  <c r="N31" i="10"/>
  <c r="N32" i="10"/>
  <c r="N7" i="10"/>
  <c r="N18" i="10"/>
  <c r="N22" i="10"/>
  <c r="N24" i="10"/>
  <c r="N33" i="10"/>
  <c r="N7" i="16"/>
  <c r="N8" i="10"/>
  <c r="N11" i="10"/>
  <c r="N9" i="10"/>
  <c r="N3" i="10"/>
  <c r="N14" i="10"/>
  <c r="N8" i="16"/>
  <c r="N9" i="16"/>
  <c r="N71" i="3"/>
  <c r="N73" i="3"/>
  <c r="N9" i="21"/>
  <c r="N8" i="21"/>
  <c r="N16" i="21"/>
  <c r="N17" i="21"/>
  <c r="N24" i="21"/>
  <c r="N25" i="21"/>
  <c r="N136" i="3"/>
  <c r="N28" i="21"/>
  <c r="N171" i="3"/>
  <c r="N21" i="21"/>
  <c r="N29" i="21"/>
  <c r="N30" i="21"/>
  <c r="N31" i="21"/>
  <c r="N12" i="16"/>
  <c r="N40" i="21"/>
  <c r="N41" i="21"/>
  <c r="N36" i="21"/>
  <c r="N42" i="21"/>
  <c r="N37" i="21"/>
  <c r="N43" i="21"/>
  <c r="N13" i="16"/>
  <c r="N7" i="21"/>
  <c r="N45" i="21"/>
  <c r="N46" i="21"/>
  <c r="N47" i="21"/>
  <c r="N14" i="16"/>
  <c r="N35" i="21"/>
  <c r="N49" i="21"/>
  <c r="N38" i="21"/>
  <c r="N50" i="21"/>
  <c r="N15" i="16"/>
  <c r="N34" i="21"/>
  <c r="N51" i="21"/>
  <c r="N52" i="21"/>
  <c r="N16" i="16"/>
  <c r="N35" i="10"/>
  <c r="N53" i="21"/>
  <c r="N55" i="21"/>
  <c r="N17" i="16"/>
  <c r="N18" i="16"/>
  <c r="N19" i="16"/>
  <c r="N3" i="14"/>
  <c r="N32" i="14"/>
  <c r="N21" i="16"/>
  <c r="N67" i="21"/>
  <c r="N71" i="21"/>
  <c r="N22" i="16"/>
  <c r="N1" i="12"/>
  <c r="N8" i="12"/>
  <c r="N9" i="12"/>
  <c r="N56" i="21"/>
  <c r="N57" i="21"/>
  <c r="N13" i="12"/>
  <c r="N14" i="12"/>
  <c r="N15" i="12"/>
  <c r="N16" i="12"/>
  <c r="N17" i="12"/>
  <c r="N19" i="12"/>
  <c r="N21" i="12"/>
  <c r="N23" i="12"/>
  <c r="N23" i="16"/>
  <c r="N12" i="8"/>
  <c r="N7" i="8"/>
  <c r="N13" i="8"/>
  <c r="N24" i="16"/>
  <c r="N25" i="16"/>
  <c r="N26" i="16"/>
  <c r="N27" i="16"/>
  <c r="N28" i="16"/>
  <c r="N7" i="13"/>
  <c r="N8" i="13"/>
  <c r="N9" i="13"/>
  <c r="N10" i="13"/>
  <c r="N7" i="9"/>
  <c r="N18" i="9"/>
  <c r="N29" i="9"/>
  <c r="N33" i="9"/>
  <c r="N39" i="9"/>
  <c r="N43" i="9"/>
  <c r="N11" i="13"/>
  <c r="N12" i="13"/>
  <c r="N14" i="13"/>
  <c r="N29" i="16"/>
  <c r="N30" i="16"/>
  <c r="N31" i="16"/>
  <c r="N10" i="20"/>
  <c r="N11" i="20"/>
  <c r="N1" i="20"/>
  <c r="N12" i="20"/>
  <c r="N13" i="20"/>
  <c r="O37" i="6"/>
  <c r="O9" i="20"/>
  <c r="O165" i="3"/>
  <c r="O28" i="10"/>
  <c r="O115" i="3"/>
  <c r="O2" i="3"/>
  <c r="O129" i="3"/>
  <c r="O27" i="10"/>
  <c r="O29" i="10"/>
  <c r="O92" i="3"/>
  <c r="O122" i="3"/>
  <c r="O93" i="3"/>
  <c r="O94" i="3"/>
  <c r="O60" i="3"/>
  <c r="O63" i="3"/>
  <c r="O75" i="3"/>
  <c r="O23" i="10"/>
  <c r="O30" i="10"/>
  <c r="O180" i="3"/>
  <c r="O31" i="10"/>
  <c r="O32" i="10"/>
  <c r="O7" i="10"/>
  <c r="O18" i="10"/>
  <c r="O22" i="10"/>
  <c r="O24" i="10"/>
  <c r="O33" i="10"/>
  <c r="O7" i="16"/>
  <c r="O8" i="10"/>
  <c r="O11" i="10"/>
  <c r="O9" i="10"/>
  <c r="O3" i="10"/>
  <c r="O14" i="10"/>
  <c r="O8" i="16"/>
  <c r="O9" i="16"/>
  <c r="O71" i="3"/>
  <c r="O73" i="3"/>
  <c r="O9" i="21"/>
  <c r="O8" i="21"/>
  <c r="O16" i="21"/>
  <c r="O17" i="21"/>
  <c r="O24" i="21"/>
  <c r="O25" i="21"/>
  <c r="O136" i="3"/>
  <c r="O28" i="21"/>
  <c r="O171" i="3"/>
  <c r="O21" i="21"/>
  <c r="O29" i="21"/>
  <c r="O30" i="21"/>
  <c r="O31" i="21"/>
  <c r="O12" i="16"/>
  <c r="O40" i="21"/>
  <c r="O41" i="21"/>
  <c r="O36" i="21"/>
  <c r="O42" i="21"/>
  <c r="O37" i="21"/>
  <c r="O43" i="21"/>
  <c r="O13" i="16"/>
  <c r="O7" i="21"/>
  <c r="O45" i="21"/>
  <c r="O46" i="21"/>
  <c r="O47" i="21"/>
  <c r="O14" i="16"/>
  <c r="O35" i="21"/>
  <c r="O49" i="21"/>
  <c r="O38" i="21"/>
  <c r="O50" i="21"/>
  <c r="O15" i="16"/>
  <c r="O34" i="21"/>
  <c r="O51" i="21"/>
  <c r="O52" i="21"/>
  <c r="O16" i="16"/>
  <c r="O35" i="10"/>
  <c r="O53" i="21"/>
  <c r="O55" i="21"/>
  <c r="O17" i="16"/>
  <c r="O18" i="16"/>
  <c r="O19" i="16"/>
  <c r="O3" i="14"/>
  <c r="O32" i="14"/>
  <c r="O21" i="16"/>
  <c r="O67" i="21"/>
  <c r="O71" i="21"/>
  <c r="O22" i="16"/>
  <c r="O1" i="12"/>
  <c r="O8" i="12"/>
  <c r="O9" i="12"/>
  <c r="O56" i="21"/>
  <c r="O57" i="21"/>
  <c r="O13" i="12"/>
  <c r="O14" i="12"/>
  <c r="O15" i="12"/>
  <c r="O16" i="12"/>
  <c r="O17" i="12"/>
  <c r="O19" i="12"/>
  <c r="O21" i="12"/>
  <c r="O23" i="12"/>
  <c r="O23" i="16"/>
  <c r="O12" i="8"/>
  <c r="O7" i="8"/>
  <c r="O13" i="8"/>
  <c r="O24" i="16"/>
  <c r="O25" i="16"/>
  <c r="O26" i="16"/>
  <c r="O27" i="16"/>
  <c r="O28" i="16"/>
  <c r="O7" i="13"/>
  <c r="O8" i="13"/>
  <c r="O9" i="13"/>
  <c r="O10" i="13"/>
  <c r="O7" i="9"/>
  <c r="O18" i="9"/>
  <c r="O29" i="9"/>
  <c r="O33" i="9"/>
  <c r="O39" i="9"/>
  <c r="O43" i="9"/>
  <c r="O11" i="13"/>
  <c r="O12" i="13"/>
  <c r="O14" i="13"/>
  <c r="O29" i="16"/>
  <c r="O30" i="16"/>
  <c r="O31" i="16"/>
  <c r="O10" i="20"/>
  <c r="O11" i="20"/>
  <c r="O1" i="20"/>
  <c r="O12" i="20"/>
  <c r="O13" i="20"/>
  <c r="P37" i="6"/>
  <c r="P9" i="20"/>
  <c r="P165" i="3"/>
  <c r="P28" i="10"/>
  <c r="P115" i="3"/>
  <c r="P2" i="3"/>
  <c r="P129" i="3"/>
  <c r="P27" i="10"/>
  <c r="P29" i="10"/>
  <c r="P92" i="3"/>
  <c r="P122" i="3"/>
  <c r="P93" i="3"/>
  <c r="P94" i="3"/>
  <c r="P60" i="3"/>
  <c r="P63" i="3"/>
  <c r="P75" i="3"/>
  <c r="P23" i="10"/>
  <c r="P30" i="10"/>
  <c r="P180" i="3"/>
  <c r="P31" i="10"/>
  <c r="P32" i="10"/>
  <c r="P7" i="10"/>
  <c r="P18" i="10"/>
  <c r="P22" i="10"/>
  <c r="P24" i="10"/>
  <c r="P33" i="10"/>
  <c r="P7" i="16"/>
  <c r="P8" i="10"/>
  <c r="P11" i="10"/>
  <c r="P9" i="10"/>
  <c r="P3" i="10"/>
  <c r="P14" i="10"/>
  <c r="P8" i="16"/>
  <c r="P9" i="16"/>
  <c r="P71" i="3"/>
  <c r="P73" i="3"/>
  <c r="P9" i="21"/>
  <c r="P8" i="21"/>
  <c r="P16" i="21"/>
  <c r="P17" i="21"/>
  <c r="P24" i="21"/>
  <c r="P25" i="21"/>
  <c r="P136" i="3"/>
  <c r="P28" i="21"/>
  <c r="P171" i="3"/>
  <c r="P21" i="21"/>
  <c r="P29" i="21"/>
  <c r="P30" i="21"/>
  <c r="P31" i="21"/>
  <c r="P12" i="16"/>
  <c r="P40" i="21"/>
  <c r="P41" i="21"/>
  <c r="P36" i="21"/>
  <c r="P42" i="21"/>
  <c r="P37" i="21"/>
  <c r="P43" i="21"/>
  <c r="P13" i="16"/>
  <c r="P7" i="21"/>
  <c r="P45" i="21"/>
  <c r="P46" i="21"/>
  <c r="P47" i="21"/>
  <c r="P14" i="16"/>
  <c r="P35" i="21"/>
  <c r="P49" i="21"/>
  <c r="P38" i="21"/>
  <c r="P50" i="21"/>
  <c r="P15" i="16"/>
  <c r="P34" i="21"/>
  <c r="P51" i="21"/>
  <c r="P52" i="21"/>
  <c r="P16" i="16"/>
  <c r="P35" i="10"/>
  <c r="P53" i="21"/>
  <c r="P55" i="21"/>
  <c r="P17" i="16"/>
  <c r="P18" i="16"/>
  <c r="P19" i="16"/>
  <c r="P3" i="14"/>
  <c r="P32" i="14"/>
  <c r="P21" i="16"/>
  <c r="P67" i="21"/>
  <c r="P71" i="21"/>
  <c r="P22" i="16"/>
  <c r="P1" i="12"/>
  <c r="P8" i="12"/>
  <c r="P9" i="12"/>
  <c r="P56" i="21"/>
  <c r="P57" i="21"/>
  <c r="P13" i="12"/>
  <c r="P14" i="12"/>
  <c r="P15" i="12"/>
  <c r="P16" i="12"/>
  <c r="P17" i="12"/>
  <c r="P19" i="12"/>
  <c r="P21" i="12"/>
  <c r="P23" i="12"/>
  <c r="P23" i="16"/>
  <c r="P12" i="8"/>
  <c r="P7" i="8"/>
  <c r="P13" i="8"/>
  <c r="P24" i="16"/>
  <c r="P25" i="16"/>
  <c r="P26" i="16"/>
  <c r="P27" i="16"/>
  <c r="P28" i="16"/>
  <c r="P7" i="13"/>
  <c r="P8" i="13"/>
  <c r="P9" i="13"/>
  <c r="P10" i="13"/>
  <c r="P7" i="9"/>
  <c r="P18" i="9"/>
  <c r="P29" i="9"/>
  <c r="P33" i="9"/>
  <c r="P39" i="9"/>
  <c r="P43" i="9"/>
  <c r="P11" i="13"/>
  <c r="P12" i="13"/>
  <c r="P14" i="13"/>
  <c r="P29" i="16"/>
  <c r="P30" i="16"/>
  <c r="P31" i="16"/>
  <c r="P10" i="20"/>
  <c r="P11" i="20"/>
  <c r="P1" i="20"/>
  <c r="P12" i="20"/>
  <c r="P13" i="20"/>
  <c r="Q37" i="6"/>
  <c r="Q9" i="20"/>
  <c r="Q165" i="3"/>
  <c r="Q28" i="10"/>
  <c r="Q115" i="3"/>
  <c r="Q2" i="3"/>
  <c r="Q129" i="3"/>
  <c r="Q27" i="10"/>
  <c r="Q29" i="10"/>
  <c r="Q92" i="3"/>
  <c r="Q122" i="3"/>
  <c r="Q93" i="3"/>
  <c r="Q94" i="3"/>
  <c r="Q60" i="3"/>
  <c r="Q63" i="3"/>
  <c r="Q75" i="3"/>
  <c r="Q23" i="10"/>
  <c r="Q30" i="10"/>
  <c r="Q180" i="3"/>
  <c r="Q31" i="10"/>
  <c r="Q32" i="10"/>
  <c r="Q7" i="10"/>
  <c r="Q18" i="10"/>
  <c r="Q22" i="10"/>
  <c r="Q24" i="10"/>
  <c r="Q33" i="10"/>
  <c r="Q7" i="16"/>
  <c r="Q8" i="10"/>
  <c r="Q11" i="10"/>
  <c r="Q9" i="10"/>
  <c r="Q3" i="10"/>
  <c r="Q14" i="10"/>
  <c r="Q8" i="16"/>
  <c r="Q9" i="16"/>
  <c r="Q71" i="3"/>
  <c r="Q73" i="3"/>
  <c r="Q9" i="21"/>
  <c r="Q8" i="21"/>
  <c r="Q16" i="21"/>
  <c r="Q17" i="21"/>
  <c r="Q24" i="21"/>
  <c r="Q25" i="21"/>
  <c r="Q136" i="3"/>
  <c r="Q28" i="21"/>
  <c r="Q171" i="3"/>
  <c r="Q21" i="21"/>
  <c r="Q29" i="21"/>
  <c r="Q30" i="21"/>
  <c r="Q31" i="21"/>
  <c r="Q12" i="16"/>
  <c r="Q40" i="21"/>
  <c r="Q41" i="21"/>
  <c r="Q36" i="21"/>
  <c r="Q42" i="21"/>
  <c r="Q37" i="21"/>
  <c r="Q43" i="21"/>
  <c r="Q13" i="16"/>
  <c r="Q7" i="21"/>
  <c r="Q45" i="21"/>
  <c r="Q46" i="21"/>
  <c r="Q47" i="21"/>
  <c r="Q14" i="16"/>
  <c r="Q35" i="21"/>
  <c r="Q49" i="21"/>
  <c r="Q38" i="21"/>
  <c r="Q50" i="21"/>
  <c r="Q15" i="16"/>
  <c r="Q34" i="21"/>
  <c r="Q51" i="21"/>
  <c r="Q52" i="21"/>
  <c r="Q16" i="16"/>
  <c r="Q35" i="10"/>
  <c r="Q53" i="21"/>
  <c r="Q55" i="21"/>
  <c r="Q17" i="16"/>
  <c r="Q18" i="16"/>
  <c r="Q19" i="16"/>
  <c r="Q3" i="14"/>
  <c r="Q32" i="14"/>
  <c r="Q21" i="16"/>
  <c r="Q67" i="21"/>
  <c r="Q71" i="21"/>
  <c r="Q22" i="16"/>
  <c r="Q1" i="12"/>
  <c r="Q8" i="12"/>
  <c r="Q9" i="12"/>
  <c r="Q56" i="21"/>
  <c r="Q57" i="21"/>
  <c r="Q13" i="12"/>
  <c r="Q14" i="12"/>
  <c r="Q15" i="12"/>
  <c r="Q16" i="12"/>
  <c r="Q17" i="12"/>
  <c r="Q19" i="12"/>
  <c r="Q21" i="12"/>
  <c r="Q23" i="12"/>
  <c r="Q23" i="16"/>
  <c r="Q12" i="8"/>
  <c r="Q7" i="8"/>
  <c r="Q13" i="8"/>
  <c r="Q24" i="16"/>
  <c r="Q25" i="16"/>
  <c r="Q26" i="16"/>
  <c r="Q27" i="16"/>
  <c r="Q28" i="16"/>
  <c r="Q7" i="13"/>
  <c r="Q8" i="13"/>
  <c r="Q9" i="13"/>
  <c r="Q10" i="13"/>
  <c r="Q7" i="9"/>
  <c r="Q18" i="9"/>
  <c r="Q29" i="9"/>
  <c r="Q33" i="9"/>
  <c r="Q39" i="9"/>
  <c r="Q43" i="9"/>
  <c r="Q11" i="13"/>
  <c r="Q12" i="13"/>
  <c r="Q14" i="13"/>
  <c r="Q29" i="16"/>
  <c r="Q30" i="16"/>
  <c r="Q31" i="16"/>
  <c r="Q10" i="20"/>
  <c r="Q11" i="20"/>
  <c r="Q1" i="20"/>
  <c r="Q12" i="20"/>
  <c r="Q13" i="20"/>
  <c r="R37" i="6"/>
  <c r="R9" i="20"/>
  <c r="R165" i="3"/>
  <c r="R28" i="10"/>
  <c r="R115" i="3"/>
  <c r="R2" i="3"/>
  <c r="R129" i="3"/>
  <c r="R27" i="10"/>
  <c r="R29" i="10"/>
  <c r="R92" i="3"/>
  <c r="R122" i="3"/>
  <c r="R93" i="3"/>
  <c r="R94" i="3"/>
  <c r="R60" i="3"/>
  <c r="R63" i="3"/>
  <c r="R75" i="3"/>
  <c r="R23" i="10"/>
  <c r="R30" i="10"/>
  <c r="R180" i="3"/>
  <c r="R31" i="10"/>
  <c r="R32" i="10"/>
  <c r="R7" i="10"/>
  <c r="R18" i="10"/>
  <c r="R22" i="10"/>
  <c r="R24" i="10"/>
  <c r="R33" i="10"/>
  <c r="R7" i="16"/>
  <c r="R8" i="10"/>
  <c r="R11" i="10"/>
  <c r="R9" i="10"/>
  <c r="R3" i="10"/>
  <c r="R14" i="10"/>
  <c r="R8" i="16"/>
  <c r="R9" i="16"/>
  <c r="R71" i="3"/>
  <c r="R73" i="3"/>
  <c r="R9" i="21"/>
  <c r="R8" i="21"/>
  <c r="R16" i="21"/>
  <c r="R17" i="21"/>
  <c r="R24" i="21"/>
  <c r="R25" i="21"/>
  <c r="R136" i="3"/>
  <c r="R28" i="21"/>
  <c r="R171" i="3"/>
  <c r="R21" i="21"/>
  <c r="R29" i="21"/>
  <c r="R30" i="21"/>
  <c r="R31" i="21"/>
  <c r="R12" i="16"/>
  <c r="R40" i="21"/>
  <c r="R41" i="21"/>
  <c r="R36" i="21"/>
  <c r="R42" i="21"/>
  <c r="R37" i="21"/>
  <c r="R43" i="21"/>
  <c r="R13" i="16"/>
  <c r="R7" i="21"/>
  <c r="R45" i="21"/>
  <c r="R46" i="21"/>
  <c r="R47" i="21"/>
  <c r="R14" i="16"/>
  <c r="R35" i="21"/>
  <c r="R49" i="21"/>
  <c r="R38" i="21"/>
  <c r="R50" i="21"/>
  <c r="R15" i="16"/>
  <c r="R34" i="21"/>
  <c r="R51" i="21"/>
  <c r="R52" i="21"/>
  <c r="R16" i="16"/>
  <c r="R35" i="10"/>
  <c r="R53" i="21"/>
  <c r="R55" i="21"/>
  <c r="R17" i="16"/>
  <c r="R18" i="16"/>
  <c r="R19" i="16"/>
  <c r="R3" i="14"/>
  <c r="R32" i="14"/>
  <c r="R21" i="16"/>
  <c r="R67" i="21"/>
  <c r="R71" i="21"/>
  <c r="R22" i="16"/>
  <c r="R1" i="12"/>
  <c r="R8" i="12"/>
  <c r="R9" i="12"/>
  <c r="R56" i="21"/>
  <c r="R57" i="21"/>
  <c r="R13" i="12"/>
  <c r="R14" i="12"/>
  <c r="R15" i="12"/>
  <c r="R16" i="12"/>
  <c r="R17" i="12"/>
  <c r="R19" i="12"/>
  <c r="R21" i="12"/>
  <c r="R23" i="12"/>
  <c r="R23" i="16"/>
  <c r="R12" i="8"/>
  <c r="R7" i="8"/>
  <c r="R13" i="8"/>
  <c r="R24" i="16"/>
  <c r="R25" i="16"/>
  <c r="R26" i="16"/>
  <c r="R27" i="16"/>
  <c r="R28" i="16"/>
  <c r="R7" i="13"/>
  <c r="R8" i="13"/>
  <c r="R9" i="13"/>
  <c r="R10" i="13"/>
  <c r="R7" i="9"/>
  <c r="R18" i="9"/>
  <c r="R29" i="9"/>
  <c r="R33" i="9"/>
  <c r="R39" i="9"/>
  <c r="R43" i="9"/>
  <c r="R11" i="13"/>
  <c r="R12" i="13"/>
  <c r="R14" i="13"/>
  <c r="R29" i="16"/>
  <c r="R30" i="16"/>
  <c r="R31" i="16"/>
  <c r="R10" i="20"/>
  <c r="R11" i="20"/>
  <c r="R1" i="20"/>
  <c r="R12" i="20"/>
  <c r="R13" i="20"/>
  <c r="S37" i="6"/>
  <c r="S9" i="20"/>
  <c r="S165" i="3"/>
  <c r="S28" i="10"/>
  <c r="S115" i="3"/>
  <c r="S2" i="3"/>
  <c r="S129" i="3"/>
  <c r="S27" i="10"/>
  <c r="S29" i="10"/>
  <c r="S92" i="3"/>
  <c r="S122" i="3"/>
  <c r="S93" i="3"/>
  <c r="S94" i="3"/>
  <c r="S60" i="3"/>
  <c r="S63" i="3"/>
  <c r="S75" i="3"/>
  <c r="S23" i="10"/>
  <c r="S30" i="10"/>
  <c r="S180" i="3"/>
  <c r="S31" i="10"/>
  <c r="S32" i="10"/>
  <c r="S7" i="10"/>
  <c r="S18" i="10"/>
  <c r="S22" i="10"/>
  <c r="S24" i="10"/>
  <c r="S33" i="10"/>
  <c r="S7" i="16"/>
  <c r="S8" i="10"/>
  <c r="S11" i="10"/>
  <c r="S9" i="10"/>
  <c r="S3" i="10"/>
  <c r="S14" i="10"/>
  <c r="S8" i="16"/>
  <c r="S9" i="16"/>
  <c r="S71" i="3"/>
  <c r="S73" i="3"/>
  <c r="S9" i="21"/>
  <c r="S8" i="21"/>
  <c r="S16" i="21"/>
  <c r="S17" i="21"/>
  <c r="S24" i="21"/>
  <c r="S25" i="21"/>
  <c r="S136" i="3"/>
  <c r="S28" i="21"/>
  <c r="S171" i="3"/>
  <c r="S21" i="21"/>
  <c r="S29" i="21"/>
  <c r="S30" i="21"/>
  <c r="S31" i="21"/>
  <c r="S12" i="16"/>
  <c r="S40" i="21"/>
  <c r="S41" i="21"/>
  <c r="S36" i="21"/>
  <c r="S42" i="21"/>
  <c r="S37" i="21"/>
  <c r="S43" i="21"/>
  <c r="S13" i="16"/>
  <c r="S7" i="21"/>
  <c r="S45" i="21"/>
  <c r="S46" i="21"/>
  <c r="S47" i="21"/>
  <c r="S14" i="16"/>
  <c r="S35" i="21"/>
  <c r="S49" i="21"/>
  <c r="S38" i="21"/>
  <c r="S50" i="21"/>
  <c r="S15" i="16"/>
  <c r="S34" i="21"/>
  <c r="S51" i="21"/>
  <c r="S52" i="21"/>
  <c r="S16" i="16"/>
  <c r="S35" i="10"/>
  <c r="S53" i="21"/>
  <c r="S55" i="21"/>
  <c r="S17" i="16"/>
  <c r="S18" i="16"/>
  <c r="S19" i="16"/>
  <c r="S3" i="14"/>
  <c r="S32" i="14"/>
  <c r="S21" i="16"/>
  <c r="S67" i="21"/>
  <c r="S71" i="21"/>
  <c r="S22" i="16"/>
  <c r="S1" i="12"/>
  <c r="S8" i="12"/>
  <c r="S9" i="12"/>
  <c r="S56" i="21"/>
  <c r="S57" i="21"/>
  <c r="S13" i="12"/>
  <c r="S14" i="12"/>
  <c r="S15" i="12"/>
  <c r="S16" i="12"/>
  <c r="S17" i="12"/>
  <c r="S19" i="12"/>
  <c r="S21" i="12"/>
  <c r="S23" i="12"/>
  <c r="S23" i="16"/>
  <c r="S12" i="8"/>
  <c r="S7" i="8"/>
  <c r="S13" i="8"/>
  <c r="S24" i="16"/>
  <c r="S25" i="16"/>
  <c r="S26" i="16"/>
  <c r="S27" i="16"/>
  <c r="S28" i="16"/>
  <c r="S7" i="13"/>
  <c r="S8" i="13"/>
  <c r="S9" i="13"/>
  <c r="S10" i="13"/>
  <c r="S7" i="9"/>
  <c r="S18" i="9"/>
  <c r="S29" i="9"/>
  <c r="S33" i="9"/>
  <c r="S39" i="9"/>
  <c r="S43" i="9"/>
  <c r="S11" i="13"/>
  <c r="S12" i="13"/>
  <c r="S14" i="13"/>
  <c r="S29" i="16"/>
  <c r="S30" i="16"/>
  <c r="S31" i="16"/>
  <c r="S10" i="20"/>
  <c r="S11" i="20"/>
  <c r="S1" i="20"/>
  <c r="S12" i="20"/>
  <c r="S13" i="20"/>
  <c r="T37" i="6"/>
  <c r="T9" i="20"/>
  <c r="T165" i="3"/>
  <c r="T28" i="10"/>
  <c r="T115" i="3"/>
  <c r="T2" i="3"/>
  <c r="T129" i="3"/>
  <c r="T27" i="10"/>
  <c r="T29" i="10"/>
  <c r="T92" i="3"/>
  <c r="T122" i="3"/>
  <c r="T93" i="3"/>
  <c r="T94" i="3"/>
  <c r="T60" i="3"/>
  <c r="T63" i="3"/>
  <c r="T75" i="3"/>
  <c r="T23" i="10"/>
  <c r="T30" i="10"/>
  <c r="T180" i="3"/>
  <c r="T31" i="10"/>
  <c r="T32" i="10"/>
  <c r="T7" i="10"/>
  <c r="T18" i="10"/>
  <c r="T22" i="10"/>
  <c r="T24" i="10"/>
  <c r="T33" i="10"/>
  <c r="T7" i="16"/>
  <c r="T8" i="10"/>
  <c r="T11" i="10"/>
  <c r="T9" i="10"/>
  <c r="T3" i="10"/>
  <c r="T14" i="10"/>
  <c r="T8" i="16"/>
  <c r="T9" i="16"/>
  <c r="T71" i="3"/>
  <c r="T73" i="3"/>
  <c r="T9" i="21"/>
  <c r="T8" i="21"/>
  <c r="T16" i="21"/>
  <c r="T17" i="21"/>
  <c r="T24" i="21"/>
  <c r="T25" i="21"/>
  <c r="T136" i="3"/>
  <c r="T28" i="21"/>
  <c r="T171" i="3"/>
  <c r="T21" i="21"/>
  <c r="T29" i="21"/>
  <c r="T30" i="21"/>
  <c r="T31" i="21"/>
  <c r="T12" i="16"/>
  <c r="T40" i="21"/>
  <c r="T41" i="21"/>
  <c r="T36" i="21"/>
  <c r="T42" i="21"/>
  <c r="T37" i="21"/>
  <c r="T43" i="21"/>
  <c r="T13" i="16"/>
  <c r="T7" i="21"/>
  <c r="T45" i="21"/>
  <c r="T46" i="21"/>
  <c r="T47" i="21"/>
  <c r="T14" i="16"/>
  <c r="T35" i="21"/>
  <c r="T49" i="21"/>
  <c r="T38" i="21"/>
  <c r="T50" i="21"/>
  <c r="T15" i="16"/>
  <c r="T34" i="21"/>
  <c r="T51" i="21"/>
  <c r="T52" i="21"/>
  <c r="T16" i="16"/>
  <c r="T35" i="10"/>
  <c r="T53" i="21"/>
  <c r="T55" i="21"/>
  <c r="T17" i="16"/>
  <c r="T18" i="16"/>
  <c r="T19" i="16"/>
  <c r="T3" i="14"/>
  <c r="T32" i="14"/>
  <c r="T21" i="16"/>
  <c r="T67" i="21"/>
  <c r="T71" i="21"/>
  <c r="T22" i="16"/>
  <c r="T1" i="12"/>
  <c r="T8" i="12"/>
  <c r="T9" i="12"/>
  <c r="T56" i="21"/>
  <c r="T57" i="21"/>
  <c r="T13" i="12"/>
  <c r="T14" i="12"/>
  <c r="T15" i="12"/>
  <c r="T16" i="12"/>
  <c r="T17" i="12"/>
  <c r="T19" i="12"/>
  <c r="T21" i="12"/>
  <c r="T23" i="12"/>
  <c r="T23" i="16"/>
  <c r="T12" i="8"/>
  <c r="T7" i="8"/>
  <c r="T13" i="8"/>
  <c r="T24" i="16"/>
  <c r="T25" i="16"/>
  <c r="T26" i="16"/>
  <c r="T27" i="16"/>
  <c r="T28" i="16"/>
  <c r="T7" i="13"/>
  <c r="T8" i="13"/>
  <c r="T9" i="13"/>
  <c r="T10" i="13"/>
  <c r="T7" i="9"/>
  <c r="T18" i="9"/>
  <c r="T29" i="9"/>
  <c r="T33" i="9"/>
  <c r="T39" i="9"/>
  <c r="T43" i="9"/>
  <c r="T11" i="13"/>
  <c r="T12" i="13"/>
  <c r="T14" i="13"/>
  <c r="T29" i="16"/>
  <c r="T30" i="16"/>
  <c r="T31" i="16"/>
  <c r="T10" i="20"/>
  <c r="T11" i="20"/>
  <c r="T1" i="20"/>
  <c r="T12" i="20"/>
  <c r="T13" i="20"/>
  <c r="U37" i="6"/>
  <c r="U9" i="20"/>
  <c r="U165" i="3"/>
  <c r="U28" i="10"/>
  <c r="U115" i="3"/>
  <c r="U2" i="3"/>
  <c r="U129" i="3"/>
  <c r="U27" i="10"/>
  <c r="U29" i="10"/>
  <c r="U92" i="3"/>
  <c r="U122" i="3"/>
  <c r="U93" i="3"/>
  <c r="U94" i="3"/>
  <c r="U60" i="3"/>
  <c r="U63" i="3"/>
  <c r="U75" i="3"/>
  <c r="U23" i="10"/>
  <c r="U30" i="10"/>
  <c r="U180" i="3"/>
  <c r="U31" i="10"/>
  <c r="U32" i="10"/>
  <c r="U7" i="10"/>
  <c r="U18" i="10"/>
  <c r="U22" i="10"/>
  <c r="U24" i="10"/>
  <c r="U33" i="10"/>
  <c r="U7" i="16"/>
  <c r="U8" i="10"/>
  <c r="U11" i="10"/>
  <c r="U9" i="10"/>
  <c r="U3" i="10"/>
  <c r="U14" i="10"/>
  <c r="U8" i="16"/>
  <c r="U9" i="16"/>
  <c r="U71" i="3"/>
  <c r="U73" i="3"/>
  <c r="U9" i="21"/>
  <c r="U8" i="21"/>
  <c r="U16" i="21"/>
  <c r="U17" i="21"/>
  <c r="U24" i="21"/>
  <c r="U25" i="21"/>
  <c r="U136" i="3"/>
  <c r="U28" i="21"/>
  <c r="U171" i="3"/>
  <c r="U21" i="21"/>
  <c r="U29" i="21"/>
  <c r="U30" i="21"/>
  <c r="U31" i="21"/>
  <c r="U12" i="16"/>
  <c r="U40" i="21"/>
  <c r="U41" i="21"/>
  <c r="U36" i="21"/>
  <c r="U42" i="21"/>
  <c r="U37" i="21"/>
  <c r="U43" i="21"/>
  <c r="U13" i="16"/>
  <c r="U7" i="21"/>
  <c r="U45" i="21"/>
  <c r="U46" i="21"/>
  <c r="U47" i="21"/>
  <c r="U14" i="16"/>
  <c r="U35" i="21"/>
  <c r="U49" i="21"/>
  <c r="U38" i="21"/>
  <c r="U50" i="21"/>
  <c r="U15" i="16"/>
  <c r="U34" i="21"/>
  <c r="U51" i="21"/>
  <c r="U52" i="21"/>
  <c r="U16" i="16"/>
  <c r="U35" i="10"/>
  <c r="U53" i="21"/>
  <c r="U55" i="21"/>
  <c r="U17" i="16"/>
  <c r="U18" i="16"/>
  <c r="U19" i="16"/>
  <c r="U3" i="14"/>
  <c r="U32" i="14"/>
  <c r="U21" i="16"/>
  <c r="U67" i="21"/>
  <c r="U71" i="21"/>
  <c r="U22" i="16"/>
  <c r="U8" i="12"/>
  <c r="U9" i="12"/>
  <c r="U56" i="21"/>
  <c r="U57" i="21"/>
  <c r="U13" i="12"/>
  <c r="U14" i="12"/>
  <c r="U15" i="12"/>
  <c r="U16" i="12"/>
  <c r="U17" i="12"/>
  <c r="U19" i="12"/>
  <c r="U21" i="12"/>
  <c r="U23" i="12"/>
  <c r="U23" i="16"/>
  <c r="U12" i="8"/>
  <c r="U7" i="8"/>
  <c r="U13" i="8"/>
  <c r="U24" i="16"/>
  <c r="U25" i="16"/>
  <c r="U26" i="16"/>
  <c r="U27" i="16"/>
  <c r="U28" i="16"/>
  <c r="U7" i="13"/>
  <c r="U8" i="13"/>
  <c r="U9" i="13"/>
  <c r="U10" i="13"/>
  <c r="U7" i="9"/>
  <c r="U18" i="9"/>
  <c r="U29" i="9"/>
  <c r="U33" i="9"/>
  <c r="U39" i="9"/>
  <c r="U43" i="9"/>
  <c r="U11" i="13"/>
  <c r="U12" i="13"/>
  <c r="U14" i="13"/>
  <c r="U29" i="16"/>
  <c r="U30" i="16"/>
  <c r="U31" i="16"/>
  <c r="U10" i="20"/>
  <c r="U11" i="20"/>
  <c r="U1" i="20"/>
  <c r="U12" i="20"/>
  <c r="U13" i="20"/>
  <c r="V37" i="6"/>
  <c r="V9" i="20"/>
  <c r="V7" i="16"/>
  <c r="V8" i="16"/>
  <c r="V9" i="16"/>
  <c r="V12" i="16"/>
  <c r="V13" i="16"/>
  <c r="V14" i="16"/>
  <c r="V15" i="16"/>
  <c r="V16" i="16"/>
  <c r="V17" i="16"/>
  <c r="V18" i="16"/>
  <c r="V19" i="16"/>
  <c r="V3" i="14"/>
  <c r="V32" i="14"/>
  <c r="V21" i="16"/>
  <c r="V67" i="21"/>
  <c r="V71" i="21"/>
  <c r="V22" i="16"/>
  <c r="V23" i="12"/>
  <c r="V23" i="16"/>
  <c r="V12" i="8"/>
  <c r="V7" i="8"/>
  <c r="V13" i="8"/>
  <c r="V24" i="16"/>
  <c r="V25" i="16"/>
  <c r="V26" i="16"/>
  <c r="V27" i="16"/>
  <c r="V28" i="16"/>
  <c r="V7" i="13"/>
  <c r="V8" i="13"/>
  <c r="V9" i="13"/>
  <c r="V10" i="13"/>
  <c r="V7" i="9"/>
  <c r="V18" i="9"/>
  <c r="V29" i="9"/>
  <c r="V33" i="9"/>
  <c r="V39" i="9"/>
  <c r="V43" i="9"/>
  <c r="V11" i="13"/>
  <c r="V12" i="13"/>
  <c r="V14" i="13"/>
  <c r="V29" i="16"/>
  <c r="V30" i="16"/>
  <c r="V31" i="16"/>
  <c r="V10" i="20"/>
  <c r="V11" i="20"/>
  <c r="V1" i="20"/>
  <c r="V12" i="20"/>
  <c r="V13" i="20"/>
  <c r="W9" i="20"/>
  <c r="W21" i="16"/>
  <c r="W22" i="16"/>
  <c r="W23" i="16"/>
  <c r="W24" i="16"/>
  <c r="W25" i="16"/>
  <c r="W26" i="16"/>
  <c r="W27" i="16"/>
  <c r="W28" i="16"/>
  <c r="W29" i="16"/>
  <c r="W30" i="16"/>
  <c r="W31" i="16"/>
  <c r="W10" i="20"/>
  <c r="W11" i="20"/>
  <c r="W1" i="20"/>
  <c r="W12" i="20"/>
  <c r="W13" i="20"/>
  <c r="X9" i="20"/>
  <c r="X21" i="16"/>
  <c r="X22" i="16"/>
  <c r="X23" i="16"/>
  <c r="X24" i="16"/>
  <c r="X25" i="16"/>
  <c r="X26" i="16"/>
  <c r="X27" i="16"/>
  <c r="X28" i="16"/>
  <c r="X29" i="16"/>
  <c r="X30" i="16"/>
  <c r="X31" i="16"/>
  <c r="X10" i="20"/>
  <c r="X11" i="20"/>
  <c r="X1" i="20"/>
  <c r="X12" i="20"/>
  <c r="X13" i="20"/>
  <c r="Y9" i="20"/>
  <c r="Y21" i="16"/>
  <c r="Y22" i="16"/>
  <c r="Y23" i="16"/>
  <c r="Y24" i="16"/>
  <c r="Y25" i="16"/>
  <c r="Y26" i="16"/>
  <c r="Y27" i="16"/>
  <c r="Y28" i="16"/>
  <c r="Y29" i="16"/>
  <c r="Y30" i="16"/>
  <c r="Y31" i="16"/>
  <c r="Y10" i="20"/>
  <c r="Y11" i="20"/>
  <c r="Y1" i="20"/>
  <c r="Y12" i="20"/>
  <c r="Y13" i="20"/>
  <c r="Z9" i="20"/>
  <c r="Z21" i="16"/>
  <c r="Z22" i="16"/>
  <c r="Z23" i="16"/>
  <c r="Z24" i="16"/>
  <c r="Z25" i="16"/>
  <c r="Z26" i="16"/>
  <c r="Z27" i="16"/>
  <c r="Z28" i="16"/>
  <c r="Z29" i="16"/>
  <c r="Z30" i="16"/>
  <c r="Z31" i="16"/>
  <c r="Z10" i="20"/>
  <c r="Z11" i="20"/>
  <c r="Z1" i="20"/>
  <c r="Z12" i="20"/>
  <c r="Z13" i="20"/>
  <c r="AA9" i="20"/>
  <c r="AA21" i="16"/>
  <c r="AA22" i="16"/>
  <c r="AA23" i="16"/>
  <c r="AA24" i="16"/>
  <c r="AA25" i="16"/>
  <c r="AA26" i="16"/>
  <c r="AA27" i="16"/>
  <c r="AA28" i="16"/>
  <c r="AA29" i="16"/>
  <c r="AA30" i="16"/>
  <c r="AA31" i="16"/>
  <c r="AA10" i="20"/>
  <c r="AA11" i="20"/>
  <c r="AA1" i="20"/>
  <c r="AA12" i="20"/>
  <c r="AA13" i="20"/>
  <c r="AB9" i="20"/>
  <c r="AB21" i="16"/>
  <c r="AB22" i="16"/>
  <c r="AB23" i="16"/>
  <c r="AB24" i="16"/>
  <c r="AB25" i="16"/>
  <c r="AB26" i="16"/>
  <c r="AB27" i="16"/>
  <c r="AB28" i="16"/>
  <c r="AB29" i="16"/>
  <c r="AB30" i="16"/>
  <c r="AB31" i="16"/>
  <c r="AB10" i="20"/>
  <c r="AB11" i="20"/>
  <c r="AB1" i="20"/>
  <c r="AB12" i="20"/>
  <c r="AB13" i="20"/>
  <c r="AC9" i="20"/>
  <c r="AC21" i="16"/>
  <c r="AC22" i="16"/>
  <c r="AC23" i="16"/>
  <c r="AC24" i="16"/>
  <c r="AC25" i="16"/>
  <c r="AC26" i="16"/>
  <c r="AC27" i="16"/>
  <c r="AC28" i="16"/>
  <c r="AC29" i="16"/>
  <c r="AC30" i="16"/>
  <c r="AC31" i="16"/>
  <c r="AC10" i="20"/>
  <c r="AC11" i="20"/>
  <c r="AC1" i="20"/>
  <c r="AC12" i="20"/>
  <c r="AC13" i="20"/>
  <c r="AD9" i="20"/>
  <c r="AD21" i="16"/>
  <c r="AD22" i="16"/>
  <c r="AD23" i="16"/>
  <c r="AD24" i="16"/>
  <c r="AD25" i="16"/>
  <c r="AD26" i="16"/>
  <c r="AD27" i="16"/>
  <c r="AD28" i="16"/>
  <c r="AD29" i="16"/>
  <c r="AD30" i="16"/>
  <c r="AD31" i="16"/>
  <c r="AD10" i="20"/>
  <c r="AD11" i="20"/>
  <c r="AD1" i="20"/>
  <c r="AD12" i="20"/>
  <c r="AD13" i="20"/>
  <c r="AE9" i="20"/>
  <c r="AE21" i="16"/>
  <c r="AE22" i="16"/>
  <c r="AE23" i="16"/>
  <c r="AE24" i="16"/>
  <c r="AE25" i="16"/>
  <c r="AE26" i="16"/>
  <c r="AE27" i="16"/>
  <c r="AE28" i="16"/>
  <c r="AE29" i="16"/>
  <c r="AE30" i="16"/>
  <c r="AE31" i="16"/>
  <c r="AE10" i="20"/>
  <c r="AE11" i="20"/>
  <c r="AE1" i="20"/>
  <c r="AE12" i="20"/>
  <c r="AE13" i="20"/>
  <c r="AF9" i="20"/>
  <c r="AF21" i="16"/>
  <c r="AF22" i="16"/>
  <c r="AF23" i="16"/>
  <c r="AF24" i="16"/>
  <c r="AF25" i="16"/>
  <c r="AF26" i="16"/>
  <c r="AF27" i="16"/>
  <c r="AF28" i="16"/>
  <c r="AF29" i="16"/>
  <c r="AF30" i="16"/>
  <c r="AF31" i="16"/>
  <c r="AF10" i="20"/>
  <c r="AF11" i="20"/>
  <c r="AF1" i="20"/>
  <c r="AF12" i="20"/>
  <c r="AF13" i="20"/>
  <c r="AG9" i="20"/>
  <c r="AG21" i="16"/>
  <c r="AG22" i="16"/>
  <c r="AG23" i="16"/>
  <c r="AG24" i="16"/>
  <c r="AG25" i="16"/>
  <c r="AG26" i="16"/>
  <c r="AG27" i="16"/>
  <c r="AG28" i="16"/>
  <c r="AG29" i="16"/>
  <c r="AG30" i="16"/>
  <c r="AG31" i="16"/>
  <c r="AG10" i="20"/>
  <c r="AG11" i="20"/>
  <c r="AG1" i="20"/>
  <c r="AG12" i="20"/>
  <c r="AG13" i="20"/>
  <c r="AH9" i="20"/>
  <c r="AH21" i="16"/>
  <c r="AH22" i="16"/>
  <c r="AH23" i="16"/>
  <c r="AH24" i="16"/>
  <c r="AH25" i="16"/>
  <c r="AH26" i="16"/>
  <c r="AH27" i="16"/>
  <c r="AH28" i="16"/>
  <c r="AH29" i="16"/>
  <c r="AH30" i="16"/>
  <c r="AH31" i="16"/>
  <c r="AH10" i="20"/>
  <c r="AH11" i="20"/>
  <c r="AH1" i="20"/>
  <c r="AH12" i="20"/>
  <c r="AH13" i="20"/>
  <c r="AI9" i="20"/>
  <c r="AI21" i="16"/>
  <c r="AI22" i="16"/>
  <c r="AI23" i="16"/>
  <c r="AI24" i="16"/>
  <c r="AI25" i="16"/>
  <c r="AI26" i="16"/>
  <c r="AI27" i="16"/>
  <c r="AI28" i="16"/>
  <c r="AI29" i="16"/>
  <c r="AI30" i="16"/>
  <c r="AI31" i="16"/>
  <c r="AI10" i="20"/>
  <c r="AI11" i="20"/>
  <c r="AI1" i="20"/>
  <c r="AI12" i="20"/>
  <c r="AI13" i="20"/>
  <c r="AJ9" i="20"/>
  <c r="AJ21" i="16"/>
  <c r="AJ22" i="16"/>
  <c r="AJ23" i="16"/>
  <c r="AJ24" i="16"/>
  <c r="AJ25" i="16"/>
  <c r="AJ26" i="16"/>
  <c r="AJ27" i="16"/>
  <c r="AJ28" i="16"/>
  <c r="AJ29" i="16"/>
  <c r="AJ30" i="16"/>
  <c r="AJ31" i="16"/>
  <c r="AJ10" i="20"/>
  <c r="AJ11" i="20"/>
  <c r="AJ1" i="20"/>
  <c r="AJ12" i="20"/>
  <c r="AJ13" i="20"/>
  <c r="AK9" i="20"/>
  <c r="AK21" i="16"/>
  <c r="AK22" i="16"/>
  <c r="AK23" i="16"/>
  <c r="AK24" i="16"/>
  <c r="AK25" i="16"/>
  <c r="AK26" i="16"/>
  <c r="AK27" i="16"/>
  <c r="AK28" i="16"/>
  <c r="AK29" i="16"/>
  <c r="AK30" i="16"/>
  <c r="AK31" i="16"/>
  <c r="AK10" i="20"/>
  <c r="AK11" i="20"/>
  <c r="AK1" i="20"/>
  <c r="AK12" i="20"/>
  <c r="AK13" i="20"/>
  <c r="AL9" i="20"/>
  <c r="AL21" i="16"/>
  <c r="AL22" i="16"/>
  <c r="AL23" i="16"/>
  <c r="AL24" i="16"/>
  <c r="AL25" i="16"/>
  <c r="AL26" i="16"/>
  <c r="AL27" i="16"/>
  <c r="AL28" i="16"/>
  <c r="AL29" i="16"/>
  <c r="AL30" i="16"/>
  <c r="AL31" i="16"/>
  <c r="AL10" i="20"/>
  <c r="AL11" i="20"/>
  <c r="AL1" i="20"/>
  <c r="AL12" i="20"/>
  <c r="AL13" i="20"/>
  <c r="AM9" i="20"/>
  <c r="AM21" i="16"/>
  <c r="AM22" i="16"/>
  <c r="AM23" i="16"/>
  <c r="AM24" i="16"/>
  <c r="AM25" i="16"/>
  <c r="AM26" i="16"/>
  <c r="AM27" i="16"/>
  <c r="AM28" i="16"/>
  <c r="AM29" i="16"/>
  <c r="AM30" i="16"/>
  <c r="AM31" i="16"/>
  <c r="AM10" i="20"/>
  <c r="AM11" i="20"/>
  <c r="AM1" i="20"/>
  <c r="AM12" i="20"/>
  <c r="AM13" i="20"/>
  <c r="AN9" i="20"/>
  <c r="AN21" i="16"/>
  <c r="AN22" i="16"/>
  <c r="AN23" i="16"/>
  <c r="AN24" i="16"/>
  <c r="AN25" i="16"/>
  <c r="AN26" i="16"/>
  <c r="AN27" i="16"/>
  <c r="AN28" i="16"/>
  <c r="AN29" i="16"/>
  <c r="AN30" i="16"/>
  <c r="AN31" i="16"/>
  <c r="AN10" i="20"/>
  <c r="AN11" i="20"/>
  <c r="AN1" i="20"/>
  <c r="AN12" i="20"/>
  <c r="AN13" i="20"/>
  <c r="AO9" i="20"/>
  <c r="AO21" i="16"/>
  <c r="AO22" i="16"/>
  <c r="AO23" i="16"/>
  <c r="AO24" i="16"/>
  <c r="AO25" i="16"/>
  <c r="AO26" i="16"/>
  <c r="AO27" i="16"/>
  <c r="AO28" i="16"/>
  <c r="AO29" i="16"/>
  <c r="AO30" i="16"/>
  <c r="AO31" i="16"/>
  <c r="AO10" i="20"/>
  <c r="AO11" i="20"/>
  <c r="AO1" i="20"/>
  <c r="AO12" i="20"/>
  <c r="AO13" i="20"/>
  <c r="AP9" i="20"/>
  <c r="AP21" i="16"/>
  <c r="AP22" i="16"/>
  <c r="AP23" i="16"/>
  <c r="AP24" i="16"/>
  <c r="AP25" i="16"/>
  <c r="AP26" i="16"/>
  <c r="AP27" i="16"/>
  <c r="AP28" i="16"/>
  <c r="AP29" i="16"/>
  <c r="AP30" i="16"/>
  <c r="AP31" i="16"/>
  <c r="AP10" i="20"/>
  <c r="AP11" i="20"/>
  <c r="AP1" i="20"/>
  <c r="AP12" i="20"/>
  <c r="AP13" i="20"/>
  <c r="AQ9" i="20"/>
  <c r="AQ21" i="16"/>
  <c r="AQ22" i="16"/>
  <c r="AQ23" i="16"/>
  <c r="AQ24" i="16"/>
  <c r="AQ25" i="16"/>
  <c r="AQ26" i="16"/>
  <c r="AQ27" i="16"/>
  <c r="AQ28" i="16"/>
  <c r="AQ29" i="16"/>
  <c r="AQ30" i="16"/>
  <c r="AQ31" i="16"/>
  <c r="AQ10" i="20"/>
  <c r="AQ11" i="20"/>
  <c r="AQ1" i="20"/>
  <c r="AQ12" i="20"/>
  <c r="AQ13" i="20"/>
  <c r="AR9" i="20"/>
  <c r="AR21" i="16"/>
  <c r="AR22" i="16"/>
  <c r="AR23" i="16"/>
  <c r="AR24" i="16"/>
  <c r="AR25" i="16"/>
  <c r="AR26" i="16"/>
  <c r="AR27" i="16"/>
  <c r="AR28" i="16"/>
  <c r="AR29" i="16"/>
  <c r="AR30" i="16"/>
  <c r="AR31" i="16"/>
  <c r="AR10" i="20"/>
  <c r="AR11" i="20"/>
  <c r="AR1" i="20"/>
  <c r="AR12" i="20"/>
  <c r="AR13" i="20"/>
  <c r="AS9" i="20"/>
  <c r="AS21" i="16"/>
  <c r="AS22" i="16"/>
  <c r="AS23" i="16"/>
  <c r="AS24" i="16"/>
  <c r="AS25" i="16"/>
  <c r="AS26" i="16"/>
  <c r="AS27" i="16"/>
  <c r="AS28" i="16"/>
  <c r="AS29" i="16"/>
  <c r="AS30" i="16"/>
  <c r="AS31" i="16"/>
  <c r="AS10" i="20"/>
  <c r="AS11" i="20"/>
  <c r="AS1" i="20"/>
  <c r="AS12" i="20"/>
  <c r="AS13" i="20"/>
  <c r="AT9" i="20"/>
  <c r="AT21" i="16"/>
  <c r="AT22" i="16"/>
  <c r="AT23" i="16"/>
  <c r="AT24" i="16"/>
  <c r="AT25" i="16"/>
  <c r="AT26" i="16"/>
  <c r="AT27" i="16"/>
  <c r="AT28" i="16"/>
  <c r="AT29" i="16"/>
  <c r="AT30" i="16"/>
  <c r="AT31" i="16"/>
  <c r="AT10" i="20"/>
  <c r="AT11" i="20"/>
  <c r="AT1" i="20"/>
  <c r="AT12" i="20"/>
  <c r="AT13" i="20"/>
  <c r="AU9" i="20"/>
  <c r="AU21" i="16"/>
  <c r="AU22" i="16"/>
  <c r="AU23" i="16"/>
  <c r="AU24" i="16"/>
  <c r="AU25" i="16"/>
  <c r="AU26" i="16"/>
  <c r="AU27" i="16"/>
  <c r="AU28" i="16"/>
  <c r="AU29" i="16"/>
  <c r="AU30" i="16"/>
  <c r="AU31" i="16"/>
  <c r="AU10" i="20"/>
  <c r="AU11" i="20"/>
  <c r="AU1" i="20"/>
  <c r="AU12" i="20"/>
  <c r="AU13" i="20"/>
  <c r="AV9" i="20"/>
  <c r="AV21" i="16"/>
  <c r="AV22" i="16"/>
  <c r="AV23" i="16"/>
  <c r="AV24" i="16"/>
  <c r="AV25" i="16"/>
  <c r="AV14" i="14"/>
  <c r="AV13" i="14"/>
  <c r="AV15" i="14"/>
  <c r="AV26" i="16"/>
  <c r="AV27" i="16"/>
  <c r="AV28" i="16"/>
  <c r="AV29" i="16"/>
  <c r="AV22" i="14"/>
  <c r="AV11" i="14"/>
  <c r="AV17" i="14"/>
  <c r="AV18" i="14"/>
  <c r="AV20" i="14"/>
  <c r="AV23" i="14"/>
  <c r="AV30" i="16"/>
  <c r="AV31" i="16"/>
  <c r="AV10" i="20"/>
  <c r="AV11" i="20"/>
  <c r="AV1" i="20"/>
  <c r="AV12" i="20"/>
  <c r="AV13" i="20"/>
  <c r="AW9" i="20"/>
  <c r="AW164" i="3"/>
  <c r="AW12" i="3"/>
  <c r="AW19" i="3"/>
  <c r="AW27" i="3"/>
  <c r="AW1" i="3"/>
  <c r="AW163" i="3"/>
  <c r="AW29" i="3"/>
  <c r="AW3" i="3"/>
  <c r="AW166" i="3"/>
  <c r="AW165" i="3"/>
  <c r="AW28" i="10"/>
  <c r="AW115" i="3"/>
  <c r="AW2" i="3"/>
  <c r="AW129" i="3"/>
  <c r="AW27" i="10"/>
  <c r="AW29" i="10"/>
  <c r="AW88" i="3"/>
  <c r="AW58" i="3"/>
  <c r="AW89" i="3"/>
  <c r="AW90" i="3"/>
  <c r="AW91" i="3"/>
  <c r="AW92" i="3"/>
  <c r="AW122" i="3"/>
  <c r="AW93" i="3"/>
  <c r="AW94" i="3"/>
  <c r="AW59" i="3"/>
  <c r="AW61" i="3"/>
  <c r="AW60" i="3"/>
  <c r="AW63" i="3"/>
  <c r="AW75" i="3"/>
  <c r="AW23" i="10"/>
  <c r="AW30" i="10"/>
  <c r="AW179" i="3"/>
  <c r="AW167" i="3"/>
  <c r="AW170" i="3"/>
  <c r="AW169" i="3"/>
  <c r="AW172" i="3"/>
  <c r="AW173" i="3"/>
  <c r="AW174" i="3"/>
  <c r="AW181" i="3"/>
  <c r="AW180" i="3"/>
  <c r="AW31" i="10"/>
  <c r="AW32" i="10"/>
  <c r="AW7" i="10"/>
  <c r="AW18" i="10"/>
  <c r="AW22" i="10"/>
  <c r="AW24" i="10"/>
  <c r="AW33" i="10"/>
  <c r="AW7" i="16"/>
  <c r="AW8" i="10"/>
  <c r="AW11" i="10"/>
  <c r="AW9" i="10"/>
  <c r="AW3" i="10"/>
  <c r="AW14" i="10"/>
  <c r="AW8" i="16"/>
  <c r="AW9" i="16"/>
  <c r="AW70" i="3"/>
  <c r="AW72" i="3"/>
  <c r="AW71" i="3"/>
  <c r="AW73" i="3"/>
  <c r="AW9" i="21"/>
  <c r="AW8" i="21"/>
  <c r="AW16" i="21"/>
  <c r="AW17" i="21"/>
  <c r="AW24" i="21"/>
  <c r="AW25" i="21"/>
  <c r="AW136" i="3"/>
  <c r="AW28" i="21"/>
  <c r="AW171" i="3"/>
  <c r="AW21" i="21"/>
  <c r="AW29" i="21"/>
  <c r="AW30" i="21"/>
  <c r="AW31" i="21"/>
  <c r="AW12" i="16"/>
  <c r="AW40" i="21"/>
  <c r="AW41" i="21"/>
  <c r="AW36" i="21"/>
  <c r="AW42" i="21"/>
  <c r="AW37" i="21"/>
  <c r="AW43" i="21"/>
  <c r="AW13" i="16"/>
  <c r="AW7" i="21"/>
  <c r="AW3" i="21"/>
  <c r="AW45" i="21"/>
  <c r="AW46" i="21"/>
  <c r="AW47" i="21"/>
  <c r="AW14" i="16"/>
  <c r="AW35" i="21"/>
  <c r="AW49" i="21"/>
  <c r="AW38" i="21"/>
  <c r="AW50" i="21"/>
  <c r="AW15" i="16"/>
  <c r="AW34" i="21"/>
  <c r="AW51" i="21"/>
  <c r="AW52" i="21"/>
  <c r="AW16" i="16"/>
  <c r="AW35" i="10"/>
  <c r="AW53" i="21"/>
  <c r="AW55" i="21"/>
  <c r="AW17" i="16"/>
  <c r="AW18" i="16"/>
  <c r="AW19" i="16"/>
  <c r="AW3" i="14"/>
  <c r="AV26" i="14"/>
  <c r="AW32" i="14"/>
  <c r="AW21" i="16"/>
  <c r="AW67" i="21"/>
  <c r="AW71" i="21"/>
  <c r="AW22" i="16"/>
  <c r="AW1" i="12"/>
  <c r="AW8" i="12"/>
  <c r="AW9" i="12"/>
  <c r="AW56" i="21"/>
  <c r="AW57" i="21"/>
  <c r="AW13" i="12"/>
  <c r="AW14" i="12"/>
  <c r="AW15" i="12"/>
  <c r="AW16" i="12"/>
  <c r="AW17" i="12"/>
  <c r="AW19" i="12"/>
  <c r="AW21" i="12"/>
  <c r="AW23" i="12"/>
  <c r="AW23" i="16"/>
  <c r="AW12" i="8"/>
  <c r="AW7" i="8"/>
  <c r="AW13" i="8"/>
  <c r="AW24" i="16"/>
  <c r="AW7" i="14"/>
  <c r="AW10" i="14"/>
  <c r="AW25" i="16"/>
  <c r="AW14" i="14"/>
  <c r="AW8" i="15"/>
  <c r="AW9" i="15"/>
  <c r="AW10" i="15"/>
  <c r="AW11" i="15"/>
  <c r="AW12" i="15"/>
  <c r="AW13" i="15"/>
  <c r="AW15" i="15"/>
  <c r="AW16" i="15"/>
  <c r="AW13" i="14"/>
  <c r="AW15" i="14"/>
  <c r="AW26" i="16"/>
  <c r="AW27" i="16"/>
  <c r="AW28" i="16"/>
  <c r="AW7" i="13"/>
  <c r="AW8" i="13"/>
  <c r="AW9" i="13"/>
  <c r="AW10" i="13"/>
  <c r="AW7" i="9"/>
  <c r="AW18" i="9"/>
  <c r="AW29" i="9"/>
  <c r="AW10" i="8"/>
  <c r="AW32" i="9"/>
  <c r="AW33" i="9"/>
  <c r="AW39" i="9"/>
  <c r="AW43" i="9"/>
  <c r="AW11" i="13"/>
  <c r="AW12" i="13"/>
  <c r="AW14" i="13"/>
  <c r="AW29" i="16"/>
  <c r="AW22" i="14"/>
  <c r="AW11" i="14"/>
  <c r="AW17" i="14"/>
  <c r="AW18" i="14"/>
  <c r="AW20" i="14"/>
  <c r="AW23" i="14"/>
  <c r="AW30" i="16"/>
  <c r="AW31" i="16"/>
  <c r="AW10" i="20"/>
  <c r="AW11" i="20"/>
  <c r="AW1" i="20"/>
  <c r="AW12" i="20"/>
  <c r="AW13" i="20"/>
  <c r="AX9" i="20"/>
  <c r="AX164" i="3"/>
  <c r="AX12" i="3"/>
  <c r="AX19" i="3"/>
  <c r="AX27" i="3"/>
  <c r="AX1" i="3"/>
  <c r="AX163" i="3"/>
  <c r="AX29" i="3"/>
  <c r="AX3" i="3"/>
  <c r="AX166" i="3"/>
  <c r="AX165" i="3"/>
  <c r="AX28" i="10"/>
  <c r="AX115" i="3"/>
  <c r="AX2" i="3"/>
  <c r="AX129" i="3"/>
  <c r="AX27" i="10"/>
  <c r="AX29" i="10"/>
  <c r="AX88" i="3"/>
  <c r="AX58" i="3"/>
  <c r="AX89" i="3"/>
  <c r="AX90" i="3"/>
  <c r="AX91" i="3"/>
  <c r="AX92" i="3"/>
  <c r="AX122" i="3"/>
  <c r="AX93" i="3"/>
  <c r="AX94" i="3"/>
  <c r="AX59" i="3"/>
  <c r="AX61" i="3"/>
  <c r="AX60" i="3"/>
  <c r="AX63" i="3"/>
  <c r="AX75" i="3"/>
  <c r="AX23" i="10"/>
  <c r="AX30" i="10"/>
  <c r="AX179" i="3"/>
  <c r="AX167" i="3"/>
  <c r="AX170" i="3"/>
  <c r="AX169" i="3"/>
  <c r="AX172" i="3"/>
  <c r="AX173" i="3"/>
  <c r="AX174" i="3"/>
  <c r="AX181" i="3"/>
  <c r="AX180" i="3"/>
  <c r="AX31" i="10"/>
  <c r="AX32" i="10"/>
  <c r="AX7" i="10"/>
  <c r="AX18" i="10"/>
  <c r="AX22" i="10"/>
  <c r="AX24" i="10"/>
  <c r="AX33" i="10"/>
  <c r="AX7" i="16"/>
  <c r="AX8" i="10"/>
  <c r="AX11" i="10"/>
  <c r="AX9" i="10"/>
  <c r="AX3" i="10"/>
  <c r="AX14" i="10"/>
  <c r="AX8" i="16"/>
  <c r="AX9" i="16"/>
  <c r="AX70" i="3"/>
  <c r="AX72" i="3"/>
  <c r="AX71" i="3"/>
  <c r="AX73" i="3"/>
  <c r="AX9" i="21"/>
  <c r="AX8" i="21"/>
  <c r="AX16" i="21"/>
  <c r="AX17" i="21"/>
  <c r="AX24" i="21"/>
  <c r="AX25" i="21"/>
  <c r="AX136" i="3"/>
  <c r="AX28" i="21"/>
  <c r="AX171" i="3"/>
  <c r="AX21" i="21"/>
  <c r="AX29" i="21"/>
  <c r="AX30" i="21"/>
  <c r="AX31" i="21"/>
  <c r="AX12" i="16"/>
  <c r="AX40" i="21"/>
  <c r="AX41" i="21"/>
  <c r="AX36" i="21"/>
  <c r="AX42" i="21"/>
  <c r="AX37" i="21"/>
  <c r="AX43" i="21"/>
  <c r="AX13" i="16"/>
  <c r="AX7" i="21"/>
  <c r="AX3" i="21"/>
  <c r="AX45" i="21"/>
  <c r="AX46" i="21"/>
  <c r="AX47" i="21"/>
  <c r="AX14" i="16"/>
  <c r="AX35" i="21"/>
  <c r="AX49" i="21"/>
  <c r="AX38" i="21"/>
  <c r="AX50" i="21"/>
  <c r="AX15" i="16"/>
  <c r="AX34" i="21"/>
  <c r="AX51" i="21"/>
  <c r="AX52" i="21"/>
  <c r="AX16" i="16"/>
  <c r="AX35" i="10"/>
  <c r="AX53" i="21"/>
  <c r="AX55" i="21"/>
  <c r="AX17" i="16"/>
  <c r="AX18" i="16"/>
  <c r="AX19" i="16"/>
  <c r="AX3" i="14"/>
  <c r="AW26" i="14"/>
  <c r="AX32" i="14"/>
  <c r="AX21" i="16"/>
  <c r="AX67" i="21"/>
  <c r="AX71" i="21"/>
  <c r="AX22" i="16"/>
  <c r="AX1" i="12"/>
  <c r="AX8" i="12"/>
  <c r="AX9" i="12"/>
  <c r="AX56" i="21"/>
  <c r="AX57" i="21"/>
  <c r="AX13" i="12"/>
  <c r="AX14" i="12"/>
  <c r="AX15" i="12"/>
  <c r="AX16" i="12"/>
  <c r="AX17" i="12"/>
  <c r="AX19" i="12"/>
  <c r="AX21" i="12"/>
  <c r="AX23" i="12"/>
  <c r="AX23" i="16"/>
  <c r="AX12" i="8"/>
  <c r="AX7" i="8"/>
  <c r="AX13" i="8"/>
  <c r="AX24" i="16"/>
  <c r="AX7" i="14"/>
  <c r="AX10" i="14"/>
  <c r="AX25" i="16"/>
  <c r="AX14" i="14"/>
  <c r="AX8" i="15"/>
  <c r="AX9" i="15"/>
  <c r="AX10" i="15"/>
  <c r="AX11" i="15"/>
  <c r="AX12" i="15"/>
  <c r="AX13" i="15"/>
  <c r="AX15" i="15"/>
  <c r="AX16" i="15"/>
  <c r="AX13" i="14"/>
  <c r="AX15" i="14"/>
  <c r="AX26" i="16"/>
  <c r="AX27" i="16"/>
  <c r="AX28" i="16"/>
  <c r="AX7" i="13"/>
  <c r="AX8" i="13"/>
  <c r="AX9" i="13"/>
  <c r="AX10" i="13"/>
  <c r="AX7" i="9"/>
  <c r="AX18" i="9"/>
  <c r="AX29" i="9"/>
  <c r="AX10" i="8"/>
  <c r="AX32" i="9"/>
  <c r="AX33" i="9"/>
  <c r="AX39" i="9"/>
  <c r="AX43" i="9"/>
  <c r="AX11" i="13"/>
  <c r="AX12" i="13"/>
  <c r="AX14" i="13"/>
  <c r="AX29" i="16"/>
  <c r="AX22" i="14"/>
  <c r="AX11" i="14"/>
  <c r="AX17" i="14"/>
  <c r="AX18" i="14"/>
  <c r="AX20" i="14"/>
  <c r="AX23" i="14"/>
  <c r="AX30" i="16"/>
  <c r="AX31" i="16"/>
  <c r="AX10" i="20"/>
  <c r="AX11" i="20"/>
  <c r="AX1" i="20"/>
  <c r="AX12" i="20"/>
  <c r="AX13" i="20"/>
  <c r="AY9" i="20"/>
  <c r="AY164" i="3"/>
  <c r="AY12" i="3"/>
  <c r="AY19" i="3"/>
  <c r="AY27" i="3"/>
  <c r="AY1" i="3"/>
  <c r="AY163" i="3"/>
  <c r="AY29" i="3"/>
  <c r="AY3" i="3"/>
  <c r="AY166" i="3"/>
  <c r="AY165" i="3"/>
  <c r="AY28" i="10"/>
  <c r="AY115" i="3"/>
  <c r="AY2" i="3"/>
  <c r="AY129" i="3"/>
  <c r="AY27" i="10"/>
  <c r="AY29" i="10"/>
  <c r="AY88" i="3"/>
  <c r="AY58" i="3"/>
  <c r="AY89" i="3"/>
  <c r="AY90" i="3"/>
  <c r="AY91" i="3"/>
  <c r="AY92" i="3"/>
  <c r="AY122" i="3"/>
  <c r="AY93" i="3"/>
  <c r="AY94" i="3"/>
  <c r="AY59" i="3"/>
  <c r="AY61" i="3"/>
  <c r="AY60" i="3"/>
  <c r="AY63" i="3"/>
  <c r="AY75" i="3"/>
  <c r="AY23" i="10"/>
  <c r="AY30" i="10"/>
  <c r="AY179" i="3"/>
  <c r="AY167" i="3"/>
  <c r="AY170" i="3"/>
  <c r="AY169" i="3"/>
  <c r="AY172" i="3"/>
  <c r="AY173" i="3"/>
  <c r="AY174" i="3"/>
  <c r="AY181" i="3"/>
  <c r="AY180" i="3"/>
  <c r="AY31" i="10"/>
  <c r="AY32" i="10"/>
  <c r="AY7" i="10"/>
  <c r="AY18" i="10"/>
  <c r="AY22" i="10"/>
  <c r="AY24" i="10"/>
  <c r="AY33" i="10"/>
  <c r="AY7" i="16"/>
  <c r="AY8" i="10"/>
  <c r="AY11" i="10"/>
  <c r="AY9" i="10"/>
  <c r="AY3" i="10"/>
  <c r="AY14" i="10"/>
  <c r="AY8" i="16"/>
  <c r="AY9" i="16"/>
  <c r="AY70" i="3"/>
  <c r="AY72" i="3"/>
  <c r="AY71" i="3"/>
  <c r="AY73" i="3"/>
  <c r="AY9" i="21"/>
  <c r="AY8" i="21"/>
  <c r="AY16" i="21"/>
  <c r="AY17" i="21"/>
  <c r="AY24" i="21"/>
  <c r="AY25" i="21"/>
  <c r="AY136" i="3"/>
  <c r="AY28" i="21"/>
  <c r="AY171" i="3"/>
  <c r="AY21" i="21"/>
  <c r="AY29" i="21"/>
  <c r="AY30" i="21"/>
  <c r="AY31" i="21"/>
  <c r="AY12" i="16"/>
  <c r="AY40" i="21"/>
  <c r="AY41" i="21"/>
  <c r="AY36" i="21"/>
  <c r="AY42" i="21"/>
  <c r="AY37" i="21"/>
  <c r="AY43" i="21"/>
  <c r="AY13" i="16"/>
  <c r="AY7" i="21"/>
  <c r="AY3" i="21"/>
  <c r="AY45" i="21"/>
  <c r="AY46" i="21"/>
  <c r="AY47" i="21"/>
  <c r="AY14" i="16"/>
  <c r="AY35" i="21"/>
  <c r="AY49" i="21"/>
  <c r="AY38" i="21"/>
  <c r="AY50" i="21"/>
  <c r="AY15" i="16"/>
  <c r="AY34" i="21"/>
  <c r="AY51" i="21"/>
  <c r="AY52" i="21"/>
  <c r="AY16" i="16"/>
  <c r="AY35" i="10"/>
  <c r="AY53" i="21"/>
  <c r="AY55" i="21"/>
  <c r="AY17" i="16"/>
  <c r="AY18" i="16"/>
  <c r="AY19" i="16"/>
  <c r="AY3" i="14"/>
  <c r="AX26" i="14"/>
  <c r="AY32" i="14"/>
  <c r="AY21" i="16"/>
  <c r="AY67" i="21"/>
  <c r="AY71" i="21"/>
  <c r="AY22" i="16"/>
  <c r="AY1" i="12"/>
  <c r="AY8" i="12"/>
  <c r="AY9" i="12"/>
  <c r="AY56" i="21"/>
  <c r="AY57" i="21"/>
  <c r="AY13" i="12"/>
  <c r="AY14" i="12"/>
  <c r="AY15" i="12"/>
  <c r="AY16" i="12"/>
  <c r="AY17" i="12"/>
  <c r="AY19" i="12"/>
  <c r="AY21" i="12"/>
  <c r="AY23" i="12"/>
  <c r="AY23" i="16"/>
  <c r="AY12" i="8"/>
  <c r="AY7" i="8"/>
  <c r="AY13" i="8"/>
  <c r="AY24" i="16"/>
  <c r="AY7" i="14"/>
  <c r="AY10" i="14"/>
  <c r="AY25" i="16"/>
  <c r="AY14" i="14"/>
  <c r="AY8" i="15"/>
  <c r="AY9" i="15"/>
  <c r="AY10" i="15"/>
  <c r="AY11" i="15"/>
  <c r="AY12" i="15"/>
  <c r="AY13" i="15"/>
  <c r="AY15" i="15"/>
  <c r="AY16" i="15"/>
  <c r="AY13" i="14"/>
  <c r="AY15" i="14"/>
  <c r="AY26" i="16"/>
  <c r="AY27" i="16"/>
  <c r="AY28" i="16"/>
  <c r="AY7" i="13"/>
  <c r="AY8" i="13"/>
  <c r="AY9" i="13"/>
  <c r="AY10" i="13"/>
  <c r="AY7" i="9"/>
  <c r="AY18" i="9"/>
  <c r="AY29" i="9"/>
  <c r="AY10" i="8"/>
  <c r="AY32" i="9"/>
  <c r="AY33" i="9"/>
  <c r="AY39" i="9"/>
  <c r="AY43" i="9"/>
  <c r="AY11" i="13"/>
  <c r="AY12" i="13"/>
  <c r="AY14" i="13"/>
  <c r="AY29" i="16"/>
  <c r="AY22" i="14"/>
  <c r="AY11" i="14"/>
  <c r="AY17" i="14"/>
  <c r="AY18" i="14"/>
  <c r="AY20" i="14"/>
  <c r="AY23" i="14"/>
  <c r="AY30" i="16"/>
  <c r="AY31" i="16"/>
  <c r="AY10" i="20"/>
  <c r="AY11" i="20"/>
  <c r="AY1" i="20"/>
  <c r="AY12" i="20"/>
  <c r="AY13" i="20"/>
  <c r="AZ9" i="20"/>
  <c r="AZ164" i="3"/>
  <c r="AZ12" i="3"/>
  <c r="AZ19" i="3"/>
  <c r="AZ27" i="3"/>
  <c r="AZ1" i="3"/>
  <c r="AZ163" i="3"/>
  <c r="AZ29" i="3"/>
  <c r="AZ3" i="3"/>
  <c r="AZ166" i="3"/>
  <c r="AZ165" i="3"/>
  <c r="AZ28" i="10"/>
  <c r="AZ115" i="3"/>
  <c r="AZ2" i="3"/>
  <c r="AZ129" i="3"/>
  <c r="AZ27" i="10"/>
  <c r="AZ29" i="10"/>
  <c r="AZ88" i="3"/>
  <c r="AZ58" i="3"/>
  <c r="AZ89" i="3"/>
  <c r="AZ90" i="3"/>
  <c r="AZ91" i="3"/>
  <c r="AZ92" i="3"/>
  <c r="AZ122" i="3"/>
  <c r="AZ93" i="3"/>
  <c r="AZ94" i="3"/>
  <c r="AZ59" i="3"/>
  <c r="AZ61" i="3"/>
  <c r="AZ60" i="3"/>
  <c r="AZ63" i="3"/>
  <c r="AZ75" i="3"/>
  <c r="AZ23" i="10"/>
  <c r="AZ30" i="10"/>
  <c r="AZ179" i="3"/>
  <c r="AZ167" i="3"/>
  <c r="AZ170" i="3"/>
  <c r="AZ169" i="3"/>
  <c r="AZ172" i="3"/>
  <c r="AZ173" i="3"/>
  <c r="AZ174" i="3"/>
  <c r="AZ181" i="3"/>
  <c r="AZ180" i="3"/>
  <c r="AZ31" i="10"/>
  <c r="AZ32" i="10"/>
  <c r="AZ7" i="10"/>
  <c r="AZ18" i="10"/>
  <c r="AZ22" i="10"/>
  <c r="AZ24" i="10"/>
  <c r="AZ33" i="10"/>
  <c r="AZ7" i="16"/>
  <c r="AZ8" i="10"/>
  <c r="AZ11" i="10"/>
  <c r="AZ9" i="10"/>
  <c r="AZ3" i="10"/>
  <c r="AZ14" i="10"/>
  <c r="AZ8" i="16"/>
  <c r="AZ9" i="16"/>
  <c r="AZ70" i="3"/>
  <c r="AZ72" i="3"/>
  <c r="AZ71" i="3"/>
  <c r="AZ73" i="3"/>
  <c r="AZ9" i="21"/>
  <c r="AZ8" i="21"/>
  <c r="AZ16" i="21"/>
  <c r="AZ17" i="21"/>
  <c r="AZ24" i="21"/>
  <c r="AZ25" i="21"/>
  <c r="AZ136" i="3"/>
  <c r="AZ28" i="21"/>
  <c r="AZ171" i="3"/>
  <c r="AZ21" i="21"/>
  <c r="AZ29" i="21"/>
  <c r="AZ30" i="21"/>
  <c r="AZ31" i="21"/>
  <c r="AZ12" i="16"/>
  <c r="AZ40" i="21"/>
  <c r="AZ41" i="21"/>
  <c r="AZ36" i="21"/>
  <c r="AZ42" i="21"/>
  <c r="AZ37" i="21"/>
  <c r="AZ43" i="21"/>
  <c r="AZ13" i="16"/>
  <c r="AZ7" i="21"/>
  <c r="AZ3" i="21"/>
  <c r="AZ45" i="21"/>
  <c r="AZ46" i="21"/>
  <c r="AZ47" i="21"/>
  <c r="AZ14" i="16"/>
  <c r="AZ35" i="21"/>
  <c r="AZ49" i="21"/>
  <c r="AZ38" i="21"/>
  <c r="AZ50" i="21"/>
  <c r="AZ15" i="16"/>
  <c r="AZ34" i="21"/>
  <c r="AZ51" i="21"/>
  <c r="AZ52" i="21"/>
  <c r="AZ16" i="16"/>
  <c r="AZ35" i="10"/>
  <c r="AZ53" i="21"/>
  <c r="AZ55" i="21"/>
  <c r="AZ17" i="16"/>
  <c r="AZ18" i="16"/>
  <c r="AZ19" i="16"/>
  <c r="AZ3" i="14"/>
  <c r="AY26" i="14"/>
  <c r="AZ32" i="14"/>
  <c r="AZ21" i="16"/>
  <c r="AZ67" i="21"/>
  <c r="AZ71" i="21"/>
  <c r="AZ22" i="16"/>
  <c r="AZ1" i="12"/>
  <c r="AZ8" i="12"/>
  <c r="AZ9" i="12"/>
  <c r="AZ56" i="21"/>
  <c r="AZ57" i="21"/>
  <c r="AZ13" i="12"/>
  <c r="AZ14" i="12"/>
  <c r="AZ15" i="12"/>
  <c r="AZ16" i="12"/>
  <c r="AZ17" i="12"/>
  <c r="AZ19" i="12"/>
  <c r="AZ21" i="12"/>
  <c r="AZ23" i="12"/>
  <c r="AZ23" i="16"/>
  <c r="AZ12" i="8"/>
  <c r="AZ7" i="8"/>
  <c r="AZ13" i="8"/>
  <c r="AZ24" i="16"/>
  <c r="AZ7" i="14"/>
  <c r="AZ10" i="14"/>
  <c r="AZ25" i="16"/>
  <c r="AZ14" i="14"/>
  <c r="AZ8" i="15"/>
  <c r="AZ9" i="15"/>
  <c r="AZ10" i="15"/>
  <c r="AZ11" i="15"/>
  <c r="AZ12" i="15"/>
  <c r="AZ13" i="15"/>
  <c r="AZ15" i="15"/>
  <c r="AZ16" i="15"/>
  <c r="AZ13" i="14"/>
  <c r="AZ15" i="14"/>
  <c r="AZ26" i="16"/>
  <c r="AZ27" i="16"/>
  <c r="AZ28" i="16"/>
  <c r="AZ7" i="13"/>
  <c r="AZ8" i="13"/>
  <c r="AZ9" i="13"/>
  <c r="AZ10" i="13"/>
  <c r="AZ7" i="9"/>
  <c r="AZ18" i="9"/>
  <c r="AZ29" i="9"/>
  <c r="AZ10" i="8"/>
  <c r="AZ32" i="9"/>
  <c r="AZ33" i="9"/>
  <c r="AZ39" i="9"/>
  <c r="AZ43" i="9"/>
  <c r="AZ11" i="13"/>
  <c r="AZ12" i="13"/>
  <c r="AZ14" i="13"/>
  <c r="AZ29" i="16"/>
  <c r="AZ22" i="14"/>
  <c r="AZ11" i="14"/>
  <c r="AZ17" i="14"/>
  <c r="AZ18" i="14"/>
  <c r="AZ20" i="14"/>
  <c r="AZ23" i="14"/>
  <c r="AZ30" i="16"/>
  <c r="AZ31" i="16"/>
  <c r="AZ10" i="20"/>
  <c r="AZ11" i="20"/>
  <c r="AZ1" i="20"/>
  <c r="AZ12" i="20"/>
  <c r="AZ13" i="20"/>
  <c r="BA9" i="20"/>
  <c r="BA164" i="3"/>
  <c r="BA12" i="3"/>
  <c r="BA19" i="3"/>
  <c r="BA27" i="3"/>
  <c r="BA1" i="3"/>
  <c r="BA163" i="3"/>
  <c r="BA29" i="3"/>
  <c r="BA3" i="3"/>
  <c r="BA166" i="3"/>
  <c r="BA165" i="3"/>
  <c r="BA28" i="10"/>
  <c r="BA115" i="3"/>
  <c r="BA2" i="3"/>
  <c r="BA129" i="3"/>
  <c r="BA27" i="10"/>
  <c r="BA29" i="10"/>
  <c r="BA88" i="3"/>
  <c r="BA58" i="3"/>
  <c r="BA89" i="3"/>
  <c r="BA90" i="3"/>
  <c r="BA91" i="3"/>
  <c r="BA92" i="3"/>
  <c r="BA122" i="3"/>
  <c r="BA93" i="3"/>
  <c r="BA94" i="3"/>
  <c r="BA59" i="3"/>
  <c r="BA61" i="3"/>
  <c r="BA60" i="3"/>
  <c r="BA63" i="3"/>
  <c r="BA75" i="3"/>
  <c r="BA23" i="10"/>
  <c r="BA30" i="10"/>
  <c r="BA179" i="3"/>
  <c r="BA167" i="3"/>
  <c r="BA170" i="3"/>
  <c r="BA169" i="3"/>
  <c r="BA172" i="3"/>
  <c r="BA173" i="3"/>
  <c r="BA174" i="3"/>
  <c r="BA181" i="3"/>
  <c r="BA180" i="3"/>
  <c r="BA31" i="10"/>
  <c r="BA32" i="10"/>
  <c r="BA7" i="10"/>
  <c r="BA18" i="10"/>
  <c r="BA22" i="10"/>
  <c r="BA24" i="10"/>
  <c r="BA33" i="10"/>
  <c r="BA7" i="16"/>
  <c r="BA8" i="10"/>
  <c r="BA11" i="10"/>
  <c r="BA9" i="10"/>
  <c r="BA3" i="10"/>
  <c r="BA14" i="10"/>
  <c r="BA8" i="16"/>
  <c r="BA9" i="16"/>
  <c r="BA70" i="3"/>
  <c r="BA72" i="3"/>
  <c r="BA71" i="3"/>
  <c r="BA73" i="3"/>
  <c r="BA9" i="21"/>
  <c r="BA8" i="21"/>
  <c r="BA16" i="21"/>
  <c r="BA17" i="21"/>
  <c r="BA24" i="21"/>
  <c r="BA25" i="21"/>
  <c r="BA136" i="3"/>
  <c r="BA28" i="21"/>
  <c r="BA171" i="3"/>
  <c r="BA21" i="21"/>
  <c r="BA29" i="21"/>
  <c r="BA30" i="21"/>
  <c r="BA31" i="21"/>
  <c r="BA12" i="16"/>
  <c r="BA40" i="21"/>
  <c r="BA41" i="21"/>
  <c r="BA36" i="21"/>
  <c r="BA42" i="21"/>
  <c r="BA37" i="21"/>
  <c r="BA43" i="21"/>
  <c r="BA13" i="16"/>
  <c r="BA7" i="21"/>
  <c r="BA3" i="21"/>
  <c r="BA45" i="21"/>
  <c r="BA46" i="21"/>
  <c r="BA47" i="21"/>
  <c r="BA14" i="16"/>
  <c r="BA35" i="21"/>
  <c r="BA49" i="21"/>
  <c r="BA38" i="21"/>
  <c r="BA50" i="21"/>
  <c r="BA15" i="16"/>
  <c r="BA34" i="21"/>
  <c r="BA51" i="21"/>
  <c r="BA52" i="21"/>
  <c r="BA16" i="16"/>
  <c r="BA35" i="10"/>
  <c r="BA53" i="21"/>
  <c r="BA55" i="21"/>
  <c r="BA17" i="16"/>
  <c r="BA18" i="16"/>
  <c r="BA19" i="16"/>
  <c r="BA3" i="14"/>
  <c r="AZ26" i="14"/>
  <c r="BA32" i="14"/>
  <c r="BA21" i="16"/>
  <c r="BA67" i="21"/>
  <c r="BA71" i="21"/>
  <c r="BA22" i="16"/>
  <c r="BA1" i="12"/>
  <c r="BA8" i="12"/>
  <c r="BA9" i="12"/>
  <c r="BA56" i="21"/>
  <c r="BA57" i="21"/>
  <c r="BA13" i="12"/>
  <c r="BA14" i="12"/>
  <c r="BA15" i="12"/>
  <c r="BA16" i="12"/>
  <c r="BA17" i="12"/>
  <c r="BA19" i="12"/>
  <c r="BA21" i="12"/>
  <c r="BA23" i="12"/>
  <c r="BA23" i="16"/>
  <c r="BA12" i="8"/>
  <c r="BA7" i="8"/>
  <c r="BA13" i="8"/>
  <c r="BA24" i="16"/>
  <c r="BA7" i="14"/>
  <c r="BA10" i="14"/>
  <c r="BA25" i="16"/>
  <c r="BA14" i="14"/>
  <c r="BA8" i="15"/>
  <c r="BA9" i="15"/>
  <c r="BA10" i="15"/>
  <c r="BA11" i="15"/>
  <c r="BA12" i="15"/>
  <c r="BA13" i="15"/>
  <c r="BA15" i="15"/>
  <c r="BA16" i="15"/>
  <c r="BA13" i="14"/>
  <c r="BA15" i="14"/>
  <c r="BA26" i="16"/>
  <c r="BA27" i="16"/>
  <c r="BA28" i="16"/>
  <c r="BA7" i="13"/>
  <c r="BA8" i="13"/>
  <c r="BA9" i="13"/>
  <c r="BA10" i="13"/>
  <c r="BA7" i="9"/>
  <c r="BA18" i="9"/>
  <c r="BA29" i="9"/>
  <c r="BA10" i="8"/>
  <c r="BA32" i="9"/>
  <c r="BA33" i="9"/>
  <c r="BA39" i="9"/>
  <c r="BA43" i="9"/>
  <c r="BA11" i="13"/>
  <c r="BA12" i="13"/>
  <c r="BA14" i="13"/>
  <c r="BA29" i="16"/>
  <c r="BA22" i="14"/>
  <c r="BA11" i="14"/>
  <c r="BA17" i="14"/>
  <c r="BA18" i="14"/>
  <c r="BA20" i="14"/>
  <c r="BA23" i="14"/>
  <c r="BA30" i="16"/>
  <c r="BA31" i="16"/>
  <c r="BA10" i="20"/>
  <c r="BA11" i="20"/>
  <c r="BA1" i="20"/>
  <c r="BA12" i="20"/>
  <c r="BA13" i="20"/>
  <c r="BB9" i="20"/>
  <c r="BB164" i="3"/>
  <c r="BB12" i="3"/>
  <c r="BB19" i="3"/>
  <c r="BB27" i="3"/>
  <c r="BB1" i="3"/>
  <c r="BB163" i="3"/>
  <c r="BB29" i="3"/>
  <c r="BB3" i="3"/>
  <c r="BB166" i="3"/>
  <c r="BB165" i="3"/>
  <c r="BB28" i="10"/>
  <c r="BB115" i="3"/>
  <c r="BB2" i="3"/>
  <c r="BB129" i="3"/>
  <c r="BB27" i="10"/>
  <c r="BB29" i="10"/>
  <c r="BB88" i="3"/>
  <c r="BB58" i="3"/>
  <c r="BB89" i="3"/>
  <c r="BB90" i="3"/>
  <c r="BB91" i="3"/>
  <c r="BB92" i="3"/>
  <c r="BB122" i="3"/>
  <c r="BB93" i="3"/>
  <c r="BB94" i="3"/>
  <c r="BB59" i="3"/>
  <c r="BB61" i="3"/>
  <c r="BB60" i="3"/>
  <c r="BB63" i="3"/>
  <c r="BB75" i="3"/>
  <c r="BB23" i="10"/>
  <c r="BB30" i="10"/>
  <c r="BB179" i="3"/>
  <c r="BB167" i="3"/>
  <c r="BB170" i="3"/>
  <c r="BB169" i="3"/>
  <c r="BB172" i="3"/>
  <c r="BB173" i="3"/>
  <c r="BB174" i="3"/>
  <c r="BB181" i="3"/>
  <c r="BB180" i="3"/>
  <c r="BB31" i="10"/>
  <c r="BB32" i="10"/>
  <c r="BB7" i="10"/>
  <c r="BB18" i="10"/>
  <c r="BB22" i="10"/>
  <c r="BB24" i="10"/>
  <c r="BB33" i="10"/>
  <c r="BB7" i="16"/>
  <c r="BB8" i="10"/>
  <c r="BB11" i="10"/>
  <c r="BB9" i="10"/>
  <c r="BB3" i="10"/>
  <c r="BB14" i="10"/>
  <c r="BB8" i="16"/>
  <c r="BB9" i="16"/>
  <c r="BB70" i="3"/>
  <c r="BB72" i="3"/>
  <c r="BB71" i="3"/>
  <c r="BB73" i="3"/>
  <c r="BB9" i="21"/>
  <c r="BB8" i="21"/>
  <c r="BB16" i="21"/>
  <c r="BB17" i="21"/>
  <c r="BB24" i="21"/>
  <c r="BB25" i="21"/>
  <c r="BB136" i="3"/>
  <c r="BB28" i="21"/>
  <c r="BB171" i="3"/>
  <c r="BB21" i="21"/>
  <c r="BB29" i="21"/>
  <c r="BB30" i="21"/>
  <c r="BB31" i="21"/>
  <c r="BB12" i="16"/>
  <c r="BB40" i="21"/>
  <c r="BB41" i="21"/>
  <c r="BB36" i="21"/>
  <c r="BB42" i="21"/>
  <c r="BB37" i="21"/>
  <c r="BB43" i="21"/>
  <c r="BB13" i="16"/>
  <c r="BB7" i="21"/>
  <c r="BB3" i="21"/>
  <c r="BB45" i="21"/>
  <c r="BB46" i="21"/>
  <c r="BB47" i="21"/>
  <c r="BB14" i="16"/>
  <c r="BB35" i="21"/>
  <c r="BB49" i="21"/>
  <c r="BB38" i="21"/>
  <c r="BB50" i="21"/>
  <c r="BB15" i="16"/>
  <c r="BB34" i="21"/>
  <c r="BB51" i="21"/>
  <c r="BB52" i="21"/>
  <c r="BB16" i="16"/>
  <c r="BB35" i="10"/>
  <c r="BB53" i="21"/>
  <c r="BB55" i="21"/>
  <c r="BB17" i="16"/>
  <c r="BB18" i="16"/>
  <c r="BB19" i="16"/>
  <c r="BB3" i="14"/>
  <c r="BA26" i="14"/>
  <c r="BB32" i="14"/>
  <c r="BB21" i="16"/>
  <c r="BB67" i="21"/>
  <c r="BB71" i="21"/>
  <c r="BB22" i="16"/>
  <c r="BB1" i="12"/>
  <c r="BB8" i="12"/>
  <c r="BB9" i="12"/>
  <c r="BB56" i="21"/>
  <c r="BB57" i="21"/>
  <c r="BB13" i="12"/>
  <c r="BB14" i="12"/>
  <c r="BB15" i="12"/>
  <c r="BB16" i="12"/>
  <c r="BB17" i="12"/>
  <c r="BB19" i="12"/>
  <c r="BB21" i="12"/>
  <c r="BB23" i="12"/>
  <c r="BB23" i="16"/>
  <c r="BB12" i="8"/>
  <c r="BB7" i="8"/>
  <c r="BB13" i="8"/>
  <c r="BB24" i="16"/>
  <c r="BB7" i="14"/>
  <c r="BB10" i="14"/>
  <c r="BB25" i="16"/>
  <c r="BB14" i="14"/>
  <c r="BB8" i="15"/>
  <c r="BB9" i="15"/>
  <c r="BB10" i="15"/>
  <c r="BB11" i="15"/>
  <c r="BB12" i="15"/>
  <c r="BB13" i="15"/>
  <c r="BB15" i="15"/>
  <c r="BB16" i="15"/>
  <c r="BB13" i="14"/>
  <c r="BB15" i="14"/>
  <c r="BB26" i="16"/>
  <c r="BB27" i="16"/>
  <c r="BB28" i="16"/>
  <c r="BB7" i="13"/>
  <c r="BB8" i="13"/>
  <c r="BB9" i="13"/>
  <c r="BB10" i="13"/>
  <c r="BB7" i="9"/>
  <c r="BB18" i="9"/>
  <c r="BB29" i="9"/>
  <c r="BB10" i="8"/>
  <c r="BB32" i="9"/>
  <c r="BB33" i="9"/>
  <c r="D35" i="9"/>
  <c r="D36" i="9"/>
  <c r="D37" i="9"/>
  <c r="G34" i="9"/>
  <c r="H34" i="9"/>
  <c r="I34" i="9"/>
  <c r="J34" i="9"/>
  <c r="K34" i="9"/>
  <c r="L34" i="9"/>
  <c r="M34" i="9"/>
  <c r="N34" i="9"/>
  <c r="O34" i="9"/>
  <c r="P34" i="9"/>
  <c r="Q34" i="9"/>
  <c r="R34" i="9"/>
  <c r="S34" i="9"/>
  <c r="T34" i="9"/>
  <c r="U34" i="9"/>
  <c r="V34" i="9"/>
  <c r="W34" i="9"/>
  <c r="X34" i="9"/>
  <c r="Y34" i="9"/>
  <c r="Z34" i="9"/>
  <c r="AA34" i="9"/>
  <c r="AB34" i="9"/>
  <c r="AC34" i="9"/>
  <c r="AD34" i="9"/>
  <c r="AE34" i="9"/>
  <c r="AF34" i="9"/>
  <c r="AG34" i="9"/>
  <c r="AH34" i="9"/>
  <c r="AI34" i="9"/>
  <c r="AJ34" i="9"/>
  <c r="AK34" i="9"/>
  <c r="AL34" i="9"/>
  <c r="AM34" i="9"/>
  <c r="AN34" i="9"/>
  <c r="AO34" i="9"/>
  <c r="AP34" i="9"/>
  <c r="AQ34" i="9"/>
  <c r="AR34" i="9"/>
  <c r="AS34" i="9"/>
  <c r="AT34" i="9"/>
  <c r="AU34" i="9"/>
  <c r="AV34" i="9"/>
  <c r="AW34" i="9"/>
  <c r="AX34" i="9"/>
  <c r="AY34" i="9"/>
  <c r="AZ34" i="9"/>
  <c r="BA34" i="9"/>
  <c r="BB34" i="9"/>
  <c r="BC10" i="8"/>
  <c r="BC32" i="9"/>
  <c r="BC33" i="9"/>
  <c r="BC56" i="21"/>
  <c r="BC34" i="9"/>
  <c r="BD10" i="8"/>
  <c r="BD32" i="9"/>
  <c r="BD33" i="9"/>
  <c r="BD56" i="21"/>
  <c r="BD34" i="9"/>
  <c r="BE10" i="8"/>
  <c r="BE32" i="9"/>
  <c r="BE33" i="9"/>
  <c r="BE56" i="21"/>
  <c r="BE34" i="9"/>
  <c r="BF10" i="8"/>
  <c r="BF32" i="9"/>
  <c r="BF33" i="9"/>
  <c r="BF56" i="21"/>
  <c r="BF34" i="9"/>
  <c r="BG10" i="8"/>
  <c r="BG32" i="9"/>
  <c r="BG33" i="9"/>
  <c r="BG56" i="21"/>
  <c r="BG34" i="9"/>
  <c r="BH10" i="8"/>
  <c r="BH32" i="9"/>
  <c r="BH33" i="9"/>
  <c r="BH56" i="21"/>
  <c r="BH34" i="9"/>
  <c r="BI10" i="8"/>
  <c r="BI32" i="9"/>
  <c r="BI33" i="9"/>
  <c r="BI56" i="21"/>
  <c r="BI34" i="9"/>
  <c r="BJ10" i="8"/>
  <c r="BJ32" i="9"/>
  <c r="BJ33" i="9"/>
  <c r="BJ56" i="21"/>
  <c r="BJ34" i="9"/>
  <c r="E34" i="9"/>
  <c r="BB39" i="9"/>
  <c r="BB43" i="9"/>
  <c r="BB11" i="13"/>
  <c r="BB12" i="13"/>
  <c r="BB14" i="13"/>
  <c r="BB29" i="16"/>
  <c r="BB22" i="14"/>
  <c r="BB11" i="14"/>
  <c r="BB17" i="14"/>
  <c r="BB18" i="14"/>
  <c r="BB20" i="14"/>
  <c r="BB23" i="14"/>
  <c r="BB30" i="16"/>
  <c r="BB31" i="16"/>
  <c r="BB10" i="20"/>
  <c r="BB11" i="20"/>
  <c r="BB1" i="20"/>
  <c r="BB12" i="20"/>
  <c r="BB13" i="20"/>
  <c r="BC9" i="20"/>
  <c r="BC164" i="3"/>
  <c r="BC12" i="3"/>
  <c r="BC19" i="3"/>
  <c r="BC27" i="3"/>
  <c r="BC1" i="3"/>
  <c r="BC163" i="3"/>
  <c r="BC29" i="3"/>
  <c r="BC3" i="3"/>
  <c r="BC166" i="3"/>
  <c r="BC165" i="3"/>
  <c r="BC28" i="10"/>
  <c r="BC115" i="3"/>
  <c r="BC2" i="3"/>
  <c r="BC129" i="3"/>
  <c r="BC27" i="10"/>
  <c r="BC29" i="10"/>
  <c r="BC88" i="3"/>
  <c r="BC58" i="3"/>
  <c r="BC89" i="3"/>
  <c r="BC90" i="3"/>
  <c r="BC91" i="3"/>
  <c r="BC92" i="3"/>
  <c r="BC122" i="3"/>
  <c r="BC93" i="3"/>
  <c r="BC94" i="3"/>
  <c r="BC59" i="3"/>
  <c r="BC61" i="3"/>
  <c r="BC60" i="3"/>
  <c r="BC63" i="3"/>
  <c r="BC75" i="3"/>
  <c r="BC23" i="10"/>
  <c r="BC30" i="10"/>
  <c r="BC179" i="3"/>
  <c r="BC167" i="3"/>
  <c r="BC170" i="3"/>
  <c r="BC169" i="3"/>
  <c r="BC172" i="3"/>
  <c r="BC173" i="3"/>
  <c r="BC174" i="3"/>
  <c r="BC181" i="3"/>
  <c r="BC180" i="3"/>
  <c r="BC31" i="10"/>
  <c r="BC32" i="10"/>
  <c r="BC7" i="10"/>
  <c r="BC18" i="10"/>
  <c r="BC22" i="10"/>
  <c r="BC24" i="10"/>
  <c r="BC33" i="10"/>
  <c r="BC7" i="16"/>
  <c r="BC8" i="10"/>
  <c r="BC11" i="10"/>
  <c r="BC9" i="10"/>
  <c r="BC3" i="10"/>
  <c r="BC14" i="10"/>
  <c r="BC8" i="16"/>
  <c r="BC9" i="16"/>
  <c r="BC70" i="3"/>
  <c r="BC72" i="3"/>
  <c r="BC71" i="3"/>
  <c r="BC73" i="3"/>
  <c r="BC9" i="21"/>
  <c r="BC8" i="21"/>
  <c r="BC16" i="21"/>
  <c r="BC17" i="21"/>
  <c r="BC24" i="21"/>
  <c r="BC25" i="21"/>
  <c r="BC136" i="3"/>
  <c r="BC28" i="21"/>
  <c r="BC171" i="3"/>
  <c r="BC21" i="21"/>
  <c r="BC29" i="21"/>
  <c r="BC30" i="21"/>
  <c r="BC31" i="21"/>
  <c r="BC12" i="16"/>
  <c r="BC40" i="21"/>
  <c r="BC41" i="21"/>
  <c r="BC36" i="21"/>
  <c r="BC42" i="21"/>
  <c r="BC37" i="21"/>
  <c r="BC43" i="21"/>
  <c r="BC13" i="16"/>
  <c r="BC7" i="21"/>
  <c r="BC3" i="21"/>
  <c r="BC45" i="21"/>
  <c r="BC46" i="21"/>
  <c r="BC47" i="21"/>
  <c r="BC14" i="16"/>
  <c r="BC35" i="21"/>
  <c r="BC49" i="21"/>
  <c r="BC38" i="21"/>
  <c r="BC50" i="21"/>
  <c r="BC15" i="16"/>
  <c r="BC34" i="21"/>
  <c r="BC51" i="21"/>
  <c r="BC52" i="21"/>
  <c r="BC16" i="16"/>
  <c r="BC35" i="10"/>
  <c r="BC53" i="21"/>
  <c r="BC55" i="21"/>
  <c r="BC17" i="16"/>
  <c r="BC18" i="16"/>
  <c r="BC19" i="16"/>
  <c r="BC3" i="14"/>
  <c r="BB26" i="14"/>
  <c r="BC32" i="14"/>
  <c r="BC21" i="16"/>
  <c r="BC67" i="21"/>
  <c r="BC71" i="21"/>
  <c r="BC22" i="16"/>
  <c r="BC1" i="12"/>
  <c r="BC8" i="12"/>
  <c r="BC9" i="12"/>
  <c r="BC57" i="21"/>
  <c r="BC13" i="12"/>
  <c r="BC14" i="12"/>
  <c r="BC15" i="12"/>
  <c r="BC16" i="12"/>
  <c r="BC17" i="12"/>
  <c r="BC19" i="12"/>
  <c r="BC21" i="12"/>
  <c r="BC23" i="12"/>
  <c r="BC23" i="16"/>
  <c r="BC12" i="8"/>
  <c r="BC7" i="8"/>
  <c r="BC13" i="8"/>
  <c r="BC24" i="16"/>
  <c r="BC7" i="14"/>
  <c r="BC10" i="14"/>
  <c r="BC25" i="16"/>
  <c r="BC14" i="14"/>
  <c r="BC8" i="15"/>
  <c r="BC9" i="15"/>
  <c r="BC10" i="15"/>
  <c r="BC11" i="15"/>
  <c r="BC12" i="15"/>
  <c r="BC13" i="15"/>
  <c r="BC15" i="15"/>
  <c r="BC16" i="15"/>
  <c r="BC13" i="14"/>
  <c r="BC15" i="14"/>
  <c r="BC26" i="16"/>
  <c r="BC27" i="16"/>
  <c r="BC28" i="16"/>
  <c r="BC7" i="13"/>
  <c r="BC8" i="13"/>
  <c r="BC9" i="13"/>
  <c r="BC10" i="13"/>
  <c r="BC7" i="9"/>
  <c r="BC18" i="9"/>
  <c r="BC29" i="9"/>
  <c r="BC39" i="9"/>
  <c r="BC43" i="9"/>
  <c r="BC11" i="13"/>
  <c r="BC12" i="13"/>
  <c r="BC14" i="13"/>
  <c r="BC29" i="16"/>
  <c r="BC22" i="14"/>
  <c r="BC11" i="14"/>
  <c r="BC17" i="14"/>
  <c r="BC18" i="14"/>
  <c r="BC20" i="14"/>
  <c r="BC23" i="14"/>
  <c r="BC30" i="16"/>
  <c r="BC31" i="16"/>
  <c r="BC10" i="20"/>
  <c r="BC11" i="20"/>
  <c r="BC1" i="20"/>
  <c r="BC12" i="20"/>
  <c r="BC13" i="20"/>
  <c r="BD9" i="20"/>
  <c r="BD164" i="3"/>
  <c r="BD12" i="3"/>
  <c r="BD19" i="3"/>
  <c r="BD27" i="3"/>
  <c r="BD1" i="3"/>
  <c r="BD163" i="3"/>
  <c r="BD29" i="3"/>
  <c r="BD3" i="3"/>
  <c r="BD166" i="3"/>
  <c r="BD165" i="3"/>
  <c r="BD28" i="10"/>
  <c r="BD115" i="3"/>
  <c r="BD2" i="3"/>
  <c r="BD129" i="3"/>
  <c r="BD27" i="10"/>
  <c r="BD29" i="10"/>
  <c r="BD88" i="3"/>
  <c r="BD58" i="3"/>
  <c r="BD89" i="3"/>
  <c r="BD90" i="3"/>
  <c r="BD91" i="3"/>
  <c r="BD92" i="3"/>
  <c r="BD122" i="3"/>
  <c r="BD93" i="3"/>
  <c r="BD94" i="3"/>
  <c r="BD59" i="3"/>
  <c r="BD61" i="3"/>
  <c r="BD60" i="3"/>
  <c r="BD63" i="3"/>
  <c r="BD75" i="3"/>
  <c r="BD23" i="10"/>
  <c r="BD30" i="10"/>
  <c r="BD179" i="3"/>
  <c r="BD167" i="3"/>
  <c r="BD170" i="3"/>
  <c r="BD169" i="3"/>
  <c r="BD172" i="3"/>
  <c r="BD173" i="3"/>
  <c r="BD174" i="3"/>
  <c r="BD181" i="3"/>
  <c r="BD180" i="3"/>
  <c r="BD31" i="10"/>
  <c r="BD32" i="10"/>
  <c r="BD7" i="10"/>
  <c r="BD18" i="10"/>
  <c r="BD22" i="10"/>
  <c r="BD24" i="10"/>
  <c r="BD33" i="10"/>
  <c r="BD7" i="16"/>
  <c r="BD8" i="10"/>
  <c r="BD11" i="10"/>
  <c r="BD9" i="10"/>
  <c r="BD3" i="10"/>
  <c r="BD14" i="10"/>
  <c r="BD8" i="16"/>
  <c r="BD9" i="16"/>
  <c r="BD70" i="3"/>
  <c r="BD72" i="3"/>
  <c r="BD71" i="3"/>
  <c r="BD73" i="3"/>
  <c r="BD9" i="21"/>
  <c r="BD8" i="21"/>
  <c r="BD16" i="21"/>
  <c r="BD17" i="21"/>
  <c r="BD24" i="21"/>
  <c r="BD25" i="21"/>
  <c r="BD136" i="3"/>
  <c r="BD28" i="21"/>
  <c r="BD171" i="3"/>
  <c r="BD21" i="21"/>
  <c r="BD29" i="21"/>
  <c r="BD30" i="21"/>
  <c r="BD31" i="21"/>
  <c r="BD12" i="16"/>
  <c r="BD40" i="21"/>
  <c r="BD41" i="21"/>
  <c r="BD36" i="21"/>
  <c r="BD42" i="21"/>
  <c r="BD37" i="21"/>
  <c r="BD43" i="21"/>
  <c r="BD13" i="16"/>
  <c r="BD7" i="21"/>
  <c r="BD3" i="21"/>
  <c r="BD45" i="21"/>
  <c r="BD46" i="21"/>
  <c r="BD47" i="21"/>
  <c r="BD14" i="16"/>
  <c r="BD35" i="21"/>
  <c r="BD49" i="21"/>
  <c r="BD38" i="21"/>
  <c r="BD50" i="21"/>
  <c r="BD15" i="16"/>
  <c r="BD34" i="21"/>
  <c r="BD51" i="21"/>
  <c r="BD52" i="21"/>
  <c r="BD16" i="16"/>
  <c r="BD35" i="10"/>
  <c r="BD53" i="21"/>
  <c r="BD55" i="21"/>
  <c r="BD17" i="16"/>
  <c r="BD18" i="16"/>
  <c r="BD19" i="16"/>
  <c r="BD3" i="14"/>
  <c r="BC26" i="14"/>
  <c r="BD32" i="14"/>
  <c r="BD21" i="16"/>
  <c r="BD67" i="21"/>
  <c r="BD71" i="21"/>
  <c r="BD22" i="16"/>
  <c r="BD1" i="12"/>
  <c r="BD8" i="12"/>
  <c r="BD9" i="12"/>
  <c r="BD57" i="21"/>
  <c r="BD13" i="12"/>
  <c r="BD14" i="12"/>
  <c r="BD15" i="12"/>
  <c r="BD16" i="12"/>
  <c r="BD17" i="12"/>
  <c r="BD19" i="12"/>
  <c r="BD21" i="12"/>
  <c r="BD23" i="12"/>
  <c r="BD23" i="16"/>
  <c r="BD12" i="8"/>
  <c r="BD7" i="8"/>
  <c r="BD13" i="8"/>
  <c r="BD24" i="16"/>
  <c r="BD7" i="14"/>
  <c r="BD10" i="14"/>
  <c r="BD25" i="16"/>
  <c r="BD14" i="14"/>
  <c r="BD8" i="15"/>
  <c r="BD9" i="15"/>
  <c r="BD10" i="15"/>
  <c r="BD11" i="15"/>
  <c r="BD12" i="15"/>
  <c r="BD13" i="15"/>
  <c r="BD15" i="15"/>
  <c r="BD16" i="15"/>
  <c r="BD13" i="14"/>
  <c r="BD15" i="14"/>
  <c r="BD26" i="16"/>
  <c r="BD27" i="16"/>
  <c r="BD28" i="16"/>
  <c r="BD7" i="13"/>
  <c r="BD8" i="13"/>
  <c r="BD9" i="13"/>
  <c r="BD10" i="13"/>
  <c r="BD7" i="9"/>
  <c r="BD18" i="9"/>
  <c r="BD29" i="9"/>
  <c r="BD39" i="9"/>
  <c r="BD43" i="9"/>
  <c r="BD11" i="13"/>
  <c r="BD12" i="13"/>
  <c r="BD14" i="13"/>
  <c r="BD29" i="16"/>
  <c r="BD22" i="14"/>
  <c r="BD11" i="14"/>
  <c r="BD17" i="14"/>
  <c r="BD18" i="14"/>
  <c r="BD20" i="14"/>
  <c r="BD23" i="14"/>
  <c r="BD30" i="16"/>
  <c r="BD31" i="16"/>
  <c r="BD10" i="20"/>
  <c r="BD11" i="20"/>
  <c r="BD1" i="20"/>
  <c r="BD12" i="20"/>
  <c r="BD13" i="20"/>
  <c r="BE9" i="20"/>
  <c r="BE164" i="3"/>
  <c r="BE12" i="3"/>
  <c r="BE19" i="3"/>
  <c r="BE27" i="3"/>
  <c r="BE1" i="3"/>
  <c r="BE163" i="3"/>
  <c r="BE29" i="3"/>
  <c r="BE3" i="3"/>
  <c r="BE166" i="3"/>
  <c r="BE165" i="3"/>
  <c r="BE28" i="10"/>
  <c r="BE115" i="3"/>
  <c r="BE2" i="3"/>
  <c r="BE129" i="3"/>
  <c r="BE27" i="10"/>
  <c r="BE29" i="10"/>
  <c r="BE88" i="3"/>
  <c r="BE58" i="3"/>
  <c r="BE89" i="3"/>
  <c r="BE90" i="3"/>
  <c r="BE91" i="3"/>
  <c r="BE92" i="3"/>
  <c r="BE122" i="3"/>
  <c r="BE93" i="3"/>
  <c r="BE94" i="3"/>
  <c r="BE59" i="3"/>
  <c r="BE61" i="3"/>
  <c r="BE60" i="3"/>
  <c r="BE63" i="3"/>
  <c r="BE75" i="3"/>
  <c r="BE23" i="10"/>
  <c r="BE30" i="10"/>
  <c r="BE179" i="3"/>
  <c r="BE167" i="3"/>
  <c r="BE170" i="3"/>
  <c r="BE169" i="3"/>
  <c r="BE172" i="3"/>
  <c r="BE173" i="3"/>
  <c r="BE174" i="3"/>
  <c r="BE181" i="3"/>
  <c r="BE180" i="3"/>
  <c r="BE31" i="10"/>
  <c r="BE32" i="10"/>
  <c r="BE7" i="10"/>
  <c r="BE18" i="10"/>
  <c r="BE22" i="10"/>
  <c r="BE24" i="10"/>
  <c r="BE33" i="10"/>
  <c r="BE7" i="16"/>
  <c r="BE8" i="10"/>
  <c r="BE11" i="10"/>
  <c r="BE9" i="10"/>
  <c r="BE3" i="10"/>
  <c r="BE14" i="10"/>
  <c r="BE8" i="16"/>
  <c r="BE9" i="16"/>
  <c r="BE70" i="3"/>
  <c r="BE72" i="3"/>
  <c r="BE71" i="3"/>
  <c r="BE73" i="3"/>
  <c r="BE9" i="21"/>
  <c r="BE8" i="21"/>
  <c r="BE16" i="21"/>
  <c r="BE17" i="21"/>
  <c r="BE24" i="21"/>
  <c r="BE25" i="21"/>
  <c r="BE136" i="3"/>
  <c r="BE28" i="21"/>
  <c r="BE171" i="3"/>
  <c r="BE21" i="21"/>
  <c r="BE29" i="21"/>
  <c r="BE30" i="21"/>
  <c r="BE31" i="21"/>
  <c r="BE12" i="16"/>
  <c r="BE40" i="21"/>
  <c r="BE41" i="21"/>
  <c r="BE36" i="21"/>
  <c r="BE42" i="21"/>
  <c r="BE37" i="21"/>
  <c r="BE43" i="21"/>
  <c r="BE13" i="16"/>
  <c r="BE7" i="21"/>
  <c r="BE3" i="21"/>
  <c r="BE45" i="21"/>
  <c r="BE46" i="21"/>
  <c r="BE47" i="21"/>
  <c r="BE14" i="16"/>
  <c r="BE35" i="21"/>
  <c r="BE49" i="21"/>
  <c r="BE38" i="21"/>
  <c r="BE50" i="21"/>
  <c r="BE15" i="16"/>
  <c r="BE34" i="21"/>
  <c r="BE51" i="21"/>
  <c r="BE52" i="21"/>
  <c r="BE16" i="16"/>
  <c r="BE35" i="10"/>
  <c r="BE53" i="21"/>
  <c r="BE55" i="21"/>
  <c r="BE17" i="16"/>
  <c r="BE18" i="16"/>
  <c r="BE19" i="16"/>
  <c r="BE3" i="14"/>
  <c r="BD26" i="14"/>
  <c r="BE32" i="14"/>
  <c r="BE21" i="16"/>
  <c r="BE67" i="21"/>
  <c r="BE71" i="21"/>
  <c r="BE22" i="16"/>
  <c r="BE1" i="12"/>
  <c r="BE8" i="12"/>
  <c r="BE9" i="12"/>
  <c r="BE57" i="21"/>
  <c r="BE13" i="12"/>
  <c r="BE14" i="12"/>
  <c r="BE15" i="12"/>
  <c r="BE16" i="12"/>
  <c r="BE17" i="12"/>
  <c r="BE19" i="12"/>
  <c r="BE21" i="12"/>
  <c r="BE23" i="12"/>
  <c r="BE23" i="16"/>
  <c r="BE12" i="8"/>
  <c r="BE7" i="8"/>
  <c r="BE13" i="8"/>
  <c r="BE24" i="16"/>
  <c r="BE7" i="14"/>
  <c r="BE10" i="14"/>
  <c r="BE25" i="16"/>
  <c r="BE14" i="14"/>
  <c r="BE8" i="15"/>
  <c r="BE9" i="15"/>
  <c r="BE10" i="15"/>
  <c r="BE11" i="15"/>
  <c r="BE12" i="15"/>
  <c r="BE13" i="15"/>
  <c r="BE15" i="15"/>
  <c r="BE16" i="15"/>
  <c r="BE13" i="14"/>
  <c r="BE15" i="14"/>
  <c r="BE26" i="16"/>
  <c r="BE27" i="16"/>
  <c r="BE28" i="16"/>
  <c r="BE7" i="13"/>
  <c r="BE8" i="13"/>
  <c r="BE9" i="13"/>
  <c r="BE10" i="13"/>
  <c r="BE7" i="9"/>
  <c r="BE18" i="9"/>
  <c r="BE29" i="9"/>
  <c r="BE39" i="9"/>
  <c r="BE43" i="9"/>
  <c r="BE11" i="13"/>
  <c r="BE12" i="13"/>
  <c r="BE14" i="13"/>
  <c r="BE29" i="16"/>
  <c r="BE22" i="14"/>
  <c r="BE11" i="14"/>
  <c r="BE17" i="14"/>
  <c r="BE18" i="14"/>
  <c r="BE20" i="14"/>
  <c r="BE23" i="14"/>
  <c r="BE30" i="16"/>
  <c r="BE31" i="16"/>
  <c r="BE10" i="20"/>
  <c r="BE11" i="20"/>
  <c r="BE1" i="20"/>
  <c r="BE12" i="20"/>
  <c r="BE13" i="20"/>
  <c r="BF9" i="20"/>
  <c r="BF164" i="3"/>
  <c r="BF12" i="3"/>
  <c r="BF19" i="3"/>
  <c r="BF27" i="3"/>
  <c r="BF1" i="3"/>
  <c r="BF163" i="3"/>
  <c r="BF29" i="3"/>
  <c r="BF3" i="3"/>
  <c r="BF166" i="3"/>
  <c r="BF165" i="3"/>
  <c r="BF28" i="10"/>
  <c r="BF115" i="3"/>
  <c r="BF2" i="3"/>
  <c r="BF129" i="3"/>
  <c r="BF27" i="10"/>
  <c r="BF29" i="10"/>
  <c r="BF88" i="3"/>
  <c r="BF58" i="3"/>
  <c r="BF89" i="3"/>
  <c r="BF90" i="3"/>
  <c r="BF91" i="3"/>
  <c r="BF92" i="3"/>
  <c r="BF122" i="3"/>
  <c r="BF93" i="3"/>
  <c r="BF94" i="3"/>
  <c r="BF59" i="3"/>
  <c r="BF61" i="3"/>
  <c r="BF60" i="3"/>
  <c r="BF63" i="3"/>
  <c r="BF75" i="3"/>
  <c r="BF23" i="10"/>
  <c r="BF30" i="10"/>
  <c r="BF179" i="3"/>
  <c r="BF167" i="3"/>
  <c r="BF170" i="3"/>
  <c r="BF169" i="3"/>
  <c r="BF172" i="3"/>
  <c r="BF173" i="3"/>
  <c r="BF174" i="3"/>
  <c r="BF181" i="3"/>
  <c r="BF180" i="3"/>
  <c r="BF31" i="10"/>
  <c r="BF32" i="10"/>
  <c r="BF7" i="10"/>
  <c r="BF18" i="10"/>
  <c r="BF22" i="10"/>
  <c r="BF24" i="10"/>
  <c r="BF33" i="10"/>
  <c r="BF7" i="16"/>
  <c r="BF8" i="10"/>
  <c r="BF11" i="10"/>
  <c r="BF9" i="10"/>
  <c r="BF3" i="10"/>
  <c r="BF14" i="10"/>
  <c r="BF8" i="16"/>
  <c r="BF9" i="16"/>
  <c r="BF70" i="3"/>
  <c r="BF72" i="3"/>
  <c r="BF71" i="3"/>
  <c r="BF73" i="3"/>
  <c r="BF9" i="21"/>
  <c r="BF8" i="21"/>
  <c r="BF16" i="21"/>
  <c r="BF17" i="21"/>
  <c r="BF24" i="21"/>
  <c r="BF25" i="21"/>
  <c r="BF136" i="3"/>
  <c r="BF28" i="21"/>
  <c r="BF171" i="3"/>
  <c r="BF21" i="21"/>
  <c r="BF29" i="21"/>
  <c r="BF30" i="21"/>
  <c r="BF31" i="21"/>
  <c r="BF12" i="16"/>
  <c r="BF40" i="21"/>
  <c r="BF41" i="21"/>
  <c r="BF36" i="21"/>
  <c r="BF42" i="21"/>
  <c r="BF37" i="21"/>
  <c r="BF43" i="21"/>
  <c r="BF13" i="16"/>
  <c r="BF7" i="21"/>
  <c r="BF3" i="21"/>
  <c r="BF45" i="21"/>
  <c r="BF46" i="21"/>
  <c r="BF47" i="21"/>
  <c r="BF14" i="16"/>
  <c r="BF35" i="21"/>
  <c r="BF49" i="21"/>
  <c r="BF38" i="21"/>
  <c r="BF50" i="21"/>
  <c r="BF15" i="16"/>
  <c r="BF34" i="21"/>
  <c r="BF51" i="21"/>
  <c r="BF52" i="21"/>
  <c r="BF16" i="16"/>
  <c r="BF35" i="10"/>
  <c r="BF53" i="21"/>
  <c r="BF55" i="21"/>
  <c r="BF17" i="16"/>
  <c r="BF18" i="16"/>
  <c r="BF19" i="16"/>
  <c r="BF3" i="14"/>
  <c r="BE26" i="14"/>
  <c r="BF32" i="14"/>
  <c r="BF21" i="16"/>
  <c r="BF67" i="21"/>
  <c r="BF71" i="21"/>
  <c r="BF22" i="16"/>
  <c r="BF1" i="12"/>
  <c r="BF8" i="12"/>
  <c r="BF9" i="12"/>
  <c r="BF57" i="21"/>
  <c r="BF13" i="12"/>
  <c r="BF14" i="12"/>
  <c r="BF15" i="12"/>
  <c r="BF16" i="12"/>
  <c r="BF17" i="12"/>
  <c r="BF19" i="12"/>
  <c r="BF21" i="12"/>
  <c r="BF23" i="12"/>
  <c r="BF23" i="16"/>
  <c r="BF12" i="8"/>
  <c r="BF7" i="8"/>
  <c r="BF13" i="8"/>
  <c r="BF24" i="16"/>
  <c r="BF7" i="14"/>
  <c r="BF10" i="14"/>
  <c r="BF25" i="16"/>
  <c r="BF14" i="14"/>
  <c r="BF8" i="15"/>
  <c r="BF9" i="15"/>
  <c r="BF10" i="15"/>
  <c r="BF11" i="15"/>
  <c r="BF12" i="15"/>
  <c r="BF13" i="15"/>
  <c r="BF15" i="15"/>
  <c r="BF16" i="15"/>
  <c r="BF13" i="14"/>
  <c r="BF15" i="14"/>
  <c r="BF26" i="16"/>
  <c r="BF27" i="16"/>
  <c r="BF28" i="16"/>
  <c r="BF7" i="13"/>
  <c r="BF8" i="13"/>
  <c r="BF9" i="13"/>
  <c r="BF10" i="13"/>
  <c r="BF7" i="9"/>
  <c r="BF18" i="9"/>
  <c r="BF29" i="9"/>
  <c r="BF39" i="9"/>
  <c r="BF43" i="9"/>
  <c r="BF11" i="13"/>
  <c r="BF12" i="13"/>
  <c r="BF14" i="13"/>
  <c r="BF29" i="16"/>
  <c r="BF22" i="14"/>
  <c r="BF11" i="14"/>
  <c r="BF17" i="14"/>
  <c r="BF18" i="14"/>
  <c r="BF20" i="14"/>
  <c r="BF23" i="14"/>
  <c r="BF30" i="16"/>
  <c r="BF31" i="16"/>
  <c r="BF10" i="20"/>
  <c r="BF11" i="20"/>
  <c r="BF1" i="20"/>
  <c r="BF12" i="20"/>
  <c r="BF13" i="20"/>
  <c r="BG9" i="20"/>
  <c r="BG164" i="3"/>
  <c r="BG12" i="3"/>
  <c r="BG19" i="3"/>
  <c r="BG27" i="3"/>
  <c r="BG1" i="3"/>
  <c r="BG163" i="3"/>
  <c r="BG29" i="3"/>
  <c r="BG3" i="3"/>
  <c r="BG166" i="3"/>
  <c r="BG165" i="3"/>
  <c r="BG28" i="10"/>
  <c r="BG115" i="3"/>
  <c r="BG2" i="3"/>
  <c r="BG129" i="3"/>
  <c r="BG27" i="10"/>
  <c r="BG29" i="10"/>
  <c r="BG88" i="3"/>
  <c r="BG58" i="3"/>
  <c r="BG89" i="3"/>
  <c r="BG90" i="3"/>
  <c r="BG91" i="3"/>
  <c r="BG92" i="3"/>
  <c r="BG122" i="3"/>
  <c r="BG93" i="3"/>
  <c r="BG94" i="3"/>
  <c r="BG59" i="3"/>
  <c r="BG61" i="3"/>
  <c r="BG60" i="3"/>
  <c r="BG63" i="3"/>
  <c r="BG75" i="3"/>
  <c r="BG23" i="10"/>
  <c r="BG30" i="10"/>
  <c r="BG179" i="3"/>
  <c r="BG167" i="3"/>
  <c r="BG170" i="3"/>
  <c r="BG169" i="3"/>
  <c r="BG172" i="3"/>
  <c r="BG173" i="3"/>
  <c r="BG174" i="3"/>
  <c r="BG181" i="3"/>
  <c r="BG180" i="3"/>
  <c r="BG31" i="10"/>
  <c r="BG32" i="10"/>
  <c r="BG7" i="10"/>
  <c r="BG18" i="10"/>
  <c r="BG22" i="10"/>
  <c r="BG24" i="10"/>
  <c r="BG33" i="10"/>
  <c r="BG7" i="16"/>
  <c r="BG8" i="10"/>
  <c r="BG11" i="10"/>
  <c r="BG9" i="10"/>
  <c r="BG3" i="10"/>
  <c r="BG14" i="10"/>
  <c r="BG8" i="16"/>
  <c r="BG9" i="16"/>
  <c r="BG70" i="3"/>
  <c r="BG72" i="3"/>
  <c r="BG71" i="3"/>
  <c r="BG73" i="3"/>
  <c r="BG9" i="21"/>
  <c r="BG8" i="21"/>
  <c r="BG16" i="21"/>
  <c r="BG17" i="21"/>
  <c r="BG24" i="21"/>
  <c r="BG25" i="21"/>
  <c r="BG136" i="3"/>
  <c r="BG28" i="21"/>
  <c r="BG171" i="3"/>
  <c r="BG21" i="21"/>
  <c r="BG29" i="21"/>
  <c r="BG30" i="21"/>
  <c r="BG31" i="21"/>
  <c r="BG12" i="16"/>
  <c r="BG40" i="21"/>
  <c r="BG41" i="21"/>
  <c r="BG36" i="21"/>
  <c r="BG42" i="21"/>
  <c r="BG37" i="21"/>
  <c r="BG43" i="21"/>
  <c r="BG13" i="16"/>
  <c r="BG7" i="21"/>
  <c r="BG3" i="21"/>
  <c r="BG45" i="21"/>
  <c r="BG46" i="21"/>
  <c r="BG47" i="21"/>
  <c r="BG14" i="16"/>
  <c r="BG35" i="21"/>
  <c r="BG49" i="21"/>
  <c r="BG38" i="21"/>
  <c r="BG50" i="21"/>
  <c r="BG15" i="16"/>
  <c r="BG34" i="21"/>
  <c r="BG51" i="21"/>
  <c r="BG52" i="21"/>
  <c r="BG16" i="16"/>
  <c r="BG35" i="10"/>
  <c r="BG53" i="21"/>
  <c r="BG55" i="21"/>
  <c r="BG17" i="16"/>
  <c r="BG18" i="16"/>
  <c r="BG19" i="16"/>
  <c r="BG3" i="14"/>
  <c r="BF26" i="14"/>
  <c r="BG32" i="14"/>
  <c r="BG21" i="16"/>
  <c r="BG67" i="21"/>
  <c r="BG71" i="21"/>
  <c r="BG22" i="16"/>
  <c r="BG1" i="12"/>
  <c r="BG8" i="12"/>
  <c r="BG9" i="12"/>
  <c r="BG57" i="21"/>
  <c r="BG13" i="12"/>
  <c r="BG14" i="12"/>
  <c r="BG15" i="12"/>
  <c r="BG16" i="12"/>
  <c r="BG17" i="12"/>
  <c r="BG19" i="12"/>
  <c r="BG21" i="12"/>
  <c r="BG23" i="12"/>
  <c r="BG23" i="16"/>
  <c r="BG12" i="8"/>
  <c r="BG7" i="8"/>
  <c r="BG13" i="8"/>
  <c r="BG24" i="16"/>
  <c r="BG7" i="14"/>
  <c r="BG10" i="14"/>
  <c r="BG25" i="16"/>
  <c r="BG14" i="14"/>
  <c r="BG8" i="15"/>
  <c r="BG9" i="15"/>
  <c r="BG10" i="15"/>
  <c r="BG11" i="15"/>
  <c r="BG12" i="15"/>
  <c r="BG13" i="15"/>
  <c r="BG15" i="15"/>
  <c r="BG16" i="15"/>
  <c r="BG13" i="14"/>
  <c r="BG15" i="14"/>
  <c r="BG26" i="16"/>
  <c r="BG27" i="16"/>
  <c r="BG28" i="16"/>
  <c r="BG7" i="13"/>
  <c r="BG8" i="13"/>
  <c r="BG9" i="13"/>
  <c r="BG10" i="13"/>
  <c r="BG7" i="9"/>
  <c r="BG18" i="9"/>
  <c r="BG29" i="9"/>
  <c r="BG39" i="9"/>
  <c r="BG43" i="9"/>
  <c r="BG11" i="13"/>
  <c r="BG12" i="13"/>
  <c r="BG14" i="13"/>
  <c r="BG29" i="16"/>
  <c r="BG22" i="14"/>
  <c r="BG11" i="14"/>
  <c r="BG17" i="14"/>
  <c r="BG18" i="14"/>
  <c r="BG20" i="14"/>
  <c r="BG23" i="14"/>
  <c r="BG30" i="16"/>
  <c r="BG31" i="16"/>
  <c r="BG10" i="20"/>
  <c r="BG11" i="20"/>
  <c r="BG1" i="20"/>
  <c r="BG12" i="20"/>
  <c r="BG13" i="20"/>
  <c r="BH9" i="20"/>
  <c r="BH164" i="3"/>
  <c r="BH12" i="3"/>
  <c r="BH19" i="3"/>
  <c r="BH27" i="3"/>
  <c r="BH1" i="3"/>
  <c r="BH163" i="3"/>
  <c r="BH29" i="3"/>
  <c r="BH3" i="3"/>
  <c r="BH166" i="3"/>
  <c r="BH165" i="3"/>
  <c r="BH28" i="10"/>
  <c r="BH115" i="3"/>
  <c r="BH2" i="3"/>
  <c r="BH129" i="3"/>
  <c r="BH27" i="10"/>
  <c r="BH29" i="10"/>
  <c r="BH88" i="3"/>
  <c r="BH58" i="3"/>
  <c r="BH89" i="3"/>
  <c r="BH90" i="3"/>
  <c r="BH91" i="3"/>
  <c r="BH92" i="3"/>
  <c r="BH122" i="3"/>
  <c r="BH93" i="3"/>
  <c r="BH94" i="3"/>
  <c r="BH59" i="3"/>
  <c r="BH61" i="3"/>
  <c r="BH60" i="3"/>
  <c r="BH63" i="3"/>
  <c r="BH75" i="3"/>
  <c r="BH23" i="10"/>
  <c r="BH30" i="10"/>
  <c r="BH179" i="3"/>
  <c r="BH167" i="3"/>
  <c r="BH170" i="3"/>
  <c r="BH169" i="3"/>
  <c r="BH172" i="3"/>
  <c r="BH173" i="3"/>
  <c r="BH174" i="3"/>
  <c r="BH181" i="3"/>
  <c r="BH180" i="3"/>
  <c r="BH31" i="10"/>
  <c r="BH32" i="10"/>
  <c r="BH7" i="10"/>
  <c r="BH18" i="10"/>
  <c r="BH22" i="10"/>
  <c r="BH24" i="10"/>
  <c r="BH33" i="10"/>
  <c r="BH7" i="16"/>
  <c r="BH8" i="10"/>
  <c r="BH11" i="10"/>
  <c r="BH9" i="10"/>
  <c r="BH3" i="10"/>
  <c r="BH14" i="10"/>
  <c r="BH8" i="16"/>
  <c r="BH9" i="16"/>
  <c r="BH70" i="3"/>
  <c r="BH72" i="3"/>
  <c r="BH71" i="3"/>
  <c r="BH73" i="3"/>
  <c r="BH9" i="21"/>
  <c r="BH8" i="21"/>
  <c r="BH16" i="21"/>
  <c r="BH17" i="21"/>
  <c r="BH24" i="21"/>
  <c r="BH25" i="21"/>
  <c r="BH136" i="3"/>
  <c r="BH28" i="21"/>
  <c r="BH171" i="3"/>
  <c r="BH21" i="21"/>
  <c r="BH29" i="21"/>
  <c r="BH30" i="21"/>
  <c r="BH31" i="21"/>
  <c r="BH12" i="16"/>
  <c r="BH40" i="21"/>
  <c r="BH41" i="21"/>
  <c r="BH36" i="21"/>
  <c r="BH42" i="21"/>
  <c r="BH37" i="21"/>
  <c r="BH43" i="21"/>
  <c r="BH13" i="16"/>
  <c r="BH7" i="21"/>
  <c r="BH3" i="21"/>
  <c r="BH45" i="21"/>
  <c r="BH46" i="21"/>
  <c r="BH47" i="21"/>
  <c r="BH14" i="16"/>
  <c r="BH35" i="21"/>
  <c r="BH49" i="21"/>
  <c r="BH38" i="21"/>
  <c r="BH50" i="21"/>
  <c r="BH15" i="16"/>
  <c r="BH34" i="21"/>
  <c r="BH51" i="21"/>
  <c r="BH52" i="21"/>
  <c r="BH16" i="16"/>
  <c r="BH35" i="10"/>
  <c r="BH53" i="21"/>
  <c r="BH55" i="21"/>
  <c r="BH17" i="16"/>
  <c r="BH18" i="16"/>
  <c r="BH19" i="16"/>
  <c r="BH3" i="14"/>
  <c r="BG26" i="14"/>
  <c r="BH32" i="14"/>
  <c r="BH21" i="16"/>
  <c r="BH67" i="21"/>
  <c r="BH71" i="21"/>
  <c r="BH22" i="16"/>
  <c r="BH1" i="12"/>
  <c r="BH8" i="12"/>
  <c r="BH9" i="12"/>
  <c r="BH57" i="21"/>
  <c r="BH13" i="12"/>
  <c r="BH14" i="12"/>
  <c r="BH15" i="12"/>
  <c r="BH16" i="12"/>
  <c r="BH17" i="12"/>
  <c r="BH19" i="12"/>
  <c r="BH21" i="12"/>
  <c r="BH23" i="12"/>
  <c r="BH23" i="16"/>
  <c r="BH12" i="8"/>
  <c r="BH7" i="8"/>
  <c r="BH13" i="8"/>
  <c r="BH24" i="16"/>
  <c r="BH7" i="14"/>
  <c r="BH10" i="14"/>
  <c r="BH25" i="16"/>
  <c r="BH14" i="14"/>
  <c r="BH8" i="15"/>
  <c r="BH9" i="15"/>
  <c r="BH10" i="15"/>
  <c r="BH11" i="15"/>
  <c r="BH12" i="15"/>
  <c r="BH13" i="15"/>
  <c r="BH15" i="15"/>
  <c r="BH16" i="15"/>
  <c r="BH13" i="14"/>
  <c r="BH15" i="14"/>
  <c r="BH26" i="16"/>
  <c r="BH27" i="16"/>
  <c r="BH28" i="16"/>
  <c r="BH7" i="13"/>
  <c r="BH8" i="13"/>
  <c r="BH9" i="13"/>
  <c r="BH10" i="13"/>
  <c r="BH7" i="9"/>
  <c r="BH18" i="9"/>
  <c r="BH29" i="9"/>
  <c r="BH39" i="9"/>
  <c r="BH43" i="9"/>
  <c r="BH11" i="13"/>
  <c r="BH12" i="13"/>
  <c r="BH14" i="13"/>
  <c r="BH29" i="16"/>
  <c r="BH22" i="14"/>
  <c r="BH11" i="14"/>
  <c r="BH17" i="14"/>
  <c r="BH18" i="14"/>
  <c r="BH20" i="14"/>
  <c r="BH23" i="14"/>
  <c r="BH30" i="16"/>
  <c r="BH31" i="16"/>
  <c r="BH10" i="20"/>
  <c r="BH11" i="20"/>
  <c r="BH1" i="20"/>
  <c r="BH12" i="20"/>
  <c r="BH13" i="20"/>
  <c r="BI9" i="20"/>
  <c r="BI164" i="3"/>
  <c r="BI12" i="3"/>
  <c r="BI19" i="3"/>
  <c r="BI27" i="3"/>
  <c r="BI1" i="3"/>
  <c r="BI163" i="3"/>
  <c r="BI29" i="3"/>
  <c r="BI3" i="3"/>
  <c r="BI166" i="3"/>
  <c r="BI165" i="3"/>
  <c r="BI28" i="10"/>
  <c r="BI115" i="3"/>
  <c r="BI2" i="3"/>
  <c r="BI129" i="3"/>
  <c r="BI27" i="10"/>
  <c r="BI29" i="10"/>
  <c r="BI88" i="3"/>
  <c r="BI58" i="3"/>
  <c r="BI89" i="3"/>
  <c r="BI90" i="3"/>
  <c r="BI91" i="3"/>
  <c r="BI92" i="3"/>
  <c r="BI122" i="3"/>
  <c r="BI93" i="3"/>
  <c r="BI94" i="3"/>
  <c r="BI59" i="3"/>
  <c r="BI61" i="3"/>
  <c r="BI60" i="3"/>
  <c r="BI63" i="3"/>
  <c r="BI75" i="3"/>
  <c r="BI23" i="10"/>
  <c r="BI30" i="10"/>
  <c r="BI179" i="3"/>
  <c r="BI167" i="3"/>
  <c r="BI170" i="3"/>
  <c r="BI169" i="3"/>
  <c r="BI172" i="3"/>
  <c r="BI173" i="3"/>
  <c r="BI174" i="3"/>
  <c r="BI181" i="3"/>
  <c r="BI180" i="3"/>
  <c r="BI31" i="10"/>
  <c r="BI32" i="10"/>
  <c r="BI7" i="10"/>
  <c r="BI18" i="10"/>
  <c r="BI22" i="10"/>
  <c r="BI24" i="10"/>
  <c r="BI33" i="10"/>
  <c r="BI7" i="16"/>
  <c r="BI8" i="10"/>
  <c r="BI11" i="10"/>
  <c r="BI9" i="10"/>
  <c r="BI3" i="10"/>
  <c r="BI14" i="10"/>
  <c r="BI8" i="16"/>
  <c r="BI9" i="16"/>
  <c r="BI70" i="3"/>
  <c r="BI72" i="3"/>
  <c r="BI71" i="3"/>
  <c r="BI73" i="3"/>
  <c r="BI9" i="21"/>
  <c r="BI8" i="21"/>
  <c r="BI16" i="21"/>
  <c r="BI17" i="21"/>
  <c r="BI24" i="21"/>
  <c r="BI25" i="21"/>
  <c r="BI136" i="3"/>
  <c r="BI28" i="21"/>
  <c r="BI171" i="3"/>
  <c r="BI21" i="21"/>
  <c r="BI29" i="21"/>
  <c r="BI30" i="21"/>
  <c r="BI31" i="21"/>
  <c r="BI12" i="16"/>
  <c r="BI40" i="21"/>
  <c r="BI41" i="21"/>
  <c r="BI36" i="21"/>
  <c r="BI42" i="21"/>
  <c r="BI37" i="21"/>
  <c r="BI43" i="21"/>
  <c r="BI13" i="16"/>
  <c r="BI7" i="21"/>
  <c r="BI3" i="21"/>
  <c r="BI45" i="21"/>
  <c r="BI46" i="21"/>
  <c r="BI47" i="21"/>
  <c r="BI14" i="16"/>
  <c r="BI35" i="21"/>
  <c r="BI49" i="21"/>
  <c r="BI38" i="21"/>
  <c r="BI50" i="21"/>
  <c r="BI15" i="16"/>
  <c r="BI34" i="21"/>
  <c r="BI51" i="21"/>
  <c r="BI52" i="21"/>
  <c r="BI16" i="16"/>
  <c r="BI35" i="10"/>
  <c r="BI53" i="21"/>
  <c r="BI55" i="21"/>
  <c r="BI17" i="16"/>
  <c r="BI18" i="16"/>
  <c r="BI19" i="16"/>
  <c r="BI3" i="14"/>
  <c r="BH26" i="14"/>
  <c r="BI32" i="14"/>
  <c r="BI21" i="16"/>
  <c r="BI67" i="21"/>
  <c r="BI71" i="21"/>
  <c r="BI22" i="16"/>
  <c r="BI1" i="12"/>
  <c r="BI8" i="12"/>
  <c r="BI9" i="12"/>
  <c r="BI57" i="21"/>
  <c r="BI13" i="12"/>
  <c r="BI14" i="12"/>
  <c r="BI15" i="12"/>
  <c r="BI16" i="12"/>
  <c r="BI17" i="12"/>
  <c r="BI19" i="12"/>
  <c r="BI21" i="12"/>
  <c r="BI23" i="12"/>
  <c r="BI23" i="16"/>
  <c r="BI12" i="8"/>
  <c r="BI7" i="8"/>
  <c r="BI13" i="8"/>
  <c r="BI24" i="16"/>
  <c r="BI7" i="14"/>
  <c r="BI10" i="14"/>
  <c r="BI25" i="16"/>
  <c r="BI14" i="14"/>
  <c r="BI8" i="15"/>
  <c r="BI9" i="15"/>
  <c r="BI10" i="15"/>
  <c r="BI11" i="15"/>
  <c r="BI12" i="15"/>
  <c r="BI13" i="15"/>
  <c r="BI15" i="15"/>
  <c r="BI16" i="15"/>
  <c r="BI13" i="14"/>
  <c r="BI15" i="14"/>
  <c r="BI26" i="16"/>
  <c r="BI27" i="16"/>
  <c r="BI28" i="16"/>
  <c r="BI7" i="13"/>
  <c r="BI8" i="13"/>
  <c r="BI9" i="13"/>
  <c r="BI10" i="13"/>
  <c r="BI7" i="9"/>
  <c r="BI18" i="9"/>
  <c r="BI29" i="9"/>
  <c r="BI39" i="9"/>
  <c r="BI43" i="9"/>
  <c r="BI11" i="13"/>
  <c r="BI12" i="13"/>
  <c r="BI14" i="13"/>
  <c r="BI29" i="16"/>
  <c r="BI22" i="14"/>
  <c r="BI11" i="14"/>
  <c r="BI17" i="14"/>
  <c r="BI18" i="14"/>
  <c r="BI20" i="14"/>
  <c r="BI23" i="14"/>
  <c r="BI30" i="16"/>
  <c r="BI31" i="16"/>
  <c r="BI10" i="20"/>
  <c r="BI11" i="20"/>
  <c r="BI1" i="20"/>
  <c r="BI12" i="20"/>
  <c r="BI13" i="20"/>
  <c r="BJ9" i="20"/>
  <c r="BJ164" i="3"/>
  <c r="BJ12" i="3"/>
  <c r="BJ19" i="3"/>
  <c r="BJ27" i="3"/>
  <c r="BJ1" i="3"/>
  <c r="BJ163" i="3"/>
  <c r="BJ29" i="3"/>
  <c r="BJ3" i="3"/>
  <c r="BJ166" i="3"/>
  <c r="BJ165" i="3"/>
  <c r="BJ28" i="10"/>
  <c r="BJ115" i="3"/>
  <c r="BJ2" i="3"/>
  <c r="BJ129" i="3"/>
  <c r="BJ27" i="10"/>
  <c r="BJ29" i="10"/>
  <c r="BJ88" i="3"/>
  <c r="BJ58" i="3"/>
  <c r="BJ89" i="3"/>
  <c r="BJ90" i="3"/>
  <c r="BJ91" i="3"/>
  <c r="BJ92" i="3"/>
  <c r="BJ122" i="3"/>
  <c r="BJ93" i="3"/>
  <c r="BJ94" i="3"/>
  <c r="BJ59" i="3"/>
  <c r="BJ61" i="3"/>
  <c r="BJ60" i="3"/>
  <c r="BJ63" i="3"/>
  <c r="BJ75" i="3"/>
  <c r="BJ23" i="10"/>
  <c r="BJ30" i="10"/>
  <c r="BJ179" i="3"/>
  <c r="BJ167" i="3"/>
  <c r="BJ170" i="3"/>
  <c r="BJ169" i="3"/>
  <c r="BJ172" i="3"/>
  <c r="BJ173" i="3"/>
  <c r="BJ174" i="3"/>
  <c r="BJ181" i="3"/>
  <c r="BJ180" i="3"/>
  <c r="BJ31" i="10"/>
  <c r="BJ32" i="10"/>
  <c r="BJ7" i="10"/>
  <c r="BJ18" i="10"/>
  <c r="BJ22" i="10"/>
  <c r="BJ24" i="10"/>
  <c r="BJ33" i="10"/>
  <c r="BJ7" i="16"/>
  <c r="BJ8" i="10"/>
  <c r="BJ11" i="10"/>
  <c r="BJ9" i="10"/>
  <c r="BJ3" i="10"/>
  <c r="BJ14" i="10"/>
  <c r="BJ8" i="16"/>
  <c r="BJ9" i="16"/>
  <c r="BJ70" i="3"/>
  <c r="BJ72" i="3"/>
  <c r="BJ71" i="3"/>
  <c r="BJ73" i="3"/>
  <c r="BJ9" i="21"/>
  <c r="BJ8" i="21"/>
  <c r="BJ16" i="21"/>
  <c r="BJ17" i="21"/>
  <c r="BJ24" i="21"/>
  <c r="BJ25" i="21"/>
  <c r="BJ136" i="3"/>
  <c r="BJ28" i="21"/>
  <c r="BJ171" i="3"/>
  <c r="BJ21" i="21"/>
  <c r="BJ29" i="21"/>
  <c r="BJ30" i="21"/>
  <c r="BJ31" i="21"/>
  <c r="BJ12" i="16"/>
  <c r="BJ40" i="21"/>
  <c r="BJ41" i="21"/>
  <c r="BJ36" i="21"/>
  <c r="BJ42" i="21"/>
  <c r="BJ37" i="21"/>
  <c r="BJ43" i="21"/>
  <c r="BJ13" i="16"/>
  <c r="BJ7" i="21"/>
  <c r="BJ3" i="21"/>
  <c r="BJ45" i="21"/>
  <c r="BJ46" i="21"/>
  <c r="BJ47" i="21"/>
  <c r="BJ14" i="16"/>
  <c r="BJ35" i="21"/>
  <c r="BJ49" i="21"/>
  <c r="BJ38" i="21"/>
  <c r="BJ50" i="21"/>
  <c r="BJ15" i="16"/>
  <c r="BJ34" i="21"/>
  <c r="BJ51" i="21"/>
  <c r="BJ52" i="21"/>
  <c r="BJ16" i="16"/>
  <c r="BJ35" i="10"/>
  <c r="BJ53" i="21"/>
  <c r="BJ55" i="21"/>
  <c r="BJ17" i="16"/>
  <c r="BJ18" i="16"/>
  <c r="BJ19" i="16"/>
  <c r="BJ3" i="14"/>
  <c r="BI26" i="14"/>
  <c r="BJ32" i="14"/>
  <c r="BJ21" i="16"/>
  <c r="BJ67" i="21"/>
  <c r="BJ71" i="21"/>
  <c r="BJ22" i="16"/>
  <c r="BJ1" i="12"/>
  <c r="BJ8" i="12"/>
  <c r="BJ9" i="12"/>
  <c r="BJ57" i="21"/>
  <c r="BJ13" i="12"/>
  <c r="BJ14" i="12"/>
  <c r="BJ15" i="12"/>
  <c r="BJ16" i="12"/>
  <c r="BJ17" i="12"/>
  <c r="BJ19" i="12"/>
  <c r="BJ21" i="12"/>
  <c r="BJ23" i="12"/>
  <c r="BJ23" i="16"/>
  <c r="BJ12" i="8"/>
  <c r="BJ7" i="8"/>
  <c r="BJ13" i="8"/>
  <c r="BJ24" i="16"/>
  <c r="BJ7" i="14"/>
  <c r="BJ10" i="14"/>
  <c r="BJ25" i="16"/>
  <c r="BJ14" i="14"/>
  <c r="BJ8" i="15"/>
  <c r="BJ9" i="15"/>
  <c r="BJ10" i="15"/>
  <c r="BJ11" i="15"/>
  <c r="BJ12" i="15"/>
  <c r="BJ13" i="15"/>
  <c r="BJ15" i="15"/>
  <c r="BJ16" i="15"/>
  <c r="BJ13" i="14"/>
  <c r="BJ15" i="14"/>
  <c r="BJ26" i="16"/>
  <c r="BJ27" i="16"/>
  <c r="BJ28" i="16"/>
  <c r="BJ7" i="13"/>
  <c r="BJ8" i="13"/>
  <c r="BJ9" i="13"/>
  <c r="BJ10" i="13"/>
  <c r="BJ7" i="9"/>
  <c r="BJ18" i="9"/>
  <c r="BJ29" i="9"/>
  <c r="BJ39" i="9"/>
  <c r="BJ43" i="9"/>
  <c r="BJ11" i="13"/>
  <c r="BJ12" i="13"/>
  <c r="BJ14" i="13"/>
  <c r="BJ29" i="16"/>
  <c r="BJ22" i="14"/>
  <c r="BJ11" i="14"/>
  <c r="BJ17" i="14"/>
  <c r="BJ18" i="14"/>
  <c r="BJ20" i="14"/>
  <c r="BJ23" i="14"/>
  <c r="BJ30" i="16"/>
  <c r="BJ31" i="16"/>
  <c r="BJ10" i="20"/>
  <c r="BJ11" i="20"/>
  <c r="BJ1" i="20"/>
  <c r="BJ12" i="20"/>
  <c r="BJ13" i="20"/>
  <c r="E13" i="20"/>
  <c r="Q3" i="24"/>
  <c r="E14" i="20"/>
  <c r="R3" i="24"/>
  <c r="G26" i="6"/>
  <c r="G34" i="20"/>
  <c r="G35" i="20"/>
  <c r="G36" i="20"/>
  <c r="G37" i="20"/>
  <c r="G38" i="20"/>
  <c r="G26" i="20"/>
  <c r="G27" i="20"/>
  <c r="G17" i="20"/>
  <c r="G18" i="20"/>
  <c r="G19" i="20"/>
  <c r="G20" i="20"/>
  <c r="D58" i="20"/>
  <c r="G55" i="20"/>
  <c r="G8" i="9"/>
  <c r="G42" i="20"/>
  <c r="G48" i="20"/>
  <c r="G50" i="20"/>
  <c r="G51" i="20"/>
  <c r="G52" i="20"/>
  <c r="G56" i="20"/>
  <c r="G57" i="20"/>
  <c r="G59" i="20"/>
  <c r="G21" i="20"/>
  <c r="G22" i="20"/>
  <c r="G28" i="20"/>
  <c r="G29" i="20"/>
  <c r="G30" i="20"/>
  <c r="G31" i="20"/>
  <c r="H26" i="6"/>
  <c r="H34" i="20"/>
  <c r="H35" i="20"/>
  <c r="H36" i="20"/>
  <c r="H37" i="20"/>
  <c r="H38" i="20"/>
  <c r="H26" i="20"/>
  <c r="H27" i="20"/>
  <c r="H17" i="20"/>
  <c r="H18" i="20"/>
  <c r="H19" i="20"/>
  <c r="H20" i="20"/>
  <c r="H55" i="20"/>
  <c r="H8" i="9"/>
  <c r="H42" i="20"/>
  <c r="H48" i="20"/>
  <c r="H50" i="20"/>
  <c r="H51" i="20"/>
  <c r="H52" i="20"/>
  <c r="H56" i="20"/>
  <c r="H57" i="20"/>
  <c r="H59" i="20"/>
  <c r="H21" i="20"/>
  <c r="H22" i="20"/>
  <c r="H28" i="20"/>
  <c r="H29" i="20"/>
  <c r="D25" i="20"/>
  <c r="H30" i="20"/>
  <c r="H31" i="20"/>
  <c r="I26" i="6"/>
  <c r="I34" i="20"/>
  <c r="I35" i="20"/>
  <c r="I36" i="20"/>
  <c r="I37" i="20"/>
  <c r="I38" i="20"/>
  <c r="I26" i="20"/>
  <c r="I27" i="20"/>
  <c r="I17" i="20"/>
  <c r="I18" i="20"/>
  <c r="I19" i="20"/>
  <c r="I20" i="20"/>
  <c r="I55" i="20"/>
  <c r="I8" i="9"/>
  <c r="I42" i="20"/>
  <c r="I48" i="20"/>
  <c r="I50" i="20"/>
  <c r="I51" i="20"/>
  <c r="I52" i="20"/>
  <c r="I56" i="20"/>
  <c r="I57" i="20"/>
  <c r="I59" i="20"/>
  <c r="I21" i="20"/>
  <c r="I22" i="20"/>
  <c r="I28" i="20"/>
  <c r="I29" i="20"/>
  <c r="I30" i="20"/>
  <c r="I31" i="20"/>
  <c r="J26" i="6"/>
  <c r="J34" i="20"/>
  <c r="J35" i="20"/>
  <c r="J36" i="20"/>
  <c r="J37" i="20"/>
  <c r="J38" i="20"/>
  <c r="J26" i="20"/>
  <c r="J27" i="20"/>
  <c r="J17" i="20"/>
  <c r="J18" i="20"/>
  <c r="J19" i="20"/>
  <c r="J20" i="20"/>
  <c r="J55" i="20"/>
  <c r="J8" i="9"/>
  <c r="J42" i="20"/>
  <c r="J48" i="20"/>
  <c r="J50" i="20"/>
  <c r="J51" i="20"/>
  <c r="J52" i="20"/>
  <c r="J56" i="20"/>
  <c r="J57" i="20"/>
  <c r="J59" i="20"/>
  <c r="J21" i="20"/>
  <c r="J22" i="20"/>
  <c r="J28" i="20"/>
  <c r="J29" i="20"/>
  <c r="J30" i="20"/>
  <c r="J31" i="20"/>
  <c r="K26" i="6"/>
  <c r="K34" i="20"/>
  <c r="K35" i="20"/>
  <c r="K36" i="20"/>
  <c r="K37" i="20"/>
  <c r="K38" i="20"/>
  <c r="K26" i="20"/>
  <c r="K27" i="20"/>
  <c r="K17" i="20"/>
  <c r="K18" i="20"/>
  <c r="K19" i="20"/>
  <c r="K20" i="20"/>
  <c r="K55" i="20"/>
  <c r="K8" i="9"/>
  <c r="K42" i="20"/>
  <c r="K48" i="20"/>
  <c r="K50" i="20"/>
  <c r="K51" i="20"/>
  <c r="K52" i="20"/>
  <c r="K56" i="20"/>
  <c r="K57" i="20"/>
  <c r="K59" i="20"/>
  <c r="K21" i="20"/>
  <c r="K22" i="20"/>
  <c r="K28" i="20"/>
  <c r="K29" i="20"/>
  <c r="K30" i="20"/>
  <c r="K31" i="20"/>
  <c r="L26" i="6"/>
  <c r="L34" i="20"/>
  <c r="L35" i="20"/>
  <c r="L36" i="20"/>
  <c r="L37" i="20"/>
  <c r="L38" i="20"/>
  <c r="L26" i="20"/>
  <c r="L27" i="20"/>
  <c r="L17" i="20"/>
  <c r="L18" i="20"/>
  <c r="L19" i="20"/>
  <c r="L20" i="20"/>
  <c r="L55" i="20"/>
  <c r="L8" i="9"/>
  <c r="L42" i="20"/>
  <c r="L48" i="20"/>
  <c r="L50" i="20"/>
  <c r="L51" i="20"/>
  <c r="L52" i="20"/>
  <c r="L56" i="20"/>
  <c r="L57" i="20"/>
  <c r="L59" i="20"/>
  <c r="L21" i="20"/>
  <c r="L22" i="20"/>
  <c r="L28" i="20"/>
  <c r="L29" i="20"/>
  <c r="L30" i="20"/>
  <c r="L31" i="20"/>
  <c r="M26" i="6"/>
  <c r="M34" i="20"/>
  <c r="M35" i="20"/>
  <c r="M36" i="20"/>
  <c r="M37" i="20"/>
  <c r="M38" i="20"/>
  <c r="M26" i="20"/>
  <c r="M27" i="20"/>
  <c r="M17" i="20"/>
  <c r="M18" i="20"/>
  <c r="M19" i="20"/>
  <c r="M20" i="20"/>
  <c r="M55" i="20"/>
  <c r="M8" i="9"/>
  <c r="M42" i="20"/>
  <c r="M48" i="20"/>
  <c r="M50" i="20"/>
  <c r="M51" i="20"/>
  <c r="M52" i="20"/>
  <c r="M56" i="20"/>
  <c r="M57" i="20"/>
  <c r="M59" i="20"/>
  <c r="M21" i="20"/>
  <c r="M22" i="20"/>
  <c r="M28" i="20"/>
  <c r="M29" i="20"/>
  <c r="M30" i="20"/>
  <c r="M31" i="20"/>
  <c r="N26" i="6"/>
  <c r="N34" i="20"/>
  <c r="N35" i="20"/>
  <c r="N36" i="20"/>
  <c r="N37" i="20"/>
  <c r="N38" i="20"/>
  <c r="N26" i="20"/>
  <c r="N27" i="20"/>
  <c r="N17" i="20"/>
  <c r="N18" i="20"/>
  <c r="N19" i="20"/>
  <c r="N20" i="20"/>
  <c r="N55" i="20"/>
  <c r="N8" i="9"/>
  <c r="N42" i="20"/>
  <c r="N48" i="20"/>
  <c r="N50" i="20"/>
  <c r="N51" i="20"/>
  <c r="N52" i="20"/>
  <c r="N56" i="20"/>
  <c r="N57" i="20"/>
  <c r="N59" i="20"/>
  <c r="N21" i="20"/>
  <c r="N22" i="20"/>
  <c r="N28" i="20"/>
  <c r="N29" i="20"/>
  <c r="N30" i="20"/>
  <c r="N31" i="20"/>
  <c r="O26" i="6"/>
  <c r="O34" i="20"/>
  <c r="O35" i="20"/>
  <c r="O36" i="20"/>
  <c r="O37" i="20"/>
  <c r="O38" i="20"/>
  <c r="O26" i="20"/>
  <c r="O27" i="20"/>
  <c r="O17" i="20"/>
  <c r="O18" i="20"/>
  <c r="O19" i="20"/>
  <c r="O20" i="20"/>
  <c r="O55" i="20"/>
  <c r="O8" i="9"/>
  <c r="O42" i="20"/>
  <c r="O48" i="20"/>
  <c r="O50" i="20"/>
  <c r="O51" i="20"/>
  <c r="O52" i="20"/>
  <c r="O56" i="20"/>
  <c r="O57" i="20"/>
  <c r="O59" i="20"/>
  <c r="O21" i="20"/>
  <c r="O22" i="20"/>
  <c r="O28" i="20"/>
  <c r="O29" i="20"/>
  <c r="O30" i="20"/>
  <c r="O31" i="20"/>
  <c r="P26" i="6"/>
  <c r="P34" i="20"/>
  <c r="P35" i="20"/>
  <c r="P36" i="20"/>
  <c r="P37" i="20"/>
  <c r="P38" i="20"/>
  <c r="P26" i="20"/>
  <c r="P27" i="20"/>
  <c r="P17" i="20"/>
  <c r="P18" i="20"/>
  <c r="P19" i="20"/>
  <c r="P20" i="20"/>
  <c r="P55" i="20"/>
  <c r="P8" i="9"/>
  <c r="P42" i="20"/>
  <c r="P48" i="20"/>
  <c r="P50" i="20"/>
  <c r="P51" i="20"/>
  <c r="P52" i="20"/>
  <c r="P56" i="20"/>
  <c r="P57" i="20"/>
  <c r="P59" i="20"/>
  <c r="P21" i="20"/>
  <c r="P22" i="20"/>
  <c r="P28" i="20"/>
  <c r="P29" i="20"/>
  <c r="P30" i="20"/>
  <c r="P31" i="20"/>
  <c r="Q26" i="6"/>
  <c r="Q34" i="20"/>
  <c r="Q35" i="20"/>
  <c r="Q36" i="20"/>
  <c r="Q37" i="20"/>
  <c r="Q38" i="20"/>
  <c r="Q26" i="20"/>
  <c r="Q27" i="20"/>
  <c r="Q17" i="20"/>
  <c r="Q18" i="20"/>
  <c r="Q19" i="20"/>
  <c r="Q20" i="20"/>
  <c r="Q55" i="20"/>
  <c r="Q8" i="9"/>
  <c r="Q42" i="20"/>
  <c r="Q48" i="20"/>
  <c r="Q50" i="20"/>
  <c r="Q51" i="20"/>
  <c r="Q52" i="20"/>
  <c r="Q56" i="20"/>
  <c r="Q57" i="20"/>
  <c r="Q59" i="20"/>
  <c r="Q21" i="20"/>
  <c r="Q22" i="20"/>
  <c r="Q28" i="20"/>
  <c r="Q29" i="20"/>
  <c r="Q30" i="20"/>
  <c r="Q31" i="20"/>
  <c r="R26" i="6"/>
  <c r="R34" i="20"/>
  <c r="R35" i="20"/>
  <c r="R36" i="20"/>
  <c r="R37" i="20"/>
  <c r="R38" i="20"/>
  <c r="R26" i="20"/>
  <c r="R27" i="20"/>
  <c r="R17" i="20"/>
  <c r="R18" i="20"/>
  <c r="R19" i="20"/>
  <c r="R20" i="20"/>
  <c r="R55" i="20"/>
  <c r="R8" i="9"/>
  <c r="R42" i="20"/>
  <c r="R48" i="20"/>
  <c r="R50" i="20"/>
  <c r="R51" i="20"/>
  <c r="R52" i="20"/>
  <c r="R56" i="20"/>
  <c r="R57" i="20"/>
  <c r="R59" i="20"/>
  <c r="R21" i="20"/>
  <c r="R22" i="20"/>
  <c r="R28" i="20"/>
  <c r="R29" i="20"/>
  <c r="R30" i="20"/>
  <c r="R31" i="20"/>
  <c r="S26" i="6"/>
  <c r="S34" i="20"/>
  <c r="S35" i="20"/>
  <c r="S36" i="20"/>
  <c r="S37" i="20"/>
  <c r="S38" i="20"/>
  <c r="S26" i="20"/>
  <c r="S27" i="20"/>
  <c r="S17" i="20"/>
  <c r="S18" i="20"/>
  <c r="S19" i="20"/>
  <c r="S20" i="20"/>
  <c r="S55" i="20"/>
  <c r="S8" i="9"/>
  <c r="S42" i="20"/>
  <c r="S48" i="20"/>
  <c r="S50" i="20"/>
  <c r="S51" i="20"/>
  <c r="S52" i="20"/>
  <c r="S56" i="20"/>
  <c r="S57" i="20"/>
  <c r="S59" i="20"/>
  <c r="S21" i="20"/>
  <c r="S22" i="20"/>
  <c r="S28" i="20"/>
  <c r="S29" i="20"/>
  <c r="S30" i="20"/>
  <c r="S31" i="20"/>
  <c r="T26" i="6"/>
  <c r="T34" i="20"/>
  <c r="T35" i="20"/>
  <c r="T36" i="20"/>
  <c r="T37" i="20"/>
  <c r="T38" i="20"/>
  <c r="T26" i="20"/>
  <c r="T27" i="20"/>
  <c r="T17" i="20"/>
  <c r="T18" i="20"/>
  <c r="T19" i="20"/>
  <c r="T20" i="20"/>
  <c r="T55" i="20"/>
  <c r="T8" i="9"/>
  <c r="T42" i="20"/>
  <c r="T48" i="20"/>
  <c r="T50" i="20"/>
  <c r="T51" i="20"/>
  <c r="T52" i="20"/>
  <c r="T56" i="20"/>
  <c r="T57" i="20"/>
  <c r="T59" i="20"/>
  <c r="T21" i="20"/>
  <c r="T22" i="20"/>
  <c r="T28" i="20"/>
  <c r="T29" i="20"/>
  <c r="T30" i="20"/>
  <c r="T31" i="20"/>
  <c r="U26" i="6"/>
  <c r="U34" i="20"/>
  <c r="U35" i="20"/>
  <c r="U36" i="20"/>
  <c r="U37" i="20"/>
  <c r="U38" i="20"/>
  <c r="U26" i="20"/>
  <c r="U27" i="20"/>
  <c r="U17" i="20"/>
  <c r="U18" i="20"/>
  <c r="U19" i="20"/>
  <c r="U20" i="20"/>
  <c r="U55" i="20"/>
  <c r="U8" i="9"/>
  <c r="U42" i="20"/>
  <c r="U48" i="20"/>
  <c r="U50" i="20"/>
  <c r="U51" i="20"/>
  <c r="U52" i="20"/>
  <c r="U56" i="20"/>
  <c r="U57" i="20"/>
  <c r="U59" i="20"/>
  <c r="U21" i="20"/>
  <c r="U22" i="20"/>
  <c r="U28" i="20"/>
  <c r="U29" i="20"/>
  <c r="U30" i="20"/>
  <c r="U31" i="20"/>
  <c r="V26" i="6"/>
  <c r="V34" i="20"/>
  <c r="V35" i="20"/>
  <c r="V36" i="20"/>
  <c r="V37" i="20"/>
  <c r="V38" i="20"/>
  <c r="V26" i="20"/>
  <c r="V27" i="20"/>
  <c r="V17" i="20"/>
  <c r="V18" i="20"/>
  <c r="V19" i="20"/>
  <c r="V20" i="20"/>
  <c r="V55" i="20"/>
  <c r="V8" i="9"/>
  <c r="V42" i="20"/>
  <c r="V48" i="20"/>
  <c r="V50" i="20"/>
  <c r="V51" i="20"/>
  <c r="V52" i="20"/>
  <c r="V56" i="20"/>
  <c r="V57" i="20"/>
  <c r="V59" i="20"/>
  <c r="V21" i="20"/>
  <c r="V22" i="20"/>
  <c r="V28" i="20"/>
  <c r="V29" i="20"/>
  <c r="V30" i="20"/>
  <c r="V31" i="20"/>
  <c r="W34" i="20"/>
  <c r="W35" i="20"/>
  <c r="W36" i="20"/>
  <c r="W37" i="20"/>
  <c r="W38" i="20"/>
  <c r="W26" i="20"/>
  <c r="W27" i="20"/>
  <c r="W17" i="20"/>
  <c r="W18" i="20"/>
  <c r="W19" i="20"/>
  <c r="W20" i="20"/>
  <c r="W55" i="20"/>
  <c r="W8" i="9"/>
  <c r="W42" i="20"/>
  <c r="D32" i="3"/>
  <c r="D43" i="20"/>
  <c r="D46" i="20"/>
  <c r="W48" i="20"/>
  <c r="W50" i="20"/>
  <c r="W51" i="20"/>
  <c r="W52" i="20"/>
  <c r="W56" i="20"/>
  <c r="W57" i="20"/>
  <c r="W59" i="20"/>
  <c r="W21" i="20"/>
  <c r="W22" i="20"/>
  <c r="W28" i="20"/>
  <c r="W29" i="20"/>
  <c r="W30" i="20"/>
  <c r="W31" i="20"/>
  <c r="X34" i="20"/>
  <c r="X35" i="20"/>
  <c r="X36" i="20"/>
  <c r="X37" i="20"/>
  <c r="X38" i="20"/>
  <c r="X26" i="20"/>
  <c r="X27" i="20"/>
  <c r="X17" i="20"/>
  <c r="X18" i="20"/>
  <c r="X19" i="20"/>
  <c r="X20" i="20"/>
  <c r="X55" i="20"/>
  <c r="X8" i="9"/>
  <c r="X42" i="20"/>
  <c r="X48" i="20"/>
  <c r="X50" i="20"/>
  <c r="X51" i="20"/>
  <c r="X52" i="20"/>
  <c r="X56" i="20"/>
  <c r="X57" i="20"/>
  <c r="X59" i="20"/>
  <c r="X21" i="20"/>
  <c r="X22" i="20"/>
  <c r="X28" i="20"/>
  <c r="X29" i="20"/>
  <c r="X30" i="20"/>
  <c r="X31" i="20"/>
  <c r="Y34" i="20"/>
  <c r="Y35" i="20"/>
  <c r="Y36" i="20"/>
  <c r="Y37" i="20"/>
  <c r="Y38" i="20"/>
  <c r="Y26" i="20"/>
  <c r="Y27" i="20"/>
  <c r="Y17" i="20"/>
  <c r="Y18" i="20"/>
  <c r="Y19" i="20"/>
  <c r="Y20" i="20"/>
  <c r="Y55" i="20"/>
  <c r="Y8" i="9"/>
  <c r="Y42" i="20"/>
  <c r="Y48" i="20"/>
  <c r="Y50" i="20"/>
  <c r="Y51" i="20"/>
  <c r="Y52" i="20"/>
  <c r="Y56" i="20"/>
  <c r="Y57" i="20"/>
  <c r="Y59" i="20"/>
  <c r="Y21" i="20"/>
  <c r="Y22" i="20"/>
  <c r="Y28" i="20"/>
  <c r="Y29" i="20"/>
  <c r="Y30" i="20"/>
  <c r="Y31" i="20"/>
  <c r="Z34" i="20"/>
  <c r="Z35" i="20"/>
  <c r="Z36" i="20"/>
  <c r="Z37" i="20"/>
  <c r="Z38" i="20"/>
  <c r="Z26" i="20"/>
  <c r="Z27" i="20"/>
  <c r="Z17" i="20"/>
  <c r="Z18" i="20"/>
  <c r="Z19" i="20"/>
  <c r="Z20" i="20"/>
  <c r="Z55" i="20"/>
  <c r="Z8" i="9"/>
  <c r="Z42" i="20"/>
  <c r="Z48" i="20"/>
  <c r="Z50" i="20"/>
  <c r="Z51" i="20"/>
  <c r="Z52" i="20"/>
  <c r="Z56" i="20"/>
  <c r="Z57" i="20"/>
  <c r="Z59" i="20"/>
  <c r="Z21" i="20"/>
  <c r="Z22" i="20"/>
  <c r="Z28" i="20"/>
  <c r="Z29" i="20"/>
  <c r="Z30" i="20"/>
  <c r="Z31" i="20"/>
  <c r="AA34" i="20"/>
  <c r="AA35" i="20"/>
  <c r="AA36" i="20"/>
  <c r="AA37" i="20"/>
  <c r="AA38" i="20"/>
  <c r="AA26" i="20"/>
  <c r="AA27" i="20"/>
  <c r="AA17" i="20"/>
  <c r="AA18" i="20"/>
  <c r="AA19" i="20"/>
  <c r="AA20" i="20"/>
  <c r="AA55" i="20"/>
  <c r="AA8" i="9"/>
  <c r="AA42" i="20"/>
  <c r="AA48" i="20"/>
  <c r="AA50" i="20"/>
  <c r="AA51" i="20"/>
  <c r="AA52" i="20"/>
  <c r="AA56" i="20"/>
  <c r="AA57" i="20"/>
  <c r="AA59" i="20"/>
  <c r="AA21" i="20"/>
  <c r="AA22" i="20"/>
  <c r="AA28" i="20"/>
  <c r="AA29" i="20"/>
  <c r="AA30" i="20"/>
  <c r="AA31" i="20"/>
  <c r="AB34" i="20"/>
  <c r="AB35" i="20"/>
  <c r="AB36" i="20"/>
  <c r="AB37" i="20"/>
  <c r="AB38" i="20"/>
  <c r="AB26" i="20"/>
  <c r="AB27" i="20"/>
  <c r="AB17" i="20"/>
  <c r="AB18" i="20"/>
  <c r="AB19" i="20"/>
  <c r="AB20" i="20"/>
  <c r="AB55" i="20"/>
  <c r="AB8" i="9"/>
  <c r="AB42" i="20"/>
  <c r="AB48" i="20"/>
  <c r="AB50" i="20"/>
  <c r="AB51" i="20"/>
  <c r="AB52" i="20"/>
  <c r="AB56" i="20"/>
  <c r="AB57" i="20"/>
  <c r="AB59" i="20"/>
  <c r="AB21" i="20"/>
  <c r="AB22" i="20"/>
  <c r="AB28" i="20"/>
  <c r="AB29" i="20"/>
  <c r="AB30" i="20"/>
  <c r="AB31" i="20"/>
  <c r="AC34" i="20"/>
  <c r="AC35" i="20"/>
  <c r="AC36" i="20"/>
  <c r="AC37" i="20"/>
  <c r="AC38" i="20"/>
  <c r="AC26" i="20"/>
  <c r="AC27" i="20"/>
  <c r="AC17" i="20"/>
  <c r="AC18" i="20"/>
  <c r="AC19" i="20"/>
  <c r="AC20" i="20"/>
  <c r="AC55" i="20"/>
  <c r="AC8" i="9"/>
  <c r="AC42" i="20"/>
  <c r="AC48" i="20"/>
  <c r="AC50" i="20"/>
  <c r="AC51" i="20"/>
  <c r="AC52" i="20"/>
  <c r="AC56" i="20"/>
  <c r="AC57" i="20"/>
  <c r="AC59" i="20"/>
  <c r="AC21" i="20"/>
  <c r="AC22" i="20"/>
  <c r="AC28" i="20"/>
  <c r="AC29" i="20"/>
  <c r="AC30" i="20"/>
  <c r="AC31" i="20"/>
  <c r="AD34" i="20"/>
  <c r="AD35" i="20"/>
  <c r="AD36" i="20"/>
  <c r="AD37" i="20"/>
  <c r="AD38" i="20"/>
  <c r="AD26" i="20"/>
  <c r="AD27" i="20"/>
  <c r="AD17" i="20"/>
  <c r="AD18" i="20"/>
  <c r="AD19" i="20"/>
  <c r="AD20" i="20"/>
  <c r="AD55" i="20"/>
  <c r="AD8" i="9"/>
  <c r="AD42" i="20"/>
  <c r="AD48" i="20"/>
  <c r="AD50" i="20"/>
  <c r="AD51" i="20"/>
  <c r="AD52" i="20"/>
  <c r="AD56" i="20"/>
  <c r="AD57" i="20"/>
  <c r="AD59" i="20"/>
  <c r="AD21" i="20"/>
  <c r="AD22" i="20"/>
  <c r="AD28" i="20"/>
  <c r="AD29" i="20"/>
  <c r="AD30" i="20"/>
  <c r="AD31" i="20"/>
  <c r="AE34" i="20"/>
  <c r="AE35" i="20"/>
  <c r="AE36" i="20"/>
  <c r="AE37" i="20"/>
  <c r="AE38" i="20"/>
  <c r="AE26" i="20"/>
  <c r="AE27" i="20"/>
  <c r="AE17" i="20"/>
  <c r="AE18" i="20"/>
  <c r="AE19" i="20"/>
  <c r="AE20" i="20"/>
  <c r="AE55" i="20"/>
  <c r="AE8" i="9"/>
  <c r="AE42" i="20"/>
  <c r="AE48" i="20"/>
  <c r="AE50" i="20"/>
  <c r="AE51" i="20"/>
  <c r="AE52" i="20"/>
  <c r="AE56" i="20"/>
  <c r="AE57" i="20"/>
  <c r="AE59" i="20"/>
  <c r="AE21" i="20"/>
  <c r="AE22" i="20"/>
  <c r="AE28" i="20"/>
  <c r="AE29" i="20"/>
  <c r="AE30" i="20"/>
  <c r="AE31" i="20"/>
  <c r="AF34" i="20"/>
  <c r="AF35" i="20"/>
  <c r="AF36" i="20"/>
  <c r="AF37" i="20"/>
  <c r="AF38" i="20"/>
  <c r="AF26" i="20"/>
  <c r="AF27" i="20"/>
  <c r="AF17" i="20"/>
  <c r="AF18" i="20"/>
  <c r="AF19" i="20"/>
  <c r="AF20" i="20"/>
  <c r="AF55" i="20"/>
  <c r="AF8" i="9"/>
  <c r="AF42" i="20"/>
  <c r="AF48" i="20"/>
  <c r="AF50" i="20"/>
  <c r="AF51" i="20"/>
  <c r="AF52" i="20"/>
  <c r="AF56" i="20"/>
  <c r="AF57" i="20"/>
  <c r="AF59" i="20"/>
  <c r="AF21" i="20"/>
  <c r="AF22" i="20"/>
  <c r="AF28" i="20"/>
  <c r="AF29" i="20"/>
  <c r="AF30" i="20"/>
  <c r="AF31" i="20"/>
  <c r="AG34" i="20"/>
  <c r="AG35" i="20"/>
  <c r="AG36" i="20"/>
  <c r="AG37" i="20"/>
  <c r="AG38" i="20"/>
  <c r="AG26" i="20"/>
  <c r="AG27" i="20"/>
  <c r="AG17" i="20"/>
  <c r="AG18" i="20"/>
  <c r="AG19" i="20"/>
  <c r="AG20" i="20"/>
  <c r="AG55" i="20"/>
  <c r="AG8" i="9"/>
  <c r="AG42" i="20"/>
  <c r="AG48" i="20"/>
  <c r="AG50" i="20"/>
  <c r="AG51" i="20"/>
  <c r="AG52" i="20"/>
  <c r="AG56" i="20"/>
  <c r="AG57" i="20"/>
  <c r="AG59" i="20"/>
  <c r="AG21" i="20"/>
  <c r="AG22" i="20"/>
  <c r="AG28" i="20"/>
  <c r="AG29" i="20"/>
  <c r="AG30" i="20"/>
  <c r="AG31" i="20"/>
  <c r="AH34" i="20"/>
  <c r="AH35" i="20"/>
  <c r="AH36" i="20"/>
  <c r="AH37" i="20"/>
  <c r="AH38" i="20"/>
  <c r="AH26" i="20"/>
  <c r="AH27" i="20"/>
  <c r="AH17" i="20"/>
  <c r="AH18" i="20"/>
  <c r="AH19" i="20"/>
  <c r="AH20" i="20"/>
  <c r="AH55" i="20"/>
  <c r="AH8" i="9"/>
  <c r="AH42" i="20"/>
  <c r="AH48" i="20"/>
  <c r="AH50" i="20"/>
  <c r="AH51" i="20"/>
  <c r="AH52" i="20"/>
  <c r="AH56" i="20"/>
  <c r="AH57" i="20"/>
  <c r="AH59" i="20"/>
  <c r="AH21" i="20"/>
  <c r="AH22" i="20"/>
  <c r="AH28" i="20"/>
  <c r="AH29" i="20"/>
  <c r="AH30" i="20"/>
  <c r="AH31" i="20"/>
  <c r="AI34" i="20"/>
  <c r="AI35" i="20"/>
  <c r="AI36" i="20"/>
  <c r="AI37" i="20"/>
  <c r="AI38" i="20"/>
  <c r="AI26" i="20"/>
  <c r="AI27" i="20"/>
  <c r="AI17" i="20"/>
  <c r="AI18" i="20"/>
  <c r="AI19" i="20"/>
  <c r="AI20" i="20"/>
  <c r="AI55" i="20"/>
  <c r="AI8" i="9"/>
  <c r="AI42" i="20"/>
  <c r="AI48" i="20"/>
  <c r="AI50" i="20"/>
  <c r="AI51" i="20"/>
  <c r="AI52" i="20"/>
  <c r="AI56" i="20"/>
  <c r="AI57" i="20"/>
  <c r="AI59" i="20"/>
  <c r="AI21" i="20"/>
  <c r="AI22" i="20"/>
  <c r="AI28" i="20"/>
  <c r="AI29" i="20"/>
  <c r="AI30" i="20"/>
  <c r="AI31" i="20"/>
  <c r="AJ34" i="20"/>
  <c r="AJ35" i="20"/>
  <c r="AJ36" i="20"/>
  <c r="AJ37" i="20"/>
  <c r="AJ38" i="20"/>
  <c r="AJ26" i="20"/>
  <c r="AJ27" i="20"/>
  <c r="AJ17" i="20"/>
  <c r="AJ18" i="20"/>
  <c r="AJ19" i="20"/>
  <c r="AJ20" i="20"/>
  <c r="AJ55" i="20"/>
  <c r="AJ8" i="9"/>
  <c r="AJ42" i="20"/>
  <c r="AJ48" i="20"/>
  <c r="AJ50" i="20"/>
  <c r="AJ51" i="20"/>
  <c r="AJ52" i="20"/>
  <c r="AJ56" i="20"/>
  <c r="AJ57" i="20"/>
  <c r="AJ59" i="20"/>
  <c r="AJ21" i="20"/>
  <c r="AJ22" i="20"/>
  <c r="AJ28" i="20"/>
  <c r="AJ29" i="20"/>
  <c r="AJ30" i="20"/>
  <c r="AJ31" i="20"/>
  <c r="AK34" i="20"/>
  <c r="AK35" i="20"/>
  <c r="AK36" i="20"/>
  <c r="AK37" i="20"/>
  <c r="AK38" i="20"/>
  <c r="AK26" i="20"/>
  <c r="AK27" i="20"/>
  <c r="AK17" i="20"/>
  <c r="AK18" i="20"/>
  <c r="AK19" i="20"/>
  <c r="AK20" i="20"/>
  <c r="AK55" i="20"/>
  <c r="AK8" i="9"/>
  <c r="AK42" i="20"/>
  <c r="AK48" i="20"/>
  <c r="AK50" i="20"/>
  <c r="AK51" i="20"/>
  <c r="AK52" i="20"/>
  <c r="AK56" i="20"/>
  <c r="AK57" i="20"/>
  <c r="AK59" i="20"/>
  <c r="AK21" i="20"/>
  <c r="AK22" i="20"/>
  <c r="AK28" i="20"/>
  <c r="AK29" i="20"/>
  <c r="AK30" i="20"/>
  <c r="AK31" i="20"/>
  <c r="AL34" i="20"/>
  <c r="AL35" i="20"/>
  <c r="AL36" i="20"/>
  <c r="AL37" i="20"/>
  <c r="AL38" i="20"/>
  <c r="AL26" i="20"/>
  <c r="AL27" i="20"/>
  <c r="AL17" i="20"/>
  <c r="AL18" i="20"/>
  <c r="AL19" i="20"/>
  <c r="AL20" i="20"/>
  <c r="AL55" i="20"/>
  <c r="AL8" i="9"/>
  <c r="AL42" i="20"/>
  <c r="AL48" i="20"/>
  <c r="AL50" i="20"/>
  <c r="AL51" i="20"/>
  <c r="AL52" i="20"/>
  <c r="AL56" i="20"/>
  <c r="AL57" i="20"/>
  <c r="AL59" i="20"/>
  <c r="AL21" i="20"/>
  <c r="AL22" i="20"/>
  <c r="AL28" i="20"/>
  <c r="AL29" i="20"/>
  <c r="AL30" i="20"/>
  <c r="AL31" i="20"/>
  <c r="AM34" i="20"/>
  <c r="AM35" i="20"/>
  <c r="AM36" i="20"/>
  <c r="AM37" i="20"/>
  <c r="AM38" i="20"/>
  <c r="AM26" i="20"/>
  <c r="AM27" i="20"/>
  <c r="AM17" i="20"/>
  <c r="AM18" i="20"/>
  <c r="AM19" i="20"/>
  <c r="AM20" i="20"/>
  <c r="AM55" i="20"/>
  <c r="AM8" i="9"/>
  <c r="AM42" i="20"/>
  <c r="AM48" i="20"/>
  <c r="AM50" i="20"/>
  <c r="AM51" i="20"/>
  <c r="AM52" i="20"/>
  <c r="AM56" i="20"/>
  <c r="AM57" i="20"/>
  <c r="AM59" i="20"/>
  <c r="AM21" i="20"/>
  <c r="AM22" i="20"/>
  <c r="AM28" i="20"/>
  <c r="AM29" i="20"/>
  <c r="AM30" i="20"/>
  <c r="AM31" i="20"/>
  <c r="AN34" i="20"/>
  <c r="AN35" i="20"/>
  <c r="AN36" i="20"/>
  <c r="AN37" i="20"/>
  <c r="AN38" i="20"/>
  <c r="AN26" i="20"/>
  <c r="AN27" i="20"/>
  <c r="AN17" i="20"/>
  <c r="AN18" i="20"/>
  <c r="AN19" i="20"/>
  <c r="AN20" i="20"/>
  <c r="AN55" i="20"/>
  <c r="AN8" i="9"/>
  <c r="AN42" i="20"/>
  <c r="AN48" i="20"/>
  <c r="AN50" i="20"/>
  <c r="AN51" i="20"/>
  <c r="AN52" i="20"/>
  <c r="AN56" i="20"/>
  <c r="AN57" i="20"/>
  <c r="AN59" i="20"/>
  <c r="AN21" i="20"/>
  <c r="AN22" i="20"/>
  <c r="AN28" i="20"/>
  <c r="AN29" i="20"/>
  <c r="AN30" i="20"/>
  <c r="AN31" i="20"/>
  <c r="AO34" i="20"/>
  <c r="AO35" i="20"/>
  <c r="AO36" i="20"/>
  <c r="AO37" i="20"/>
  <c r="AO38" i="20"/>
  <c r="AO26" i="20"/>
  <c r="AO27" i="20"/>
  <c r="AO17" i="20"/>
  <c r="AO18" i="20"/>
  <c r="AO19" i="20"/>
  <c r="AO20" i="20"/>
  <c r="AO55" i="20"/>
  <c r="AO8" i="9"/>
  <c r="AO42" i="20"/>
  <c r="AO48" i="20"/>
  <c r="AO50" i="20"/>
  <c r="AO51" i="20"/>
  <c r="AO52" i="20"/>
  <c r="AO56" i="20"/>
  <c r="AO57" i="20"/>
  <c r="AO59" i="20"/>
  <c r="AO21" i="20"/>
  <c r="AO22" i="20"/>
  <c r="AO28" i="20"/>
  <c r="AO29" i="20"/>
  <c r="AO30" i="20"/>
  <c r="AO31" i="20"/>
  <c r="AP34" i="20"/>
  <c r="AP35" i="20"/>
  <c r="AP36" i="20"/>
  <c r="AP37" i="20"/>
  <c r="AP38" i="20"/>
  <c r="AP26" i="20"/>
  <c r="AP27" i="20"/>
  <c r="AP17" i="20"/>
  <c r="AP18" i="20"/>
  <c r="AP19" i="20"/>
  <c r="AP20" i="20"/>
  <c r="AP55" i="20"/>
  <c r="AP8" i="9"/>
  <c r="AP42" i="20"/>
  <c r="AP48" i="20"/>
  <c r="AP50" i="20"/>
  <c r="AP51" i="20"/>
  <c r="AP52" i="20"/>
  <c r="AP56" i="20"/>
  <c r="AP57" i="20"/>
  <c r="AP59" i="20"/>
  <c r="AP21" i="20"/>
  <c r="AP22" i="20"/>
  <c r="AP28" i="20"/>
  <c r="AP29" i="20"/>
  <c r="AP30" i="20"/>
  <c r="AP31" i="20"/>
  <c r="AQ34" i="20"/>
  <c r="AQ35" i="20"/>
  <c r="AQ36" i="20"/>
  <c r="AQ37" i="20"/>
  <c r="AQ38" i="20"/>
  <c r="AQ26" i="20"/>
  <c r="AQ27" i="20"/>
  <c r="AQ17" i="20"/>
  <c r="AQ18" i="20"/>
  <c r="AQ19" i="20"/>
  <c r="AQ20" i="20"/>
  <c r="AQ55" i="20"/>
  <c r="AQ8" i="9"/>
  <c r="AQ42" i="20"/>
  <c r="AQ48" i="20"/>
  <c r="AQ50" i="20"/>
  <c r="AQ51" i="20"/>
  <c r="AQ52" i="20"/>
  <c r="AQ56" i="20"/>
  <c r="AQ57" i="20"/>
  <c r="AQ59" i="20"/>
  <c r="AQ21" i="20"/>
  <c r="AQ22" i="20"/>
  <c r="AQ28" i="20"/>
  <c r="AQ29" i="20"/>
  <c r="AQ30" i="20"/>
  <c r="AQ31" i="20"/>
  <c r="AR34" i="20"/>
  <c r="AR35" i="20"/>
  <c r="AR36" i="20"/>
  <c r="AR37" i="20"/>
  <c r="AR38" i="20"/>
  <c r="AR26" i="20"/>
  <c r="AR27" i="20"/>
  <c r="AR17" i="20"/>
  <c r="AR18" i="20"/>
  <c r="AR19" i="20"/>
  <c r="AR20" i="20"/>
  <c r="AR55" i="20"/>
  <c r="AR8" i="9"/>
  <c r="AR42" i="20"/>
  <c r="AR48" i="20"/>
  <c r="AR50" i="20"/>
  <c r="AR51" i="20"/>
  <c r="AR52" i="20"/>
  <c r="AR56" i="20"/>
  <c r="AR57" i="20"/>
  <c r="AR59" i="20"/>
  <c r="AR21" i="20"/>
  <c r="AR22" i="20"/>
  <c r="AR28" i="20"/>
  <c r="AR29" i="20"/>
  <c r="AR30" i="20"/>
  <c r="AR31" i="20"/>
  <c r="AS34" i="20"/>
  <c r="AS35" i="20"/>
  <c r="AS36" i="20"/>
  <c r="AS37" i="20"/>
  <c r="AS38" i="20"/>
  <c r="AS26" i="20"/>
  <c r="AS27" i="20"/>
  <c r="AS17" i="20"/>
  <c r="AS18" i="20"/>
  <c r="AS19" i="20"/>
  <c r="AS20" i="20"/>
  <c r="AS55" i="20"/>
  <c r="AS8" i="9"/>
  <c r="AS42" i="20"/>
  <c r="AS48" i="20"/>
  <c r="AS50" i="20"/>
  <c r="AS51" i="20"/>
  <c r="AS52" i="20"/>
  <c r="AS56" i="20"/>
  <c r="AS57" i="20"/>
  <c r="AS59" i="20"/>
  <c r="AS21" i="20"/>
  <c r="AS22" i="20"/>
  <c r="AS28" i="20"/>
  <c r="AS29" i="20"/>
  <c r="AS30" i="20"/>
  <c r="AS31" i="20"/>
  <c r="AT34" i="20"/>
  <c r="AT35" i="20"/>
  <c r="AT36" i="20"/>
  <c r="AT37" i="20"/>
  <c r="AT38" i="20"/>
  <c r="AT26" i="20"/>
  <c r="AT27" i="20"/>
  <c r="AT17" i="20"/>
  <c r="AT18" i="20"/>
  <c r="AT19" i="20"/>
  <c r="AT20" i="20"/>
  <c r="AT55" i="20"/>
  <c r="AT8" i="9"/>
  <c r="AT42" i="20"/>
  <c r="AT48" i="20"/>
  <c r="AT50" i="20"/>
  <c r="AT51" i="20"/>
  <c r="AT52" i="20"/>
  <c r="AT56" i="20"/>
  <c r="AT57" i="20"/>
  <c r="AT59" i="20"/>
  <c r="AT21" i="20"/>
  <c r="AT22" i="20"/>
  <c r="AT28" i="20"/>
  <c r="AT29" i="20"/>
  <c r="AT30" i="20"/>
  <c r="AT31" i="20"/>
  <c r="AU34" i="20"/>
  <c r="AU35" i="20"/>
  <c r="AU36" i="20"/>
  <c r="AU37" i="20"/>
  <c r="AU38" i="20"/>
  <c r="AU26" i="20"/>
  <c r="AU27" i="20"/>
  <c r="AU17" i="20"/>
  <c r="AU18" i="20"/>
  <c r="AU19" i="20"/>
  <c r="AU20" i="20"/>
  <c r="AU55" i="20"/>
  <c r="AU8" i="9"/>
  <c r="AU42" i="20"/>
  <c r="AU48" i="20"/>
  <c r="AU50" i="20"/>
  <c r="AU51" i="20"/>
  <c r="AU52" i="20"/>
  <c r="AU56" i="20"/>
  <c r="AU57" i="20"/>
  <c r="AU59" i="20"/>
  <c r="AU21" i="20"/>
  <c r="AU22" i="20"/>
  <c r="AU28" i="20"/>
  <c r="AU29" i="20"/>
  <c r="AU30" i="20"/>
  <c r="AU31" i="20"/>
  <c r="AV34" i="20"/>
  <c r="AV35" i="20"/>
  <c r="AV36" i="20"/>
  <c r="AV37" i="20"/>
  <c r="AV38" i="20"/>
  <c r="AV26" i="20"/>
  <c r="AV27" i="20"/>
  <c r="AV17" i="20"/>
  <c r="AV18" i="20"/>
  <c r="AV19" i="20"/>
  <c r="AV20" i="20"/>
  <c r="AV55" i="20"/>
  <c r="AV8" i="9"/>
  <c r="AV42" i="20"/>
  <c r="AV48" i="20"/>
  <c r="AV50" i="20"/>
  <c r="AV51" i="20"/>
  <c r="AV52" i="20"/>
  <c r="AV56" i="20"/>
  <c r="AV57" i="20"/>
  <c r="AV59" i="20"/>
  <c r="AV21" i="20"/>
  <c r="AV22" i="20"/>
  <c r="AV28" i="20"/>
  <c r="AV29" i="20"/>
  <c r="AV30" i="20"/>
  <c r="AV31" i="20"/>
  <c r="AW34" i="20"/>
  <c r="AW35" i="20"/>
  <c r="AW36" i="20"/>
  <c r="AW37" i="20"/>
  <c r="AW38" i="20"/>
  <c r="AW26" i="20"/>
  <c r="AW27" i="20"/>
  <c r="AW17" i="20"/>
  <c r="AW18" i="20"/>
  <c r="AW19" i="20"/>
  <c r="AW20" i="20"/>
  <c r="AW55" i="20"/>
  <c r="AW8" i="9"/>
  <c r="AW42" i="20"/>
  <c r="AW48" i="20"/>
  <c r="AW50" i="20"/>
  <c r="AW51" i="20"/>
  <c r="AW52" i="20"/>
  <c r="AW56" i="20"/>
  <c r="AW57" i="20"/>
  <c r="AW59" i="20"/>
  <c r="AW21" i="20"/>
  <c r="AW22" i="20"/>
  <c r="AW28" i="20"/>
  <c r="AW29" i="20"/>
  <c r="AW30" i="20"/>
  <c r="AW31" i="20"/>
  <c r="AX34" i="20"/>
  <c r="AX35" i="20"/>
  <c r="AX36" i="20"/>
  <c r="AX37" i="20"/>
  <c r="AX38" i="20"/>
  <c r="AX26" i="20"/>
  <c r="AX27" i="20"/>
  <c r="AX17" i="20"/>
  <c r="AX18" i="20"/>
  <c r="AX19" i="20"/>
  <c r="AX20" i="20"/>
  <c r="AX55" i="20"/>
  <c r="AX8" i="9"/>
  <c r="AX42" i="20"/>
  <c r="AX48" i="20"/>
  <c r="AX50" i="20"/>
  <c r="AX51" i="20"/>
  <c r="AX52" i="20"/>
  <c r="AX56" i="20"/>
  <c r="AX57" i="20"/>
  <c r="AX59" i="20"/>
  <c r="AX21" i="20"/>
  <c r="AX22" i="20"/>
  <c r="AX28" i="20"/>
  <c r="AX29" i="20"/>
  <c r="AX30" i="20"/>
  <c r="AX31" i="20"/>
  <c r="AY34" i="20"/>
  <c r="AY35" i="20"/>
  <c r="AY36" i="20"/>
  <c r="AY37" i="20"/>
  <c r="AY38" i="20"/>
  <c r="AY26" i="20"/>
  <c r="AY27" i="20"/>
  <c r="AY17" i="20"/>
  <c r="AY18" i="20"/>
  <c r="AY19" i="20"/>
  <c r="AY20" i="20"/>
  <c r="AY55" i="20"/>
  <c r="AY8" i="9"/>
  <c r="AY42" i="20"/>
  <c r="AY48" i="20"/>
  <c r="AY50" i="20"/>
  <c r="AY51" i="20"/>
  <c r="AY52" i="20"/>
  <c r="AY56" i="20"/>
  <c r="AY57" i="20"/>
  <c r="AY59" i="20"/>
  <c r="AY21" i="20"/>
  <c r="AY22" i="20"/>
  <c r="AY28" i="20"/>
  <c r="AY29" i="20"/>
  <c r="AY30" i="20"/>
  <c r="AY31" i="20"/>
  <c r="AZ34" i="20"/>
  <c r="AZ35" i="20"/>
  <c r="AZ36" i="20"/>
  <c r="AZ37" i="20"/>
  <c r="AZ38" i="20"/>
  <c r="AZ26" i="20"/>
  <c r="AZ27" i="20"/>
  <c r="AZ17" i="20"/>
  <c r="AZ18" i="20"/>
  <c r="AZ19" i="20"/>
  <c r="AZ20" i="20"/>
  <c r="AZ55" i="20"/>
  <c r="AZ8" i="9"/>
  <c r="AZ42" i="20"/>
  <c r="AZ48" i="20"/>
  <c r="AZ50" i="20"/>
  <c r="AZ51" i="20"/>
  <c r="AZ52" i="20"/>
  <c r="AZ56" i="20"/>
  <c r="AZ57" i="20"/>
  <c r="AZ59" i="20"/>
  <c r="AZ21" i="20"/>
  <c r="AZ22" i="20"/>
  <c r="AZ28" i="20"/>
  <c r="AZ29" i="20"/>
  <c r="AZ30" i="20"/>
  <c r="AZ31" i="20"/>
  <c r="BA34" i="20"/>
  <c r="BA35" i="20"/>
  <c r="BA36" i="20"/>
  <c r="BA37" i="20"/>
  <c r="BA38" i="20"/>
  <c r="BA26" i="20"/>
  <c r="BA27" i="20"/>
  <c r="BA17" i="20"/>
  <c r="BA18" i="20"/>
  <c r="BA19" i="20"/>
  <c r="BA20" i="20"/>
  <c r="BA55" i="20"/>
  <c r="BA8" i="9"/>
  <c r="BA42" i="20"/>
  <c r="BA48" i="20"/>
  <c r="BA50" i="20"/>
  <c r="BA51" i="20"/>
  <c r="BA52" i="20"/>
  <c r="BA56" i="20"/>
  <c r="BA57" i="20"/>
  <c r="BA59" i="20"/>
  <c r="BA21" i="20"/>
  <c r="BA22" i="20"/>
  <c r="BA28" i="20"/>
  <c r="BA29" i="20"/>
  <c r="BA30" i="20"/>
  <c r="BA31" i="20"/>
  <c r="BB34" i="20"/>
  <c r="BB35" i="20"/>
  <c r="BB36" i="20"/>
  <c r="BB37" i="20"/>
  <c r="BB38" i="20"/>
  <c r="BB26" i="20"/>
  <c r="BB27" i="20"/>
  <c r="BB17" i="20"/>
  <c r="BB18" i="20"/>
  <c r="BB19" i="20"/>
  <c r="BB20" i="20"/>
  <c r="BB55" i="20"/>
  <c r="BB8" i="9"/>
  <c r="BB42" i="20"/>
  <c r="BB48" i="20"/>
  <c r="BB50" i="20"/>
  <c r="BB51" i="20"/>
  <c r="BB52" i="20"/>
  <c r="BB56" i="20"/>
  <c r="BB57" i="20"/>
  <c r="BB59" i="20"/>
  <c r="BB21" i="20"/>
  <c r="BB22" i="20"/>
  <c r="BB28" i="20"/>
  <c r="BB29" i="20"/>
  <c r="BB30" i="20"/>
  <c r="BB31" i="20"/>
  <c r="BC34" i="20"/>
  <c r="BC35" i="20"/>
  <c r="BC36" i="20"/>
  <c r="BC37" i="20"/>
  <c r="BC38" i="20"/>
  <c r="BC26" i="20"/>
  <c r="BC27" i="20"/>
  <c r="BC17" i="20"/>
  <c r="BC18" i="20"/>
  <c r="BC19" i="20"/>
  <c r="BC20" i="20"/>
  <c r="BC55" i="20"/>
  <c r="BC8" i="9"/>
  <c r="BC42" i="20"/>
  <c r="BC48" i="20"/>
  <c r="BC50" i="20"/>
  <c r="BC51" i="20"/>
  <c r="BC52" i="20"/>
  <c r="BC56" i="20"/>
  <c r="BC57" i="20"/>
  <c r="BC59" i="20"/>
  <c r="BC21" i="20"/>
  <c r="BC22" i="20"/>
  <c r="BC28" i="20"/>
  <c r="BC29" i="20"/>
  <c r="BC30" i="20"/>
  <c r="BC31" i="20"/>
  <c r="BD34" i="20"/>
  <c r="BD35" i="20"/>
  <c r="BD36" i="20"/>
  <c r="BD37" i="20"/>
  <c r="BD38" i="20"/>
  <c r="BD26" i="20"/>
  <c r="BD27" i="20"/>
  <c r="BD17" i="20"/>
  <c r="BD18" i="20"/>
  <c r="BD19" i="20"/>
  <c r="BD20" i="20"/>
  <c r="BD55" i="20"/>
  <c r="BD8" i="9"/>
  <c r="BD42" i="20"/>
  <c r="BD48" i="20"/>
  <c r="BD50" i="20"/>
  <c r="BD51" i="20"/>
  <c r="BD52" i="20"/>
  <c r="BD56" i="20"/>
  <c r="BD57" i="20"/>
  <c r="BD59" i="20"/>
  <c r="BD21" i="20"/>
  <c r="BD22" i="20"/>
  <c r="BD28" i="20"/>
  <c r="BD29" i="20"/>
  <c r="BD30" i="20"/>
  <c r="BD31" i="20"/>
  <c r="BE34" i="20"/>
  <c r="BE35" i="20"/>
  <c r="BE36" i="20"/>
  <c r="BE37" i="20"/>
  <c r="BE38" i="20"/>
  <c r="BE26" i="20"/>
  <c r="BE27" i="20"/>
  <c r="BE17" i="20"/>
  <c r="BE18" i="20"/>
  <c r="BE19" i="20"/>
  <c r="BE20" i="20"/>
  <c r="BE55" i="20"/>
  <c r="BE8" i="9"/>
  <c r="BE42" i="20"/>
  <c r="BE48" i="20"/>
  <c r="BE50" i="20"/>
  <c r="BE51" i="20"/>
  <c r="BE52" i="20"/>
  <c r="BE56" i="20"/>
  <c r="BE57" i="20"/>
  <c r="BE59" i="20"/>
  <c r="BE21" i="20"/>
  <c r="BE22" i="20"/>
  <c r="BE28" i="20"/>
  <c r="BE29" i="20"/>
  <c r="BE30" i="20"/>
  <c r="BE31" i="20"/>
  <c r="BF34" i="20"/>
  <c r="BF35" i="20"/>
  <c r="BF36" i="20"/>
  <c r="BF37" i="20"/>
  <c r="BF38" i="20"/>
  <c r="BF26" i="20"/>
  <c r="BF27" i="20"/>
  <c r="BF17" i="20"/>
  <c r="BF18" i="20"/>
  <c r="BF19" i="20"/>
  <c r="BF20" i="20"/>
  <c r="BF55" i="20"/>
  <c r="BF8" i="9"/>
  <c r="BF42" i="20"/>
  <c r="BF48" i="20"/>
  <c r="BF50" i="20"/>
  <c r="BF51" i="20"/>
  <c r="BF52" i="20"/>
  <c r="BF56" i="20"/>
  <c r="BF57" i="20"/>
  <c r="BF59" i="20"/>
  <c r="BF21" i="20"/>
  <c r="BF22" i="20"/>
  <c r="BF28" i="20"/>
  <c r="BF29" i="20"/>
  <c r="BF30" i="20"/>
  <c r="BF31" i="20"/>
  <c r="BG34" i="20"/>
  <c r="BG35" i="20"/>
  <c r="BG36" i="20"/>
  <c r="BG37" i="20"/>
  <c r="BG38" i="20"/>
  <c r="BG26" i="20"/>
  <c r="BG27" i="20"/>
  <c r="BG17" i="20"/>
  <c r="BG18" i="20"/>
  <c r="BG19" i="20"/>
  <c r="BG20" i="20"/>
  <c r="BG55" i="20"/>
  <c r="BG8" i="9"/>
  <c r="BG42" i="20"/>
  <c r="BG48" i="20"/>
  <c r="BG50" i="20"/>
  <c r="BG51" i="20"/>
  <c r="BG52" i="20"/>
  <c r="BG56" i="20"/>
  <c r="BG57" i="20"/>
  <c r="BG59" i="20"/>
  <c r="BG21" i="20"/>
  <c r="BG22" i="20"/>
  <c r="BG28" i="20"/>
  <c r="BG29" i="20"/>
  <c r="BG30" i="20"/>
  <c r="BG31" i="20"/>
  <c r="BH34" i="20"/>
  <c r="BH35" i="20"/>
  <c r="BH36" i="20"/>
  <c r="BH37" i="20"/>
  <c r="BH38" i="20"/>
  <c r="BH26" i="20"/>
  <c r="BH27" i="20"/>
  <c r="BH17" i="20"/>
  <c r="BH18" i="20"/>
  <c r="BH19" i="20"/>
  <c r="BH20" i="20"/>
  <c r="BH55" i="20"/>
  <c r="BH8" i="9"/>
  <c r="BH42" i="20"/>
  <c r="BH48" i="20"/>
  <c r="BH50" i="20"/>
  <c r="BH51" i="20"/>
  <c r="BH52" i="20"/>
  <c r="BH56" i="20"/>
  <c r="BH57" i="20"/>
  <c r="BH59" i="20"/>
  <c r="BH21" i="20"/>
  <c r="BH22" i="20"/>
  <c r="BH28" i="20"/>
  <c r="BH29" i="20"/>
  <c r="BH30" i="20"/>
  <c r="BH31" i="20"/>
  <c r="BI34" i="20"/>
  <c r="BI35" i="20"/>
  <c r="BI36" i="20"/>
  <c r="BI37" i="20"/>
  <c r="BI38" i="20"/>
  <c r="BI26" i="20"/>
  <c r="BI27" i="20"/>
  <c r="BI17" i="20"/>
  <c r="BI18" i="20"/>
  <c r="BI19" i="20"/>
  <c r="BI20" i="20"/>
  <c r="BI55" i="20"/>
  <c r="BI8" i="9"/>
  <c r="BI42" i="20"/>
  <c r="BI48" i="20"/>
  <c r="BI50" i="20"/>
  <c r="BI51" i="20"/>
  <c r="BI52" i="20"/>
  <c r="BI56" i="20"/>
  <c r="BI57" i="20"/>
  <c r="BI59" i="20"/>
  <c r="BI21" i="20"/>
  <c r="BI22" i="20"/>
  <c r="BI28" i="20"/>
  <c r="BI29" i="20"/>
  <c r="BI30" i="20"/>
  <c r="BI31" i="20"/>
  <c r="BJ34" i="20"/>
  <c r="BJ35" i="20"/>
  <c r="BJ36" i="20"/>
  <c r="BJ37" i="20"/>
  <c r="BJ38" i="20"/>
  <c r="BJ26" i="20"/>
  <c r="BJ27" i="20"/>
  <c r="BJ17" i="20"/>
  <c r="BJ18" i="20"/>
  <c r="BJ19" i="20"/>
  <c r="BJ20" i="20"/>
  <c r="BJ55" i="20"/>
  <c r="BJ8" i="9"/>
  <c r="BJ42" i="20"/>
  <c r="BJ48" i="20"/>
  <c r="BJ50" i="20"/>
  <c r="BJ51" i="20"/>
  <c r="BJ52" i="20"/>
  <c r="BJ56" i="20"/>
  <c r="BJ57" i="20"/>
  <c r="BJ59" i="20"/>
  <c r="BJ21" i="20"/>
  <c r="BJ22" i="20"/>
  <c r="BJ28" i="20"/>
  <c r="BJ29" i="20"/>
  <c r="BJ30" i="20"/>
  <c r="BJ31" i="20"/>
  <c r="E31" i="20"/>
  <c r="Q4" i="24"/>
  <c r="H2" i="19"/>
  <c r="I2" i="19"/>
  <c r="J2" i="19"/>
  <c r="K2" i="19"/>
  <c r="G11" i="19"/>
  <c r="G12" i="19"/>
  <c r="H11" i="19"/>
  <c r="H12" i="19"/>
  <c r="D13" i="19"/>
  <c r="D7" i="19"/>
  <c r="H13" i="19"/>
  <c r="H14" i="19"/>
  <c r="H15" i="19"/>
  <c r="H16" i="19"/>
  <c r="H17" i="19"/>
  <c r="D18" i="19"/>
  <c r="H3" i="19"/>
  <c r="H18" i="19"/>
  <c r="D8" i="19"/>
  <c r="D9" i="19"/>
  <c r="H19" i="19"/>
  <c r="H20" i="19"/>
  <c r="H21" i="19"/>
  <c r="I11" i="19"/>
  <c r="I12" i="19"/>
  <c r="I13" i="19"/>
  <c r="I14" i="19"/>
  <c r="I15" i="19"/>
  <c r="I16" i="19"/>
  <c r="I17" i="19"/>
  <c r="I3" i="19"/>
  <c r="I18" i="19"/>
  <c r="I19" i="19"/>
  <c r="D20" i="19"/>
  <c r="I20" i="19"/>
  <c r="I21" i="19"/>
  <c r="J11" i="19"/>
  <c r="J12" i="19"/>
  <c r="J13" i="19"/>
  <c r="J14" i="19"/>
  <c r="J15" i="19"/>
  <c r="J16" i="19"/>
  <c r="J17" i="19"/>
  <c r="J3" i="19"/>
  <c r="J18" i="19"/>
  <c r="J19" i="19"/>
  <c r="J20" i="19"/>
  <c r="J21" i="19"/>
  <c r="K11" i="19"/>
  <c r="K12" i="19"/>
  <c r="K13" i="19"/>
  <c r="K14" i="19"/>
  <c r="K15" i="19"/>
  <c r="K16" i="19"/>
  <c r="K17" i="19"/>
  <c r="K3" i="19"/>
  <c r="K18" i="19"/>
  <c r="K19" i="19"/>
  <c r="K20" i="19"/>
  <c r="K21" i="19"/>
  <c r="L11" i="19"/>
  <c r="L12" i="19"/>
  <c r="L13" i="19"/>
  <c r="L14" i="19"/>
  <c r="L15" i="19"/>
  <c r="L16" i="19"/>
  <c r="L17" i="19"/>
  <c r="L3" i="19"/>
  <c r="L18" i="19"/>
  <c r="L19" i="19"/>
  <c r="L20" i="19"/>
  <c r="L21" i="19"/>
  <c r="M11" i="19"/>
  <c r="M12" i="19"/>
  <c r="M13" i="19"/>
  <c r="M14" i="19"/>
  <c r="M15" i="19"/>
  <c r="M16" i="19"/>
  <c r="M17" i="19"/>
  <c r="M3" i="19"/>
  <c r="M18" i="19"/>
  <c r="M19" i="19"/>
  <c r="M20" i="19"/>
  <c r="M21" i="19"/>
  <c r="N11" i="19"/>
  <c r="N12" i="19"/>
  <c r="N13" i="19"/>
  <c r="N14" i="19"/>
  <c r="N15" i="19"/>
  <c r="N16" i="19"/>
  <c r="N17" i="19"/>
  <c r="N3" i="19"/>
  <c r="N18" i="19"/>
  <c r="N19" i="19"/>
  <c r="N20" i="19"/>
  <c r="N21" i="19"/>
  <c r="O11" i="19"/>
  <c r="O12" i="19"/>
  <c r="O13" i="19"/>
  <c r="O14" i="19"/>
  <c r="O15" i="19"/>
  <c r="O16" i="19"/>
  <c r="O17" i="19"/>
  <c r="O3" i="19"/>
  <c r="O18" i="19"/>
  <c r="O19" i="19"/>
  <c r="O20" i="19"/>
  <c r="O21" i="19"/>
  <c r="P11" i="19"/>
  <c r="P12" i="19"/>
  <c r="P13" i="19"/>
  <c r="P14" i="19"/>
  <c r="P15" i="19"/>
  <c r="P16" i="19"/>
  <c r="P17" i="19"/>
  <c r="P3" i="19"/>
  <c r="P18" i="19"/>
  <c r="P19" i="19"/>
  <c r="P20" i="19"/>
  <c r="P21" i="19"/>
  <c r="Q11" i="19"/>
  <c r="Q12" i="19"/>
  <c r="Q13" i="19"/>
  <c r="Q14" i="19"/>
  <c r="Q15" i="19"/>
  <c r="Q16" i="19"/>
  <c r="Q17" i="19"/>
  <c r="Q3" i="19"/>
  <c r="Q18" i="19"/>
  <c r="Q19" i="19"/>
  <c r="Q20" i="19"/>
  <c r="Q21" i="19"/>
  <c r="R11" i="19"/>
  <c r="R12" i="19"/>
  <c r="R13" i="19"/>
  <c r="R14" i="19"/>
  <c r="R15" i="19"/>
  <c r="R16" i="19"/>
  <c r="R17" i="19"/>
  <c r="R3" i="19"/>
  <c r="R18" i="19"/>
  <c r="R19" i="19"/>
  <c r="R20" i="19"/>
  <c r="R21" i="19"/>
  <c r="S11" i="19"/>
  <c r="S12" i="19"/>
  <c r="S13" i="19"/>
  <c r="S14" i="19"/>
  <c r="S15" i="19"/>
  <c r="S16" i="19"/>
  <c r="S17" i="19"/>
  <c r="S3" i="19"/>
  <c r="S18" i="19"/>
  <c r="S19" i="19"/>
  <c r="S20" i="19"/>
  <c r="S21" i="19"/>
  <c r="T11" i="19"/>
  <c r="T12" i="19"/>
  <c r="T13" i="19"/>
  <c r="T14" i="19"/>
  <c r="T15" i="19"/>
  <c r="T16" i="19"/>
  <c r="T17" i="19"/>
  <c r="T3" i="19"/>
  <c r="T18" i="19"/>
  <c r="T19" i="19"/>
  <c r="T20" i="19"/>
  <c r="T21" i="19"/>
  <c r="U11" i="19"/>
  <c r="U12" i="19"/>
  <c r="U13" i="19"/>
  <c r="U14" i="19"/>
  <c r="U15" i="19"/>
  <c r="U16" i="19"/>
  <c r="U17" i="19"/>
  <c r="U3" i="19"/>
  <c r="U18" i="19"/>
  <c r="U19" i="19"/>
  <c r="U20" i="19"/>
  <c r="U21" i="19"/>
  <c r="V11" i="19"/>
  <c r="V36" i="6"/>
  <c r="V42" i="6"/>
  <c r="V41" i="6"/>
  <c r="V43" i="6"/>
  <c r="V12" i="19"/>
  <c r="V13" i="19"/>
  <c r="V14" i="19"/>
  <c r="V15" i="19"/>
  <c r="V16" i="19"/>
  <c r="V17" i="19"/>
  <c r="V3" i="19"/>
  <c r="V18" i="19"/>
  <c r="V19" i="19"/>
  <c r="V20" i="19"/>
  <c r="V21" i="19"/>
  <c r="W11" i="19"/>
  <c r="W12" i="19"/>
  <c r="W13" i="19"/>
  <c r="W14" i="19"/>
  <c r="W15" i="19"/>
  <c r="W16" i="19"/>
  <c r="W17" i="19"/>
  <c r="W3" i="19"/>
  <c r="W18" i="19"/>
  <c r="W19" i="19"/>
  <c r="W20" i="19"/>
  <c r="W21" i="19"/>
  <c r="X11" i="19"/>
  <c r="X12" i="19"/>
  <c r="X13" i="19"/>
  <c r="X14" i="19"/>
  <c r="X15" i="19"/>
  <c r="X16" i="19"/>
  <c r="X17" i="19"/>
  <c r="X3" i="19"/>
  <c r="X18" i="19"/>
  <c r="X19" i="19"/>
  <c r="X20" i="19"/>
  <c r="X21" i="19"/>
  <c r="Y11" i="19"/>
  <c r="Y12" i="19"/>
  <c r="Y13" i="19"/>
  <c r="Y14" i="19"/>
  <c r="Y15" i="19"/>
  <c r="Y16" i="19"/>
  <c r="Y17" i="19"/>
  <c r="Y3" i="19"/>
  <c r="Y18" i="19"/>
  <c r="Y19" i="19"/>
  <c r="Y20" i="19"/>
  <c r="Y21" i="19"/>
  <c r="Z11" i="19"/>
  <c r="Z12" i="19"/>
  <c r="Z13" i="19"/>
  <c r="Z14" i="19"/>
  <c r="Z15" i="19"/>
  <c r="Z16" i="19"/>
  <c r="Z17" i="19"/>
  <c r="Z3" i="19"/>
  <c r="Z18" i="19"/>
  <c r="Z19" i="19"/>
  <c r="Z20" i="19"/>
  <c r="Z21" i="19"/>
  <c r="AA11" i="19"/>
  <c r="AA12" i="19"/>
  <c r="AA13" i="19"/>
  <c r="AA14" i="19"/>
  <c r="AA15" i="19"/>
  <c r="AA16" i="19"/>
  <c r="AA17" i="19"/>
  <c r="AA3" i="19"/>
  <c r="AA18" i="19"/>
  <c r="AA19" i="19"/>
  <c r="AA20" i="19"/>
  <c r="AA21" i="19"/>
  <c r="AB11" i="19"/>
  <c r="AB12" i="19"/>
  <c r="AB13" i="19"/>
  <c r="AB14" i="19"/>
  <c r="AB15" i="19"/>
  <c r="AB16" i="19"/>
  <c r="AB17" i="19"/>
  <c r="AB3" i="19"/>
  <c r="AB18" i="19"/>
  <c r="AB19" i="19"/>
  <c r="AB20" i="19"/>
  <c r="AB21" i="19"/>
  <c r="AC11" i="19"/>
  <c r="AC12" i="19"/>
  <c r="AC13" i="19"/>
  <c r="AC14" i="19"/>
  <c r="AC15" i="19"/>
  <c r="AC16" i="19"/>
  <c r="AC17" i="19"/>
  <c r="AC3" i="19"/>
  <c r="AC18" i="19"/>
  <c r="AC19" i="19"/>
  <c r="AC20" i="19"/>
  <c r="AC21" i="19"/>
  <c r="AD11" i="19"/>
  <c r="AD12" i="19"/>
  <c r="AD13" i="19"/>
  <c r="AD14" i="19"/>
  <c r="AD15" i="19"/>
  <c r="AD16" i="19"/>
  <c r="AD17" i="19"/>
  <c r="AD3" i="19"/>
  <c r="AD18" i="19"/>
  <c r="AD19" i="19"/>
  <c r="AD20" i="19"/>
  <c r="AD21" i="19"/>
  <c r="AE11" i="19"/>
  <c r="AE12" i="19"/>
  <c r="AE13" i="19"/>
  <c r="AE14" i="19"/>
  <c r="AE15" i="19"/>
  <c r="AE16" i="19"/>
  <c r="AE17" i="19"/>
  <c r="AE3" i="19"/>
  <c r="AE18" i="19"/>
  <c r="AE19" i="19"/>
  <c r="AE20" i="19"/>
  <c r="AE21" i="19"/>
  <c r="AF11" i="19"/>
  <c r="AF12" i="19"/>
  <c r="AF13" i="19"/>
  <c r="AF14" i="19"/>
  <c r="AF15" i="19"/>
  <c r="AF16" i="19"/>
  <c r="AF17" i="19"/>
  <c r="AF3" i="19"/>
  <c r="AF18" i="19"/>
  <c r="AF19" i="19"/>
  <c r="AF20" i="19"/>
  <c r="AF21" i="19"/>
  <c r="AG11" i="19"/>
  <c r="AG12" i="19"/>
  <c r="AG13" i="19"/>
  <c r="AG14" i="19"/>
  <c r="AG15" i="19"/>
  <c r="AG16" i="19"/>
  <c r="AG17" i="19"/>
  <c r="AG3" i="19"/>
  <c r="AG18" i="19"/>
  <c r="AG19" i="19"/>
  <c r="AG20" i="19"/>
  <c r="AG21" i="19"/>
  <c r="AH11" i="19"/>
  <c r="AH12" i="19"/>
  <c r="AH13" i="19"/>
  <c r="AH14" i="19"/>
  <c r="AH15" i="19"/>
  <c r="AH16" i="19"/>
  <c r="AH17" i="19"/>
  <c r="AH3" i="19"/>
  <c r="AH18" i="19"/>
  <c r="AH19" i="19"/>
  <c r="AH20" i="19"/>
  <c r="AH21" i="19"/>
  <c r="AI11" i="19"/>
  <c r="AI12" i="19"/>
  <c r="AI13" i="19"/>
  <c r="AI14" i="19"/>
  <c r="AI15" i="19"/>
  <c r="AI16" i="19"/>
  <c r="AI17" i="19"/>
  <c r="AI3" i="19"/>
  <c r="AI18" i="19"/>
  <c r="AI19" i="19"/>
  <c r="AI20" i="19"/>
  <c r="AI21" i="19"/>
  <c r="AJ11" i="19"/>
  <c r="AJ12" i="19"/>
  <c r="AJ13" i="19"/>
  <c r="AJ14" i="19"/>
  <c r="AJ15" i="19"/>
  <c r="AJ16" i="19"/>
  <c r="AJ17" i="19"/>
  <c r="AJ3" i="19"/>
  <c r="AJ18" i="19"/>
  <c r="AJ19" i="19"/>
  <c r="AJ20" i="19"/>
  <c r="AJ21" i="19"/>
  <c r="AK11" i="19"/>
  <c r="AK12" i="19"/>
  <c r="AK13" i="19"/>
  <c r="AK14" i="19"/>
  <c r="AK15" i="19"/>
  <c r="AK16" i="19"/>
  <c r="AK17" i="19"/>
  <c r="AK3" i="19"/>
  <c r="AK18" i="19"/>
  <c r="AK19" i="19"/>
  <c r="AK20" i="19"/>
  <c r="AK21" i="19"/>
  <c r="AL11" i="19"/>
  <c r="AL12" i="19"/>
  <c r="AL13" i="19"/>
  <c r="AL14" i="19"/>
  <c r="AL15" i="19"/>
  <c r="AL16" i="19"/>
  <c r="AL17" i="19"/>
  <c r="AL3" i="19"/>
  <c r="AL18" i="19"/>
  <c r="AL19" i="19"/>
  <c r="AL20" i="19"/>
  <c r="AL21" i="19"/>
  <c r="AM11" i="19"/>
  <c r="AM12" i="19"/>
  <c r="AM13" i="19"/>
  <c r="AM14" i="19"/>
  <c r="AM15" i="19"/>
  <c r="AM16" i="19"/>
  <c r="AM17" i="19"/>
  <c r="AM3" i="19"/>
  <c r="AM18" i="19"/>
  <c r="AM19" i="19"/>
  <c r="AM20" i="19"/>
  <c r="AM21" i="19"/>
  <c r="AN11" i="19"/>
  <c r="AN12" i="19"/>
  <c r="AN13" i="19"/>
  <c r="AN14" i="19"/>
  <c r="AN15" i="19"/>
  <c r="AN16" i="19"/>
  <c r="AN17" i="19"/>
  <c r="AN3" i="19"/>
  <c r="AN18" i="19"/>
  <c r="AN19" i="19"/>
  <c r="AN20" i="19"/>
  <c r="AN21" i="19"/>
  <c r="AO11" i="19"/>
  <c r="AO12" i="19"/>
  <c r="AO13" i="19"/>
  <c r="AO14" i="19"/>
  <c r="AO15" i="19"/>
  <c r="AO16" i="19"/>
  <c r="AO17" i="19"/>
  <c r="AO3" i="19"/>
  <c r="AO18" i="19"/>
  <c r="AO19" i="19"/>
  <c r="AO20" i="19"/>
  <c r="AO21" i="19"/>
  <c r="AP11" i="19"/>
  <c r="AP12" i="19"/>
  <c r="AP13" i="19"/>
  <c r="AP14" i="19"/>
  <c r="AP15" i="19"/>
  <c r="AP16" i="19"/>
  <c r="AP17" i="19"/>
  <c r="AP3" i="19"/>
  <c r="AP18" i="19"/>
  <c r="AP19" i="19"/>
  <c r="AP20" i="19"/>
  <c r="AP21" i="19"/>
  <c r="AQ11" i="19"/>
  <c r="AQ12" i="19"/>
  <c r="AQ13" i="19"/>
  <c r="AQ14" i="19"/>
  <c r="AQ15" i="19"/>
  <c r="AQ16" i="19"/>
  <c r="AQ17" i="19"/>
  <c r="AQ3" i="19"/>
  <c r="AQ18" i="19"/>
  <c r="AQ19" i="19"/>
  <c r="AQ20" i="19"/>
  <c r="AQ21" i="19"/>
  <c r="AR11" i="19"/>
  <c r="AR12" i="19"/>
  <c r="AR13" i="19"/>
  <c r="AR14" i="19"/>
  <c r="AR15" i="19"/>
  <c r="AR16" i="19"/>
  <c r="AR17" i="19"/>
  <c r="AR3" i="19"/>
  <c r="AR18" i="19"/>
  <c r="AR19" i="19"/>
  <c r="AR20" i="19"/>
  <c r="AR21" i="19"/>
  <c r="AS11" i="19"/>
  <c r="AS12" i="19"/>
  <c r="AS13" i="19"/>
  <c r="AS14" i="19"/>
  <c r="AS15" i="19"/>
  <c r="AS16" i="19"/>
  <c r="AS17" i="19"/>
  <c r="AS3" i="19"/>
  <c r="AS18" i="19"/>
  <c r="AS19" i="19"/>
  <c r="AS20" i="19"/>
  <c r="AS21" i="19"/>
  <c r="AT11" i="19"/>
  <c r="AT12" i="19"/>
  <c r="AT13" i="19"/>
  <c r="AT14" i="19"/>
  <c r="AT15" i="19"/>
  <c r="AT16" i="19"/>
  <c r="AT17" i="19"/>
  <c r="AT3" i="19"/>
  <c r="AT18" i="19"/>
  <c r="AT19" i="19"/>
  <c r="AT20" i="19"/>
  <c r="AT21" i="19"/>
  <c r="AU11" i="19"/>
  <c r="AU12" i="19"/>
  <c r="AU13" i="19"/>
  <c r="AU14" i="19"/>
  <c r="AU15" i="19"/>
  <c r="AU16" i="19"/>
  <c r="AU17" i="19"/>
  <c r="AU3" i="19"/>
  <c r="AU18" i="19"/>
  <c r="AU19" i="19"/>
  <c r="AU20" i="19"/>
  <c r="AU21" i="19"/>
  <c r="AV11" i="19"/>
  <c r="AV12" i="19"/>
  <c r="AV13" i="19"/>
  <c r="AV14" i="19"/>
  <c r="AV15" i="19"/>
  <c r="AV16" i="19"/>
  <c r="AV17" i="19"/>
  <c r="AV3" i="19"/>
  <c r="AV18" i="19"/>
  <c r="AV19" i="19"/>
  <c r="AV20" i="19"/>
  <c r="AV21" i="19"/>
  <c r="AW11" i="19"/>
  <c r="AW12" i="19"/>
  <c r="AW13" i="19"/>
  <c r="AW14" i="19"/>
  <c r="AW15" i="19"/>
  <c r="AW16" i="19"/>
  <c r="AW17" i="19"/>
  <c r="AW3" i="19"/>
  <c r="AW18" i="19"/>
  <c r="AW19" i="19"/>
  <c r="AW20" i="19"/>
  <c r="AW21" i="19"/>
  <c r="AX11" i="19"/>
  <c r="AX12" i="19"/>
  <c r="AX13" i="19"/>
  <c r="AX14" i="19"/>
  <c r="AX15" i="19"/>
  <c r="AX16" i="19"/>
  <c r="AX17" i="19"/>
  <c r="AX3" i="19"/>
  <c r="AX18" i="19"/>
  <c r="AX19" i="19"/>
  <c r="AX20" i="19"/>
  <c r="AX21" i="19"/>
  <c r="AY11" i="19"/>
  <c r="AY12" i="19"/>
  <c r="AY13" i="19"/>
  <c r="AY14" i="19"/>
  <c r="AY15" i="19"/>
  <c r="AY16" i="19"/>
  <c r="AY17" i="19"/>
  <c r="AY3" i="19"/>
  <c r="AY18" i="19"/>
  <c r="AY19" i="19"/>
  <c r="AY20" i="19"/>
  <c r="AY21" i="19"/>
  <c r="AZ11" i="19"/>
  <c r="AZ12" i="19"/>
  <c r="AZ13" i="19"/>
  <c r="AZ14" i="19"/>
  <c r="AZ15" i="19"/>
  <c r="AZ16" i="19"/>
  <c r="AZ17" i="19"/>
  <c r="AZ3" i="19"/>
  <c r="AZ18" i="19"/>
  <c r="AZ19" i="19"/>
  <c r="AZ20" i="19"/>
  <c r="AZ21" i="19"/>
  <c r="BA11" i="19"/>
  <c r="BA12" i="19"/>
  <c r="BA13" i="19"/>
  <c r="BA14" i="19"/>
  <c r="BA15" i="19"/>
  <c r="BA16" i="19"/>
  <c r="BA17" i="19"/>
  <c r="BA3" i="19"/>
  <c r="BA18" i="19"/>
  <c r="BA19" i="19"/>
  <c r="BA20" i="19"/>
  <c r="BA21" i="19"/>
  <c r="BB11" i="19"/>
  <c r="BB12" i="19"/>
  <c r="BB13" i="19"/>
  <c r="BB14" i="19"/>
  <c r="BB15" i="19"/>
  <c r="BB16" i="19"/>
  <c r="BB17" i="19"/>
  <c r="BB3" i="19"/>
  <c r="BB18" i="19"/>
  <c r="BB19" i="19"/>
  <c r="BB20" i="19"/>
  <c r="BB21" i="19"/>
  <c r="BC11" i="19"/>
  <c r="BC12" i="19"/>
  <c r="BC13" i="19"/>
  <c r="BC14" i="19"/>
  <c r="BC15" i="19"/>
  <c r="BC16" i="19"/>
  <c r="BC17" i="19"/>
  <c r="BC3" i="19"/>
  <c r="BC18" i="19"/>
  <c r="BC19" i="19"/>
  <c r="BC20" i="19"/>
  <c r="BC21" i="19"/>
  <c r="BD11" i="19"/>
  <c r="BD12" i="19"/>
  <c r="BD13" i="19"/>
  <c r="BD14" i="19"/>
  <c r="BD15" i="19"/>
  <c r="BD16" i="19"/>
  <c r="BD17" i="19"/>
  <c r="BD3" i="19"/>
  <c r="BD18" i="19"/>
  <c r="BD19" i="19"/>
  <c r="BD20" i="19"/>
  <c r="BD21" i="19"/>
  <c r="BE11" i="19"/>
  <c r="BE12" i="19"/>
  <c r="BE13" i="19"/>
  <c r="BE14" i="19"/>
  <c r="BE15" i="19"/>
  <c r="BE16" i="19"/>
  <c r="BE17" i="19"/>
  <c r="BE3" i="19"/>
  <c r="BE18" i="19"/>
  <c r="BE19" i="19"/>
  <c r="BE20" i="19"/>
  <c r="BE21" i="19"/>
  <c r="BF11" i="19"/>
  <c r="BF12" i="19"/>
  <c r="BF13" i="19"/>
  <c r="BF14" i="19"/>
  <c r="BF15" i="19"/>
  <c r="BF16" i="19"/>
  <c r="BF17" i="19"/>
  <c r="BF3" i="19"/>
  <c r="BF18" i="19"/>
  <c r="BF19" i="19"/>
  <c r="BF20" i="19"/>
  <c r="BF21" i="19"/>
  <c r="BG11" i="19"/>
  <c r="BG12" i="19"/>
  <c r="BG13" i="19"/>
  <c r="BG14" i="19"/>
  <c r="BG15" i="19"/>
  <c r="BG16" i="19"/>
  <c r="BG17" i="19"/>
  <c r="BG3" i="19"/>
  <c r="BG18" i="19"/>
  <c r="BG19" i="19"/>
  <c r="BG20" i="19"/>
  <c r="BG21" i="19"/>
  <c r="BH11" i="19"/>
  <c r="BH12" i="19"/>
  <c r="BH13" i="19"/>
  <c r="BH14" i="19"/>
  <c r="BH15" i="19"/>
  <c r="BH16" i="19"/>
  <c r="BH17" i="19"/>
  <c r="BH3" i="19"/>
  <c r="BH18" i="19"/>
  <c r="BH19" i="19"/>
  <c r="BH20" i="19"/>
  <c r="BH21" i="19"/>
  <c r="BI11" i="19"/>
  <c r="BI12" i="19"/>
  <c r="BI13" i="19"/>
  <c r="BI14" i="19"/>
  <c r="BI15" i="19"/>
  <c r="BI16" i="19"/>
  <c r="BI17" i="19"/>
  <c r="BI3" i="19"/>
  <c r="BI18" i="19"/>
  <c r="BI19" i="19"/>
  <c r="BI20" i="19"/>
  <c r="BI21" i="19"/>
  <c r="BJ11" i="19"/>
  <c r="BJ17" i="7"/>
  <c r="BJ12" i="19"/>
  <c r="BJ13" i="19"/>
  <c r="BJ14" i="19"/>
  <c r="BJ15" i="19"/>
  <c r="BJ16" i="19"/>
  <c r="BJ17" i="19"/>
  <c r="BJ3" i="19"/>
  <c r="BJ18" i="19"/>
  <c r="BJ19" i="19"/>
  <c r="BJ20" i="19"/>
  <c r="BJ21" i="19"/>
  <c r="L2" i="19"/>
  <c r="M2" i="19"/>
  <c r="N2" i="19"/>
  <c r="O2" i="19"/>
  <c r="P2" i="19"/>
  <c r="Q2" i="19"/>
  <c r="R2" i="19"/>
  <c r="S2" i="19"/>
  <c r="T2" i="19"/>
  <c r="U2" i="19"/>
  <c r="V2" i="19"/>
  <c r="W2" i="19"/>
  <c r="X2" i="19"/>
  <c r="Y2" i="19"/>
  <c r="Z2" i="19"/>
  <c r="AA2" i="19"/>
  <c r="AB2" i="19"/>
  <c r="AC2" i="19"/>
  <c r="AD2" i="19"/>
  <c r="AE2" i="19"/>
  <c r="AF2" i="19"/>
  <c r="AG2" i="19"/>
  <c r="AH2" i="19"/>
  <c r="AI2" i="19"/>
  <c r="AJ2" i="19"/>
  <c r="AK2" i="19"/>
  <c r="AL2" i="19"/>
  <c r="AM2" i="19"/>
  <c r="AN2" i="19"/>
  <c r="AO2" i="19"/>
  <c r="AP2" i="19"/>
  <c r="AQ2" i="19"/>
  <c r="AR2" i="19"/>
  <c r="AS2" i="19"/>
  <c r="AT2" i="19"/>
  <c r="AU2" i="19"/>
  <c r="AV2" i="19"/>
  <c r="AW2" i="19"/>
  <c r="AX2" i="19"/>
  <c r="AY2" i="19"/>
  <c r="AZ2" i="19"/>
  <c r="BA2" i="19"/>
  <c r="BB2" i="19"/>
  <c r="BC2" i="19"/>
  <c r="BD2" i="19"/>
  <c r="BE2" i="19"/>
  <c r="BF2" i="19"/>
  <c r="BG2" i="19"/>
  <c r="BH2" i="19"/>
  <c r="BI2" i="19"/>
  <c r="BJ2" i="19"/>
  <c r="Y26" i="19"/>
  <c r="X26" i="19"/>
  <c r="G2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W26" i="19"/>
  <c r="V26" i="19"/>
  <c r="U26" i="19"/>
  <c r="T26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X31" i="13"/>
  <c r="Y31" i="13"/>
  <c r="Z31" i="13"/>
  <c r="AA31" i="13"/>
  <c r="AB31" i="13"/>
  <c r="AC31" i="13"/>
  <c r="AD31" i="13"/>
  <c r="AE31" i="13"/>
  <c r="AF31" i="13"/>
  <c r="AG31" i="13"/>
  <c r="AH31" i="13"/>
  <c r="AI31" i="13"/>
  <c r="AJ31" i="13"/>
  <c r="AK31" i="13"/>
  <c r="AL31" i="13"/>
  <c r="AM31" i="13"/>
  <c r="AN31" i="13"/>
  <c r="AO31" i="13"/>
  <c r="AP31" i="13"/>
  <c r="AQ31" i="13"/>
  <c r="V2" i="13"/>
  <c r="W2" i="13"/>
  <c r="X2" i="13"/>
  <c r="Y2" i="13"/>
  <c r="Z2" i="13"/>
  <c r="AA2" i="13"/>
  <c r="AB2" i="13"/>
  <c r="AC2" i="13"/>
  <c r="AD2" i="13"/>
  <c r="AE2" i="13"/>
  <c r="AF2" i="13"/>
  <c r="AG2" i="13"/>
  <c r="AH2" i="13"/>
  <c r="AI2" i="13"/>
  <c r="AJ2" i="13"/>
  <c r="AK2" i="13"/>
  <c r="AL2" i="13"/>
  <c r="AM2" i="13"/>
  <c r="AN2" i="13"/>
  <c r="AO2" i="13"/>
  <c r="AP2" i="13"/>
  <c r="AQ2" i="13"/>
  <c r="AR2" i="13"/>
  <c r="AS2" i="13"/>
  <c r="AT2" i="13"/>
  <c r="AU2" i="13"/>
  <c r="AV2" i="13"/>
  <c r="AW2" i="13"/>
  <c r="AX2" i="13"/>
  <c r="AY2" i="13"/>
  <c r="AZ2" i="13"/>
  <c r="BA2" i="13"/>
  <c r="BB2" i="13"/>
  <c r="BC2" i="13"/>
  <c r="BD2" i="13"/>
  <c r="BE2" i="13"/>
  <c r="BF2" i="13"/>
  <c r="BG2" i="13"/>
  <c r="BH2" i="13"/>
  <c r="BI2" i="13"/>
  <c r="BJ2" i="13"/>
  <c r="AP32" i="13"/>
  <c r="AO44" i="10"/>
  <c r="BG29" i="24"/>
  <c r="AO32" i="13"/>
  <c r="AN44" i="10"/>
  <c r="BF29" i="24"/>
  <c r="AN32" i="13"/>
  <c r="AM44" i="10"/>
  <c r="BE29" i="24"/>
  <c r="AM32" i="13"/>
  <c r="AL44" i="10"/>
  <c r="BD29" i="24"/>
  <c r="AL32" i="13"/>
  <c r="AK44" i="10"/>
  <c r="BC29" i="24"/>
  <c r="AK32" i="13"/>
  <c r="AJ44" i="10"/>
  <c r="BB29" i="24"/>
  <c r="AJ32" i="13"/>
  <c r="AI44" i="10"/>
  <c r="BA29" i="24"/>
  <c r="AI32" i="13"/>
  <c r="AH44" i="10"/>
  <c r="AZ29" i="24"/>
  <c r="AH32" i="13"/>
  <c r="AG44" i="10"/>
  <c r="AY29" i="24"/>
  <c r="AG32" i="13"/>
  <c r="AF44" i="10"/>
  <c r="AX29" i="24"/>
  <c r="AF32" i="13"/>
  <c r="AE44" i="10"/>
  <c r="AW29" i="24"/>
  <c r="AE32" i="13"/>
  <c r="AD44" i="10"/>
  <c r="AV29" i="24"/>
  <c r="AD32" i="13"/>
  <c r="AC44" i="10"/>
  <c r="AU29" i="24"/>
  <c r="AC32" i="13"/>
  <c r="AB44" i="10"/>
  <c r="AT29" i="24"/>
  <c r="AB32" i="13"/>
  <c r="AA44" i="10"/>
  <c r="AS29" i="24"/>
  <c r="AA32" i="13"/>
  <c r="Z44" i="10"/>
  <c r="AR29" i="24"/>
  <c r="Z32" i="13"/>
  <c r="Y44" i="10"/>
  <c r="AQ29" i="24"/>
  <c r="Y32" i="13"/>
  <c r="X44" i="10"/>
  <c r="AP29" i="24"/>
  <c r="X32" i="13"/>
  <c r="W44" i="10"/>
  <c r="AO29" i="24"/>
  <c r="W32" i="13"/>
  <c r="V44" i="10"/>
  <c r="AN29" i="24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AO31" i="7"/>
  <c r="AO43" i="10"/>
  <c r="BG28" i="24"/>
  <c r="AN31" i="7"/>
  <c r="AN43" i="10"/>
  <c r="BF28" i="24"/>
  <c r="AM31" i="7"/>
  <c r="AM43" i="10"/>
  <c r="BE28" i="24"/>
  <c r="AL31" i="7"/>
  <c r="AL43" i="10"/>
  <c r="BD28" i="24"/>
  <c r="AK31" i="7"/>
  <c r="AK43" i="10"/>
  <c r="BC28" i="24"/>
  <c r="AJ31" i="7"/>
  <c r="AJ43" i="10"/>
  <c r="BB28" i="24"/>
  <c r="AI31" i="7"/>
  <c r="AI43" i="10"/>
  <c r="BA28" i="24"/>
  <c r="AH31" i="7"/>
  <c r="AH43" i="10"/>
  <c r="AZ28" i="24"/>
  <c r="AG31" i="7"/>
  <c r="AG43" i="10"/>
  <c r="AY28" i="24"/>
  <c r="AF31" i="7"/>
  <c r="AF43" i="10"/>
  <c r="AX28" i="24"/>
  <c r="AE31" i="7"/>
  <c r="AE43" i="10"/>
  <c r="AW28" i="24"/>
  <c r="AD31" i="7"/>
  <c r="AD43" i="10"/>
  <c r="AV28" i="24"/>
  <c r="AC31" i="7"/>
  <c r="AC43" i="10"/>
  <c r="AU28" i="24"/>
  <c r="AB31" i="7"/>
  <c r="AB43" i="10"/>
  <c r="AT28" i="24"/>
  <c r="AA31" i="7"/>
  <c r="AA43" i="10"/>
  <c r="AS28" i="24"/>
  <c r="Z31" i="7"/>
  <c r="Z43" i="10"/>
  <c r="AR28" i="24"/>
  <c r="Y31" i="7"/>
  <c r="Y43" i="10"/>
  <c r="AQ28" i="24"/>
  <c r="X31" i="7"/>
  <c r="X43" i="10"/>
  <c r="AP28" i="24"/>
  <c r="W31" i="7"/>
  <c r="W43" i="10"/>
  <c r="AO28" i="24"/>
  <c r="V31" i="7"/>
  <c r="V43" i="10"/>
  <c r="AN28" i="24"/>
  <c r="AO30" i="7"/>
  <c r="AO42" i="10"/>
  <c r="BG27" i="24"/>
  <c r="AN30" i="7"/>
  <c r="AN42" i="10"/>
  <c r="BF27" i="24"/>
  <c r="AM30" i="7"/>
  <c r="AM42" i="10"/>
  <c r="BE27" i="24"/>
  <c r="AL30" i="7"/>
  <c r="AL42" i="10"/>
  <c r="BD27" i="24"/>
  <c r="AK30" i="7"/>
  <c r="AK42" i="10"/>
  <c r="BC27" i="24"/>
  <c r="AJ30" i="7"/>
  <c r="AJ42" i="10"/>
  <c r="BB27" i="24"/>
  <c r="AI30" i="7"/>
  <c r="AI42" i="10"/>
  <c r="BA27" i="24"/>
  <c r="AH30" i="7"/>
  <c r="AH42" i="10"/>
  <c r="AZ27" i="24"/>
  <c r="AG30" i="7"/>
  <c r="AG42" i="10"/>
  <c r="AY27" i="24"/>
  <c r="AF30" i="7"/>
  <c r="AF42" i="10"/>
  <c r="AX27" i="24"/>
  <c r="AE30" i="7"/>
  <c r="AE42" i="10"/>
  <c r="AW27" i="24"/>
  <c r="AD30" i="7"/>
  <c r="AD42" i="10"/>
  <c r="AV27" i="24"/>
  <c r="AC30" i="7"/>
  <c r="AC42" i="10"/>
  <c r="AU27" i="24"/>
  <c r="AB30" i="7"/>
  <c r="AB42" i="10"/>
  <c r="AT27" i="24"/>
  <c r="AA30" i="7"/>
  <c r="AA42" i="10"/>
  <c r="AS27" i="24"/>
  <c r="Z30" i="7"/>
  <c r="Z42" i="10"/>
  <c r="AR27" i="24"/>
  <c r="Y30" i="7"/>
  <c r="Y42" i="10"/>
  <c r="AQ27" i="24"/>
  <c r="X30" i="7"/>
  <c r="X42" i="10"/>
  <c r="AP27" i="24"/>
  <c r="W30" i="7"/>
  <c r="W42" i="10"/>
  <c r="AO27" i="24"/>
  <c r="V30" i="7"/>
  <c r="V42" i="10"/>
  <c r="AN27" i="24"/>
  <c r="AO29" i="7"/>
  <c r="AO41" i="10"/>
  <c r="BG26" i="24"/>
  <c r="AN29" i="7"/>
  <c r="AN41" i="10"/>
  <c r="BF26" i="24"/>
  <c r="AM29" i="7"/>
  <c r="AM41" i="10"/>
  <c r="BE26" i="24"/>
  <c r="AL29" i="7"/>
  <c r="AL41" i="10"/>
  <c r="BD26" i="24"/>
  <c r="AK29" i="7"/>
  <c r="AK41" i="10"/>
  <c r="BC26" i="24"/>
  <c r="AJ29" i="7"/>
  <c r="AJ41" i="10"/>
  <c r="BB26" i="24"/>
  <c r="AI29" i="7"/>
  <c r="AI41" i="10"/>
  <c r="BA26" i="24"/>
  <c r="AH29" i="7"/>
  <c r="AH41" i="10"/>
  <c r="AZ26" i="24"/>
  <c r="AG29" i="7"/>
  <c r="AG41" i="10"/>
  <c r="AY26" i="24"/>
  <c r="AF29" i="7"/>
  <c r="AF41" i="10"/>
  <c r="AX26" i="24"/>
  <c r="AE29" i="7"/>
  <c r="AE41" i="10"/>
  <c r="AW26" i="24"/>
  <c r="AD29" i="7"/>
  <c r="AD41" i="10"/>
  <c r="AV26" i="24"/>
  <c r="AC29" i="7"/>
  <c r="AC41" i="10"/>
  <c r="AU26" i="24"/>
  <c r="AB29" i="7"/>
  <c r="AB41" i="10"/>
  <c r="AT26" i="24"/>
  <c r="AA29" i="7"/>
  <c r="AA41" i="10"/>
  <c r="AS26" i="24"/>
  <c r="Z29" i="7"/>
  <c r="Z41" i="10"/>
  <c r="AR26" i="24"/>
  <c r="Y29" i="7"/>
  <c r="Y41" i="10"/>
  <c r="AQ26" i="24"/>
  <c r="X29" i="7"/>
  <c r="X41" i="10"/>
  <c r="AP26" i="24"/>
  <c r="W29" i="7"/>
  <c r="W41" i="10"/>
  <c r="AO26" i="24"/>
  <c r="V29" i="7"/>
  <c r="V41" i="10"/>
  <c r="AN26" i="24"/>
  <c r="AP75" i="21"/>
  <c r="AO40" i="10"/>
  <c r="BG25" i="24"/>
  <c r="AO75" i="21"/>
  <c r="AN40" i="10"/>
  <c r="BF25" i="24"/>
  <c r="AN75" i="21"/>
  <c r="AM40" i="10"/>
  <c r="BE25" i="24"/>
  <c r="AM75" i="21"/>
  <c r="AL40" i="10"/>
  <c r="BD25" i="24"/>
  <c r="AL75" i="21"/>
  <c r="AK40" i="10"/>
  <c r="BC25" i="24"/>
  <c r="AK75" i="21"/>
  <c r="AJ40" i="10"/>
  <c r="BB25" i="24"/>
  <c r="AJ75" i="21"/>
  <c r="AI40" i="10"/>
  <c r="BA25" i="24"/>
  <c r="AI75" i="21"/>
  <c r="AH40" i="10"/>
  <c r="AZ25" i="24"/>
  <c r="AH75" i="21"/>
  <c r="AG40" i="10"/>
  <c r="AY25" i="24"/>
  <c r="AG75" i="21"/>
  <c r="AF40" i="10"/>
  <c r="AX25" i="24"/>
  <c r="AF75" i="21"/>
  <c r="AE40" i="10"/>
  <c r="AW25" i="24"/>
  <c r="AE75" i="21"/>
  <c r="AD40" i="10"/>
  <c r="AV25" i="24"/>
  <c r="AD75" i="21"/>
  <c r="AC40" i="10"/>
  <c r="AU25" i="24"/>
  <c r="AC75" i="21"/>
  <c r="AB40" i="10"/>
  <c r="AT25" i="24"/>
  <c r="AB75" i="21"/>
  <c r="AA40" i="10"/>
  <c r="AS25" i="24"/>
  <c r="AA75" i="21"/>
  <c r="Z40" i="10"/>
  <c r="AR25" i="24"/>
  <c r="Z75" i="21"/>
  <c r="Y40" i="10"/>
  <c r="AQ25" i="24"/>
  <c r="Y75" i="21"/>
  <c r="X40" i="10"/>
  <c r="AP25" i="24"/>
  <c r="X75" i="21"/>
  <c r="W40" i="10"/>
  <c r="AO25" i="24"/>
  <c r="W75" i="21"/>
  <c r="V40" i="10"/>
  <c r="AN25" i="24"/>
  <c r="AO39" i="10"/>
  <c r="BG24" i="24"/>
  <c r="AN39" i="10"/>
  <c r="BF24" i="24"/>
  <c r="AM39" i="10"/>
  <c r="BE24" i="24"/>
  <c r="AL39" i="10"/>
  <c r="BD24" i="24"/>
  <c r="AK39" i="10"/>
  <c r="BC24" i="24"/>
  <c r="AJ39" i="10"/>
  <c r="BB24" i="24"/>
  <c r="AI39" i="10"/>
  <c r="BA24" i="24"/>
  <c r="AH39" i="10"/>
  <c r="AZ24" i="24"/>
  <c r="AG39" i="10"/>
  <c r="AY24" i="24"/>
  <c r="AF39" i="10"/>
  <c r="AX24" i="24"/>
  <c r="AE39" i="10"/>
  <c r="AW24" i="24"/>
  <c r="AD39" i="10"/>
  <c r="AV24" i="24"/>
  <c r="AC39" i="10"/>
  <c r="AU24" i="24"/>
  <c r="AB39" i="10"/>
  <c r="AT24" i="24"/>
  <c r="AA39" i="10"/>
  <c r="AS24" i="24"/>
  <c r="Z39" i="10"/>
  <c r="AR24" i="24"/>
  <c r="Y39" i="10"/>
  <c r="AQ24" i="24"/>
  <c r="X39" i="10"/>
  <c r="AP24" i="24"/>
  <c r="W39" i="10"/>
  <c r="AO24" i="24"/>
  <c r="W38" i="10"/>
  <c r="X38" i="10"/>
  <c r="Y38" i="10"/>
  <c r="Z38" i="10"/>
  <c r="AA38" i="10"/>
  <c r="AB38" i="10"/>
  <c r="AC38" i="10"/>
  <c r="AD38" i="10"/>
  <c r="AE38" i="10"/>
  <c r="AF38" i="10"/>
  <c r="AG38" i="10"/>
  <c r="AH38" i="10"/>
  <c r="AI38" i="10"/>
  <c r="AJ38" i="10"/>
  <c r="AK38" i="10"/>
  <c r="AL38" i="10"/>
  <c r="AM38" i="10"/>
  <c r="AN38" i="10"/>
  <c r="AO38" i="10"/>
  <c r="BG23" i="24"/>
  <c r="BF23" i="24"/>
  <c r="BE23" i="24"/>
  <c r="BD23" i="24"/>
  <c r="BC23" i="24"/>
  <c r="BB23" i="24"/>
  <c r="BA23" i="24"/>
  <c r="AZ23" i="24"/>
  <c r="AY23" i="24"/>
  <c r="AX23" i="24"/>
  <c r="AW23" i="24"/>
  <c r="AV23" i="24"/>
  <c r="AU23" i="24"/>
  <c r="AT23" i="24"/>
  <c r="AS23" i="24"/>
  <c r="AR23" i="24"/>
  <c r="AQ23" i="24"/>
  <c r="AP23" i="24"/>
  <c r="AO23" i="24"/>
  <c r="AM29" i="24"/>
  <c r="AM28" i="24"/>
  <c r="AM27" i="24"/>
  <c r="AM26" i="24"/>
  <c r="AM25" i="24"/>
  <c r="AN23" i="24"/>
  <c r="AM24" i="24"/>
  <c r="V39" i="10"/>
  <c r="AN24" i="24"/>
  <c r="AP31" i="7"/>
  <c r="AP43" i="10"/>
  <c r="AP30" i="7"/>
  <c r="AP42" i="10"/>
  <c r="AP29" i="7"/>
  <c r="AP41" i="10"/>
  <c r="AQ32" i="13"/>
  <c r="AP44" i="10"/>
  <c r="AQ75" i="21"/>
  <c r="AP40" i="10"/>
  <c r="X74" i="21"/>
  <c r="Y74" i="21"/>
  <c r="Z74" i="21"/>
  <c r="AA74" i="21"/>
  <c r="AB74" i="21"/>
  <c r="AC74" i="21"/>
  <c r="AD74" i="21"/>
  <c r="AE74" i="21"/>
  <c r="AF74" i="21"/>
  <c r="AG74" i="21"/>
  <c r="AH74" i="21"/>
  <c r="AI74" i="21"/>
  <c r="AJ74" i="21"/>
  <c r="AK74" i="21"/>
  <c r="AL74" i="21"/>
  <c r="AM74" i="21"/>
  <c r="AN74" i="21"/>
  <c r="AO74" i="21"/>
  <c r="AP74" i="21"/>
  <c r="AQ74" i="21"/>
  <c r="AP39" i="10"/>
  <c r="AP38" i="10"/>
  <c r="E23" i="6"/>
  <c r="AR10" i="24"/>
  <c r="E22" i="6"/>
  <c r="AR9" i="24"/>
  <c r="E21" i="6"/>
  <c r="AR8" i="24"/>
  <c r="E19" i="6"/>
  <c r="AR7" i="24"/>
  <c r="E17" i="6"/>
  <c r="AR6" i="24"/>
  <c r="E15" i="6"/>
  <c r="AR5" i="24"/>
  <c r="E14" i="6"/>
  <c r="AR4" i="24"/>
  <c r="E37" i="6"/>
  <c r="Q9" i="24"/>
  <c r="E36" i="6"/>
  <c r="E56" i="6"/>
  <c r="Q8" i="24"/>
  <c r="H61" i="6"/>
  <c r="H60" i="6"/>
  <c r="G13" i="19"/>
  <c r="G14" i="19"/>
  <c r="G15" i="19"/>
  <c r="G16" i="19"/>
  <c r="G17" i="19"/>
  <c r="G3" i="19"/>
  <c r="G18" i="19"/>
  <c r="G19" i="19"/>
  <c r="G20" i="19"/>
  <c r="G21" i="19"/>
  <c r="E21" i="19"/>
  <c r="D61" i="21"/>
  <c r="BJ62" i="21"/>
  <c r="BJ63" i="21"/>
  <c r="BJ15" i="17"/>
  <c r="BJ17" i="17"/>
  <c r="BJ12" i="17"/>
  <c r="BJ13" i="17"/>
  <c r="BJ14" i="17"/>
  <c r="BJ16" i="17"/>
  <c r="BJ18" i="17"/>
  <c r="BJ9" i="17"/>
  <c r="BJ19" i="17"/>
  <c r="BJ17" i="13"/>
  <c r="BI62" i="21"/>
  <c r="BI63" i="21"/>
  <c r="BI15" i="17"/>
  <c r="BI17" i="17"/>
  <c r="BI12" i="17"/>
  <c r="BI13" i="17"/>
  <c r="BI14" i="17"/>
  <c r="BI16" i="17"/>
  <c r="BI18" i="17"/>
  <c r="BI9" i="17"/>
  <c r="BI19" i="17"/>
  <c r="BI17" i="13"/>
  <c r="BH62" i="21"/>
  <c r="BH63" i="21"/>
  <c r="BH15" i="17"/>
  <c r="BH17" i="17"/>
  <c r="BH12" i="17"/>
  <c r="BH13" i="17"/>
  <c r="BH14" i="17"/>
  <c r="BH16" i="17"/>
  <c r="BH18" i="17"/>
  <c r="BH9" i="17"/>
  <c r="BH19" i="17"/>
  <c r="BH17" i="13"/>
  <c r="BG62" i="21"/>
  <c r="BG63" i="21"/>
  <c r="BG15" i="17"/>
  <c r="BG17" i="17"/>
  <c r="BG12" i="17"/>
  <c r="BG13" i="17"/>
  <c r="BG14" i="17"/>
  <c r="BG16" i="17"/>
  <c r="BG18" i="17"/>
  <c r="BG9" i="17"/>
  <c r="BG19" i="17"/>
  <c r="BG17" i="13"/>
  <c r="BF62" i="21"/>
  <c r="BF63" i="21"/>
  <c r="BF15" i="17"/>
  <c r="BF17" i="17"/>
  <c r="BF12" i="17"/>
  <c r="BF13" i="17"/>
  <c r="BF14" i="17"/>
  <c r="BF16" i="17"/>
  <c r="BF18" i="17"/>
  <c r="BF9" i="17"/>
  <c r="BF19" i="17"/>
  <c r="BF17" i="13"/>
  <c r="BE62" i="21"/>
  <c r="BE63" i="21"/>
  <c r="BE15" i="17"/>
  <c r="BE17" i="17"/>
  <c r="BE12" i="17"/>
  <c r="BE13" i="17"/>
  <c r="BE14" i="17"/>
  <c r="BE16" i="17"/>
  <c r="BE18" i="17"/>
  <c r="BE9" i="17"/>
  <c r="BE19" i="17"/>
  <c r="BE17" i="13"/>
  <c r="BD62" i="21"/>
  <c r="BD63" i="21"/>
  <c r="BD15" i="17"/>
  <c r="BD17" i="17"/>
  <c r="BD12" i="17"/>
  <c r="BD13" i="17"/>
  <c r="BD14" i="17"/>
  <c r="BD16" i="17"/>
  <c r="BD18" i="17"/>
  <c r="BD9" i="17"/>
  <c r="BD19" i="17"/>
  <c r="BD17" i="13"/>
  <c r="BC62" i="21"/>
  <c r="BC63" i="21"/>
  <c r="BC15" i="17"/>
  <c r="BC17" i="17"/>
  <c r="BC12" i="17"/>
  <c r="BC13" i="17"/>
  <c r="BC14" i="17"/>
  <c r="BC16" i="17"/>
  <c r="BC18" i="17"/>
  <c r="BC9" i="17"/>
  <c r="BC19" i="17"/>
  <c r="BC17" i="13"/>
  <c r="BB62" i="21"/>
  <c r="BB63" i="21"/>
  <c r="BB15" i="17"/>
  <c r="BB17" i="17"/>
  <c r="BB12" i="17"/>
  <c r="BB13" i="17"/>
  <c r="BB14" i="17"/>
  <c r="BB16" i="17"/>
  <c r="BB18" i="17"/>
  <c r="BB9" i="17"/>
  <c r="BB19" i="17"/>
  <c r="BB17" i="13"/>
  <c r="BA62" i="21"/>
  <c r="BA63" i="21"/>
  <c r="BA15" i="17"/>
  <c r="BA17" i="17"/>
  <c r="BA12" i="17"/>
  <c r="BA13" i="17"/>
  <c r="BA14" i="17"/>
  <c r="BA16" i="17"/>
  <c r="BA18" i="17"/>
  <c r="BA9" i="17"/>
  <c r="BA19" i="17"/>
  <c r="BA17" i="13"/>
  <c r="AZ62" i="21"/>
  <c r="AZ63" i="21"/>
  <c r="AZ15" i="17"/>
  <c r="AZ17" i="17"/>
  <c r="AZ12" i="17"/>
  <c r="AZ13" i="17"/>
  <c r="AZ14" i="17"/>
  <c r="AZ16" i="17"/>
  <c r="AZ18" i="17"/>
  <c r="AZ9" i="17"/>
  <c r="AZ19" i="17"/>
  <c r="AZ17" i="13"/>
  <c r="AY62" i="21"/>
  <c r="AY63" i="21"/>
  <c r="AY15" i="17"/>
  <c r="AY17" i="17"/>
  <c r="AY12" i="17"/>
  <c r="AY13" i="17"/>
  <c r="AY14" i="17"/>
  <c r="AY16" i="17"/>
  <c r="AY18" i="17"/>
  <c r="AY9" i="17"/>
  <c r="AY19" i="17"/>
  <c r="AY17" i="13"/>
  <c r="AX62" i="21"/>
  <c r="AX63" i="21"/>
  <c r="AX15" i="17"/>
  <c r="AX17" i="17"/>
  <c r="AX12" i="17"/>
  <c r="AX13" i="17"/>
  <c r="AX14" i="17"/>
  <c r="AX16" i="17"/>
  <c r="AX18" i="17"/>
  <c r="AX9" i="17"/>
  <c r="AX19" i="17"/>
  <c r="AX17" i="13"/>
  <c r="AW62" i="21"/>
  <c r="AW63" i="21"/>
  <c r="AW15" i="17"/>
  <c r="AW17" i="17"/>
  <c r="AW12" i="17"/>
  <c r="AW13" i="17"/>
  <c r="AW14" i="17"/>
  <c r="AW16" i="17"/>
  <c r="AW18" i="17"/>
  <c r="AW9" i="17"/>
  <c r="AW19" i="17"/>
  <c r="AW17" i="13"/>
  <c r="AV62" i="21"/>
  <c r="AV63" i="21"/>
  <c r="AV15" i="17"/>
  <c r="AV17" i="17"/>
  <c r="AV12" i="17"/>
  <c r="AV13" i="17"/>
  <c r="AV14" i="17"/>
  <c r="AV16" i="17"/>
  <c r="AV18" i="17"/>
  <c r="AV9" i="17"/>
  <c r="AV19" i="17"/>
  <c r="AV17" i="13"/>
  <c r="AU62" i="21"/>
  <c r="AU63" i="21"/>
  <c r="AU15" i="17"/>
  <c r="AU17" i="17"/>
  <c r="AU12" i="17"/>
  <c r="AU13" i="17"/>
  <c r="AU14" i="17"/>
  <c r="AU16" i="17"/>
  <c r="AU18" i="17"/>
  <c r="AU9" i="17"/>
  <c r="AU19" i="17"/>
  <c r="AU17" i="13"/>
  <c r="AT62" i="21"/>
  <c r="AT63" i="21"/>
  <c r="AT15" i="17"/>
  <c r="AT17" i="17"/>
  <c r="AT12" i="17"/>
  <c r="AT13" i="17"/>
  <c r="AT14" i="17"/>
  <c r="AT16" i="17"/>
  <c r="AT18" i="17"/>
  <c r="AT9" i="17"/>
  <c r="AT19" i="17"/>
  <c r="AT17" i="13"/>
  <c r="AS62" i="21"/>
  <c r="AS63" i="21"/>
  <c r="AS15" i="17"/>
  <c r="AS17" i="17"/>
  <c r="AS12" i="17"/>
  <c r="AS13" i="17"/>
  <c r="AS14" i="17"/>
  <c r="AS16" i="17"/>
  <c r="AS18" i="17"/>
  <c r="AS9" i="17"/>
  <c r="AS19" i="17"/>
  <c r="AS17" i="13"/>
  <c r="AR62" i="21"/>
  <c r="AR63" i="21"/>
  <c r="AR15" i="17"/>
  <c r="AR17" i="17"/>
  <c r="AR12" i="17"/>
  <c r="AR13" i="17"/>
  <c r="AR14" i="17"/>
  <c r="AR16" i="17"/>
  <c r="AR18" i="17"/>
  <c r="AR9" i="17"/>
  <c r="AR19" i="17"/>
  <c r="AR17" i="13"/>
  <c r="AQ62" i="21"/>
  <c r="AQ63" i="21"/>
  <c r="AQ15" i="17"/>
  <c r="AQ17" i="17"/>
  <c r="AQ12" i="17"/>
  <c r="AQ13" i="17"/>
  <c r="AQ14" i="17"/>
  <c r="AQ16" i="17"/>
  <c r="AQ18" i="17"/>
  <c r="AQ9" i="17"/>
  <c r="AQ19" i="17"/>
  <c r="AQ17" i="13"/>
  <c r="AP62" i="21"/>
  <c r="AP63" i="21"/>
  <c r="AP15" i="17"/>
  <c r="AP17" i="17"/>
  <c r="AP12" i="17"/>
  <c r="AP13" i="17"/>
  <c r="AP14" i="17"/>
  <c r="AP16" i="17"/>
  <c r="AP18" i="17"/>
  <c r="AP9" i="17"/>
  <c r="AP19" i="17"/>
  <c r="AP17" i="13"/>
  <c r="AO62" i="21"/>
  <c r="AO63" i="21"/>
  <c r="AO15" i="17"/>
  <c r="AO17" i="17"/>
  <c r="AO12" i="17"/>
  <c r="AO13" i="17"/>
  <c r="AO14" i="17"/>
  <c r="AO16" i="17"/>
  <c r="AO18" i="17"/>
  <c r="AO9" i="17"/>
  <c r="AO19" i="17"/>
  <c r="AO17" i="13"/>
  <c r="AN62" i="21"/>
  <c r="AN63" i="21"/>
  <c r="AN15" i="17"/>
  <c r="AN17" i="17"/>
  <c r="AN12" i="17"/>
  <c r="AN13" i="17"/>
  <c r="AN14" i="17"/>
  <c r="AN16" i="17"/>
  <c r="AN18" i="17"/>
  <c r="AN9" i="17"/>
  <c r="AN19" i="17"/>
  <c r="AN17" i="13"/>
  <c r="AM62" i="21"/>
  <c r="AM63" i="21"/>
  <c r="AM15" i="17"/>
  <c r="AM17" i="17"/>
  <c r="AM12" i="17"/>
  <c r="AM13" i="17"/>
  <c r="AM14" i="17"/>
  <c r="AM16" i="17"/>
  <c r="AM18" i="17"/>
  <c r="AM9" i="17"/>
  <c r="AM19" i="17"/>
  <c r="AM17" i="13"/>
  <c r="AL62" i="21"/>
  <c r="AL63" i="21"/>
  <c r="AL15" i="17"/>
  <c r="AL17" i="17"/>
  <c r="AL12" i="17"/>
  <c r="AL13" i="17"/>
  <c r="AL14" i="17"/>
  <c r="AL16" i="17"/>
  <c r="AL18" i="17"/>
  <c r="AL9" i="17"/>
  <c r="AL19" i="17"/>
  <c r="AL17" i="13"/>
  <c r="AK62" i="21"/>
  <c r="AK63" i="21"/>
  <c r="AK15" i="17"/>
  <c r="AK17" i="17"/>
  <c r="AK12" i="17"/>
  <c r="AK13" i="17"/>
  <c r="AK14" i="17"/>
  <c r="AK16" i="17"/>
  <c r="AK18" i="17"/>
  <c r="AK9" i="17"/>
  <c r="AK19" i="17"/>
  <c r="AK17" i="13"/>
  <c r="AJ62" i="21"/>
  <c r="AJ63" i="21"/>
  <c r="AJ15" i="17"/>
  <c r="AJ17" i="17"/>
  <c r="AJ12" i="17"/>
  <c r="AJ13" i="17"/>
  <c r="AJ14" i="17"/>
  <c r="AJ16" i="17"/>
  <c r="AJ18" i="17"/>
  <c r="AJ9" i="17"/>
  <c r="AJ19" i="17"/>
  <c r="AJ17" i="13"/>
  <c r="AI62" i="21"/>
  <c r="AI63" i="21"/>
  <c r="AI15" i="17"/>
  <c r="AI17" i="17"/>
  <c r="AI12" i="17"/>
  <c r="AI13" i="17"/>
  <c r="AI14" i="17"/>
  <c r="AI16" i="17"/>
  <c r="AI18" i="17"/>
  <c r="AI9" i="17"/>
  <c r="AI19" i="17"/>
  <c r="AI17" i="13"/>
  <c r="AH62" i="21"/>
  <c r="AH63" i="21"/>
  <c r="AH15" i="17"/>
  <c r="AH17" i="17"/>
  <c r="AH12" i="17"/>
  <c r="AH13" i="17"/>
  <c r="AH14" i="17"/>
  <c r="AH16" i="17"/>
  <c r="AH18" i="17"/>
  <c r="AH9" i="17"/>
  <c r="AH19" i="17"/>
  <c r="AH17" i="13"/>
  <c r="AG62" i="21"/>
  <c r="AG63" i="21"/>
  <c r="AG15" i="17"/>
  <c r="AG17" i="17"/>
  <c r="AG12" i="17"/>
  <c r="AG13" i="17"/>
  <c r="AG14" i="17"/>
  <c r="AG16" i="17"/>
  <c r="AG18" i="17"/>
  <c r="AG9" i="17"/>
  <c r="AG19" i="17"/>
  <c r="AG17" i="13"/>
  <c r="AF62" i="21"/>
  <c r="AF63" i="21"/>
  <c r="AF15" i="17"/>
  <c r="AF17" i="17"/>
  <c r="AF12" i="17"/>
  <c r="AF13" i="17"/>
  <c r="AF14" i="17"/>
  <c r="AF16" i="17"/>
  <c r="AF18" i="17"/>
  <c r="AF9" i="17"/>
  <c r="AF19" i="17"/>
  <c r="AF17" i="13"/>
  <c r="AE62" i="21"/>
  <c r="AE63" i="21"/>
  <c r="AE15" i="17"/>
  <c r="AE17" i="17"/>
  <c r="AE12" i="17"/>
  <c r="AE13" i="17"/>
  <c r="AE14" i="17"/>
  <c r="AE16" i="17"/>
  <c r="AE18" i="17"/>
  <c r="AE9" i="17"/>
  <c r="AE19" i="17"/>
  <c r="AE17" i="13"/>
  <c r="AD62" i="21"/>
  <c r="AD63" i="21"/>
  <c r="AD15" i="17"/>
  <c r="AD17" i="17"/>
  <c r="AD12" i="17"/>
  <c r="AD13" i="17"/>
  <c r="AD14" i="17"/>
  <c r="AD16" i="17"/>
  <c r="AD18" i="17"/>
  <c r="AD9" i="17"/>
  <c r="AD19" i="17"/>
  <c r="AD17" i="13"/>
  <c r="AC62" i="21"/>
  <c r="AC63" i="21"/>
  <c r="AC15" i="17"/>
  <c r="AC17" i="17"/>
  <c r="AC12" i="17"/>
  <c r="AC13" i="17"/>
  <c r="AC14" i="17"/>
  <c r="AC16" i="17"/>
  <c r="AC18" i="17"/>
  <c r="AC9" i="17"/>
  <c r="AC19" i="17"/>
  <c r="AC17" i="13"/>
  <c r="AB62" i="21"/>
  <c r="AB63" i="21"/>
  <c r="AB15" i="17"/>
  <c r="AB17" i="17"/>
  <c r="AB12" i="17"/>
  <c r="AB13" i="17"/>
  <c r="AB14" i="17"/>
  <c r="AB16" i="17"/>
  <c r="AB18" i="17"/>
  <c r="AB9" i="17"/>
  <c r="AB19" i="17"/>
  <c r="AB17" i="13"/>
  <c r="AA62" i="21"/>
  <c r="AA63" i="21"/>
  <c r="AA15" i="17"/>
  <c r="AA17" i="17"/>
  <c r="AA12" i="17"/>
  <c r="AA13" i="17"/>
  <c r="AA14" i="17"/>
  <c r="AA16" i="17"/>
  <c r="AA18" i="17"/>
  <c r="AA9" i="17"/>
  <c r="AA19" i="17"/>
  <c r="AA17" i="13"/>
  <c r="Z62" i="21"/>
  <c r="Z63" i="21"/>
  <c r="Z15" i="17"/>
  <c r="Z17" i="17"/>
  <c r="Z12" i="17"/>
  <c r="Z13" i="17"/>
  <c r="Z14" i="17"/>
  <c r="Z16" i="17"/>
  <c r="Z18" i="17"/>
  <c r="Z9" i="17"/>
  <c r="Z19" i="17"/>
  <c r="Z17" i="13"/>
  <c r="Y62" i="21"/>
  <c r="Y63" i="21"/>
  <c r="Y15" i="17"/>
  <c r="Y17" i="17"/>
  <c r="Y12" i="17"/>
  <c r="Y13" i="17"/>
  <c r="Y14" i="17"/>
  <c r="Y16" i="17"/>
  <c r="Y18" i="17"/>
  <c r="Y9" i="17"/>
  <c r="Y19" i="17"/>
  <c r="Y17" i="13"/>
  <c r="X62" i="21"/>
  <c r="X63" i="21"/>
  <c r="X15" i="17"/>
  <c r="X17" i="17"/>
  <c r="X12" i="17"/>
  <c r="X13" i="17"/>
  <c r="X14" i="17"/>
  <c r="X16" i="17"/>
  <c r="X18" i="17"/>
  <c r="X9" i="17"/>
  <c r="X19" i="17"/>
  <c r="X17" i="13"/>
  <c r="W62" i="21"/>
  <c r="W63" i="21"/>
  <c r="W15" i="17"/>
  <c r="W17" i="17"/>
  <c r="W12" i="17"/>
  <c r="W13" i="17"/>
  <c r="W14" i="17"/>
  <c r="W16" i="17"/>
  <c r="W18" i="17"/>
  <c r="W9" i="17"/>
  <c r="W19" i="17"/>
  <c r="W17" i="13"/>
  <c r="V62" i="21"/>
  <c r="V63" i="21"/>
  <c r="V15" i="17"/>
  <c r="V17" i="17"/>
  <c r="V12" i="17"/>
  <c r="V13" i="17"/>
  <c r="V14" i="17"/>
  <c r="V16" i="17"/>
  <c r="V18" i="17"/>
  <c r="V9" i="17"/>
  <c r="V19" i="17"/>
  <c r="V17" i="13"/>
  <c r="U62" i="21"/>
  <c r="U63" i="21"/>
  <c r="U15" i="17"/>
  <c r="U17" i="17"/>
  <c r="U12" i="17"/>
  <c r="U13" i="17"/>
  <c r="U14" i="17"/>
  <c r="U16" i="17"/>
  <c r="U18" i="17"/>
  <c r="U9" i="17"/>
  <c r="U19" i="17"/>
  <c r="U17" i="13"/>
  <c r="T62" i="21"/>
  <c r="T63" i="21"/>
  <c r="T15" i="17"/>
  <c r="T17" i="17"/>
  <c r="T12" i="17"/>
  <c r="T13" i="17"/>
  <c r="T14" i="17"/>
  <c r="T16" i="17"/>
  <c r="T18" i="17"/>
  <c r="T9" i="17"/>
  <c r="T19" i="17"/>
  <c r="T17" i="13"/>
  <c r="S62" i="21"/>
  <c r="S63" i="21"/>
  <c r="S15" i="17"/>
  <c r="S17" i="17"/>
  <c r="S12" i="17"/>
  <c r="S13" i="17"/>
  <c r="S14" i="17"/>
  <c r="S16" i="17"/>
  <c r="S18" i="17"/>
  <c r="S9" i="17"/>
  <c r="S19" i="17"/>
  <c r="S17" i="13"/>
  <c r="R62" i="21"/>
  <c r="R63" i="21"/>
  <c r="R15" i="17"/>
  <c r="R17" i="17"/>
  <c r="R12" i="17"/>
  <c r="R13" i="17"/>
  <c r="R14" i="17"/>
  <c r="R16" i="17"/>
  <c r="R18" i="17"/>
  <c r="R9" i="17"/>
  <c r="R19" i="17"/>
  <c r="R17" i="13"/>
  <c r="Q62" i="21"/>
  <c r="Q63" i="21"/>
  <c r="Q15" i="17"/>
  <c r="Q17" i="17"/>
  <c r="Q12" i="17"/>
  <c r="Q13" i="17"/>
  <c r="Q14" i="17"/>
  <c r="Q16" i="17"/>
  <c r="Q18" i="17"/>
  <c r="Q9" i="17"/>
  <c r="Q19" i="17"/>
  <c r="Q17" i="13"/>
  <c r="P62" i="21"/>
  <c r="P63" i="21"/>
  <c r="P15" i="17"/>
  <c r="P17" i="17"/>
  <c r="P12" i="17"/>
  <c r="P13" i="17"/>
  <c r="P14" i="17"/>
  <c r="P16" i="17"/>
  <c r="P18" i="17"/>
  <c r="P9" i="17"/>
  <c r="P19" i="17"/>
  <c r="P17" i="13"/>
  <c r="O62" i="21"/>
  <c r="O63" i="21"/>
  <c r="O15" i="17"/>
  <c r="O17" i="17"/>
  <c r="O12" i="17"/>
  <c r="O13" i="17"/>
  <c r="O14" i="17"/>
  <c r="O16" i="17"/>
  <c r="O18" i="17"/>
  <c r="O9" i="17"/>
  <c r="O19" i="17"/>
  <c r="O17" i="13"/>
  <c r="N62" i="21"/>
  <c r="N63" i="21"/>
  <c r="N15" i="17"/>
  <c r="N17" i="17"/>
  <c r="N12" i="17"/>
  <c r="N13" i="17"/>
  <c r="N14" i="17"/>
  <c r="N16" i="17"/>
  <c r="N18" i="17"/>
  <c r="N9" i="17"/>
  <c r="N19" i="17"/>
  <c r="N17" i="13"/>
  <c r="M62" i="21"/>
  <c r="M63" i="21"/>
  <c r="M15" i="17"/>
  <c r="M17" i="17"/>
  <c r="M12" i="17"/>
  <c r="M13" i="17"/>
  <c r="M14" i="17"/>
  <c r="M16" i="17"/>
  <c r="M18" i="17"/>
  <c r="M9" i="17"/>
  <c r="M19" i="17"/>
  <c r="M17" i="13"/>
  <c r="L62" i="21"/>
  <c r="L63" i="21"/>
  <c r="L15" i="17"/>
  <c r="L17" i="17"/>
  <c r="L12" i="17"/>
  <c r="L13" i="17"/>
  <c r="L14" i="17"/>
  <c r="L16" i="17"/>
  <c r="L18" i="17"/>
  <c r="L9" i="17"/>
  <c r="L19" i="17"/>
  <c r="L17" i="13"/>
  <c r="K62" i="21"/>
  <c r="K63" i="21"/>
  <c r="K15" i="17"/>
  <c r="K17" i="17"/>
  <c r="K12" i="17"/>
  <c r="K13" i="17"/>
  <c r="K14" i="17"/>
  <c r="K16" i="17"/>
  <c r="K18" i="17"/>
  <c r="K9" i="17"/>
  <c r="K19" i="17"/>
  <c r="K17" i="13"/>
  <c r="J62" i="21"/>
  <c r="J63" i="21"/>
  <c r="J15" i="17"/>
  <c r="J17" i="17"/>
  <c r="J12" i="17"/>
  <c r="J13" i="17"/>
  <c r="J14" i="17"/>
  <c r="J16" i="17"/>
  <c r="J18" i="17"/>
  <c r="J9" i="17"/>
  <c r="J19" i="17"/>
  <c r="J17" i="13"/>
  <c r="I62" i="21"/>
  <c r="I63" i="21"/>
  <c r="I15" i="17"/>
  <c r="I17" i="17"/>
  <c r="I12" i="17"/>
  <c r="I13" i="17"/>
  <c r="I14" i="17"/>
  <c r="I16" i="17"/>
  <c r="I18" i="17"/>
  <c r="I9" i="17"/>
  <c r="I19" i="17"/>
  <c r="I17" i="13"/>
  <c r="H62" i="21"/>
  <c r="H63" i="21"/>
  <c r="H15" i="17"/>
  <c r="H17" i="17"/>
  <c r="H12" i="17"/>
  <c r="H13" i="17"/>
  <c r="H14" i="17"/>
  <c r="H16" i="17"/>
  <c r="H18" i="17"/>
  <c r="H9" i="17"/>
  <c r="H19" i="17"/>
  <c r="H17" i="13"/>
  <c r="G62" i="21"/>
  <c r="G63" i="21"/>
  <c r="G15" i="17"/>
  <c r="G17" i="17"/>
  <c r="G12" i="17"/>
  <c r="G13" i="17"/>
  <c r="G14" i="17"/>
  <c r="G16" i="17"/>
  <c r="G18" i="17"/>
  <c r="G9" i="17"/>
  <c r="G19" i="17"/>
  <c r="G17" i="13"/>
  <c r="G47" i="9"/>
  <c r="G58" i="9"/>
  <c r="G62" i="9"/>
  <c r="G63" i="9"/>
  <c r="D66" i="9"/>
  <c r="D67" i="9"/>
  <c r="G64" i="9"/>
  <c r="G70" i="9"/>
  <c r="G73" i="9"/>
  <c r="G74" i="9"/>
  <c r="G80" i="9"/>
  <c r="G84" i="9"/>
  <c r="G21" i="13"/>
  <c r="G18" i="13"/>
  <c r="G19" i="13"/>
  <c r="G20" i="13"/>
  <c r="G22" i="13"/>
  <c r="D23" i="13"/>
  <c r="G24" i="13"/>
  <c r="G26" i="13"/>
  <c r="G27" i="13"/>
  <c r="BJ35" i="15"/>
  <c r="BJ36" i="15"/>
  <c r="BJ37" i="15"/>
  <c r="BJ39" i="15"/>
  <c r="BJ41" i="15"/>
  <c r="BI35" i="15"/>
  <c r="BI36" i="15"/>
  <c r="BI37" i="15"/>
  <c r="BI39" i="15"/>
  <c r="BI41" i="15"/>
  <c r="BH35" i="15"/>
  <c r="BH36" i="15"/>
  <c r="BH37" i="15"/>
  <c r="BH39" i="15"/>
  <c r="BH41" i="15"/>
  <c r="BG35" i="15"/>
  <c r="BG36" i="15"/>
  <c r="BG37" i="15"/>
  <c r="BG39" i="15"/>
  <c r="BG41" i="15"/>
  <c r="BF35" i="15"/>
  <c r="BF36" i="15"/>
  <c r="BF37" i="15"/>
  <c r="BF39" i="15"/>
  <c r="BF41" i="15"/>
  <c r="BE35" i="15"/>
  <c r="BE36" i="15"/>
  <c r="BE37" i="15"/>
  <c r="BE39" i="15"/>
  <c r="BE41" i="15"/>
  <c r="BD35" i="15"/>
  <c r="BD36" i="15"/>
  <c r="BD37" i="15"/>
  <c r="BD39" i="15"/>
  <c r="BD41" i="15"/>
  <c r="BC35" i="15"/>
  <c r="BC36" i="15"/>
  <c r="BC37" i="15"/>
  <c r="BC39" i="15"/>
  <c r="BC41" i="15"/>
  <c r="BB35" i="15"/>
  <c r="BB36" i="15"/>
  <c r="BB37" i="15"/>
  <c r="BB39" i="15"/>
  <c r="BB41" i="15"/>
  <c r="BA35" i="15"/>
  <c r="BA36" i="15"/>
  <c r="BA37" i="15"/>
  <c r="BA39" i="15"/>
  <c r="BA41" i="15"/>
  <c r="AZ35" i="15"/>
  <c r="AZ36" i="15"/>
  <c r="AZ37" i="15"/>
  <c r="AZ39" i="15"/>
  <c r="AZ41" i="15"/>
  <c r="AY35" i="15"/>
  <c r="AY36" i="15"/>
  <c r="AY37" i="15"/>
  <c r="AY39" i="15"/>
  <c r="AY41" i="15"/>
  <c r="AX35" i="15"/>
  <c r="AX36" i="15"/>
  <c r="AX37" i="15"/>
  <c r="AX39" i="15"/>
  <c r="AX41" i="15"/>
  <c r="AW35" i="15"/>
  <c r="AW36" i="15"/>
  <c r="AW37" i="15"/>
  <c r="AW39" i="15"/>
  <c r="AW41" i="15"/>
  <c r="AV20" i="15"/>
  <c r="AV35" i="15"/>
  <c r="AV36" i="15"/>
  <c r="AV37" i="15"/>
  <c r="AV39" i="15"/>
  <c r="AV41" i="15"/>
  <c r="AU20" i="15"/>
  <c r="AU35" i="15"/>
  <c r="AU36" i="15"/>
  <c r="AU37" i="15"/>
  <c r="AU39" i="15"/>
  <c r="AU41" i="15"/>
  <c r="AT20" i="15"/>
  <c r="AT30" i="15"/>
  <c r="AT35" i="15"/>
  <c r="AT36" i="15"/>
  <c r="AT37" i="15"/>
  <c r="AT39" i="15"/>
  <c r="AT41" i="15"/>
  <c r="AS20" i="15"/>
  <c r="AS35" i="15"/>
  <c r="AS36" i="15"/>
  <c r="AS37" i="15"/>
  <c r="AS39" i="15"/>
  <c r="AS41" i="15"/>
  <c r="AR20" i="15"/>
  <c r="AR35" i="15"/>
  <c r="AR36" i="15"/>
  <c r="AR37" i="15"/>
  <c r="AR39" i="15"/>
  <c r="AR41" i="15"/>
  <c r="AQ20" i="15"/>
  <c r="AQ35" i="15"/>
  <c r="AQ36" i="15"/>
  <c r="AQ37" i="15"/>
  <c r="AQ39" i="15"/>
  <c r="AQ41" i="15"/>
  <c r="AP20" i="15"/>
  <c r="AP35" i="15"/>
  <c r="AP36" i="15"/>
  <c r="AP37" i="15"/>
  <c r="AP39" i="15"/>
  <c r="AP41" i="15"/>
  <c r="AO41" i="15"/>
  <c r="AN41" i="15"/>
  <c r="AM41" i="15"/>
  <c r="AL41" i="15"/>
  <c r="AK20" i="15"/>
  <c r="AK35" i="15"/>
  <c r="AK36" i="15"/>
  <c r="AK37" i="15"/>
  <c r="AK39" i="15"/>
  <c r="AK41" i="15"/>
  <c r="AJ35" i="15"/>
  <c r="AJ36" i="15"/>
  <c r="AJ37" i="15"/>
  <c r="AJ39" i="15"/>
  <c r="AJ41" i="15"/>
  <c r="AI35" i="15"/>
  <c r="AI36" i="15"/>
  <c r="AI37" i="15"/>
  <c r="AI39" i="15"/>
  <c r="AI41" i="15"/>
  <c r="AH35" i="15"/>
  <c r="AH36" i="15"/>
  <c r="AH37" i="15"/>
  <c r="AH39" i="15"/>
  <c r="AH41" i="15"/>
  <c r="AG35" i="15"/>
  <c r="AG36" i="15"/>
  <c r="AG37" i="15"/>
  <c r="AG39" i="15"/>
  <c r="AG41" i="15"/>
  <c r="AF35" i="15"/>
  <c r="AF36" i="15"/>
  <c r="AF37" i="15"/>
  <c r="AF39" i="15"/>
  <c r="AF41" i="15"/>
  <c r="AE35" i="15"/>
  <c r="AE36" i="15"/>
  <c r="AE37" i="15"/>
  <c r="AE39" i="15"/>
  <c r="AE41" i="15"/>
  <c r="AD35" i="15"/>
  <c r="AD36" i="15"/>
  <c r="AD37" i="15"/>
  <c r="AD39" i="15"/>
  <c r="AD41" i="15"/>
  <c r="AC35" i="15"/>
  <c r="AC36" i="15"/>
  <c r="AC37" i="15"/>
  <c r="AC39" i="15"/>
  <c r="AC41" i="15"/>
  <c r="AB35" i="15"/>
  <c r="AB36" i="15"/>
  <c r="AB37" i="15"/>
  <c r="AB39" i="15"/>
  <c r="AB41" i="15"/>
  <c r="AA35" i="15"/>
  <c r="AA36" i="15"/>
  <c r="AA37" i="15"/>
  <c r="AA39" i="15"/>
  <c r="AA41" i="15"/>
  <c r="Z35" i="15"/>
  <c r="Z36" i="15"/>
  <c r="Z37" i="15"/>
  <c r="Z39" i="15"/>
  <c r="Z41" i="15"/>
  <c r="Y35" i="15"/>
  <c r="Y36" i="15"/>
  <c r="Y37" i="15"/>
  <c r="Y39" i="15"/>
  <c r="Y41" i="15"/>
  <c r="X35" i="15"/>
  <c r="X36" i="15"/>
  <c r="X37" i="15"/>
  <c r="X39" i="15"/>
  <c r="X41" i="15"/>
  <c r="W35" i="15"/>
  <c r="W36" i="15"/>
  <c r="W37" i="15"/>
  <c r="W39" i="15"/>
  <c r="W41" i="15"/>
  <c r="V35" i="15"/>
  <c r="V36" i="15"/>
  <c r="V37" i="15"/>
  <c r="V39" i="15"/>
  <c r="V41" i="15"/>
  <c r="U35" i="15"/>
  <c r="U36" i="15"/>
  <c r="U37" i="15"/>
  <c r="U39" i="15"/>
  <c r="U41" i="15"/>
  <c r="T35" i="15"/>
  <c r="T36" i="15"/>
  <c r="T37" i="15"/>
  <c r="T39" i="15"/>
  <c r="T41" i="15"/>
  <c r="S35" i="15"/>
  <c r="S36" i="15"/>
  <c r="S37" i="15"/>
  <c r="S39" i="15"/>
  <c r="S41" i="15"/>
  <c r="R35" i="15"/>
  <c r="R36" i="15"/>
  <c r="R37" i="15"/>
  <c r="R39" i="15"/>
  <c r="R41" i="15"/>
  <c r="Q35" i="15"/>
  <c r="Q36" i="15"/>
  <c r="Q37" i="15"/>
  <c r="Q39" i="15"/>
  <c r="Q41" i="15"/>
  <c r="P35" i="15"/>
  <c r="P36" i="15"/>
  <c r="P37" i="15"/>
  <c r="P39" i="15"/>
  <c r="P41" i="15"/>
  <c r="O35" i="15"/>
  <c r="O36" i="15"/>
  <c r="O37" i="15"/>
  <c r="O39" i="15"/>
  <c r="O41" i="15"/>
  <c r="N35" i="15"/>
  <c r="N36" i="15"/>
  <c r="N37" i="15"/>
  <c r="N39" i="15"/>
  <c r="N41" i="15"/>
  <c r="M35" i="15"/>
  <c r="M36" i="15"/>
  <c r="M37" i="15"/>
  <c r="M39" i="15"/>
  <c r="M41" i="15"/>
  <c r="L35" i="15"/>
  <c r="L36" i="15"/>
  <c r="L37" i="15"/>
  <c r="L39" i="15"/>
  <c r="L41" i="15"/>
  <c r="K35" i="15"/>
  <c r="K36" i="15"/>
  <c r="K37" i="15"/>
  <c r="K39" i="15"/>
  <c r="K41" i="15"/>
  <c r="J35" i="15"/>
  <c r="J36" i="15"/>
  <c r="J37" i="15"/>
  <c r="J39" i="15"/>
  <c r="J41" i="15"/>
  <c r="I35" i="15"/>
  <c r="I36" i="15"/>
  <c r="I37" i="15"/>
  <c r="I39" i="15"/>
  <c r="I41" i="15"/>
  <c r="H35" i="15"/>
  <c r="H36" i="15"/>
  <c r="H37" i="15"/>
  <c r="H39" i="15"/>
  <c r="H41" i="15"/>
  <c r="G35" i="15"/>
  <c r="G36" i="15"/>
  <c r="G37" i="15"/>
  <c r="G39" i="15"/>
  <c r="G41" i="15"/>
  <c r="BJ1" i="18"/>
  <c r="BJ11" i="18"/>
  <c r="BI1" i="18"/>
  <c r="BI11" i="18"/>
  <c r="BH1" i="18"/>
  <c r="BH11" i="18"/>
  <c r="BG1" i="18"/>
  <c r="BG11" i="18"/>
  <c r="BF1" i="18"/>
  <c r="BF11" i="18"/>
  <c r="BE1" i="18"/>
  <c r="BE11" i="18"/>
  <c r="BD1" i="18"/>
  <c r="BD11" i="18"/>
  <c r="BC1" i="18"/>
  <c r="BC11" i="18"/>
  <c r="BB1" i="18"/>
  <c r="BB11" i="18"/>
  <c r="BA1" i="18"/>
  <c r="BA11" i="18"/>
  <c r="AZ1" i="18"/>
  <c r="AZ11" i="18"/>
  <c r="AY1" i="18"/>
  <c r="AY11" i="18"/>
  <c r="AX1" i="18"/>
  <c r="AX11" i="18"/>
  <c r="AW1" i="18"/>
  <c r="AW11" i="18"/>
  <c r="AV1" i="18"/>
  <c r="AV11" i="18"/>
  <c r="AU1" i="18"/>
  <c r="AU11" i="18"/>
  <c r="AT1" i="18"/>
  <c r="AT11" i="18"/>
  <c r="AS1" i="18"/>
  <c r="AS11" i="18"/>
  <c r="AR1" i="18"/>
  <c r="AR11" i="18"/>
  <c r="AQ1" i="18"/>
  <c r="AQ11" i="18"/>
  <c r="AP1" i="18"/>
  <c r="AP11" i="18"/>
  <c r="AO1" i="18"/>
  <c r="AO11" i="18"/>
  <c r="AN1" i="18"/>
  <c r="AN11" i="18"/>
  <c r="AM1" i="18"/>
  <c r="AM11" i="18"/>
  <c r="AL1" i="18"/>
  <c r="AL11" i="18"/>
  <c r="AK1" i="18"/>
  <c r="AK11" i="18"/>
  <c r="AJ1" i="18"/>
  <c r="AJ11" i="18"/>
  <c r="AI1" i="18"/>
  <c r="AI11" i="18"/>
  <c r="AH1" i="18"/>
  <c r="AH11" i="18"/>
  <c r="AG1" i="18"/>
  <c r="AG11" i="18"/>
  <c r="AF1" i="18"/>
  <c r="AF11" i="18"/>
  <c r="AE1" i="18"/>
  <c r="AE11" i="18"/>
  <c r="AD1" i="18"/>
  <c r="AD11" i="18"/>
  <c r="AC1" i="18"/>
  <c r="AC11" i="18"/>
  <c r="AB1" i="18"/>
  <c r="AB11" i="18"/>
  <c r="AA1" i="18"/>
  <c r="AA11" i="18"/>
  <c r="Z1" i="18"/>
  <c r="Z11" i="18"/>
  <c r="Y1" i="18"/>
  <c r="Y11" i="18"/>
  <c r="X1" i="18"/>
  <c r="X11" i="18"/>
  <c r="W1" i="18"/>
  <c r="W11" i="18"/>
  <c r="V1" i="18"/>
  <c r="V11" i="18"/>
  <c r="U1" i="18"/>
  <c r="U11" i="18"/>
  <c r="T1" i="18"/>
  <c r="T11" i="18"/>
  <c r="S1" i="18"/>
  <c r="S11" i="18"/>
  <c r="R1" i="18"/>
  <c r="R11" i="18"/>
  <c r="Q1" i="18"/>
  <c r="Q11" i="18"/>
  <c r="P1" i="18"/>
  <c r="P11" i="18"/>
  <c r="O1" i="18"/>
  <c r="O11" i="18"/>
  <c r="N1" i="18"/>
  <c r="N11" i="18"/>
  <c r="M1" i="18"/>
  <c r="M11" i="18"/>
  <c r="L1" i="18"/>
  <c r="L11" i="18"/>
  <c r="K1" i="18"/>
  <c r="K11" i="18"/>
  <c r="J1" i="18"/>
  <c r="J11" i="18"/>
  <c r="I1" i="18"/>
  <c r="I11" i="18"/>
  <c r="H1" i="18"/>
  <c r="H11" i="18"/>
  <c r="G1" i="18"/>
  <c r="G11" i="18"/>
  <c r="G8" i="18"/>
  <c r="H8" i="18"/>
  <c r="I8" i="18"/>
  <c r="J8" i="18"/>
  <c r="K8" i="18"/>
  <c r="L8" i="18"/>
  <c r="M8" i="18"/>
  <c r="N8" i="18"/>
  <c r="O8" i="18"/>
  <c r="P8" i="18"/>
  <c r="Q8" i="18"/>
  <c r="R8" i="18"/>
  <c r="S8" i="18"/>
  <c r="T8" i="18"/>
  <c r="U8" i="18"/>
  <c r="V8" i="18"/>
  <c r="W8" i="18"/>
  <c r="X8" i="18"/>
  <c r="Y8" i="18"/>
  <c r="Z8" i="18"/>
  <c r="AA8" i="18"/>
  <c r="AB8" i="18"/>
  <c r="AC8" i="18"/>
  <c r="AD8" i="18"/>
  <c r="AE8" i="18"/>
  <c r="AF8" i="18"/>
  <c r="AG8" i="18"/>
  <c r="AH8" i="18"/>
  <c r="AI8" i="18"/>
  <c r="AJ8" i="18"/>
  <c r="AK8" i="18"/>
  <c r="AL8" i="18"/>
  <c r="AM8" i="18"/>
  <c r="AN8" i="18"/>
  <c r="AO8" i="18"/>
  <c r="AP8" i="18"/>
  <c r="AQ8" i="18"/>
  <c r="AR8" i="18"/>
  <c r="AS8" i="18"/>
  <c r="AT8" i="18"/>
  <c r="AU8" i="18"/>
  <c r="AV8" i="18"/>
  <c r="AW8" i="18"/>
  <c r="AX8" i="18"/>
  <c r="AY8" i="18"/>
  <c r="AZ8" i="18"/>
  <c r="BA8" i="18"/>
  <c r="BB8" i="18"/>
  <c r="BC8" i="18"/>
  <c r="BD8" i="18"/>
  <c r="BE8" i="18"/>
  <c r="BF8" i="18"/>
  <c r="BG8" i="18"/>
  <c r="BH8" i="18"/>
  <c r="BI8" i="18"/>
  <c r="BJ26" i="14"/>
  <c r="BJ8" i="18"/>
  <c r="E8" i="18"/>
  <c r="G9" i="18"/>
  <c r="H9" i="18"/>
  <c r="I9" i="18"/>
  <c r="J9" i="18"/>
  <c r="K9" i="18"/>
  <c r="L9" i="18"/>
  <c r="M9" i="18"/>
  <c r="N9" i="18"/>
  <c r="O9" i="18"/>
  <c r="P9" i="18"/>
  <c r="Q9" i="18"/>
  <c r="R9" i="18"/>
  <c r="S9" i="18"/>
  <c r="T9" i="18"/>
  <c r="U9" i="18"/>
  <c r="V9" i="18"/>
  <c r="W9" i="18"/>
  <c r="X9" i="18"/>
  <c r="Y9" i="18"/>
  <c r="Z9" i="18"/>
  <c r="AA9" i="18"/>
  <c r="AB9" i="18"/>
  <c r="AC9" i="18"/>
  <c r="AD9" i="18"/>
  <c r="AE9" i="18"/>
  <c r="AF9" i="18"/>
  <c r="AG9" i="18"/>
  <c r="AH9" i="18"/>
  <c r="AI9" i="18"/>
  <c r="AJ9" i="18"/>
  <c r="AK9" i="18"/>
  <c r="AL9" i="18"/>
  <c r="AM9" i="18"/>
  <c r="AN9" i="18"/>
  <c r="AO9" i="18"/>
  <c r="AP9" i="18"/>
  <c r="AQ9" i="18"/>
  <c r="AR9" i="18"/>
  <c r="AS9" i="18"/>
  <c r="AT9" i="18"/>
  <c r="AU9" i="18"/>
  <c r="AV9" i="18"/>
  <c r="AW9" i="18"/>
  <c r="AX9" i="18"/>
  <c r="AY9" i="18"/>
  <c r="AZ9" i="18"/>
  <c r="BA9" i="18"/>
  <c r="BB9" i="18"/>
  <c r="BC9" i="18"/>
  <c r="BD9" i="18"/>
  <c r="BE9" i="18"/>
  <c r="BF9" i="18"/>
  <c r="BG9" i="18"/>
  <c r="BH9" i="18"/>
  <c r="BI9" i="18"/>
  <c r="BJ9" i="18"/>
  <c r="E9" i="18"/>
  <c r="H47" i="9"/>
  <c r="G57" i="9"/>
  <c r="G59" i="9"/>
  <c r="H62" i="9"/>
  <c r="H63" i="9"/>
  <c r="H64" i="9"/>
  <c r="G69" i="9"/>
  <c r="G71" i="9"/>
  <c r="H73" i="9"/>
  <c r="H74" i="9"/>
  <c r="G61" i="9"/>
  <c r="G79" i="9"/>
  <c r="G81" i="9"/>
  <c r="G85" i="9"/>
  <c r="G10" i="18"/>
  <c r="H57" i="9"/>
  <c r="H58" i="9"/>
  <c r="I47" i="9"/>
  <c r="H59" i="9"/>
  <c r="I62" i="9"/>
  <c r="I63" i="9"/>
  <c r="I64" i="9"/>
  <c r="H69" i="9"/>
  <c r="H70" i="9"/>
  <c r="H71" i="9"/>
  <c r="I73" i="9"/>
  <c r="I74" i="9"/>
  <c r="H61" i="9"/>
  <c r="H79" i="9"/>
  <c r="H80" i="9"/>
  <c r="H81" i="9"/>
  <c r="H85" i="9"/>
  <c r="H10" i="18"/>
  <c r="I57" i="9"/>
  <c r="I58" i="9"/>
  <c r="J47" i="9"/>
  <c r="I59" i="9"/>
  <c r="J62" i="9"/>
  <c r="J63" i="9"/>
  <c r="J64" i="9"/>
  <c r="I69" i="9"/>
  <c r="I70" i="9"/>
  <c r="I71" i="9"/>
  <c r="J73" i="9"/>
  <c r="J74" i="9"/>
  <c r="I61" i="9"/>
  <c r="I79" i="9"/>
  <c r="I80" i="9"/>
  <c r="I81" i="9"/>
  <c r="I85" i="9"/>
  <c r="I10" i="18"/>
  <c r="J57" i="9"/>
  <c r="J58" i="9"/>
  <c r="K47" i="9"/>
  <c r="J59" i="9"/>
  <c r="K62" i="9"/>
  <c r="K63" i="9"/>
  <c r="K64" i="9"/>
  <c r="J69" i="9"/>
  <c r="J70" i="9"/>
  <c r="J71" i="9"/>
  <c r="K73" i="9"/>
  <c r="K74" i="9"/>
  <c r="J61" i="9"/>
  <c r="J79" i="9"/>
  <c r="J80" i="9"/>
  <c r="J81" i="9"/>
  <c r="J85" i="9"/>
  <c r="J10" i="18"/>
  <c r="K57" i="9"/>
  <c r="K58" i="9"/>
  <c r="L47" i="9"/>
  <c r="K59" i="9"/>
  <c r="L62" i="9"/>
  <c r="L63" i="9"/>
  <c r="L64" i="9"/>
  <c r="K69" i="9"/>
  <c r="K70" i="9"/>
  <c r="K71" i="9"/>
  <c r="L73" i="9"/>
  <c r="L74" i="9"/>
  <c r="K61" i="9"/>
  <c r="K79" i="9"/>
  <c r="K80" i="9"/>
  <c r="K81" i="9"/>
  <c r="K85" i="9"/>
  <c r="K10" i="18"/>
  <c r="L57" i="9"/>
  <c r="L58" i="9"/>
  <c r="M47" i="9"/>
  <c r="L59" i="9"/>
  <c r="M62" i="9"/>
  <c r="M63" i="9"/>
  <c r="M64" i="9"/>
  <c r="L69" i="9"/>
  <c r="L70" i="9"/>
  <c r="L71" i="9"/>
  <c r="M73" i="9"/>
  <c r="M74" i="9"/>
  <c r="L61" i="9"/>
  <c r="L79" i="9"/>
  <c r="L80" i="9"/>
  <c r="L81" i="9"/>
  <c r="L85" i="9"/>
  <c r="L10" i="18"/>
  <c r="M57" i="9"/>
  <c r="M58" i="9"/>
  <c r="N47" i="9"/>
  <c r="M59" i="9"/>
  <c r="N62" i="9"/>
  <c r="N63" i="9"/>
  <c r="N64" i="9"/>
  <c r="M69" i="9"/>
  <c r="M70" i="9"/>
  <c r="M71" i="9"/>
  <c r="N73" i="9"/>
  <c r="N74" i="9"/>
  <c r="M61" i="9"/>
  <c r="M79" i="9"/>
  <c r="M80" i="9"/>
  <c r="M81" i="9"/>
  <c r="M85" i="9"/>
  <c r="M10" i="18"/>
  <c r="N57" i="9"/>
  <c r="N58" i="9"/>
  <c r="O47" i="9"/>
  <c r="N59" i="9"/>
  <c r="O62" i="9"/>
  <c r="O63" i="9"/>
  <c r="O64" i="9"/>
  <c r="N69" i="9"/>
  <c r="N70" i="9"/>
  <c r="N71" i="9"/>
  <c r="O73" i="9"/>
  <c r="O74" i="9"/>
  <c r="N61" i="9"/>
  <c r="N79" i="9"/>
  <c r="N80" i="9"/>
  <c r="N81" i="9"/>
  <c r="N85" i="9"/>
  <c r="N10" i="18"/>
  <c r="O57" i="9"/>
  <c r="O58" i="9"/>
  <c r="P47" i="9"/>
  <c r="O59" i="9"/>
  <c r="P62" i="9"/>
  <c r="P63" i="9"/>
  <c r="P64" i="9"/>
  <c r="O69" i="9"/>
  <c r="O70" i="9"/>
  <c r="O71" i="9"/>
  <c r="P73" i="9"/>
  <c r="P74" i="9"/>
  <c r="O61" i="9"/>
  <c r="O79" i="9"/>
  <c r="O80" i="9"/>
  <c r="O81" i="9"/>
  <c r="O85" i="9"/>
  <c r="O10" i="18"/>
  <c r="P57" i="9"/>
  <c r="P58" i="9"/>
  <c r="Q47" i="9"/>
  <c r="P59" i="9"/>
  <c r="Q62" i="9"/>
  <c r="Q63" i="9"/>
  <c r="Q64" i="9"/>
  <c r="P69" i="9"/>
  <c r="P70" i="9"/>
  <c r="P71" i="9"/>
  <c r="Q73" i="9"/>
  <c r="Q74" i="9"/>
  <c r="P61" i="9"/>
  <c r="P79" i="9"/>
  <c r="P80" i="9"/>
  <c r="P81" i="9"/>
  <c r="P85" i="9"/>
  <c r="P10" i="18"/>
  <c r="Q57" i="9"/>
  <c r="Q58" i="9"/>
  <c r="R47" i="9"/>
  <c r="Q59" i="9"/>
  <c r="R62" i="9"/>
  <c r="R63" i="9"/>
  <c r="R64" i="9"/>
  <c r="Q69" i="9"/>
  <c r="Q70" i="9"/>
  <c r="Q71" i="9"/>
  <c r="R73" i="9"/>
  <c r="R74" i="9"/>
  <c r="Q61" i="9"/>
  <c r="Q79" i="9"/>
  <c r="Q80" i="9"/>
  <c r="Q81" i="9"/>
  <c r="Q85" i="9"/>
  <c r="Q10" i="18"/>
  <c r="R57" i="9"/>
  <c r="R58" i="9"/>
  <c r="S47" i="9"/>
  <c r="R59" i="9"/>
  <c r="S62" i="9"/>
  <c r="S63" i="9"/>
  <c r="S64" i="9"/>
  <c r="R69" i="9"/>
  <c r="R70" i="9"/>
  <c r="R71" i="9"/>
  <c r="S73" i="9"/>
  <c r="S74" i="9"/>
  <c r="R61" i="9"/>
  <c r="R79" i="9"/>
  <c r="R80" i="9"/>
  <c r="R81" i="9"/>
  <c r="R85" i="9"/>
  <c r="R10" i="18"/>
  <c r="S57" i="9"/>
  <c r="S58" i="9"/>
  <c r="T47" i="9"/>
  <c r="S59" i="9"/>
  <c r="T62" i="9"/>
  <c r="T63" i="9"/>
  <c r="T64" i="9"/>
  <c r="S69" i="9"/>
  <c r="S70" i="9"/>
  <c r="S71" i="9"/>
  <c r="T73" i="9"/>
  <c r="T74" i="9"/>
  <c r="S61" i="9"/>
  <c r="S79" i="9"/>
  <c r="S80" i="9"/>
  <c r="S81" i="9"/>
  <c r="S85" i="9"/>
  <c r="S10" i="18"/>
  <c r="T57" i="9"/>
  <c r="T58" i="9"/>
  <c r="U47" i="9"/>
  <c r="T59" i="9"/>
  <c r="U62" i="9"/>
  <c r="U63" i="9"/>
  <c r="U64" i="9"/>
  <c r="T69" i="9"/>
  <c r="T70" i="9"/>
  <c r="T71" i="9"/>
  <c r="U73" i="9"/>
  <c r="U74" i="9"/>
  <c r="T61" i="9"/>
  <c r="T79" i="9"/>
  <c r="T80" i="9"/>
  <c r="T81" i="9"/>
  <c r="T85" i="9"/>
  <c r="T10" i="18"/>
  <c r="U57" i="9"/>
  <c r="U58" i="9"/>
  <c r="V47" i="9"/>
  <c r="U59" i="9"/>
  <c r="V62" i="9"/>
  <c r="V63" i="9"/>
  <c r="V64" i="9"/>
  <c r="U69" i="9"/>
  <c r="U70" i="9"/>
  <c r="U71" i="9"/>
  <c r="V73" i="9"/>
  <c r="V74" i="9"/>
  <c r="U61" i="9"/>
  <c r="U79" i="9"/>
  <c r="U80" i="9"/>
  <c r="U81" i="9"/>
  <c r="U85" i="9"/>
  <c r="U10" i="18"/>
  <c r="D53" i="9"/>
  <c r="W47" i="9"/>
  <c r="V59" i="9"/>
  <c r="W62" i="9"/>
  <c r="W63" i="9"/>
  <c r="W64" i="9"/>
  <c r="V69" i="9"/>
  <c r="V70" i="9"/>
  <c r="V71" i="9"/>
  <c r="W73" i="9"/>
  <c r="W74" i="9"/>
  <c r="V61" i="9"/>
  <c r="V79" i="9"/>
  <c r="V80" i="9"/>
  <c r="V81" i="9"/>
  <c r="V85" i="9"/>
  <c r="V10" i="18"/>
  <c r="W57" i="9"/>
  <c r="D54" i="9"/>
  <c r="D55" i="9"/>
  <c r="D56" i="9"/>
  <c r="W58" i="9"/>
  <c r="X47" i="9"/>
  <c r="W59" i="9"/>
  <c r="X62" i="9"/>
  <c r="X63" i="9"/>
  <c r="X64" i="9"/>
  <c r="W69" i="9"/>
  <c r="W70" i="9"/>
  <c r="W71" i="9"/>
  <c r="X73" i="9"/>
  <c r="X74" i="9"/>
  <c r="W61" i="9"/>
  <c r="W79" i="9"/>
  <c r="W80" i="9"/>
  <c r="W81" i="9"/>
  <c r="W85" i="9"/>
  <c r="W10" i="18"/>
  <c r="X57" i="9"/>
  <c r="X58" i="9"/>
  <c r="Y47" i="9"/>
  <c r="X59" i="9"/>
  <c r="Y62" i="9"/>
  <c r="Y63" i="9"/>
  <c r="Y64" i="9"/>
  <c r="X69" i="9"/>
  <c r="X70" i="9"/>
  <c r="X71" i="9"/>
  <c r="Y73" i="9"/>
  <c r="Y74" i="9"/>
  <c r="X61" i="9"/>
  <c r="X79" i="9"/>
  <c r="X80" i="9"/>
  <c r="X81" i="9"/>
  <c r="X85" i="9"/>
  <c r="X10" i="18"/>
  <c r="Y57" i="9"/>
  <c r="Y58" i="9"/>
  <c r="Z47" i="9"/>
  <c r="Y59" i="9"/>
  <c r="Z62" i="9"/>
  <c r="Z63" i="9"/>
  <c r="Z64" i="9"/>
  <c r="Y69" i="9"/>
  <c r="Y70" i="9"/>
  <c r="Y71" i="9"/>
  <c r="Z73" i="9"/>
  <c r="Z74" i="9"/>
  <c r="Y61" i="9"/>
  <c r="Y79" i="9"/>
  <c r="Y80" i="9"/>
  <c r="Y81" i="9"/>
  <c r="Y85" i="9"/>
  <c r="Y10" i="18"/>
  <c r="Z57" i="9"/>
  <c r="Z58" i="9"/>
  <c r="AA47" i="9"/>
  <c r="Z59" i="9"/>
  <c r="AA62" i="9"/>
  <c r="AA63" i="9"/>
  <c r="AA64" i="9"/>
  <c r="Z69" i="9"/>
  <c r="Z70" i="9"/>
  <c r="Z71" i="9"/>
  <c r="AA73" i="9"/>
  <c r="AA74" i="9"/>
  <c r="Z61" i="9"/>
  <c r="Z79" i="9"/>
  <c r="Z80" i="9"/>
  <c r="Z81" i="9"/>
  <c r="Z85" i="9"/>
  <c r="Z10" i="18"/>
  <c r="AA57" i="9"/>
  <c r="AA58" i="9"/>
  <c r="AB47" i="9"/>
  <c r="AA59" i="9"/>
  <c r="AB62" i="9"/>
  <c r="AB63" i="9"/>
  <c r="AB64" i="9"/>
  <c r="AA69" i="9"/>
  <c r="AA70" i="9"/>
  <c r="AA71" i="9"/>
  <c r="AB73" i="9"/>
  <c r="AB74" i="9"/>
  <c r="AA61" i="9"/>
  <c r="AA79" i="9"/>
  <c r="AA80" i="9"/>
  <c r="AA81" i="9"/>
  <c r="AA85" i="9"/>
  <c r="AA10" i="18"/>
  <c r="AB57" i="9"/>
  <c r="AB58" i="9"/>
  <c r="AC47" i="9"/>
  <c r="AB59" i="9"/>
  <c r="AC62" i="9"/>
  <c r="AC63" i="9"/>
  <c r="AC64" i="9"/>
  <c r="AB69" i="9"/>
  <c r="AB70" i="9"/>
  <c r="AB71" i="9"/>
  <c r="AC73" i="9"/>
  <c r="AC74" i="9"/>
  <c r="AB61" i="9"/>
  <c r="AB79" i="9"/>
  <c r="AB80" i="9"/>
  <c r="AB81" i="9"/>
  <c r="AB85" i="9"/>
  <c r="AB10" i="18"/>
  <c r="AC57" i="9"/>
  <c r="AC58" i="9"/>
  <c r="AD47" i="9"/>
  <c r="AC59" i="9"/>
  <c r="AD62" i="9"/>
  <c r="AD63" i="9"/>
  <c r="AD64" i="9"/>
  <c r="AC69" i="9"/>
  <c r="AC70" i="9"/>
  <c r="AC71" i="9"/>
  <c r="AD73" i="9"/>
  <c r="AD74" i="9"/>
  <c r="AC61" i="9"/>
  <c r="AC79" i="9"/>
  <c r="AC80" i="9"/>
  <c r="AC81" i="9"/>
  <c r="AC85" i="9"/>
  <c r="AC10" i="18"/>
  <c r="AD57" i="9"/>
  <c r="AD58" i="9"/>
  <c r="AE47" i="9"/>
  <c r="AD59" i="9"/>
  <c r="AE62" i="9"/>
  <c r="AE63" i="9"/>
  <c r="AE64" i="9"/>
  <c r="AD69" i="9"/>
  <c r="AD70" i="9"/>
  <c r="AD71" i="9"/>
  <c r="AE73" i="9"/>
  <c r="AE74" i="9"/>
  <c r="AD61" i="9"/>
  <c r="AD79" i="9"/>
  <c r="AD80" i="9"/>
  <c r="AD81" i="9"/>
  <c r="AD85" i="9"/>
  <c r="AD10" i="18"/>
  <c r="AE57" i="9"/>
  <c r="AE58" i="9"/>
  <c r="AF47" i="9"/>
  <c r="AE59" i="9"/>
  <c r="AF62" i="9"/>
  <c r="AF63" i="9"/>
  <c r="AF64" i="9"/>
  <c r="AE69" i="9"/>
  <c r="AE70" i="9"/>
  <c r="AE71" i="9"/>
  <c r="AF73" i="9"/>
  <c r="AF74" i="9"/>
  <c r="AE61" i="9"/>
  <c r="AE79" i="9"/>
  <c r="AE80" i="9"/>
  <c r="AE81" i="9"/>
  <c r="AE85" i="9"/>
  <c r="AE10" i="18"/>
  <c r="AF57" i="9"/>
  <c r="AF58" i="9"/>
  <c r="AG47" i="9"/>
  <c r="AF59" i="9"/>
  <c r="AG62" i="9"/>
  <c r="AG63" i="9"/>
  <c r="AG64" i="9"/>
  <c r="AF69" i="9"/>
  <c r="AF70" i="9"/>
  <c r="AF71" i="9"/>
  <c r="AG73" i="9"/>
  <c r="AG74" i="9"/>
  <c r="AF61" i="9"/>
  <c r="AF79" i="9"/>
  <c r="AF80" i="9"/>
  <c r="AF81" i="9"/>
  <c r="AF85" i="9"/>
  <c r="AF10" i="18"/>
  <c r="AG57" i="9"/>
  <c r="AG58" i="9"/>
  <c r="AH47" i="9"/>
  <c r="AG59" i="9"/>
  <c r="AH62" i="9"/>
  <c r="AH63" i="9"/>
  <c r="AH64" i="9"/>
  <c r="AG69" i="9"/>
  <c r="AG70" i="9"/>
  <c r="AG71" i="9"/>
  <c r="AH73" i="9"/>
  <c r="AH74" i="9"/>
  <c r="AG61" i="9"/>
  <c r="AG79" i="9"/>
  <c r="AG80" i="9"/>
  <c r="AG81" i="9"/>
  <c r="AG85" i="9"/>
  <c r="AG10" i="18"/>
  <c r="AH57" i="9"/>
  <c r="AH58" i="9"/>
  <c r="AI47" i="9"/>
  <c r="AH59" i="9"/>
  <c r="AI62" i="9"/>
  <c r="AI63" i="9"/>
  <c r="AI64" i="9"/>
  <c r="AH69" i="9"/>
  <c r="AH70" i="9"/>
  <c r="AH71" i="9"/>
  <c r="AI73" i="9"/>
  <c r="AI74" i="9"/>
  <c r="AH61" i="9"/>
  <c r="AH79" i="9"/>
  <c r="AH80" i="9"/>
  <c r="AH81" i="9"/>
  <c r="AH85" i="9"/>
  <c r="AH10" i="18"/>
  <c r="AI57" i="9"/>
  <c r="AI58" i="9"/>
  <c r="AJ47" i="9"/>
  <c r="AI59" i="9"/>
  <c r="AJ62" i="9"/>
  <c r="AJ63" i="9"/>
  <c r="AJ64" i="9"/>
  <c r="AI69" i="9"/>
  <c r="AI70" i="9"/>
  <c r="AI71" i="9"/>
  <c r="AJ73" i="9"/>
  <c r="AJ74" i="9"/>
  <c r="AI61" i="9"/>
  <c r="AI79" i="9"/>
  <c r="AI80" i="9"/>
  <c r="AI81" i="9"/>
  <c r="AI85" i="9"/>
  <c r="AI10" i="18"/>
  <c r="AJ57" i="9"/>
  <c r="AJ58" i="9"/>
  <c r="AK47" i="9"/>
  <c r="AJ59" i="9"/>
  <c r="AK62" i="9"/>
  <c r="AK63" i="9"/>
  <c r="AK64" i="9"/>
  <c r="AJ69" i="9"/>
  <c r="AJ70" i="9"/>
  <c r="AJ71" i="9"/>
  <c r="AK73" i="9"/>
  <c r="AK74" i="9"/>
  <c r="AJ61" i="9"/>
  <c r="AJ79" i="9"/>
  <c r="AJ80" i="9"/>
  <c r="AJ81" i="9"/>
  <c r="AJ85" i="9"/>
  <c r="AJ10" i="18"/>
  <c r="AK57" i="9"/>
  <c r="AK58" i="9"/>
  <c r="AL47" i="9"/>
  <c r="AK59" i="9"/>
  <c r="AL62" i="9"/>
  <c r="AL63" i="9"/>
  <c r="AL64" i="9"/>
  <c r="AK71" i="9"/>
  <c r="AL73" i="9"/>
  <c r="AL74" i="9"/>
  <c r="AK61" i="9"/>
  <c r="AK79" i="9"/>
  <c r="AK80" i="9"/>
  <c r="AK81" i="9"/>
  <c r="AK85" i="9"/>
  <c r="AK10" i="18"/>
  <c r="AL57" i="9"/>
  <c r="AL58" i="9"/>
  <c r="AM47" i="9"/>
  <c r="AL59" i="9"/>
  <c r="AM62" i="9"/>
  <c r="AM63" i="9"/>
  <c r="AM64" i="9"/>
  <c r="AL65" i="9"/>
  <c r="AL69" i="9"/>
  <c r="G65" i="9"/>
  <c r="H65" i="9"/>
  <c r="I65" i="9"/>
  <c r="J65" i="9"/>
  <c r="K65" i="9"/>
  <c r="L65" i="9"/>
  <c r="M65" i="9"/>
  <c r="N65" i="9"/>
  <c r="O65" i="9"/>
  <c r="P65" i="9"/>
  <c r="Q65" i="9"/>
  <c r="R65" i="9"/>
  <c r="S65" i="9"/>
  <c r="T65" i="9"/>
  <c r="U65" i="9"/>
  <c r="V65" i="9"/>
  <c r="W65" i="9"/>
  <c r="X65" i="9"/>
  <c r="Y65" i="9"/>
  <c r="Z65" i="9"/>
  <c r="AA65" i="9"/>
  <c r="AB65" i="9"/>
  <c r="AC65" i="9"/>
  <c r="AD65" i="9"/>
  <c r="AE65" i="9"/>
  <c r="AF65" i="9"/>
  <c r="AG65" i="9"/>
  <c r="AH65" i="9"/>
  <c r="AI65" i="9"/>
  <c r="AJ65" i="9"/>
  <c r="AK65" i="9"/>
  <c r="AM65" i="9"/>
  <c r="AN65" i="9"/>
  <c r="AO65" i="9"/>
  <c r="AP65" i="9"/>
  <c r="AQ65" i="9"/>
  <c r="AR65" i="9"/>
  <c r="AS65" i="9"/>
  <c r="AT65" i="9"/>
  <c r="AU65" i="9"/>
  <c r="AV65" i="9"/>
  <c r="AW65" i="9"/>
  <c r="AX65" i="9"/>
  <c r="AY65" i="9"/>
  <c r="AZ65" i="9"/>
  <c r="BA65" i="9"/>
  <c r="BB65" i="9"/>
  <c r="BC65" i="9"/>
  <c r="BD65" i="9"/>
  <c r="BE65" i="9"/>
  <c r="BF65" i="9"/>
  <c r="BG65" i="9"/>
  <c r="BH65" i="9"/>
  <c r="BI65" i="9"/>
  <c r="BJ65" i="9"/>
  <c r="E65" i="9"/>
  <c r="D68" i="9"/>
  <c r="AL70" i="9"/>
  <c r="AL71" i="9"/>
  <c r="AM73" i="9"/>
  <c r="AM74" i="9"/>
  <c r="AL61" i="9"/>
  <c r="AL75" i="9"/>
  <c r="AL79" i="9"/>
  <c r="AL80" i="9"/>
  <c r="AL81" i="9"/>
  <c r="AL85" i="9"/>
  <c r="AL10" i="18"/>
  <c r="AM57" i="9"/>
  <c r="AM58" i="9"/>
  <c r="AN47" i="9"/>
  <c r="AM59" i="9"/>
  <c r="AN62" i="9"/>
  <c r="AN63" i="9"/>
  <c r="AN64" i="9"/>
  <c r="AM70" i="9"/>
  <c r="AM69" i="9"/>
  <c r="AM71" i="9"/>
  <c r="AN73" i="9"/>
  <c r="AN74" i="9"/>
  <c r="AM61" i="9"/>
  <c r="AM79" i="9"/>
  <c r="AM80" i="9"/>
  <c r="AM81" i="9"/>
  <c r="AM85" i="9"/>
  <c r="AM10" i="18"/>
  <c r="AN57" i="9"/>
  <c r="AN58" i="9"/>
  <c r="AO47" i="9"/>
  <c r="AN59" i="9"/>
  <c r="AO62" i="9"/>
  <c r="AO63" i="9"/>
  <c r="AO64" i="9"/>
  <c r="AN70" i="9"/>
  <c r="AN69" i="9"/>
  <c r="AN71" i="9"/>
  <c r="AO73" i="9"/>
  <c r="AO74" i="9"/>
  <c r="AN61" i="9"/>
  <c r="AN79" i="9"/>
  <c r="AN80" i="9"/>
  <c r="AN81" i="9"/>
  <c r="AN85" i="9"/>
  <c r="AN10" i="18"/>
  <c r="AO57" i="9"/>
  <c r="AO58" i="9"/>
  <c r="AP47" i="9"/>
  <c r="AO59" i="9"/>
  <c r="AP62" i="9"/>
  <c r="AP63" i="9"/>
  <c r="AP64" i="9"/>
  <c r="AO70" i="9"/>
  <c r="AO69" i="9"/>
  <c r="AO71" i="9"/>
  <c r="AP73" i="9"/>
  <c r="AP74" i="9"/>
  <c r="AO61" i="9"/>
  <c r="AO79" i="9"/>
  <c r="AO80" i="9"/>
  <c r="AO81" i="9"/>
  <c r="AO85" i="9"/>
  <c r="AO10" i="18"/>
  <c r="AP57" i="9"/>
  <c r="AP58" i="9"/>
  <c r="AQ47" i="9"/>
  <c r="AP59" i="9"/>
  <c r="AQ62" i="9"/>
  <c r="AQ63" i="9"/>
  <c r="AQ64" i="9"/>
  <c r="AP70" i="9"/>
  <c r="AP69" i="9"/>
  <c r="AP71" i="9"/>
  <c r="AQ73" i="9"/>
  <c r="AQ74" i="9"/>
  <c r="AP61" i="9"/>
  <c r="AP79" i="9"/>
  <c r="AP80" i="9"/>
  <c r="AP81" i="9"/>
  <c r="AP85" i="9"/>
  <c r="AP10" i="18"/>
  <c r="AQ57" i="9"/>
  <c r="AQ58" i="9"/>
  <c r="AR47" i="9"/>
  <c r="AQ59" i="9"/>
  <c r="AR62" i="9"/>
  <c r="AR63" i="9"/>
  <c r="AR64" i="9"/>
  <c r="AQ70" i="9"/>
  <c r="AQ69" i="9"/>
  <c r="AQ71" i="9"/>
  <c r="AR73" i="9"/>
  <c r="AR74" i="9"/>
  <c r="AQ61" i="9"/>
  <c r="AQ79" i="9"/>
  <c r="AQ80" i="9"/>
  <c r="AQ81" i="9"/>
  <c r="AQ85" i="9"/>
  <c r="AQ10" i="18"/>
  <c r="AR57" i="9"/>
  <c r="AR58" i="9"/>
  <c r="AS47" i="9"/>
  <c r="AR59" i="9"/>
  <c r="AS62" i="9"/>
  <c r="AS63" i="9"/>
  <c r="AS64" i="9"/>
  <c r="AR70" i="9"/>
  <c r="AR69" i="9"/>
  <c r="AR71" i="9"/>
  <c r="AS73" i="9"/>
  <c r="AS74" i="9"/>
  <c r="AR61" i="9"/>
  <c r="AR79" i="9"/>
  <c r="AR80" i="9"/>
  <c r="AR81" i="9"/>
  <c r="AR85" i="9"/>
  <c r="AR10" i="18"/>
  <c r="AS57" i="9"/>
  <c r="AS58" i="9"/>
  <c r="AT47" i="9"/>
  <c r="AS59" i="9"/>
  <c r="AT62" i="9"/>
  <c r="AT63" i="9"/>
  <c r="AT64" i="9"/>
  <c r="AS70" i="9"/>
  <c r="AS69" i="9"/>
  <c r="AS71" i="9"/>
  <c r="AT73" i="9"/>
  <c r="AT74" i="9"/>
  <c r="AS61" i="9"/>
  <c r="AS79" i="9"/>
  <c r="AS80" i="9"/>
  <c r="AS81" i="9"/>
  <c r="AS85" i="9"/>
  <c r="AS10" i="18"/>
  <c r="AT57" i="9"/>
  <c r="AT58" i="9"/>
  <c r="AU47" i="9"/>
  <c r="AT59" i="9"/>
  <c r="AU62" i="9"/>
  <c r="AU63" i="9"/>
  <c r="AU64" i="9"/>
  <c r="AT70" i="9"/>
  <c r="AT69" i="9"/>
  <c r="AT71" i="9"/>
  <c r="AU73" i="9"/>
  <c r="AU74" i="9"/>
  <c r="AT61" i="9"/>
  <c r="AT79" i="9"/>
  <c r="AT80" i="9"/>
  <c r="AT81" i="9"/>
  <c r="AT85" i="9"/>
  <c r="AT10" i="18"/>
  <c r="AU57" i="9"/>
  <c r="AU58" i="9"/>
  <c r="AV47" i="9"/>
  <c r="AU59" i="9"/>
  <c r="AV62" i="9"/>
  <c r="AV63" i="9"/>
  <c r="AV64" i="9"/>
  <c r="AU70" i="9"/>
  <c r="AU69" i="9"/>
  <c r="AU71" i="9"/>
  <c r="AV73" i="9"/>
  <c r="AV74" i="9"/>
  <c r="AU61" i="9"/>
  <c r="AU79" i="9"/>
  <c r="AU80" i="9"/>
  <c r="AU81" i="9"/>
  <c r="AU85" i="9"/>
  <c r="AU10" i="18"/>
  <c r="AV57" i="9"/>
  <c r="AV58" i="9"/>
  <c r="AW47" i="9"/>
  <c r="AV59" i="9"/>
  <c r="AW62" i="9"/>
  <c r="AW63" i="9"/>
  <c r="AW64" i="9"/>
  <c r="AV70" i="9"/>
  <c r="AV69" i="9"/>
  <c r="AV71" i="9"/>
  <c r="AW73" i="9"/>
  <c r="AW74" i="9"/>
  <c r="AV61" i="9"/>
  <c r="AV79" i="9"/>
  <c r="AV80" i="9"/>
  <c r="AV81" i="9"/>
  <c r="AV85" i="9"/>
  <c r="AV10" i="18"/>
  <c r="AW57" i="9"/>
  <c r="AW58" i="9"/>
  <c r="AX47" i="9"/>
  <c r="AW59" i="9"/>
  <c r="AX62" i="9"/>
  <c r="AX63" i="9"/>
  <c r="AX64" i="9"/>
  <c r="AW70" i="9"/>
  <c r="AW69" i="9"/>
  <c r="AW71" i="9"/>
  <c r="AX73" i="9"/>
  <c r="AX74" i="9"/>
  <c r="AW61" i="9"/>
  <c r="AW79" i="9"/>
  <c r="AW80" i="9"/>
  <c r="AW81" i="9"/>
  <c r="AW85" i="9"/>
  <c r="AW10" i="18"/>
  <c r="AX57" i="9"/>
  <c r="AX58" i="9"/>
  <c r="AY47" i="9"/>
  <c r="AX59" i="9"/>
  <c r="AY62" i="9"/>
  <c r="AY63" i="9"/>
  <c r="AY64" i="9"/>
  <c r="AX70" i="9"/>
  <c r="AX69" i="9"/>
  <c r="AX71" i="9"/>
  <c r="AY73" i="9"/>
  <c r="AY74" i="9"/>
  <c r="AX61" i="9"/>
  <c r="AX79" i="9"/>
  <c r="AX80" i="9"/>
  <c r="AX81" i="9"/>
  <c r="AX85" i="9"/>
  <c r="AX10" i="18"/>
  <c r="AY57" i="9"/>
  <c r="AY58" i="9"/>
  <c r="AZ47" i="9"/>
  <c r="AY59" i="9"/>
  <c r="AZ62" i="9"/>
  <c r="AZ63" i="9"/>
  <c r="AZ64" i="9"/>
  <c r="AY70" i="9"/>
  <c r="AY69" i="9"/>
  <c r="AY71" i="9"/>
  <c r="AZ73" i="9"/>
  <c r="AZ74" i="9"/>
  <c r="AY61" i="9"/>
  <c r="AY79" i="9"/>
  <c r="AY80" i="9"/>
  <c r="AY81" i="9"/>
  <c r="AY85" i="9"/>
  <c r="AY10" i="18"/>
  <c r="AZ57" i="9"/>
  <c r="AZ58" i="9"/>
  <c r="BA47" i="9"/>
  <c r="AZ59" i="9"/>
  <c r="BA62" i="9"/>
  <c r="BA63" i="9"/>
  <c r="BA64" i="9"/>
  <c r="AZ70" i="9"/>
  <c r="AZ69" i="9"/>
  <c r="AZ71" i="9"/>
  <c r="BA73" i="9"/>
  <c r="BA74" i="9"/>
  <c r="AZ61" i="9"/>
  <c r="AZ79" i="9"/>
  <c r="AZ80" i="9"/>
  <c r="AZ81" i="9"/>
  <c r="AZ85" i="9"/>
  <c r="AZ10" i="18"/>
  <c r="BA57" i="9"/>
  <c r="BA58" i="9"/>
  <c r="BB47" i="9"/>
  <c r="BA59" i="9"/>
  <c r="BB62" i="9"/>
  <c r="BB63" i="9"/>
  <c r="BB64" i="9"/>
  <c r="BA70" i="9"/>
  <c r="BA69" i="9"/>
  <c r="BA71" i="9"/>
  <c r="BB73" i="9"/>
  <c r="BB74" i="9"/>
  <c r="BA81" i="9"/>
  <c r="BA85" i="9"/>
  <c r="BA10" i="18"/>
  <c r="BB57" i="9"/>
  <c r="BB58" i="9"/>
  <c r="BC47" i="9"/>
  <c r="BB59" i="9"/>
  <c r="BC62" i="9"/>
  <c r="BC63" i="9"/>
  <c r="BC64" i="9"/>
  <c r="BB70" i="9"/>
  <c r="BB69" i="9"/>
  <c r="BB71" i="9"/>
  <c r="BC73" i="9"/>
  <c r="BC74" i="9"/>
  <c r="BB61" i="9"/>
  <c r="BB75" i="9"/>
  <c r="BB79" i="9"/>
  <c r="D76" i="9"/>
  <c r="D77" i="9"/>
  <c r="D78" i="9"/>
  <c r="G75" i="9"/>
  <c r="H75" i="9"/>
  <c r="I75" i="9"/>
  <c r="J75" i="9"/>
  <c r="K75" i="9"/>
  <c r="L75" i="9"/>
  <c r="M75" i="9"/>
  <c r="N75" i="9"/>
  <c r="O75" i="9"/>
  <c r="P75" i="9"/>
  <c r="Q75" i="9"/>
  <c r="R75" i="9"/>
  <c r="S75" i="9"/>
  <c r="T75" i="9"/>
  <c r="U75" i="9"/>
  <c r="V75" i="9"/>
  <c r="W75" i="9"/>
  <c r="X75" i="9"/>
  <c r="Y75" i="9"/>
  <c r="Z75" i="9"/>
  <c r="AA75" i="9"/>
  <c r="AB75" i="9"/>
  <c r="AC75" i="9"/>
  <c r="AD75" i="9"/>
  <c r="AE75" i="9"/>
  <c r="AF75" i="9"/>
  <c r="AG75" i="9"/>
  <c r="AH75" i="9"/>
  <c r="AI75" i="9"/>
  <c r="AJ75" i="9"/>
  <c r="AK75" i="9"/>
  <c r="AM75" i="9"/>
  <c r="AN75" i="9"/>
  <c r="AO75" i="9"/>
  <c r="AP75" i="9"/>
  <c r="AQ75" i="9"/>
  <c r="AR75" i="9"/>
  <c r="AS75" i="9"/>
  <c r="AT75" i="9"/>
  <c r="AU75" i="9"/>
  <c r="AV75" i="9"/>
  <c r="AW75" i="9"/>
  <c r="AX75" i="9"/>
  <c r="AY75" i="9"/>
  <c r="AZ75" i="9"/>
  <c r="BA75" i="9"/>
  <c r="BC75" i="9"/>
  <c r="BD75" i="9"/>
  <c r="BE75" i="9"/>
  <c r="BF75" i="9"/>
  <c r="BG75" i="9"/>
  <c r="BH75" i="9"/>
  <c r="BI75" i="9"/>
  <c r="BJ75" i="9"/>
  <c r="E75" i="9"/>
  <c r="BB80" i="9"/>
  <c r="BB81" i="9"/>
  <c r="BB85" i="9"/>
  <c r="BB10" i="18"/>
  <c r="BC57" i="9"/>
  <c r="BC58" i="9"/>
  <c r="BD47" i="9"/>
  <c r="BC59" i="9"/>
  <c r="BD62" i="9"/>
  <c r="BD63" i="9"/>
  <c r="BD64" i="9"/>
  <c r="BC70" i="9"/>
  <c r="BC69" i="9"/>
  <c r="BC71" i="9"/>
  <c r="BD73" i="9"/>
  <c r="BD74" i="9"/>
  <c r="BC61" i="9"/>
  <c r="BC80" i="9"/>
  <c r="BC79" i="9"/>
  <c r="BC81" i="9"/>
  <c r="BC85" i="9"/>
  <c r="BC10" i="18"/>
  <c r="BD57" i="9"/>
  <c r="BD58" i="9"/>
  <c r="BE47" i="9"/>
  <c r="BD59" i="9"/>
  <c r="BE62" i="9"/>
  <c r="BE63" i="9"/>
  <c r="BE64" i="9"/>
  <c r="BD70" i="9"/>
  <c r="BD69" i="9"/>
  <c r="BD71" i="9"/>
  <c r="BE73" i="9"/>
  <c r="BE74" i="9"/>
  <c r="BD61" i="9"/>
  <c r="BD80" i="9"/>
  <c r="BD79" i="9"/>
  <c r="BD81" i="9"/>
  <c r="BD85" i="9"/>
  <c r="BD10" i="18"/>
  <c r="BE57" i="9"/>
  <c r="BE58" i="9"/>
  <c r="BF47" i="9"/>
  <c r="BE59" i="9"/>
  <c r="BF62" i="9"/>
  <c r="BF63" i="9"/>
  <c r="BF64" i="9"/>
  <c r="BE70" i="9"/>
  <c r="BE69" i="9"/>
  <c r="BE71" i="9"/>
  <c r="BF73" i="9"/>
  <c r="BF74" i="9"/>
  <c r="BE61" i="9"/>
  <c r="BE80" i="9"/>
  <c r="BE79" i="9"/>
  <c r="BE81" i="9"/>
  <c r="BE85" i="9"/>
  <c r="BE10" i="18"/>
  <c r="BF57" i="9"/>
  <c r="BF58" i="9"/>
  <c r="BG47" i="9"/>
  <c r="BF59" i="9"/>
  <c r="BG62" i="9"/>
  <c r="BG63" i="9"/>
  <c r="BG64" i="9"/>
  <c r="BF69" i="9"/>
  <c r="BF70" i="9"/>
  <c r="BF71" i="9"/>
  <c r="BG73" i="9"/>
  <c r="BG74" i="9"/>
  <c r="BF61" i="9"/>
  <c r="BF80" i="9"/>
  <c r="BF79" i="9"/>
  <c r="BF81" i="9"/>
  <c r="BF85" i="9"/>
  <c r="BF10" i="18"/>
  <c r="BG57" i="9"/>
  <c r="BG58" i="9"/>
  <c r="BH47" i="9"/>
  <c r="BG59" i="9"/>
  <c r="BH62" i="9"/>
  <c r="BH63" i="9"/>
  <c r="BH64" i="9"/>
  <c r="BG69" i="9"/>
  <c r="BG70" i="9"/>
  <c r="BG71" i="9"/>
  <c r="BH73" i="9"/>
  <c r="BH74" i="9"/>
  <c r="BG61" i="9"/>
  <c r="BG80" i="9"/>
  <c r="BG79" i="9"/>
  <c r="BG81" i="9"/>
  <c r="BG85" i="9"/>
  <c r="BG10" i="18"/>
  <c r="BH57" i="9"/>
  <c r="BH58" i="9"/>
  <c r="BI47" i="9"/>
  <c r="BH59" i="9"/>
  <c r="BI62" i="9"/>
  <c r="BI63" i="9"/>
  <c r="BI64" i="9"/>
  <c r="BH69" i="9"/>
  <c r="BH70" i="9"/>
  <c r="BH71" i="9"/>
  <c r="BI73" i="9"/>
  <c r="BI74" i="9"/>
  <c r="BH61" i="9"/>
  <c r="BH80" i="9"/>
  <c r="BH79" i="9"/>
  <c r="BH81" i="9"/>
  <c r="BH85" i="9"/>
  <c r="BH10" i="18"/>
  <c r="BI57" i="9"/>
  <c r="BI58" i="9"/>
  <c r="BJ47" i="9"/>
  <c r="BI59" i="9"/>
  <c r="BJ62" i="9"/>
  <c r="BJ63" i="9"/>
  <c r="BJ64" i="9"/>
  <c r="BI69" i="9"/>
  <c r="BI70" i="9"/>
  <c r="BI71" i="9"/>
  <c r="BJ73" i="9"/>
  <c r="BJ74" i="9"/>
  <c r="BI61" i="9"/>
  <c r="BI80" i="9"/>
  <c r="BI79" i="9"/>
  <c r="BI81" i="9"/>
  <c r="BI85" i="9"/>
  <c r="BI10" i="18"/>
  <c r="BJ57" i="9"/>
  <c r="BJ58" i="9"/>
  <c r="BJ59" i="9"/>
  <c r="BJ69" i="9"/>
  <c r="BJ70" i="9"/>
  <c r="BJ71" i="9"/>
  <c r="BJ61" i="9"/>
  <c r="BJ80" i="9"/>
  <c r="BJ79" i="9"/>
  <c r="BJ81" i="9"/>
  <c r="BJ85" i="9"/>
  <c r="BJ10" i="18"/>
  <c r="E10" i="18"/>
  <c r="E11" i="18"/>
  <c r="V7" i="18"/>
  <c r="V12" i="18"/>
  <c r="W7" i="18"/>
  <c r="W12" i="18"/>
  <c r="X7" i="18"/>
  <c r="X12" i="18"/>
  <c r="Y7" i="18"/>
  <c r="Y12" i="18"/>
  <c r="Z7" i="18"/>
  <c r="Z12" i="18"/>
  <c r="AA7" i="18"/>
  <c r="AA12" i="18"/>
  <c r="AB7" i="18"/>
  <c r="AB12" i="18"/>
  <c r="AC7" i="18"/>
  <c r="AC12" i="18"/>
  <c r="AD7" i="18"/>
  <c r="AD12" i="18"/>
  <c r="AE7" i="18"/>
  <c r="AE12" i="18"/>
  <c r="AF7" i="18"/>
  <c r="AF12" i="18"/>
  <c r="AG7" i="18"/>
  <c r="AG12" i="18"/>
  <c r="AH7" i="18"/>
  <c r="AH12" i="18"/>
  <c r="AI7" i="18"/>
  <c r="AI12" i="18"/>
  <c r="AJ7" i="18"/>
  <c r="AJ12" i="18"/>
  <c r="AK7" i="18"/>
  <c r="AK12" i="18"/>
  <c r="AL7" i="18"/>
  <c r="AL12" i="18"/>
  <c r="AM7" i="18"/>
  <c r="AM12" i="18"/>
  <c r="AN7" i="18"/>
  <c r="AN12" i="18"/>
  <c r="AO7" i="18"/>
  <c r="AO12" i="18"/>
  <c r="AP7" i="18"/>
  <c r="AP12" i="18"/>
  <c r="AQ7" i="18"/>
  <c r="AQ12" i="18"/>
  <c r="AR7" i="18"/>
  <c r="AR12" i="18"/>
  <c r="AS7" i="18"/>
  <c r="AS12" i="18"/>
  <c r="AT7" i="18"/>
  <c r="AT12" i="18"/>
  <c r="AU7" i="18"/>
  <c r="AU12" i="18"/>
  <c r="AV7" i="18"/>
  <c r="AV12" i="18"/>
  <c r="AW7" i="18"/>
  <c r="AW12" i="18"/>
  <c r="AX7" i="18"/>
  <c r="AX12" i="18"/>
  <c r="AY7" i="18"/>
  <c r="AY12" i="18"/>
  <c r="AZ7" i="18"/>
  <c r="AZ12" i="18"/>
  <c r="BA7" i="18"/>
  <c r="BA12" i="18"/>
  <c r="BB7" i="18"/>
  <c r="BB12" i="18"/>
  <c r="BC7" i="18"/>
  <c r="BC12" i="18"/>
  <c r="BD7" i="18"/>
  <c r="BD12" i="18"/>
  <c r="BE7" i="18"/>
  <c r="BE12" i="18"/>
  <c r="BF7" i="18"/>
  <c r="BF12" i="18"/>
  <c r="BG7" i="18"/>
  <c r="BG12" i="18"/>
  <c r="BH7" i="18"/>
  <c r="BH12" i="18"/>
  <c r="BI7" i="18"/>
  <c r="BI12" i="18"/>
  <c r="BJ7" i="18"/>
  <c r="BJ12" i="18"/>
  <c r="G7" i="18"/>
  <c r="G12" i="18"/>
  <c r="H7" i="18"/>
  <c r="H12" i="18"/>
  <c r="I7" i="18"/>
  <c r="I12" i="18"/>
  <c r="J7" i="18"/>
  <c r="J12" i="18"/>
  <c r="K7" i="18"/>
  <c r="K12" i="18"/>
  <c r="L7" i="18"/>
  <c r="L12" i="18"/>
  <c r="M7" i="18"/>
  <c r="M12" i="18"/>
  <c r="N7" i="18"/>
  <c r="N12" i="18"/>
  <c r="O7" i="18"/>
  <c r="O12" i="18"/>
  <c r="P7" i="18"/>
  <c r="P12" i="18"/>
  <c r="Q7" i="18"/>
  <c r="Q12" i="18"/>
  <c r="R7" i="18"/>
  <c r="R12" i="18"/>
  <c r="S7" i="18"/>
  <c r="S12" i="18"/>
  <c r="T7" i="18"/>
  <c r="T12" i="18"/>
  <c r="U7" i="18"/>
  <c r="U12" i="18"/>
  <c r="E12" i="18"/>
  <c r="E13" i="18"/>
  <c r="E14" i="18"/>
  <c r="G15" i="18"/>
  <c r="H15" i="18"/>
  <c r="I15" i="18"/>
  <c r="J15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AI15" i="18"/>
  <c r="AJ15" i="18"/>
  <c r="AK15" i="18"/>
  <c r="AL15" i="18"/>
  <c r="AM15" i="18"/>
  <c r="AN15" i="18"/>
  <c r="AO15" i="18"/>
  <c r="AP15" i="18"/>
  <c r="AQ15" i="18"/>
  <c r="AR15" i="18"/>
  <c r="AS15" i="18"/>
  <c r="AT15" i="18"/>
  <c r="AU15" i="18"/>
  <c r="AV15" i="18"/>
  <c r="AW15" i="18"/>
  <c r="AX15" i="18"/>
  <c r="AY15" i="18"/>
  <c r="AZ15" i="18"/>
  <c r="BA15" i="18"/>
  <c r="BB15" i="18"/>
  <c r="BC15" i="18"/>
  <c r="BD15" i="18"/>
  <c r="BE15" i="18"/>
  <c r="BF15" i="18"/>
  <c r="BG15" i="18"/>
  <c r="BH15" i="18"/>
  <c r="BI15" i="18"/>
  <c r="BJ15" i="18"/>
  <c r="E15" i="18"/>
  <c r="G16" i="18"/>
  <c r="H16" i="18"/>
  <c r="I16" i="18"/>
  <c r="J16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AI16" i="18"/>
  <c r="AJ16" i="18"/>
  <c r="AK16" i="18"/>
  <c r="AL16" i="18"/>
  <c r="AM16" i="18"/>
  <c r="AN16" i="18"/>
  <c r="AO16" i="18"/>
  <c r="AP16" i="18"/>
  <c r="AQ16" i="18"/>
  <c r="AR16" i="18"/>
  <c r="AS16" i="18"/>
  <c r="AT16" i="18"/>
  <c r="AU16" i="18"/>
  <c r="AV16" i="18"/>
  <c r="AW16" i="18"/>
  <c r="AX16" i="18"/>
  <c r="AY16" i="18"/>
  <c r="AZ16" i="18"/>
  <c r="BA16" i="18"/>
  <c r="BB16" i="18"/>
  <c r="BC16" i="18"/>
  <c r="BD16" i="18"/>
  <c r="BE16" i="18"/>
  <c r="BF16" i="18"/>
  <c r="BG16" i="18"/>
  <c r="BH16" i="18"/>
  <c r="BI16" i="18"/>
  <c r="BJ16" i="18"/>
  <c r="E16" i="18"/>
  <c r="G60" i="21"/>
  <c r="G64" i="21"/>
  <c r="G17" i="18"/>
  <c r="H60" i="21"/>
  <c r="H64" i="21"/>
  <c r="H17" i="18"/>
  <c r="I60" i="21"/>
  <c r="I64" i="21"/>
  <c r="I17" i="18"/>
  <c r="J60" i="21"/>
  <c r="J64" i="21"/>
  <c r="J17" i="18"/>
  <c r="K60" i="21"/>
  <c r="K64" i="21"/>
  <c r="K17" i="18"/>
  <c r="L60" i="21"/>
  <c r="L64" i="21"/>
  <c r="L17" i="18"/>
  <c r="M60" i="21"/>
  <c r="M64" i="21"/>
  <c r="M17" i="18"/>
  <c r="N60" i="21"/>
  <c r="N64" i="21"/>
  <c r="N17" i="18"/>
  <c r="O60" i="21"/>
  <c r="O64" i="21"/>
  <c r="O17" i="18"/>
  <c r="P60" i="21"/>
  <c r="P64" i="21"/>
  <c r="P17" i="18"/>
  <c r="Q60" i="21"/>
  <c r="Q64" i="21"/>
  <c r="Q17" i="18"/>
  <c r="R60" i="21"/>
  <c r="R64" i="21"/>
  <c r="R17" i="18"/>
  <c r="S60" i="21"/>
  <c r="S64" i="21"/>
  <c r="S17" i="18"/>
  <c r="T60" i="21"/>
  <c r="T64" i="21"/>
  <c r="T17" i="18"/>
  <c r="U60" i="21"/>
  <c r="U64" i="21"/>
  <c r="U17" i="18"/>
  <c r="V60" i="21"/>
  <c r="V64" i="21"/>
  <c r="V17" i="18"/>
  <c r="W60" i="21"/>
  <c r="W64" i="21"/>
  <c r="W17" i="18"/>
  <c r="X60" i="21"/>
  <c r="X64" i="21"/>
  <c r="X17" i="18"/>
  <c r="Y60" i="21"/>
  <c r="Y64" i="21"/>
  <c r="Y17" i="18"/>
  <c r="Z60" i="21"/>
  <c r="Z64" i="21"/>
  <c r="Z17" i="18"/>
  <c r="AA60" i="21"/>
  <c r="AA64" i="21"/>
  <c r="AA17" i="18"/>
  <c r="AB60" i="21"/>
  <c r="AB64" i="21"/>
  <c r="AB17" i="18"/>
  <c r="AC60" i="21"/>
  <c r="AC64" i="21"/>
  <c r="AC17" i="18"/>
  <c r="AE60" i="21"/>
  <c r="AE64" i="21"/>
  <c r="AE17" i="18"/>
  <c r="AF60" i="21"/>
  <c r="AF64" i="21"/>
  <c r="AF17" i="18"/>
  <c r="AG60" i="21"/>
  <c r="AG64" i="21"/>
  <c r="AG17" i="18"/>
  <c r="AH60" i="21"/>
  <c r="AH64" i="21"/>
  <c r="AH17" i="18"/>
  <c r="AI60" i="21"/>
  <c r="AI64" i="21"/>
  <c r="AI17" i="18"/>
  <c r="AJ60" i="21"/>
  <c r="AJ64" i="21"/>
  <c r="AJ17" i="18"/>
  <c r="AK60" i="21"/>
  <c r="AK64" i="21"/>
  <c r="AK17" i="18"/>
  <c r="AM60" i="21"/>
  <c r="AM64" i="21"/>
  <c r="AM17" i="18"/>
  <c r="AN60" i="21"/>
  <c r="AN64" i="21"/>
  <c r="AN17" i="18"/>
  <c r="AO60" i="21"/>
  <c r="AO64" i="21"/>
  <c r="AO17" i="18"/>
  <c r="AP60" i="21"/>
  <c r="AP64" i="21"/>
  <c r="AP17" i="18"/>
  <c r="AQ60" i="21"/>
  <c r="AQ64" i="21"/>
  <c r="AQ17" i="18"/>
  <c r="AR60" i="21"/>
  <c r="AR64" i="21"/>
  <c r="AR17" i="18"/>
  <c r="AS60" i="21"/>
  <c r="AS64" i="21"/>
  <c r="AS17" i="18"/>
  <c r="AU60" i="21"/>
  <c r="AU64" i="21"/>
  <c r="AU17" i="18"/>
  <c r="AV60" i="21"/>
  <c r="AV64" i="21"/>
  <c r="AV17" i="18"/>
  <c r="AW60" i="21"/>
  <c r="AW64" i="21"/>
  <c r="AW17" i="18"/>
  <c r="AX60" i="21"/>
  <c r="AX64" i="21"/>
  <c r="AX17" i="18"/>
  <c r="AY60" i="21"/>
  <c r="AY64" i="21"/>
  <c r="AY17" i="18"/>
  <c r="AZ60" i="21"/>
  <c r="AZ64" i="21"/>
  <c r="AZ17" i="18"/>
  <c r="BA60" i="21"/>
  <c r="BA64" i="21"/>
  <c r="BA17" i="18"/>
  <c r="BC60" i="21"/>
  <c r="BC64" i="21"/>
  <c r="BC17" i="18"/>
  <c r="BD60" i="21"/>
  <c r="BD64" i="21"/>
  <c r="BD17" i="18"/>
  <c r="BE60" i="21"/>
  <c r="BE64" i="21"/>
  <c r="BE17" i="18"/>
  <c r="BF60" i="21"/>
  <c r="BF64" i="21"/>
  <c r="BF17" i="18"/>
  <c r="BG60" i="21"/>
  <c r="BG64" i="21"/>
  <c r="BG17" i="18"/>
  <c r="BH60" i="21"/>
  <c r="BH64" i="21"/>
  <c r="BH17" i="18"/>
  <c r="BI60" i="21"/>
  <c r="BI64" i="21"/>
  <c r="BI17" i="18"/>
  <c r="AD60" i="21"/>
  <c r="AD64" i="21"/>
  <c r="AD17" i="18"/>
  <c r="AL60" i="21"/>
  <c r="AL64" i="21"/>
  <c r="AL17" i="18"/>
  <c r="AT60" i="21"/>
  <c r="AT64" i="21"/>
  <c r="AT17" i="18"/>
  <c r="BB60" i="21"/>
  <c r="BB64" i="21"/>
  <c r="BB17" i="18"/>
  <c r="BJ60" i="21"/>
  <c r="BJ64" i="21"/>
  <c r="BJ17" i="18"/>
  <c r="E17" i="18"/>
  <c r="H18" i="13"/>
  <c r="H20" i="13"/>
  <c r="H84" i="9"/>
  <c r="H21" i="13"/>
  <c r="H19" i="13"/>
  <c r="H22" i="13"/>
  <c r="H24" i="13"/>
  <c r="H26" i="13"/>
  <c r="H27" i="13"/>
  <c r="H18" i="18"/>
  <c r="I18" i="13"/>
  <c r="I20" i="13"/>
  <c r="I84" i="9"/>
  <c r="I21" i="13"/>
  <c r="I19" i="13"/>
  <c r="I22" i="13"/>
  <c r="I24" i="13"/>
  <c r="I26" i="13"/>
  <c r="I27" i="13"/>
  <c r="I18" i="18"/>
  <c r="J18" i="13"/>
  <c r="J20" i="13"/>
  <c r="J84" i="9"/>
  <c r="J21" i="13"/>
  <c r="J19" i="13"/>
  <c r="J22" i="13"/>
  <c r="J24" i="13"/>
  <c r="J26" i="13"/>
  <c r="J27" i="13"/>
  <c r="J18" i="18"/>
  <c r="K18" i="13"/>
  <c r="K20" i="13"/>
  <c r="K84" i="9"/>
  <c r="K21" i="13"/>
  <c r="K19" i="13"/>
  <c r="K22" i="13"/>
  <c r="K24" i="13"/>
  <c r="K26" i="13"/>
  <c r="K27" i="13"/>
  <c r="K18" i="18"/>
  <c r="L18" i="13"/>
  <c r="L20" i="13"/>
  <c r="L84" i="9"/>
  <c r="L21" i="13"/>
  <c r="L19" i="13"/>
  <c r="L22" i="13"/>
  <c r="L24" i="13"/>
  <c r="L26" i="13"/>
  <c r="L27" i="13"/>
  <c r="L18" i="18"/>
  <c r="M18" i="13"/>
  <c r="M20" i="13"/>
  <c r="M84" i="9"/>
  <c r="M21" i="13"/>
  <c r="M19" i="13"/>
  <c r="M22" i="13"/>
  <c r="M24" i="13"/>
  <c r="M26" i="13"/>
  <c r="M27" i="13"/>
  <c r="M18" i="18"/>
  <c r="N18" i="13"/>
  <c r="N20" i="13"/>
  <c r="N84" i="9"/>
  <c r="N21" i="13"/>
  <c r="N19" i="13"/>
  <c r="N22" i="13"/>
  <c r="N24" i="13"/>
  <c r="N26" i="13"/>
  <c r="N27" i="13"/>
  <c r="N18" i="18"/>
  <c r="O18" i="13"/>
  <c r="O20" i="13"/>
  <c r="O84" i="9"/>
  <c r="O21" i="13"/>
  <c r="O19" i="13"/>
  <c r="O22" i="13"/>
  <c r="O24" i="13"/>
  <c r="O26" i="13"/>
  <c r="O27" i="13"/>
  <c r="O18" i="18"/>
  <c r="P18" i="13"/>
  <c r="P20" i="13"/>
  <c r="P84" i="9"/>
  <c r="P21" i="13"/>
  <c r="P19" i="13"/>
  <c r="P22" i="13"/>
  <c r="P24" i="13"/>
  <c r="P26" i="13"/>
  <c r="P27" i="13"/>
  <c r="P18" i="18"/>
  <c r="Q18" i="13"/>
  <c r="Q20" i="13"/>
  <c r="Q84" i="9"/>
  <c r="Q21" i="13"/>
  <c r="Q19" i="13"/>
  <c r="Q22" i="13"/>
  <c r="Q24" i="13"/>
  <c r="Q26" i="13"/>
  <c r="Q27" i="13"/>
  <c r="Q18" i="18"/>
  <c r="R18" i="13"/>
  <c r="R20" i="13"/>
  <c r="R84" i="9"/>
  <c r="R21" i="13"/>
  <c r="R19" i="13"/>
  <c r="R22" i="13"/>
  <c r="R24" i="13"/>
  <c r="R26" i="13"/>
  <c r="R27" i="13"/>
  <c r="R18" i="18"/>
  <c r="S18" i="13"/>
  <c r="S20" i="13"/>
  <c r="S84" i="9"/>
  <c r="S21" i="13"/>
  <c r="S19" i="13"/>
  <c r="S22" i="13"/>
  <c r="S24" i="13"/>
  <c r="S26" i="13"/>
  <c r="S27" i="13"/>
  <c r="S18" i="18"/>
  <c r="T18" i="13"/>
  <c r="T20" i="13"/>
  <c r="T84" i="9"/>
  <c r="T21" i="13"/>
  <c r="T19" i="13"/>
  <c r="T22" i="13"/>
  <c r="T24" i="13"/>
  <c r="T26" i="13"/>
  <c r="T27" i="13"/>
  <c r="T18" i="18"/>
  <c r="U18" i="13"/>
  <c r="U20" i="13"/>
  <c r="U84" i="9"/>
  <c r="U21" i="13"/>
  <c r="U19" i="13"/>
  <c r="U22" i="13"/>
  <c r="U24" i="13"/>
  <c r="U26" i="13"/>
  <c r="U27" i="13"/>
  <c r="U18" i="18"/>
  <c r="V18" i="13"/>
  <c r="V20" i="13"/>
  <c r="V58" i="9"/>
  <c r="V84" i="9"/>
  <c r="V21" i="13"/>
  <c r="V19" i="13"/>
  <c r="V22" i="13"/>
  <c r="V24" i="13"/>
  <c r="V26" i="13"/>
  <c r="V27" i="13"/>
  <c r="V18" i="18"/>
  <c r="W18" i="13"/>
  <c r="W20" i="13"/>
  <c r="W84" i="9"/>
  <c r="W21" i="13"/>
  <c r="W19" i="13"/>
  <c r="W22" i="13"/>
  <c r="W24" i="13"/>
  <c r="W26" i="13"/>
  <c r="W27" i="13"/>
  <c r="W18" i="18"/>
  <c r="X18" i="13"/>
  <c r="X20" i="13"/>
  <c r="X84" i="9"/>
  <c r="X21" i="13"/>
  <c r="X19" i="13"/>
  <c r="X22" i="13"/>
  <c r="X24" i="13"/>
  <c r="X26" i="13"/>
  <c r="X27" i="13"/>
  <c r="X18" i="18"/>
  <c r="Y18" i="13"/>
  <c r="Y20" i="13"/>
  <c r="Y84" i="9"/>
  <c r="Y21" i="13"/>
  <c r="Y19" i="13"/>
  <c r="Y22" i="13"/>
  <c r="Y24" i="13"/>
  <c r="Y26" i="13"/>
  <c r="Y27" i="13"/>
  <c r="Y18" i="18"/>
  <c r="Z18" i="13"/>
  <c r="Z20" i="13"/>
  <c r="Z84" i="9"/>
  <c r="Z21" i="13"/>
  <c r="Z19" i="13"/>
  <c r="Z22" i="13"/>
  <c r="Z24" i="13"/>
  <c r="Z26" i="13"/>
  <c r="Z27" i="13"/>
  <c r="Z18" i="18"/>
  <c r="AA18" i="13"/>
  <c r="AA20" i="13"/>
  <c r="AA84" i="9"/>
  <c r="AA21" i="13"/>
  <c r="AA19" i="13"/>
  <c r="AA22" i="13"/>
  <c r="AA24" i="13"/>
  <c r="AA26" i="13"/>
  <c r="AA27" i="13"/>
  <c r="AA18" i="18"/>
  <c r="AB18" i="13"/>
  <c r="AB20" i="13"/>
  <c r="AB84" i="9"/>
  <c r="AB21" i="13"/>
  <c r="AB19" i="13"/>
  <c r="AB22" i="13"/>
  <c r="AB24" i="13"/>
  <c r="AB26" i="13"/>
  <c r="AB27" i="13"/>
  <c r="AB18" i="18"/>
  <c r="AC18" i="13"/>
  <c r="AC20" i="13"/>
  <c r="AC84" i="9"/>
  <c r="AC21" i="13"/>
  <c r="AC19" i="13"/>
  <c r="AC22" i="13"/>
  <c r="AC24" i="13"/>
  <c r="AC26" i="13"/>
  <c r="AC27" i="13"/>
  <c r="AC18" i="18"/>
  <c r="AD18" i="13"/>
  <c r="AD20" i="13"/>
  <c r="AD84" i="9"/>
  <c r="AD21" i="13"/>
  <c r="AD19" i="13"/>
  <c r="AD22" i="13"/>
  <c r="AD24" i="13"/>
  <c r="AD26" i="13"/>
  <c r="AD27" i="13"/>
  <c r="AD18" i="18"/>
  <c r="AE18" i="13"/>
  <c r="AE20" i="13"/>
  <c r="AE84" i="9"/>
  <c r="AE21" i="13"/>
  <c r="AE19" i="13"/>
  <c r="AE22" i="13"/>
  <c r="AE24" i="13"/>
  <c r="AE26" i="13"/>
  <c r="AE27" i="13"/>
  <c r="AE18" i="18"/>
  <c r="AF18" i="13"/>
  <c r="AF20" i="13"/>
  <c r="AF84" i="9"/>
  <c r="AF21" i="13"/>
  <c r="AF19" i="13"/>
  <c r="AF22" i="13"/>
  <c r="AF24" i="13"/>
  <c r="AF26" i="13"/>
  <c r="AF27" i="13"/>
  <c r="AF18" i="18"/>
  <c r="AG18" i="13"/>
  <c r="AG20" i="13"/>
  <c r="AG84" i="9"/>
  <c r="AG21" i="13"/>
  <c r="AG19" i="13"/>
  <c r="AG22" i="13"/>
  <c r="AG24" i="13"/>
  <c r="AG26" i="13"/>
  <c r="AG27" i="13"/>
  <c r="AG18" i="18"/>
  <c r="AH18" i="13"/>
  <c r="AH20" i="13"/>
  <c r="AH84" i="9"/>
  <c r="AH21" i="13"/>
  <c r="AH19" i="13"/>
  <c r="AH22" i="13"/>
  <c r="AH24" i="13"/>
  <c r="AH26" i="13"/>
  <c r="AH27" i="13"/>
  <c r="AH18" i="18"/>
  <c r="AI18" i="13"/>
  <c r="AI20" i="13"/>
  <c r="AI84" i="9"/>
  <c r="AI21" i="13"/>
  <c r="AI19" i="13"/>
  <c r="AI22" i="13"/>
  <c r="AI24" i="13"/>
  <c r="AI26" i="13"/>
  <c r="AI27" i="13"/>
  <c r="AI18" i="18"/>
  <c r="AJ18" i="13"/>
  <c r="AJ20" i="13"/>
  <c r="AJ84" i="9"/>
  <c r="AJ21" i="13"/>
  <c r="AJ19" i="13"/>
  <c r="AJ22" i="13"/>
  <c r="AJ24" i="13"/>
  <c r="AJ26" i="13"/>
  <c r="AJ27" i="13"/>
  <c r="AJ18" i="18"/>
  <c r="AK18" i="13"/>
  <c r="AK20" i="13"/>
  <c r="AK70" i="9"/>
  <c r="AK84" i="9"/>
  <c r="AK21" i="13"/>
  <c r="AK19" i="13"/>
  <c r="AK22" i="13"/>
  <c r="AK24" i="13"/>
  <c r="AK26" i="13"/>
  <c r="AK27" i="13"/>
  <c r="AK18" i="18"/>
  <c r="AL18" i="13"/>
  <c r="AL20" i="13"/>
  <c r="AL84" i="9"/>
  <c r="AL21" i="13"/>
  <c r="AL19" i="13"/>
  <c r="AL22" i="13"/>
  <c r="AL24" i="13"/>
  <c r="AL26" i="13"/>
  <c r="AL27" i="13"/>
  <c r="AL18" i="18"/>
  <c r="AM18" i="13"/>
  <c r="AM20" i="13"/>
  <c r="AM84" i="9"/>
  <c r="AM21" i="13"/>
  <c r="AM19" i="13"/>
  <c r="AM22" i="13"/>
  <c r="AM24" i="13"/>
  <c r="AM26" i="13"/>
  <c r="AM27" i="13"/>
  <c r="AM18" i="18"/>
  <c r="AN18" i="13"/>
  <c r="AN20" i="13"/>
  <c r="AN84" i="9"/>
  <c r="AN21" i="13"/>
  <c r="AN19" i="13"/>
  <c r="AN22" i="13"/>
  <c r="AN24" i="13"/>
  <c r="AN26" i="13"/>
  <c r="AN27" i="13"/>
  <c r="AN18" i="18"/>
  <c r="AO18" i="13"/>
  <c r="AO20" i="13"/>
  <c r="AO84" i="9"/>
  <c r="AO21" i="13"/>
  <c r="AO19" i="13"/>
  <c r="AO22" i="13"/>
  <c r="AO24" i="13"/>
  <c r="AO26" i="13"/>
  <c r="AO27" i="13"/>
  <c r="AO18" i="18"/>
  <c r="AP18" i="13"/>
  <c r="AP20" i="13"/>
  <c r="AP84" i="9"/>
  <c r="AP21" i="13"/>
  <c r="AP19" i="13"/>
  <c r="AP22" i="13"/>
  <c r="AP24" i="13"/>
  <c r="AP26" i="13"/>
  <c r="AP27" i="13"/>
  <c r="AP18" i="18"/>
  <c r="AQ18" i="13"/>
  <c r="AQ20" i="13"/>
  <c r="AQ84" i="9"/>
  <c r="AQ21" i="13"/>
  <c r="AQ19" i="13"/>
  <c r="AQ22" i="13"/>
  <c r="AQ24" i="13"/>
  <c r="AQ26" i="13"/>
  <c r="AQ27" i="13"/>
  <c r="AQ18" i="18"/>
  <c r="AR18" i="13"/>
  <c r="AR20" i="13"/>
  <c r="AR84" i="9"/>
  <c r="AR21" i="13"/>
  <c r="AR19" i="13"/>
  <c r="AR22" i="13"/>
  <c r="AR24" i="13"/>
  <c r="AR26" i="13"/>
  <c r="AR27" i="13"/>
  <c r="AR18" i="18"/>
  <c r="AS18" i="13"/>
  <c r="AS20" i="13"/>
  <c r="AS84" i="9"/>
  <c r="AS21" i="13"/>
  <c r="AS19" i="13"/>
  <c r="AS22" i="13"/>
  <c r="AS24" i="13"/>
  <c r="AS26" i="13"/>
  <c r="AS27" i="13"/>
  <c r="AS18" i="18"/>
  <c r="AT18" i="13"/>
  <c r="AT20" i="13"/>
  <c r="AT84" i="9"/>
  <c r="AT21" i="13"/>
  <c r="AT19" i="13"/>
  <c r="AT22" i="13"/>
  <c r="AT24" i="13"/>
  <c r="AT26" i="13"/>
  <c r="AT27" i="13"/>
  <c r="AT18" i="18"/>
  <c r="AU18" i="13"/>
  <c r="AU20" i="13"/>
  <c r="AU84" i="9"/>
  <c r="AU21" i="13"/>
  <c r="AU19" i="13"/>
  <c r="AU22" i="13"/>
  <c r="AU24" i="13"/>
  <c r="AU26" i="13"/>
  <c r="AU27" i="13"/>
  <c r="AU18" i="18"/>
  <c r="AV18" i="13"/>
  <c r="AV20" i="13"/>
  <c r="AV84" i="9"/>
  <c r="AV21" i="13"/>
  <c r="AV19" i="13"/>
  <c r="AV22" i="13"/>
  <c r="AV24" i="13"/>
  <c r="AV26" i="13"/>
  <c r="AV27" i="13"/>
  <c r="AV18" i="18"/>
  <c r="AW18" i="13"/>
  <c r="AW20" i="13"/>
  <c r="AW84" i="9"/>
  <c r="AW21" i="13"/>
  <c r="AW19" i="13"/>
  <c r="AW22" i="13"/>
  <c r="AW24" i="13"/>
  <c r="AW26" i="13"/>
  <c r="AW27" i="13"/>
  <c r="AW18" i="18"/>
  <c r="AX18" i="13"/>
  <c r="AX20" i="13"/>
  <c r="AX84" i="9"/>
  <c r="AX21" i="13"/>
  <c r="AX19" i="13"/>
  <c r="AX22" i="13"/>
  <c r="AX24" i="13"/>
  <c r="AX26" i="13"/>
  <c r="AX27" i="13"/>
  <c r="AX18" i="18"/>
  <c r="AY18" i="13"/>
  <c r="AY20" i="13"/>
  <c r="AY84" i="9"/>
  <c r="AY21" i="13"/>
  <c r="AY19" i="13"/>
  <c r="AY22" i="13"/>
  <c r="AY24" i="13"/>
  <c r="AY26" i="13"/>
  <c r="AY27" i="13"/>
  <c r="AY18" i="18"/>
  <c r="AZ18" i="13"/>
  <c r="AZ20" i="13"/>
  <c r="AZ84" i="9"/>
  <c r="AZ21" i="13"/>
  <c r="AZ19" i="13"/>
  <c r="AZ22" i="13"/>
  <c r="AZ24" i="13"/>
  <c r="AZ26" i="13"/>
  <c r="AZ27" i="13"/>
  <c r="AZ18" i="18"/>
  <c r="BA18" i="13"/>
  <c r="BA20" i="13"/>
  <c r="BA80" i="9"/>
  <c r="BA84" i="9"/>
  <c r="BA21" i="13"/>
  <c r="BA19" i="13"/>
  <c r="BA22" i="13"/>
  <c r="BA24" i="13"/>
  <c r="BA26" i="13"/>
  <c r="BA27" i="13"/>
  <c r="BA18" i="18"/>
  <c r="BB18" i="13"/>
  <c r="BB20" i="13"/>
  <c r="BB84" i="9"/>
  <c r="BB21" i="13"/>
  <c r="BB19" i="13"/>
  <c r="BB22" i="13"/>
  <c r="BB24" i="13"/>
  <c r="BB26" i="13"/>
  <c r="BB27" i="13"/>
  <c r="BB18" i="18"/>
  <c r="BC18" i="13"/>
  <c r="BC20" i="13"/>
  <c r="BC84" i="9"/>
  <c r="BC21" i="13"/>
  <c r="BC19" i="13"/>
  <c r="BC22" i="13"/>
  <c r="BC24" i="13"/>
  <c r="BC26" i="13"/>
  <c r="BC27" i="13"/>
  <c r="BC18" i="18"/>
  <c r="BD18" i="13"/>
  <c r="BD20" i="13"/>
  <c r="BD84" i="9"/>
  <c r="BD21" i="13"/>
  <c r="BD19" i="13"/>
  <c r="BD22" i="13"/>
  <c r="BD24" i="13"/>
  <c r="BD26" i="13"/>
  <c r="BD27" i="13"/>
  <c r="BD18" i="18"/>
  <c r="BE18" i="13"/>
  <c r="BE20" i="13"/>
  <c r="BE84" i="9"/>
  <c r="BE21" i="13"/>
  <c r="BE19" i="13"/>
  <c r="BE22" i="13"/>
  <c r="BE24" i="13"/>
  <c r="BE26" i="13"/>
  <c r="BE27" i="13"/>
  <c r="BE18" i="18"/>
  <c r="BF18" i="13"/>
  <c r="BF20" i="13"/>
  <c r="BF84" i="9"/>
  <c r="BF21" i="13"/>
  <c r="BF19" i="13"/>
  <c r="BF22" i="13"/>
  <c r="BF24" i="13"/>
  <c r="BF26" i="13"/>
  <c r="BF27" i="13"/>
  <c r="BF18" i="18"/>
  <c r="BG18" i="13"/>
  <c r="BG20" i="13"/>
  <c r="BG84" i="9"/>
  <c r="BG21" i="13"/>
  <c r="BG19" i="13"/>
  <c r="BG22" i="13"/>
  <c r="BG24" i="13"/>
  <c r="BG26" i="13"/>
  <c r="BG27" i="13"/>
  <c r="BG18" i="18"/>
  <c r="BH18" i="13"/>
  <c r="BH20" i="13"/>
  <c r="BH84" i="9"/>
  <c r="BH21" i="13"/>
  <c r="BH19" i="13"/>
  <c r="BH22" i="13"/>
  <c r="BH24" i="13"/>
  <c r="BH26" i="13"/>
  <c r="BH27" i="13"/>
  <c r="BH18" i="18"/>
  <c r="BI18" i="13"/>
  <c r="BI20" i="13"/>
  <c r="BI84" i="9"/>
  <c r="BI21" i="13"/>
  <c r="BI19" i="13"/>
  <c r="BI22" i="13"/>
  <c r="BI24" i="13"/>
  <c r="BI26" i="13"/>
  <c r="BI27" i="13"/>
  <c r="BI18" i="18"/>
  <c r="BJ18" i="13"/>
  <c r="BJ20" i="13"/>
  <c r="BJ84" i="9"/>
  <c r="BJ21" i="13"/>
  <c r="BJ19" i="13"/>
  <c r="BJ22" i="13"/>
  <c r="BJ24" i="13"/>
  <c r="BJ26" i="13"/>
  <c r="BJ27" i="13"/>
  <c r="BJ18" i="18"/>
  <c r="G18" i="18"/>
  <c r="E18" i="18"/>
  <c r="G19" i="18"/>
  <c r="H19" i="18"/>
  <c r="I19" i="18"/>
  <c r="J19" i="18"/>
  <c r="K19" i="18"/>
  <c r="L19" i="18"/>
  <c r="M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AA19" i="18"/>
  <c r="AB19" i="18"/>
  <c r="AC19" i="18"/>
  <c r="AE19" i="18"/>
  <c r="AF19" i="18"/>
  <c r="AG19" i="18"/>
  <c r="AH19" i="18"/>
  <c r="AI19" i="18"/>
  <c r="AJ19" i="18"/>
  <c r="AK19" i="18"/>
  <c r="AM19" i="18"/>
  <c r="AN19" i="18"/>
  <c r="AO19" i="18"/>
  <c r="AP19" i="18"/>
  <c r="AQ19" i="18"/>
  <c r="AR19" i="18"/>
  <c r="AS19" i="18"/>
  <c r="AU19" i="18"/>
  <c r="AV19" i="18"/>
  <c r="AW19" i="18"/>
  <c r="AX19" i="18"/>
  <c r="AY19" i="18"/>
  <c r="AZ19" i="18"/>
  <c r="BA19" i="18"/>
  <c r="BC19" i="18"/>
  <c r="BD19" i="18"/>
  <c r="BE19" i="18"/>
  <c r="BF19" i="18"/>
  <c r="BG19" i="18"/>
  <c r="BH19" i="18"/>
  <c r="BI19" i="18"/>
  <c r="AD19" i="18"/>
  <c r="AL19" i="18"/>
  <c r="AT19" i="18"/>
  <c r="BB19" i="18"/>
  <c r="BJ19" i="18"/>
  <c r="E19" i="18"/>
  <c r="E20" i="18"/>
  <c r="E21" i="18"/>
  <c r="G21" i="17"/>
  <c r="G22" i="17"/>
  <c r="G25" i="17"/>
  <c r="G26" i="17"/>
  <c r="G28" i="17"/>
  <c r="G29" i="17"/>
  <c r="G31" i="17"/>
  <c r="G32" i="17"/>
  <c r="G23" i="18"/>
  <c r="G24" i="18"/>
  <c r="G25" i="18"/>
  <c r="G22" i="18"/>
  <c r="G26" i="18"/>
  <c r="H22" i="18"/>
  <c r="H21" i="17"/>
  <c r="H22" i="17"/>
  <c r="H25" i="17"/>
  <c r="H28" i="17"/>
  <c r="H26" i="17"/>
  <c r="H29" i="17"/>
  <c r="H31" i="17"/>
  <c r="H32" i="17"/>
  <c r="H23" i="18"/>
  <c r="H24" i="18"/>
  <c r="H25" i="18"/>
  <c r="H26" i="18"/>
  <c r="I22" i="18"/>
  <c r="I21" i="17"/>
  <c r="I22" i="17"/>
  <c r="I25" i="17"/>
  <c r="I28" i="17"/>
  <c r="I26" i="17"/>
  <c r="I29" i="17"/>
  <c r="I31" i="17"/>
  <c r="I32" i="17"/>
  <c r="I23" i="18"/>
  <c r="I24" i="18"/>
  <c r="I25" i="18"/>
  <c r="I26" i="18"/>
  <c r="J22" i="18"/>
  <c r="J21" i="17"/>
  <c r="J22" i="17"/>
  <c r="J25" i="17"/>
  <c r="J28" i="17"/>
  <c r="J26" i="17"/>
  <c r="J29" i="17"/>
  <c r="J31" i="17"/>
  <c r="J32" i="17"/>
  <c r="J23" i="18"/>
  <c r="J24" i="18"/>
  <c r="J25" i="18"/>
  <c r="J26" i="18"/>
  <c r="K22" i="18"/>
  <c r="K21" i="17"/>
  <c r="K22" i="17"/>
  <c r="K25" i="17"/>
  <c r="K28" i="17"/>
  <c r="K26" i="17"/>
  <c r="K29" i="17"/>
  <c r="K31" i="17"/>
  <c r="K32" i="17"/>
  <c r="K23" i="18"/>
  <c r="K24" i="18"/>
  <c r="K25" i="18"/>
  <c r="K26" i="18"/>
  <c r="L22" i="18"/>
  <c r="L21" i="17"/>
  <c r="L22" i="17"/>
  <c r="L25" i="17"/>
  <c r="L28" i="17"/>
  <c r="L26" i="17"/>
  <c r="L29" i="17"/>
  <c r="L31" i="17"/>
  <c r="L32" i="17"/>
  <c r="L23" i="18"/>
  <c r="L24" i="18"/>
  <c r="L25" i="18"/>
  <c r="L26" i="18"/>
  <c r="M22" i="18"/>
  <c r="M21" i="17"/>
  <c r="M22" i="17"/>
  <c r="M25" i="17"/>
  <c r="M28" i="17"/>
  <c r="M26" i="17"/>
  <c r="M29" i="17"/>
  <c r="M31" i="17"/>
  <c r="M32" i="17"/>
  <c r="M23" i="18"/>
  <c r="M24" i="18"/>
  <c r="M25" i="18"/>
  <c r="M26" i="18"/>
  <c r="N22" i="18"/>
  <c r="N21" i="17"/>
  <c r="N22" i="17"/>
  <c r="N25" i="17"/>
  <c r="N28" i="17"/>
  <c r="N26" i="17"/>
  <c r="N29" i="17"/>
  <c r="N31" i="17"/>
  <c r="N32" i="17"/>
  <c r="N23" i="18"/>
  <c r="N24" i="18"/>
  <c r="N25" i="18"/>
  <c r="N26" i="18"/>
  <c r="O22" i="18"/>
  <c r="O21" i="17"/>
  <c r="O22" i="17"/>
  <c r="O25" i="17"/>
  <c r="O28" i="17"/>
  <c r="O26" i="17"/>
  <c r="O29" i="17"/>
  <c r="O31" i="17"/>
  <c r="O32" i="17"/>
  <c r="O23" i="18"/>
  <c r="O24" i="18"/>
  <c r="O25" i="18"/>
  <c r="O26" i="18"/>
  <c r="P22" i="18"/>
  <c r="P21" i="17"/>
  <c r="P22" i="17"/>
  <c r="P25" i="17"/>
  <c r="P28" i="17"/>
  <c r="P26" i="17"/>
  <c r="P29" i="17"/>
  <c r="P31" i="17"/>
  <c r="P32" i="17"/>
  <c r="P23" i="18"/>
  <c r="P24" i="18"/>
  <c r="P25" i="18"/>
  <c r="P26" i="18"/>
  <c r="Q22" i="18"/>
  <c r="Q21" i="17"/>
  <c r="Q22" i="17"/>
  <c r="Q25" i="17"/>
  <c r="Q28" i="17"/>
  <c r="Q26" i="17"/>
  <c r="Q29" i="17"/>
  <c r="Q31" i="17"/>
  <c r="Q32" i="17"/>
  <c r="Q23" i="18"/>
  <c r="Q24" i="18"/>
  <c r="Q25" i="18"/>
  <c r="Q26" i="18"/>
  <c r="R22" i="18"/>
  <c r="R21" i="17"/>
  <c r="R22" i="17"/>
  <c r="R25" i="17"/>
  <c r="R28" i="17"/>
  <c r="R26" i="17"/>
  <c r="R29" i="17"/>
  <c r="R31" i="17"/>
  <c r="R32" i="17"/>
  <c r="R23" i="18"/>
  <c r="R24" i="18"/>
  <c r="R25" i="18"/>
  <c r="R26" i="18"/>
  <c r="S22" i="18"/>
  <c r="S21" i="17"/>
  <c r="S22" i="17"/>
  <c r="S25" i="17"/>
  <c r="S28" i="17"/>
  <c r="S26" i="17"/>
  <c r="S29" i="17"/>
  <c r="S31" i="17"/>
  <c r="S32" i="17"/>
  <c r="S23" i="18"/>
  <c r="S24" i="18"/>
  <c r="S25" i="18"/>
  <c r="S26" i="18"/>
  <c r="T22" i="18"/>
  <c r="T21" i="17"/>
  <c r="T22" i="17"/>
  <c r="T25" i="17"/>
  <c r="T28" i="17"/>
  <c r="T26" i="17"/>
  <c r="T29" i="17"/>
  <c r="T31" i="17"/>
  <c r="T32" i="17"/>
  <c r="T23" i="18"/>
  <c r="T24" i="18"/>
  <c r="T25" i="18"/>
  <c r="T26" i="18"/>
  <c r="U22" i="18"/>
  <c r="U21" i="17"/>
  <c r="U22" i="17"/>
  <c r="U25" i="17"/>
  <c r="U28" i="17"/>
  <c r="U26" i="17"/>
  <c r="U29" i="17"/>
  <c r="U31" i="17"/>
  <c r="U32" i="17"/>
  <c r="U23" i="18"/>
  <c r="U24" i="18"/>
  <c r="U25" i="18"/>
  <c r="U26" i="18"/>
  <c r="V22" i="18"/>
  <c r="W21" i="17"/>
  <c r="W22" i="17"/>
  <c r="W25" i="17"/>
  <c r="W28" i="17"/>
  <c r="W26" i="17"/>
  <c r="W29" i="17"/>
  <c r="W31" i="17"/>
  <c r="W32" i="17"/>
  <c r="W23" i="18"/>
  <c r="W24" i="18"/>
  <c r="W25" i="18"/>
  <c r="V26" i="18"/>
  <c r="W22" i="18"/>
  <c r="W26" i="18"/>
  <c r="X22" i="18"/>
  <c r="X21" i="17"/>
  <c r="X22" i="17"/>
  <c r="X25" i="17"/>
  <c r="X28" i="17"/>
  <c r="X26" i="17"/>
  <c r="X29" i="17"/>
  <c r="X31" i="17"/>
  <c r="X32" i="17"/>
  <c r="X23" i="18"/>
  <c r="X24" i="18"/>
  <c r="X25" i="18"/>
  <c r="X26" i="18"/>
  <c r="Y22" i="18"/>
  <c r="Y21" i="17"/>
  <c r="Y22" i="17"/>
  <c r="Y25" i="17"/>
  <c r="Y28" i="17"/>
  <c r="Y26" i="17"/>
  <c r="Y29" i="17"/>
  <c r="Y31" i="17"/>
  <c r="Y32" i="17"/>
  <c r="Y23" i="18"/>
  <c r="Y24" i="18"/>
  <c r="Y25" i="18"/>
  <c r="Y26" i="18"/>
  <c r="Z22" i="18"/>
  <c r="Z21" i="17"/>
  <c r="Z22" i="17"/>
  <c r="Z25" i="17"/>
  <c r="Z28" i="17"/>
  <c r="Z26" i="17"/>
  <c r="Z29" i="17"/>
  <c r="Z31" i="17"/>
  <c r="Z32" i="17"/>
  <c r="Z23" i="18"/>
  <c r="Z24" i="18"/>
  <c r="Z25" i="18"/>
  <c r="Z26" i="18"/>
  <c r="AA22" i="18"/>
  <c r="AA21" i="17"/>
  <c r="AA22" i="17"/>
  <c r="AA25" i="17"/>
  <c r="AA28" i="17"/>
  <c r="AA26" i="17"/>
  <c r="AA29" i="17"/>
  <c r="AA31" i="17"/>
  <c r="AA32" i="17"/>
  <c r="AA23" i="18"/>
  <c r="AA24" i="18"/>
  <c r="AA25" i="18"/>
  <c r="AA26" i="18"/>
  <c r="AB22" i="18"/>
  <c r="AB21" i="17"/>
  <c r="AB22" i="17"/>
  <c r="AB25" i="17"/>
  <c r="AB28" i="17"/>
  <c r="AB26" i="17"/>
  <c r="AB29" i="17"/>
  <c r="AB31" i="17"/>
  <c r="AB32" i="17"/>
  <c r="AB23" i="18"/>
  <c r="AB24" i="18"/>
  <c r="AB25" i="18"/>
  <c r="AB26" i="18"/>
  <c r="AC22" i="18"/>
  <c r="AC21" i="17"/>
  <c r="AC22" i="17"/>
  <c r="AC25" i="17"/>
  <c r="AC28" i="17"/>
  <c r="AC26" i="17"/>
  <c r="AC29" i="17"/>
  <c r="AC31" i="17"/>
  <c r="AC32" i="17"/>
  <c r="AC23" i="18"/>
  <c r="AC24" i="18"/>
  <c r="AC25" i="18"/>
  <c r="AC26" i="18"/>
  <c r="AD22" i="18"/>
  <c r="AD21" i="17"/>
  <c r="AD22" i="17"/>
  <c r="AD25" i="17"/>
  <c r="AD28" i="17"/>
  <c r="AD26" i="17"/>
  <c r="AD29" i="17"/>
  <c r="AD31" i="17"/>
  <c r="AD32" i="17"/>
  <c r="AD23" i="18"/>
  <c r="AD24" i="18"/>
  <c r="AD25" i="18"/>
  <c r="AD26" i="18"/>
  <c r="AE22" i="18"/>
  <c r="AE21" i="17"/>
  <c r="AE22" i="17"/>
  <c r="AE25" i="17"/>
  <c r="AE28" i="17"/>
  <c r="AE26" i="17"/>
  <c r="AE29" i="17"/>
  <c r="AE31" i="17"/>
  <c r="AE32" i="17"/>
  <c r="AE23" i="18"/>
  <c r="AE24" i="18"/>
  <c r="AE25" i="18"/>
  <c r="AE26" i="18"/>
  <c r="AF22" i="18"/>
  <c r="AF21" i="17"/>
  <c r="AF22" i="17"/>
  <c r="AF25" i="17"/>
  <c r="AF28" i="17"/>
  <c r="AF26" i="17"/>
  <c r="AF29" i="17"/>
  <c r="AF31" i="17"/>
  <c r="AF32" i="17"/>
  <c r="AF23" i="18"/>
  <c r="AF24" i="18"/>
  <c r="AF25" i="18"/>
  <c r="AF26" i="18"/>
  <c r="AG22" i="18"/>
  <c r="AG21" i="17"/>
  <c r="AG22" i="17"/>
  <c r="AG25" i="17"/>
  <c r="AG28" i="17"/>
  <c r="AG26" i="17"/>
  <c r="AG29" i="17"/>
  <c r="AG31" i="17"/>
  <c r="AG32" i="17"/>
  <c r="AG23" i="18"/>
  <c r="AG24" i="18"/>
  <c r="AG25" i="18"/>
  <c r="AG26" i="18"/>
  <c r="AH22" i="18"/>
  <c r="AH21" i="17"/>
  <c r="AH22" i="17"/>
  <c r="AH25" i="17"/>
  <c r="AH28" i="17"/>
  <c r="AH26" i="17"/>
  <c r="AH29" i="17"/>
  <c r="AH31" i="17"/>
  <c r="AH32" i="17"/>
  <c r="AH23" i="18"/>
  <c r="AH24" i="18"/>
  <c r="AH25" i="18"/>
  <c r="AH26" i="18"/>
  <c r="AI22" i="18"/>
  <c r="AI21" i="17"/>
  <c r="AI22" i="17"/>
  <c r="AI25" i="17"/>
  <c r="AI28" i="17"/>
  <c r="AI26" i="17"/>
  <c r="AI29" i="17"/>
  <c r="AI31" i="17"/>
  <c r="AI32" i="17"/>
  <c r="AI23" i="18"/>
  <c r="AI24" i="18"/>
  <c r="AI25" i="18"/>
  <c r="AI26" i="18"/>
  <c r="AJ22" i="18"/>
  <c r="AJ21" i="17"/>
  <c r="AJ22" i="17"/>
  <c r="AJ25" i="17"/>
  <c r="AJ28" i="17"/>
  <c r="AJ26" i="17"/>
  <c r="AJ29" i="17"/>
  <c r="AJ31" i="17"/>
  <c r="AJ32" i="17"/>
  <c r="AJ23" i="18"/>
  <c r="AJ24" i="18"/>
  <c r="AJ25" i="18"/>
  <c r="AJ26" i="18"/>
  <c r="AK22" i="18"/>
  <c r="AK21" i="17"/>
  <c r="AK22" i="17"/>
  <c r="AK25" i="17"/>
  <c r="AK28" i="17"/>
  <c r="AK26" i="17"/>
  <c r="AK29" i="17"/>
  <c r="AK31" i="17"/>
  <c r="AK32" i="17"/>
  <c r="AK23" i="18"/>
  <c r="AK24" i="18"/>
  <c r="AK25" i="18"/>
  <c r="AK26" i="18"/>
  <c r="AL22" i="18"/>
  <c r="AL21" i="17"/>
  <c r="AL22" i="17"/>
  <c r="AL25" i="17"/>
  <c r="AL28" i="17"/>
  <c r="AL26" i="17"/>
  <c r="AL29" i="17"/>
  <c r="AL31" i="17"/>
  <c r="AL32" i="17"/>
  <c r="AL23" i="18"/>
  <c r="AL24" i="18"/>
  <c r="AL25" i="18"/>
  <c r="AL26" i="18"/>
  <c r="AM22" i="18"/>
  <c r="AM21" i="17"/>
  <c r="AM22" i="17"/>
  <c r="AM25" i="17"/>
  <c r="AM28" i="17"/>
  <c r="AM26" i="17"/>
  <c r="AM29" i="17"/>
  <c r="AM31" i="17"/>
  <c r="AM32" i="17"/>
  <c r="AM23" i="18"/>
  <c r="AM24" i="18"/>
  <c r="AM25" i="18"/>
  <c r="AM26" i="18"/>
  <c r="AN22" i="18"/>
  <c r="AN21" i="17"/>
  <c r="AN22" i="17"/>
  <c r="AN25" i="17"/>
  <c r="AN28" i="17"/>
  <c r="AN26" i="17"/>
  <c r="AN29" i="17"/>
  <c r="AN31" i="17"/>
  <c r="AN32" i="17"/>
  <c r="AN23" i="18"/>
  <c r="AN24" i="18"/>
  <c r="AN25" i="18"/>
  <c r="AN26" i="18"/>
  <c r="AO22" i="18"/>
  <c r="AO21" i="17"/>
  <c r="AO22" i="17"/>
  <c r="AO25" i="17"/>
  <c r="AO28" i="17"/>
  <c r="AO26" i="17"/>
  <c r="AO29" i="17"/>
  <c r="AO31" i="17"/>
  <c r="AO32" i="17"/>
  <c r="AO23" i="18"/>
  <c r="AO24" i="18"/>
  <c r="AO25" i="18"/>
  <c r="AO26" i="18"/>
  <c r="AP22" i="18"/>
  <c r="AP21" i="17"/>
  <c r="AP22" i="17"/>
  <c r="AP25" i="17"/>
  <c r="AP28" i="17"/>
  <c r="AP26" i="17"/>
  <c r="AP29" i="17"/>
  <c r="AP31" i="17"/>
  <c r="AP32" i="17"/>
  <c r="AP23" i="18"/>
  <c r="AP24" i="18"/>
  <c r="AP25" i="18"/>
  <c r="AP26" i="18"/>
  <c r="AQ22" i="18"/>
  <c r="AQ21" i="17"/>
  <c r="AQ22" i="17"/>
  <c r="AQ25" i="17"/>
  <c r="AQ28" i="17"/>
  <c r="AQ26" i="17"/>
  <c r="AQ29" i="17"/>
  <c r="AQ31" i="17"/>
  <c r="AQ32" i="17"/>
  <c r="AQ23" i="18"/>
  <c r="AQ24" i="18"/>
  <c r="AQ25" i="18"/>
  <c r="AQ26" i="18"/>
  <c r="AR22" i="18"/>
  <c r="AR21" i="17"/>
  <c r="AR22" i="17"/>
  <c r="AR25" i="17"/>
  <c r="AR28" i="17"/>
  <c r="AR26" i="17"/>
  <c r="AR29" i="17"/>
  <c r="AR31" i="17"/>
  <c r="AR32" i="17"/>
  <c r="AR23" i="18"/>
  <c r="AR24" i="18"/>
  <c r="AR25" i="18"/>
  <c r="AR26" i="18"/>
  <c r="AS22" i="18"/>
  <c r="AS21" i="17"/>
  <c r="AS22" i="17"/>
  <c r="AS25" i="17"/>
  <c r="AS28" i="17"/>
  <c r="AS26" i="17"/>
  <c r="AS29" i="17"/>
  <c r="AS31" i="17"/>
  <c r="AS32" i="17"/>
  <c r="AS23" i="18"/>
  <c r="AS24" i="18"/>
  <c r="AS25" i="18"/>
  <c r="AS26" i="18"/>
  <c r="AT22" i="18"/>
  <c r="AT21" i="17"/>
  <c r="AT22" i="17"/>
  <c r="AT25" i="17"/>
  <c r="AT28" i="17"/>
  <c r="AT26" i="17"/>
  <c r="AT29" i="17"/>
  <c r="AT31" i="17"/>
  <c r="AT32" i="17"/>
  <c r="AT23" i="18"/>
  <c r="AT24" i="18"/>
  <c r="AT25" i="18"/>
  <c r="AT26" i="18"/>
  <c r="AU22" i="18"/>
  <c r="AU21" i="17"/>
  <c r="AU22" i="17"/>
  <c r="AU25" i="17"/>
  <c r="AU28" i="17"/>
  <c r="AU26" i="17"/>
  <c r="AU29" i="17"/>
  <c r="AU31" i="17"/>
  <c r="AU32" i="17"/>
  <c r="AU23" i="18"/>
  <c r="AU24" i="18"/>
  <c r="AU25" i="18"/>
  <c r="AU26" i="18"/>
  <c r="AV22" i="18"/>
  <c r="AV21" i="17"/>
  <c r="AV22" i="17"/>
  <c r="AV25" i="17"/>
  <c r="AV28" i="17"/>
  <c r="AV26" i="17"/>
  <c r="AV29" i="17"/>
  <c r="AV31" i="17"/>
  <c r="AV32" i="17"/>
  <c r="AV23" i="18"/>
  <c r="AV24" i="18"/>
  <c r="AV25" i="18"/>
  <c r="AV26" i="18"/>
  <c r="AW22" i="18"/>
  <c r="AW21" i="17"/>
  <c r="AW22" i="17"/>
  <c r="AW25" i="17"/>
  <c r="AW28" i="17"/>
  <c r="AW26" i="17"/>
  <c r="AW29" i="17"/>
  <c r="AW31" i="17"/>
  <c r="AW32" i="17"/>
  <c r="AW23" i="18"/>
  <c r="AW24" i="18"/>
  <c r="AW25" i="18"/>
  <c r="AW26" i="18"/>
  <c r="AX22" i="18"/>
  <c r="AX21" i="17"/>
  <c r="AX22" i="17"/>
  <c r="AX25" i="17"/>
  <c r="AX28" i="17"/>
  <c r="AX26" i="17"/>
  <c r="AX29" i="17"/>
  <c r="AX31" i="17"/>
  <c r="AX32" i="17"/>
  <c r="AX23" i="18"/>
  <c r="AX24" i="18"/>
  <c r="AX25" i="18"/>
  <c r="AX26" i="18"/>
  <c r="AY22" i="18"/>
  <c r="AY21" i="17"/>
  <c r="AY22" i="17"/>
  <c r="AY25" i="17"/>
  <c r="AY28" i="17"/>
  <c r="AY26" i="17"/>
  <c r="AY29" i="17"/>
  <c r="AY31" i="17"/>
  <c r="AY32" i="17"/>
  <c r="AY23" i="18"/>
  <c r="AY24" i="18"/>
  <c r="AY25" i="18"/>
  <c r="AY26" i="18"/>
  <c r="AZ22" i="18"/>
  <c r="AZ21" i="17"/>
  <c r="AZ22" i="17"/>
  <c r="AZ25" i="17"/>
  <c r="AZ28" i="17"/>
  <c r="AZ26" i="17"/>
  <c r="AZ29" i="17"/>
  <c r="AZ31" i="17"/>
  <c r="AZ32" i="17"/>
  <c r="AZ23" i="18"/>
  <c r="AZ24" i="18"/>
  <c r="AZ25" i="18"/>
  <c r="AZ26" i="18"/>
  <c r="BA22" i="18"/>
  <c r="BA21" i="17"/>
  <c r="BA22" i="17"/>
  <c r="BA25" i="17"/>
  <c r="BA28" i="17"/>
  <c r="BA26" i="17"/>
  <c r="BA29" i="17"/>
  <c r="BA31" i="17"/>
  <c r="BA32" i="17"/>
  <c r="BA23" i="18"/>
  <c r="BA24" i="18"/>
  <c r="BA25" i="18"/>
  <c r="BA26" i="18"/>
  <c r="BB22" i="18"/>
  <c r="BB21" i="17"/>
  <c r="BB22" i="17"/>
  <c r="BB25" i="17"/>
  <c r="BB28" i="17"/>
  <c r="BB26" i="17"/>
  <c r="BB29" i="17"/>
  <c r="BB31" i="17"/>
  <c r="BB32" i="17"/>
  <c r="BB23" i="18"/>
  <c r="BB24" i="18"/>
  <c r="BB25" i="18"/>
  <c r="BB26" i="18"/>
  <c r="BC22" i="18"/>
  <c r="BC21" i="17"/>
  <c r="BC22" i="17"/>
  <c r="BC25" i="17"/>
  <c r="BC28" i="17"/>
  <c r="BC26" i="17"/>
  <c r="BC29" i="17"/>
  <c r="BC31" i="17"/>
  <c r="BC32" i="17"/>
  <c r="BC23" i="18"/>
  <c r="BC24" i="18"/>
  <c r="BC25" i="18"/>
  <c r="BC26" i="18"/>
  <c r="BD22" i="18"/>
  <c r="BD21" i="17"/>
  <c r="BD22" i="17"/>
  <c r="BD25" i="17"/>
  <c r="BD28" i="17"/>
  <c r="BD26" i="17"/>
  <c r="BD29" i="17"/>
  <c r="BD31" i="17"/>
  <c r="BD32" i="17"/>
  <c r="BD23" i="18"/>
  <c r="BD24" i="18"/>
  <c r="BD25" i="18"/>
  <c r="BD26" i="18"/>
  <c r="BE22" i="18"/>
  <c r="BE21" i="17"/>
  <c r="BE22" i="17"/>
  <c r="BE25" i="17"/>
  <c r="BE28" i="17"/>
  <c r="BE26" i="17"/>
  <c r="BE29" i="17"/>
  <c r="BE31" i="17"/>
  <c r="BE32" i="17"/>
  <c r="BE23" i="18"/>
  <c r="BE24" i="18"/>
  <c r="BE25" i="18"/>
  <c r="BE26" i="18"/>
  <c r="BF22" i="18"/>
  <c r="BF21" i="17"/>
  <c r="BF22" i="17"/>
  <c r="BF25" i="17"/>
  <c r="BF28" i="17"/>
  <c r="BF26" i="17"/>
  <c r="BF29" i="17"/>
  <c r="BF31" i="17"/>
  <c r="BF32" i="17"/>
  <c r="BF23" i="18"/>
  <c r="BF24" i="18"/>
  <c r="BF25" i="18"/>
  <c r="BF26" i="18"/>
  <c r="BG22" i="18"/>
  <c r="BG21" i="17"/>
  <c r="BG22" i="17"/>
  <c r="BG25" i="17"/>
  <c r="BG28" i="17"/>
  <c r="BG26" i="17"/>
  <c r="BG29" i="17"/>
  <c r="BG31" i="17"/>
  <c r="BG32" i="17"/>
  <c r="BG23" i="18"/>
  <c r="BG24" i="18"/>
  <c r="BG25" i="18"/>
  <c r="BG26" i="18"/>
  <c r="BH22" i="18"/>
  <c r="BH21" i="17"/>
  <c r="BH22" i="17"/>
  <c r="BH25" i="17"/>
  <c r="BH28" i="17"/>
  <c r="BH26" i="17"/>
  <c r="BH29" i="17"/>
  <c r="BH31" i="17"/>
  <c r="BH32" i="17"/>
  <c r="BH23" i="18"/>
  <c r="BH24" i="18"/>
  <c r="BH25" i="18"/>
  <c r="BH26" i="18"/>
  <c r="BI22" i="18"/>
  <c r="BI21" i="17"/>
  <c r="BI22" i="17"/>
  <c r="BI25" i="17"/>
  <c r="BI28" i="17"/>
  <c r="BI26" i="17"/>
  <c r="BI29" i="17"/>
  <c r="BI31" i="17"/>
  <c r="BI32" i="17"/>
  <c r="BI23" i="18"/>
  <c r="BI24" i="18"/>
  <c r="BI25" i="18"/>
  <c r="BI26" i="18"/>
  <c r="BJ22" i="18"/>
  <c r="E22" i="18"/>
  <c r="V21" i="17"/>
  <c r="V22" i="17"/>
  <c r="V25" i="17"/>
  <c r="V28" i="17"/>
  <c r="V26" i="17"/>
  <c r="V29" i="17"/>
  <c r="V31" i="17"/>
  <c r="V32" i="17"/>
  <c r="V23" i="18"/>
  <c r="BJ21" i="17"/>
  <c r="BJ22" i="17"/>
  <c r="BJ25" i="17"/>
  <c r="BJ28" i="17"/>
  <c r="BJ26" i="17"/>
  <c r="BJ29" i="17"/>
  <c r="BJ31" i="17"/>
  <c r="BJ32" i="17"/>
  <c r="BJ23" i="18"/>
  <c r="E23" i="18"/>
  <c r="V24" i="18"/>
  <c r="BJ24" i="18"/>
  <c r="E24" i="18"/>
  <c r="V25" i="18"/>
  <c r="BJ25" i="18"/>
  <c r="E25" i="18"/>
  <c r="BJ26" i="18"/>
  <c r="E26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E27" i="18"/>
  <c r="E7" i="18"/>
  <c r="G62" i="20"/>
  <c r="G64" i="20"/>
  <c r="H62" i="20"/>
  <c r="H64" i="20"/>
  <c r="I62" i="20"/>
  <c r="I64" i="20"/>
  <c r="J62" i="20"/>
  <c r="J64" i="20"/>
  <c r="K62" i="20"/>
  <c r="K64" i="20"/>
  <c r="L62" i="20"/>
  <c r="L64" i="20"/>
  <c r="M62" i="20"/>
  <c r="M64" i="20"/>
  <c r="N62" i="20"/>
  <c r="N64" i="20"/>
  <c r="O62" i="20"/>
  <c r="O64" i="20"/>
  <c r="P62" i="20"/>
  <c r="P64" i="20"/>
  <c r="Q62" i="20"/>
  <c r="Q64" i="20"/>
  <c r="R62" i="20"/>
  <c r="R64" i="20"/>
  <c r="S62" i="20"/>
  <c r="S64" i="20"/>
  <c r="T62" i="20"/>
  <c r="T64" i="20"/>
  <c r="U62" i="20"/>
  <c r="U64" i="20"/>
  <c r="V62" i="20"/>
  <c r="V64" i="20"/>
  <c r="W63" i="20"/>
  <c r="W62" i="20"/>
  <c r="W64" i="20"/>
  <c r="X63" i="20"/>
  <c r="X62" i="20"/>
  <c r="X64" i="20"/>
  <c r="Y63" i="20"/>
  <c r="Y62" i="20"/>
  <c r="Y64" i="20"/>
  <c r="Z63" i="20"/>
  <c r="Z62" i="20"/>
  <c r="Z64" i="20"/>
  <c r="AA63" i="20"/>
  <c r="AA62" i="20"/>
  <c r="AA64" i="20"/>
  <c r="AB63" i="20"/>
  <c r="AB62" i="20"/>
  <c r="AB64" i="20"/>
  <c r="AC63" i="20"/>
  <c r="AC62" i="20"/>
  <c r="AC64" i="20"/>
  <c r="AD63" i="20"/>
  <c r="AD62" i="20"/>
  <c r="AD64" i="20"/>
  <c r="AE63" i="20"/>
  <c r="AE62" i="20"/>
  <c r="AE64" i="20"/>
  <c r="AF63" i="20"/>
  <c r="AF62" i="20"/>
  <c r="AF64" i="20"/>
  <c r="AG63" i="20"/>
  <c r="AG62" i="20"/>
  <c r="AG64" i="20"/>
  <c r="AH63" i="20"/>
  <c r="AH62" i="20"/>
  <c r="AH64" i="20"/>
  <c r="AI63" i="20"/>
  <c r="AI62" i="20"/>
  <c r="AI64" i="20"/>
  <c r="AJ63" i="20"/>
  <c r="AJ62" i="20"/>
  <c r="AJ64" i="20"/>
  <c r="AK63" i="20"/>
  <c r="AK62" i="20"/>
  <c r="AK64" i="20"/>
  <c r="AL63" i="20"/>
  <c r="AL62" i="20"/>
  <c r="AL64" i="20"/>
  <c r="AM63" i="20"/>
  <c r="AM62" i="20"/>
  <c r="AM64" i="20"/>
  <c r="AN63" i="20"/>
  <c r="AN62" i="20"/>
  <c r="AN64" i="20"/>
  <c r="AO63" i="20"/>
  <c r="AO62" i="20"/>
  <c r="AO64" i="20"/>
  <c r="AP63" i="20"/>
  <c r="AP62" i="20"/>
  <c r="AP64" i="20"/>
  <c r="AQ63" i="20"/>
  <c r="AQ62" i="20"/>
  <c r="AQ64" i="20"/>
  <c r="AR63" i="20"/>
  <c r="AR62" i="20"/>
  <c r="AR64" i="20"/>
  <c r="AS63" i="20"/>
  <c r="AS62" i="20"/>
  <c r="AS64" i="20"/>
  <c r="AT63" i="20"/>
  <c r="AT62" i="20"/>
  <c r="AT64" i="20"/>
  <c r="AU63" i="20"/>
  <c r="AU62" i="20"/>
  <c r="AU64" i="20"/>
  <c r="AV63" i="20"/>
  <c r="AV62" i="20"/>
  <c r="AV64" i="20"/>
  <c r="AW63" i="20"/>
  <c r="AW62" i="20"/>
  <c r="AW64" i="20"/>
  <c r="AX63" i="20"/>
  <c r="AX62" i="20"/>
  <c r="AX64" i="20"/>
  <c r="AY63" i="20"/>
  <c r="AY62" i="20"/>
  <c r="AY64" i="20"/>
  <c r="AZ63" i="20"/>
  <c r="AZ62" i="20"/>
  <c r="AZ64" i="20"/>
  <c r="BA63" i="20"/>
  <c r="BA62" i="20"/>
  <c r="BA64" i="20"/>
  <c r="BB63" i="20"/>
  <c r="BB62" i="20"/>
  <c r="BB64" i="20"/>
  <c r="BC63" i="20"/>
  <c r="BC62" i="20"/>
  <c r="BC64" i="20"/>
  <c r="BD63" i="20"/>
  <c r="BD62" i="20"/>
  <c r="BD64" i="20"/>
  <c r="BE63" i="20"/>
  <c r="BE62" i="20"/>
  <c r="BE64" i="20"/>
  <c r="BF63" i="20"/>
  <c r="BF62" i="20"/>
  <c r="BF64" i="20"/>
  <c r="BG63" i="20"/>
  <c r="BG62" i="20"/>
  <c r="BG64" i="20"/>
  <c r="BH63" i="20"/>
  <c r="BH62" i="20"/>
  <c r="BH64" i="20"/>
  <c r="BI63" i="20"/>
  <c r="BI62" i="20"/>
  <c r="BI64" i="20"/>
  <c r="BJ63" i="20"/>
  <c r="BJ62" i="20"/>
  <c r="BJ64" i="20"/>
  <c r="E64" i="20"/>
  <c r="G63" i="20"/>
  <c r="H63" i="20"/>
  <c r="I63" i="20"/>
  <c r="J63" i="20"/>
  <c r="K63" i="20"/>
  <c r="L63" i="20"/>
  <c r="M63" i="20"/>
  <c r="N63" i="20"/>
  <c r="O63" i="20"/>
  <c r="P63" i="20"/>
  <c r="Q63" i="20"/>
  <c r="R63" i="20"/>
  <c r="S63" i="20"/>
  <c r="T63" i="20"/>
  <c r="U63" i="20"/>
  <c r="V63" i="20"/>
  <c r="E63" i="20"/>
  <c r="E62" i="20"/>
  <c r="E59" i="20"/>
  <c r="E57" i="20"/>
  <c r="E56" i="20"/>
  <c r="E55" i="20"/>
  <c r="E52" i="20"/>
  <c r="E51" i="20"/>
  <c r="E50" i="20"/>
  <c r="E48" i="20"/>
  <c r="G47" i="20"/>
  <c r="G49" i="20"/>
  <c r="H47" i="20"/>
  <c r="H49" i="20"/>
  <c r="I47" i="20"/>
  <c r="I49" i="20"/>
  <c r="J47" i="20"/>
  <c r="J49" i="20"/>
  <c r="K47" i="20"/>
  <c r="K49" i="20"/>
  <c r="L47" i="20"/>
  <c r="L49" i="20"/>
  <c r="M47" i="20"/>
  <c r="M49" i="20"/>
  <c r="N47" i="20"/>
  <c r="N49" i="20"/>
  <c r="O47" i="20"/>
  <c r="O49" i="20"/>
  <c r="P47" i="20"/>
  <c r="P49" i="20"/>
  <c r="Q47" i="20"/>
  <c r="Q49" i="20"/>
  <c r="R47" i="20"/>
  <c r="R49" i="20"/>
  <c r="S47" i="20"/>
  <c r="S49" i="20"/>
  <c r="T47" i="20"/>
  <c r="T49" i="20"/>
  <c r="U47" i="20"/>
  <c r="U49" i="20"/>
  <c r="V47" i="20"/>
  <c r="V49" i="20"/>
  <c r="W47" i="20"/>
  <c r="W49" i="20"/>
  <c r="X47" i="20"/>
  <c r="X49" i="20"/>
  <c r="Y47" i="20"/>
  <c r="Y49" i="20"/>
  <c r="Z47" i="20"/>
  <c r="Z49" i="20"/>
  <c r="AA47" i="20"/>
  <c r="AA49" i="20"/>
  <c r="AB47" i="20"/>
  <c r="AB49" i="20"/>
  <c r="AC47" i="20"/>
  <c r="AC49" i="20"/>
  <c r="AD47" i="20"/>
  <c r="AD49" i="20"/>
  <c r="AE47" i="20"/>
  <c r="AE49" i="20"/>
  <c r="AF47" i="20"/>
  <c r="AF49" i="20"/>
  <c r="AG47" i="20"/>
  <c r="AG49" i="20"/>
  <c r="AH47" i="20"/>
  <c r="AH49" i="20"/>
  <c r="AI47" i="20"/>
  <c r="AI49" i="20"/>
  <c r="AJ47" i="20"/>
  <c r="AJ49" i="20"/>
  <c r="AK47" i="20"/>
  <c r="AK49" i="20"/>
  <c r="AL47" i="20"/>
  <c r="AL49" i="20"/>
  <c r="AM47" i="20"/>
  <c r="AM49" i="20"/>
  <c r="AN47" i="20"/>
  <c r="AN49" i="20"/>
  <c r="AO47" i="20"/>
  <c r="AO49" i="20"/>
  <c r="AP47" i="20"/>
  <c r="AP49" i="20"/>
  <c r="AQ47" i="20"/>
  <c r="AQ49" i="20"/>
  <c r="AR47" i="20"/>
  <c r="AR49" i="20"/>
  <c r="AS47" i="20"/>
  <c r="AS49" i="20"/>
  <c r="AT47" i="20"/>
  <c r="AT49" i="20"/>
  <c r="AU47" i="20"/>
  <c r="AU49" i="20"/>
  <c r="AV47" i="20"/>
  <c r="AV49" i="20"/>
  <c r="AW47" i="20"/>
  <c r="AW49" i="20"/>
  <c r="AX47" i="20"/>
  <c r="AX49" i="20"/>
  <c r="AY47" i="20"/>
  <c r="AY49" i="20"/>
  <c r="AZ47" i="20"/>
  <c r="AZ49" i="20"/>
  <c r="BA47" i="20"/>
  <c r="BA49" i="20"/>
  <c r="BB47" i="20"/>
  <c r="BB49" i="20"/>
  <c r="BC47" i="20"/>
  <c r="BC49" i="20"/>
  <c r="BD47" i="20"/>
  <c r="BD49" i="20"/>
  <c r="BE47" i="20"/>
  <c r="BE49" i="20"/>
  <c r="BF47" i="20"/>
  <c r="BF49" i="20"/>
  <c r="BG47" i="20"/>
  <c r="BG49" i="20"/>
  <c r="BH47" i="20"/>
  <c r="BH49" i="20"/>
  <c r="BI47" i="20"/>
  <c r="BI49" i="20"/>
  <c r="BJ47" i="20"/>
  <c r="E47" i="20"/>
  <c r="E42" i="20"/>
  <c r="G41" i="20"/>
  <c r="H41" i="20"/>
  <c r="I41" i="20"/>
  <c r="J41" i="20"/>
  <c r="K41" i="20"/>
  <c r="L41" i="20"/>
  <c r="M41" i="20"/>
  <c r="N41" i="20"/>
  <c r="O41" i="20"/>
  <c r="P41" i="20"/>
  <c r="Q41" i="20"/>
  <c r="R41" i="20"/>
  <c r="S41" i="20"/>
  <c r="T41" i="20"/>
  <c r="U41" i="20"/>
  <c r="V41" i="20"/>
  <c r="W41" i="20"/>
  <c r="X41" i="20"/>
  <c r="Y41" i="20"/>
  <c r="Z41" i="20"/>
  <c r="AA41" i="20"/>
  <c r="AB41" i="20"/>
  <c r="AC41" i="20"/>
  <c r="AD41" i="20"/>
  <c r="AE41" i="20"/>
  <c r="AF41" i="20"/>
  <c r="AG41" i="20"/>
  <c r="AH41" i="20"/>
  <c r="AI41" i="20"/>
  <c r="AJ41" i="20"/>
  <c r="AK41" i="20"/>
  <c r="AL41" i="20"/>
  <c r="AM41" i="20"/>
  <c r="AN41" i="20"/>
  <c r="AO41" i="20"/>
  <c r="AP41" i="20"/>
  <c r="AQ41" i="20"/>
  <c r="AR41" i="20"/>
  <c r="AS41" i="20"/>
  <c r="AT41" i="20"/>
  <c r="AU41" i="20"/>
  <c r="AV41" i="20"/>
  <c r="AW41" i="20"/>
  <c r="AX41" i="20"/>
  <c r="AY41" i="20"/>
  <c r="AZ41" i="20"/>
  <c r="BA41" i="20"/>
  <c r="BB41" i="20"/>
  <c r="BC41" i="20"/>
  <c r="BD41" i="20"/>
  <c r="BE41" i="20"/>
  <c r="BF41" i="20"/>
  <c r="BG41" i="20"/>
  <c r="BH41" i="20"/>
  <c r="BI41" i="20"/>
  <c r="BJ41" i="20"/>
  <c r="E41" i="20"/>
  <c r="E38" i="20"/>
  <c r="E37" i="20"/>
  <c r="E36" i="20"/>
  <c r="E35" i="20"/>
  <c r="E34" i="20"/>
  <c r="E30" i="20"/>
  <c r="E29" i="20"/>
  <c r="E28" i="20"/>
  <c r="E27" i="20"/>
  <c r="E26" i="20"/>
  <c r="E22" i="20"/>
  <c r="E21" i="20"/>
  <c r="E20" i="20"/>
  <c r="E19" i="20"/>
  <c r="E18" i="20"/>
  <c r="E17" i="20"/>
  <c r="E12" i="20"/>
  <c r="E11" i="20"/>
  <c r="E10" i="20"/>
  <c r="E9" i="20"/>
  <c r="D16" i="19"/>
  <c r="D15" i="19"/>
  <c r="BJ1" i="19"/>
  <c r="BI1" i="19"/>
  <c r="BH1" i="19"/>
  <c r="BG1" i="19"/>
  <c r="BF1" i="19"/>
  <c r="BE1" i="19"/>
  <c r="BD1" i="19"/>
  <c r="BC1" i="19"/>
  <c r="BB1" i="19"/>
  <c r="BA1" i="19"/>
  <c r="AZ1" i="19"/>
  <c r="AY1" i="19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E65" i="20"/>
  <c r="BJ49" i="20"/>
  <c r="D45" i="20"/>
  <c r="D44" i="20"/>
  <c r="D24" i="20"/>
  <c r="BJ3" i="20"/>
  <c r="BI3" i="20"/>
  <c r="BH3" i="20"/>
  <c r="BG3" i="20"/>
  <c r="BF3" i="20"/>
  <c r="BE3" i="20"/>
  <c r="BD3" i="20"/>
  <c r="BC3" i="20"/>
  <c r="BB3" i="20"/>
  <c r="BA3" i="20"/>
  <c r="AZ3" i="20"/>
  <c r="AY3" i="20"/>
  <c r="AX3" i="20"/>
  <c r="AW3" i="20"/>
  <c r="AV3" i="20"/>
  <c r="AU3" i="20"/>
  <c r="AT3" i="20"/>
  <c r="AS3" i="20"/>
  <c r="AR3" i="20"/>
  <c r="AQ3" i="20"/>
  <c r="AP3" i="20"/>
  <c r="AO3" i="20"/>
  <c r="AN3" i="20"/>
  <c r="AM3" i="20"/>
  <c r="AL3" i="20"/>
  <c r="AK3" i="20"/>
  <c r="AJ3" i="20"/>
  <c r="AI3" i="20"/>
  <c r="AH3" i="20"/>
  <c r="AG3" i="20"/>
  <c r="AF3" i="20"/>
  <c r="AE3" i="20"/>
  <c r="AD3" i="20"/>
  <c r="AC3" i="20"/>
  <c r="AB3" i="20"/>
  <c r="AA3" i="20"/>
  <c r="Z3" i="20"/>
  <c r="Y3" i="20"/>
  <c r="X3" i="20"/>
  <c r="W3" i="20"/>
  <c r="V3" i="20"/>
  <c r="U3" i="20"/>
  <c r="T3" i="20"/>
  <c r="S3" i="20"/>
  <c r="R3" i="20"/>
  <c r="Q3" i="20"/>
  <c r="P3" i="20"/>
  <c r="O3" i="20"/>
  <c r="N3" i="20"/>
  <c r="M3" i="20"/>
  <c r="L3" i="20"/>
  <c r="K3" i="20"/>
  <c r="J3" i="20"/>
  <c r="I3" i="20"/>
  <c r="H3" i="20"/>
  <c r="BJ2" i="20"/>
  <c r="BI2" i="20"/>
  <c r="BH2" i="20"/>
  <c r="BG2" i="20"/>
  <c r="BF2" i="20"/>
  <c r="BE2" i="20"/>
  <c r="BD2" i="20"/>
  <c r="BC2" i="20"/>
  <c r="BB2" i="20"/>
  <c r="BA2" i="20"/>
  <c r="AZ2" i="20"/>
  <c r="AY2" i="20"/>
  <c r="AX2" i="20"/>
  <c r="AW2" i="20"/>
  <c r="AV2" i="20"/>
  <c r="AU2" i="20"/>
  <c r="AT2" i="20"/>
  <c r="AS2" i="20"/>
  <c r="AR2" i="20"/>
  <c r="AQ2" i="20"/>
  <c r="AP2" i="20"/>
  <c r="AO2" i="20"/>
  <c r="AN2" i="20"/>
  <c r="AM2" i="20"/>
  <c r="AL2" i="20"/>
  <c r="AK2" i="20"/>
  <c r="AJ2" i="20"/>
  <c r="AI2" i="20"/>
  <c r="AH2" i="20"/>
  <c r="AG2" i="20"/>
  <c r="AF2" i="20"/>
  <c r="AE2" i="20"/>
  <c r="AD2" i="20"/>
  <c r="AC2" i="20"/>
  <c r="AB2" i="20"/>
  <c r="AA2" i="20"/>
  <c r="Z2" i="20"/>
  <c r="Y2" i="20"/>
  <c r="X2" i="20"/>
  <c r="W2" i="20"/>
  <c r="V2" i="20"/>
  <c r="U2" i="20"/>
  <c r="T2" i="20"/>
  <c r="S2" i="20"/>
  <c r="R2" i="20"/>
  <c r="Q2" i="20"/>
  <c r="P2" i="20"/>
  <c r="O2" i="20"/>
  <c r="N2" i="20"/>
  <c r="M2" i="20"/>
  <c r="L2" i="20"/>
  <c r="K2" i="20"/>
  <c r="J2" i="20"/>
  <c r="I2" i="20"/>
  <c r="H2" i="20"/>
  <c r="G3" i="20"/>
  <c r="G2" i="20"/>
  <c r="BJ29" i="18"/>
  <c r="BI29" i="18"/>
  <c r="BH29" i="18"/>
  <c r="BG29" i="18"/>
  <c r="BF29" i="18"/>
  <c r="BE29" i="18"/>
  <c r="BD29" i="18"/>
  <c r="BC29" i="18"/>
  <c r="BB29" i="18"/>
  <c r="BA29" i="18"/>
  <c r="AZ29" i="18"/>
  <c r="AY29" i="18"/>
  <c r="AX29" i="18"/>
  <c r="AW29" i="18"/>
  <c r="AV29" i="18"/>
  <c r="AU29" i="18"/>
  <c r="AT29" i="18"/>
  <c r="AS29" i="18"/>
  <c r="AR29" i="18"/>
  <c r="AQ29" i="18"/>
  <c r="AP29" i="18"/>
  <c r="AO29" i="18"/>
  <c r="AN29" i="18"/>
  <c r="AM29" i="18"/>
  <c r="AL29" i="18"/>
  <c r="AK29" i="18"/>
  <c r="AJ29" i="18"/>
  <c r="AI29" i="18"/>
  <c r="AH29" i="18"/>
  <c r="AG29" i="18"/>
  <c r="AF29" i="18"/>
  <c r="AE29" i="18"/>
  <c r="AD29" i="18"/>
  <c r="AC29" i="18"/>
  <c r="AB29" i="18"/>
  <c r="AA29" i="18"/>
  <c r="Z29" i="18"/>
  <c r="Y29" i="18"/>
  <c r="X29" i="18"/>
  <c r="W29" i="18"/>
  <c r="V29" i="18"/>
  <c r="U29" i="18"/>
  <c r="T29" i="18"/>
  <c r="S29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BJ3" i="18"/>
  <c r="BI3" i="18"/>
  <c r="BH3" i="18"/>
  <c r="BG3" i="18"/>
  <c r="BF3" i="18"/>
  <c r="BE3" i="18"/>
  <c r="BD3" i="18"/>
  <c r="BC3" i="18"/>
  <c r="BB3" i="18"/>
  <c r="BA3" i="18"/>
  <c r="AZ3" i="18"/>
  <c r="AY3" i="18"/>
  <c r="AX3" i="18"/>
  <c r="AW3" i="18"/>
  <c r="AV3" i="18"/>
  <c r="AU3" i="18"/>
  <c r="AT3" i="18"/>
  <c r="AS3" i="18"/>
  <c r="AR3" i="18"/>
  <c r="AQ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BJ2" i="18"/>
  <c r="BI2" i="18"/>
  <c r="BH2" i="18"/>
  <c r="BG2" i="18"/>
  <c r="BF2" i="18"/>
  <c r="BE2" i="18"/>
  <c r="BD2" i="18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3" i="18"/>
  <c r="G2" i="18"/>
  <c r="E31" i="17"/>
  <c r="E28" i="17"/>
  <c r="E26" i="17"/>
  <c r="E25" i="17"/>
  <c r="E21" i="17"/>
  <c r="E17" i="17"/>
  <c r="E16" i="17"/>
  <c r="E14" i="17"/>
  <c r="E13" i="17"/>
  <c r="E12" i="17"/>
  <c r="E9" i="17"/>
  <c r="G8" i="17"/>
  <c r="H8" i="17"/>
  <c r="I8" i="17"/>
  <c r="J8" i="17"/>
  <c r="K8" i="17"/>
  <c r="L8" i="17"/>
  <c r="M8" i="17"/>
  <c r="N8" i="17"/>
  <c r="O8" i="17"/>
  <c r="P8" i="17"/>
  <c r="Q8" i="17"/>
  <c r="R8" i="17"/>
  <c r="S8" i="17"/>
  <c r="T8" i="17"/>
  <c r="U8" i="17"/>
  <c r="V8" i="17"/>
  <c r="W8" i="17"/>
  <c r="X8" i="17"/>
  <c r="Y8" i="17"/>
  <c r="Z8" i="17"/>
  <c r="AA8" i="17"/>
  <c r="AB8" i="17"/>
  <c r="AC8" i="17"/>
  <c r="AD8" i="17"/>
  <c r="AE8" i="17"/>
  <c r="AF8" i="17"/>
  <c r="AG8" i="17"/>
  <c r="AH8" i="17"/>
  <c r="AI8" i="17"/>
  <c r="AJ8" i="17"/>
  <c r="AK8" i="17"/>
  <c r="AL8" i="17"/>
  <c r="AM8" i="17"/>
  <c r="AN8" i="17"/>
  <c r="AO8" i="17"/>
  <c r="AP8" i="17"/>
  <c r="AQ8" i="17"/>
  <c r="AR8" i="17"/>
  <c r="AS8" i="17"/>
  <c r="AT8" i="17"/>
  <c r="AU8" i="17"/>
  <c r="AV8" i="17"/>
  <c r="AW8" i="17"/>
  <c r="AX8" i="17"/>
  <c r="AY8" i="17"/>
  <c r="AZ8" i="17"/>
  <c r="BA8" i="17"/>
  <c r="BB8" i="17"/>
  <c r="BC8" i="17"/>
  <c r="BD8" i="17"/>
  <c r="BE8" i="17"/>
  <c r="BF8" i="17"/>
  <c r="BG8" i="17"/>
  <c r="BH8" i="17"/>
  <c r="BI8" i="17"/>
  <c r="BJ8" i="17"/>
  <c r="E8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E7" i="17"/>
  <c r="BJ3" i="17"/>
  <c r="BI3" i="17"/>
  <c r="BH3" i="17"/>
  <c r="BG3" i="17"/>
  <c r="BF3" i="17"/>
  <c r="BE3" i="17"/>
  <c r="BD3" i="17"/>
  <c r="BC3" i="17"/>
  <c r="BB3" i="17"/>
  <c r="BA3" i="17"/>
  <c r="AZ3" i="17"/>
  <c r="AY3" i="17"/>
  <c r="AX3" i="17"/>
  <c r="AW3" i="17"/>
  <c r="AV3" i="17"/>
  <c r="AU3" i="17"/>
  <c r="AT3" i="17"/>
  <c r="AS3" i="17"/>
  <c r="AR3" i="17"/>
  <c r="AQ3" i="17"/>
  <c r="AP3" i="17"/>
  <c r="AO3" i="17"/>
  <c r="AN3" i="17"/>
  <c r="AM3" i="17"/>
  <c r="AL3" i="17"/>
  <c r="AK3" i="17"/>
  <c r="AJ3" i="17"/>
  <c r="AI3" i="17"/>
  <c r="AH3" i="17"/>
  <c r="AG3" i="17"/>
  <c r="AF3" i="17"/>
  <c r="AE3" i="17"/>
  <c r="AD3" i="17"/>
  <c r="AC3" i="17"/>
  <c r="AB3" i="17"/>
  <c r="AA3" i="17"/>
  <c r="Z3" i="17"/>
  <c r="Y3" i="17"/>
  <c r="X3" i="17"/>
  <c r="W3" i="17"/>
  <c r="V3" i="17"/>
  <c r="U3" i="17"/>
  <c r="T3" i="17"/>
  <c r="S3" i="17"/>
  <c r="R3" i="17"/>
  <c r="Q3" i="17"/>
  <c r="P3" i="17"/>
  <c r="O3" i="17"/>
  <c r="N3" i="17"/>
  <c r="M3" i="17"/>
  <c r="L3" i="17"/>
  <c r="K3" i="17"/>
  <c r="J3" i="17"/>
  <c r="I3" i="17"/>
  <c r="H3" i="17"/>
  <c r="BJ2" i="17"/>
  <c r="BI2" i="17"/>
  <c r="BH2" i="17"/>
  <c r="BG2" i="17"/>
  <c r="BF2" i="17"/>
  <c r="BE2" i="17"/>
  <c r="BD2" i="17"/>
  <c r="BC2" i="17"/>
  <c r="BB2" i="17"/>
  <c r="BA2" i="17"/>
  <c r="AZ2" i="17"/>
  <c r="AY2" i="17"/>
  <c r="AX2" i="17"/>
  <c r="AW2" i="17"/>
  <c r="AV2" i="17"/>
  <c r="AU2" i="17"/>
  <c r="AT2" i="17"/>
  <c r="AS2" i="17"/>
  <c r="AR2" i="17"/>
  <c r="AQ2" i="17"/>
  <c r="AP2" i="17"/>
  <c r="AO2" i="17"/>
  <c r="AN2" i="17"/>
  <c r="AM2" i="17"/>
  <c r="AL2" i="17"/>
  <c r="AK2" i="17"/>
  <c r="AJ2" i="17"/>
  <c r="AI2" i="17"/>
  <c r="AH2" i="17"/>
  <c r="AG2" i="17"/>
  <c r="AF2" i="17"/>
  <c r="AE2" i="17"/>
  <c r="AD2" i="17"/>
  <c r="AC2" i="17"/>
  <c r="AB2" i="17"/>
  <c r="AA2" i="17"/>
  <c r="Z2" i="17"/>
  <c r="Y2" i="17"/>
  <c r="X2" i="17"/>
  <c r="W2" i="17"/>
  <c r="V2" i="17"/>
  <c r="U2" i="17"/>
  <c r="T2" i="17"/>
  <c r="S2" i="17"/>
  <c r="R2" i="17"/>
  <c r="Q2" i="17"/>
  <c r="P2" i="17"/>
  <c r="O2" i="17"/>
  <c r="N2" i="17"/>
  <c r="M2" i="17"/>
  <c r="L2" i="17"/>
  <c r="K2" i="17"/>
  <c r="J2" i="17"/>
  <c r="I2" i="17"/>
  <c r="H2" i="17"/>
  <c r="BJ1" i="17"/>
  <c r="BI1" i="17"/>
  <c r="BH1" i="17"/>
  <c r="BG1" i="17"/>
  <c r="BF1" i="17"/>
  <c r="BE1" i="17"/>
  <c r="BD1" i="17"/>
  <c r="BC1" i="17"/>
  <c r="BB1" i="17"/>
  <c r="BA1" i="17"/>
  <c r="AZ1" i="17"/>
  <c r="AY1" i="17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3" i="17"/>
  <c r="G2" i="17"/>
  <c r="G1" i="17"/>
  <c r="BJ42" i="15"/>
  <c r="BI42" i="15"/>
  <c r="BH42" i="15"/>
  <c r="BG42" i="15"/>
  <c r="BF42" i="15"/>
  <c r="BE42" i="15"/>
  <c r="BD42" i="15"/>
  <c r="BC42" i="15"/>
  <c r="BB42" i="15"/>
  <c r="BA42" i="15"/>
  <c r="AZ42" i="15"/>
  <c r="AY42" i="15"/>
  <c r="AX42" i="15"/>
  <c r="AW42" i="15"/>
  <c r="AV42" i="15"/>
  <c r="AU42" i="15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AK30" i="15"/>
  <c r="E35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0" i="15"/>
  <c r="W31" i="15"/>
  <c r="X30" i="15"/>
  <c r="X31" i="15"/>
  <c r="Y30" i="15"/>
  <c r="Y31" i="15"/>
  <c r="Z30" i="15"/>
  <c r="Z31" i="15"/>
  <c r="AA30" i="15"/>
  <c r="AA31" i="15"/>
  <c r="AB30" i="15"/>
  <c r="AB31" i="15"/>
  <c r="AC30" i="15"/>
  <c r="AC31" i="15"/>
  <c r="AD30" i="15"/>
  <c r="AD31" i="15"/>
  <c r="AE30" i="15"/>
  <c r="AE31" i="15"/>
  <c r="AF30" i="15"/>
  <c r="AF31" i="15"/>
  <c r="AG30" i="15"/>
  <c r="AG31" i="15"/>
  <c r="AH30" i="15"/>
  <c r="AH31" i="15"/>
  <c r="AI30" i="15"/>
  <c r="AI31" i="15"/>
  <c r="AJ30" i="15"/>
  <c r="AJ31" i="15"/>
  <c r="AK31" i="15"/>
  <c r="AL31" i="15"/>
  <c r="AM30" i="15"/>
  <c r="AM31" i="15"/>
  <c r="AN30" i="15"/>
  <c r="AN31" i="15"/>
  <c r="AO30" i="15"/>
  <c r="AO31" i="15"/>
  <c r="AP30" i="15"/>
  <c r="AP31" i="15"/>
  <c r="AQ30" i="15"/>
  <c r="AQ31" i="15"/>
  <c r="AR30" i="15"/>
  <c r="AR31" i="15"/>
  <c r="AS30" i="15"/>
  <c r="AS31" i="15"/>
  <c r="AT31" i="15"/>
  <c r="AU30" i="15"/>
  <c r="AU31" i="15"/>
  <c r="AV30" i="15"/>
  <c r="AV31" i="15"/>
  <c r="AW31" i="15"/>
  <c r="AX31" i="15"/>
  <c r="AY31" i="15"/>
  <c r="AZ31" i="15"/>
  <c r="BA31" i="15"/>
  <c r="BB31" i="15"/>
  <c r="BC31" i="15"/>
  <c r="BD31" i="15"/>
  <c r="BE31" i="15"/>
  <c r="BF31" i="15"/>
  <c r="BG31" i="15"/>
  <c r="BH31" i="15"/>
  <c r="BI31" i="15"/>
  <c r="BJ31" i="15"/>
  <c r="E33" i="15"/>
  <c r="E32" i="15"/>
  <c r="BJ30" i="15"/>
  <c r="BI30" i="15"/>
  <c r="BH30" i="15"/>
  <c r="BG30" i="15"/>
  <c r="BF30" i="15"/>
  <c r="BE30" i="15"/>
  <c r="BD30" i="15"/>
  <c r="BC30" i="15"/>
  <c r="BB30" i="15"/>
  <c r="BA30" i="15"/>
  <c r="AZ30" i="15"/>
  <c r="AY30" i="15"/>
  <c r="AX30" i="15"/>
  <c r="A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BJ18" i="15"/>
  <c r="BI18" i="15"/>
  <c r="BH18" i="15"/>
  <c r="BG18" i="15"/>
  <c r="BF18" i="15"/>
  <c r="BE18" i="15"/>
  <c r="BD18" i="15"/>
  <c r="BC18" i="15"/>
  <c r="BB18" i="15"/>
  <c r="BA18" i="15"/>
  <c r="AZ18" i="15"/>
  <c r="AY18" i="15"/>
  <c r="AX18" i="15"/>
  <c r="A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G20" i="15"/>
  <c r="E26" i="15"/>
  <c r="BJ21" i="15"/>
  <c r="BI21" i="15"/>
  <c r="BH21" i="15"/>
  <c r="BG21" i="15"/>
  <c r="BF21" i="15"/>
  <c r="BE21" i="15"/>
  <c r="BD21" i="15"/>
  <c r="BC21" i="15"/>
  <c r="BB21" i="15"/>
  <c r="BA21" i="15"/>
  <c r="AZ21" i="15"/>
  <c r="AY21" i="15"/>
  <c r="AX21" i="15"/>
  <c r="AW21" i="15"/>
  <c r="AV21" i="15"/>
  <c r="AU21" i="15"/>
  <c r="AT21" i="15"/>
  <c r="AS21" i="15"/>
  <c r="AR21" i="15"/>
  <c r="AQ21" i="15"/>
  <c r="AP21" i="15"/>
  <c r="AO21" i="15"/>
  <c r="AN21" i="15"/>
  <c r="AM21" i="15"/>
  <c r="AL21" i="15"/>
  <c r="AK21" i="15"/>
  <c r="AJ21" i="15"/>
  <c r="AI21" i="15"/>
  <c r="AH21" i="15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E21" i="15"/>
  <c r="BJ20" i="15"/>
  <c r="BJ22" i="15"/>
  <c r="BI20" i="15"/>
  <c r="BI22" i="15"/>
  <c r="BH20" i="15"/>
  <c r="BH22" i="15"/>
  <c r="BG20" i="15"/>
  <c r="BG22" i="15"/>
  <c r="BF20" i="15"/>
  <c r="BF22" i="15"/>
  <c r="BE20" i="15"/>
  <c r="BE22" i="15"/>
  <c r="BD20" i="15"/>
  <c r="BD22" i="15"/>
  <c r="BC20" i="15"/>
  <c r="BC22" i="15"/>
  <c r="BB20" i="15"/>
  <c r="BB22" i="15"/>
  <c r="BA20" i="15"/>
  <c r="BA22" i="15"/>
  <c r="AZ20" i="15"/>
  <c r="AZ22" i="15"/>
  <c r="AY20" i="15"/>
  <c r="AY22" i="15"/>
  <c r="AX20" i="15"/>
  <c r="AX22" i="15"/>
  <c r="AW20" i="15"/>
  <c r="AW22" i="15"/>
  <c r="AV22" i="15"/>
  <c r="AU22" i="15"/>
  <c r="AT22" i="15"/>
  <c r="AS22" i="15"/>
  <c r="AR22" i="15"/>
  <c r="AQ22" i="15"/>
  <c r="AP22" i="15"/>
  <c r="AO22" i="15"/>
  <c r="AN22" i="15"/>
  <c r="AM22" i="15"/>
  <c r="AL22" i="15"/>
  <c r="AK22" i="15"/>
  <c r="AJ20" i="15"/>
  <c r="AJ22" i="15"/>
  <c r="AI20" i="15"/>
  <c r="AI22" i="15"/>
  <c r="AH20" i="15"/>
  <c r="AH22" i="15"/>
  <c r="AG20" i="15"/>
  <c r="AG22" i="15"/>
  <c r="AF20" i="15"/>
  <c r="AF22" i="15"/>
  <c r="AE20" i="15"/>
  <c r="AE22" i="15"/>
  <c r="AD20" i="15"/>
  <c r="AD22" i="15"/>
  <c r="AC20" i="15"/>
  <c r="AC22" i="15"/>
  <c r="AB20" i="15"/>
  <c r="AB22" i="15"/>
  <c r="AA20" i="15"/>
  <c r="AA22" i="15"/>
  <c r="Z20" i="15"/>
  <c r="Z22" i="15"/>
  <c r="Y20" i="15"/>
  <c r="Y22" i="15"/>
  <c r="X20" i="15"/>
  <c r="X22" i="15"/>
  <c r="W20" i="15"/>
  <c r="W22" i="15"/>
  <c r="V20" i="15"/>
  <c r="V22" i="15"/>
  <c r="U20" i="15"/>
  <c r="U22" i="15"/>
  <c r="T20" i="15"/>
  <c r="T22" i="15"/>
  <c r="S20" i="15"/>
  <c r="S22" i="15"/>
  <c r="R20" i="15"/>
  <c r="R22" i="15"/>
  <c r="Q20" i="15"/>
  <c r="Q22" i="15"/>
  <c r="P20" i="15"/>
  <c r="P22" i="15"/>
  <c r="O20" i="15"/>
  <c r="O22" i="15"/>
  <c r="N20" i="15"/>
  <c r="N22" i="15"/>
  <c r="M20" i="15"/>
  <c r="M22" i="15"/>
  <c r="L20" i="15"/>
  <c r="L22" i="15"/>
  <c r="K20" i="15"/>
  <c r="K22" i="15"/>
  <c r="J20" i="15"/>
  <c r="J22" i="15"/>
  <c r="I20" i="15"/>
  <c r="I22" i="15"/>
  <c r="H20" i="15"/>
  <c r="H22" i="15"/>
  <c r="E18" i="15"/>
  <c r="E16" i="15"/>
  <c r="E15" i="15"/>
  <c r="E13" i="15"/>
  <c r="E12" i="15"/>
  <c r="E11" i="15"/>
  <c r="E9" i="15"/>
  <c r="E10" i="15"/>
  <c r="E8" i="15"/>
  <c r="E7" i="15"/>
  <c r="E31" i="16"/>
  <c r="E30" i="16"/>
  <c r="E29" i="16"/>
  <c r="E28" i="16"/>
  <c r="E27" i="16"/>
  <c r="E26" i="16"/>
  <c r="E25" i="16"/>
  <c r="E24" i="16"/>
  <c r="E23" i="16"/>
  <c r="E22" i="16"/>
  <c r="E21" i="16"/>
  <c r="E19" i="16"/>
  <c r="E18" i="16"/>
  <c r="E17" i="16"/>
  <c r="E16" i="16"/>
  <c r="E15" i="16"/>
  <c r="E14" i="16"/>
  <c r="E13" i="16"/>
  <c r="E12" i="16"/>
  <c r="E9" i="16"/>
  <c r="E8" i="16"/>
  <c r="E7" i="16"/>
  <c r="BJ3" i="16"/>
  <c r="BI3" i="16"/>
  <c r="BH3" i="16"/>
  <c r="BG3" i="16"/>
  <c r="BF3" i="16"/>
  <c r="BE3" i="16"/>
  <c r="BD3" i="16"/>
  <c r="BC3" i="16"/>
  <c r="BB3" i="16"/>
  <c r="BA3" i="16"/>
  <c r="AZ3" i="16"/>
  <c r="AY3" i="16"/>
  <c r="AX3" i="16"/>
  <c r="AW3" i="16"/>
  <c r="AV3" i="16"/>
  <c r="AU3" i="16"/>
  <c r="AT3" i="16"/>
  <c r="AS3" i="16"/>
  <c r="AR3" i="16"/>
  <c r="AQ3" i="16"/>
  <c r="AP3" i="16"/>
  <c r="AO3" i="16"/>
  <c r="AN3" i="16"/>
  <c r="AM3" i="16"/>
  <c r="AL3" i="16"/>
  <c r="AK3" i="16"/>
  <c r="AJ3" i="16"/>
  <c r="AI3" i="16"/>
  <c r="AH3" i="16"/>
  <c r="AG3" i="16"/>
  <c r="AF3" i="16"/>
  <c r="AE3" i="16"/>
  <c r="AD3" i="16"/>
  <c r="AC3" i="16"/>
  <c r="AB3" i="16"/>
  <c r="AA3" i="16"/>
  <c r="Z3" i="16"/>
  <c r="Y3" i="16"/>
  <c r="X3" i="16"/>
  <c r="W3" i="16"/>
  <c r="V3" i="16"/>
  <c r="U3" i="16"/>
  <c r="T3" i="16"/>
  <c r="S3" i="16"/>
  <c r="R3" i="16"/>
  <c r="Q3" i="16"/>
  <c r="P3" i="16"/>
  <c r="O3" i="16"/>
  <c r="N3" i="16"/>
  <c r="M3" i="16"/>
  <c r="L3" i="16"/>
  <c r="K3" i="16"/>
  <c r="J3" i="16"/>
  <c r="I3" i="16"/>
  <c r="H3" i="16"/>
  <c r="BJ2" i="16"/>
  <c r="BI2" i="16"/>
  <c r="BH2" i="16"/>
  <c r="BG2" i="16"/>
  <c r="BF2" i="16"/>
  <c r="BE2" i="16"/>
  <c r="BD2" i="16"/>
  <c r="BC2" i="16"/>
  <c r="BB2" i="16"/>
  <c r="BA2" i="16"/>
  <c r="AZ2" i="16"/>
  <c r="AY2" i="16"/>
  <c r="AX2" i="16"/>
  <c r="AW2" i="16"/>
  <c r="AV2" i="16"/>
  <c r="AU2" i="16"/>
  <c r="AT2" i="16"/>
  <c r="AS2" i="16"/>
  <c r="AR2" i="16"/>
  <c r="AQ2" i="16"/>
  <c r="AP2" i="16"/>
  <c r="AO2" i="16"/>
  <c r="AN2" i="16"/>
  <c r="AM2" i="16"/>
  <c r="AL2" i="16"/>
  <c r="AK2" i="16"/>
  <c r="AJ2" i="16"/>
  <c r="AI2" i="16"/>
  <c r="AH2" i="16"/>
  <c r="AG2" i="16"/>
  <c r="AF2" i="16"/>
  <c r="AE2" i="16"/>
  <c r="AD2" i="16"/>
  <c r="AC2" i="16"/>
  <c r="AB2" i="16"/>
  <c r="AA2" i="16"/>
  <c r="Z2" i="16"/>
  <c r="Y2" i="16"/>
  <c r="X2" i="16"/>
  <c r="W2" i="16"/>
  <c r="V2" i="16"/>
  <c r="U2" i="16"/>
  <c r="T2" i="16"/>
  <c r="S2" i="16"/>
  <c r="R2" i="16"/>
  <c r="Q2" i="16"/>
  <c r="P2" i="16"/>
  <c r="O2" i="16"/>
  <c r="N2" i="16"/>
  <c r="M2" i="16"/>
  <c r="L2" i="16"/>
  <c r="K2" i="16"/>
  <c r="J2" i="16"/>
  <c r="I2" i="16"/>
  <c r="H2" i="16"/>
  <c r="BJ1" i="16"/>
  <c r="BI1" i="16"/>
  <c r="BH1" i="16"/>
  <c r="BG1" i="16"/>
  <c r="BF1" i="16"/>
  <c r="BE1" i="16"/>
  <c r="BD1" i="16"/>
  <c r="BC1" i="16"/>
  <c r="BB1" i="16"/>
  <c r="BA1" i="16"/>
  <c r="AZ1" i="16"/>
  <c r="AY1" i="16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3" i="16"/>
  <c r="G2" i="16"/>
  <c r="G1" i="16"/>
  <c r="BJ3" i="15"/>
  <c r="BI3" i="15"/>
  <c r="BH3" i="15"/>
  <c r="BG3" i="15"/>
  <c r="BF3" i="15"/>
  <c r="BE3" i="15"/>
  <c r="BD3" i="15"/>
  <c r="BC3" i="15"/>
  <c r="BB3" i="15"/>
  <c r="BA3" i="15"/>
  <c r="AZ3" i="15"/>
  <c r="AY3" i="15"/>
  <c r="AX3" i="15"/>
  <c r="AW3" i="15"/>
  <c r="AV3" i="15"/>
  <c r="AU3" i="15"/>
  <c r="AT3" i="15"/>
  <c r="AS3" i="15"/>
  <c r="AR3" i="15"/>
  <c r="AQ3" i="15"/>
  <c r="AP3" i="15"/>
  <c r="AO3" i="15"/>
  <c r="AN3" i="15"/>
  <c r="AM3" i="15"/>
  <c r="AL3" i="15"/>
  <c r="AK3" i="15"/>
  <c r="AJ3" i="15"/>
  <c r="AI3" i="15"/>
  <c r="AH3" i="15"/>
  <c r="AG3" i="15"/>
  <c r="AF3" i="15"/>
  <c r="AE3" i="15"/>
  <c r="AD3" i="15"/>
  <c r="AC3" i="15"/>
  <c r="AB3" i="15"/>
  <c r="AA3" i="15"/>
  <c r="Z3" i="15"/>
  <c r="Y3" i="15"/>
  <c r="X3" i="15"/>
  <c r="W3" i="15"/>
  <c r="V3" i="15"/>
  <c r="U3" i="15"/>
  <c r="T3" i="15"/>
  <c r="S3" i="15"/>
  <c r="R3" i="15"/>
  <c r="Q3" i="15"/>
  <c r="P3" i="15"/>
  <c r="O3" i="15"/>
  <c r="N3" i="15"/>
  <c r="M3" i="15"/>
  <c r="L3" i="15"/>
  <c r="K3" i="15"/>
  <c r="J3" i="15"/>
  <c r="I3" i="15"/>
  <c r="H3" i="15"/>
  <c r="BJ2" i="15"/>
  <c r="BI2" i="15"/>
  <c r="BH2" i="15"/>
  <c r="BG2" i="15"/>
  <c r="BF2" i="15"/>
  <c r="BE2" i="15"/>
  <c r="BD2" i="15"/>
  <c r="BC2" i="15"/>
  <c r="BB2" i="15"/>
  <c r="BA2" i="15"/>
  <c r="AZ2" i="15"/>
  <c r="AY2" i="15"/>
  <c r="AX2" i="15"/>
  <c r="AW2" i="15"/>
  <c r="AV2" i="15"/>
  <c r="AU2" i="15"/>
  <c r="AT2" i="15"/>
  <c r="AS2" i="15"/>
  <c r="AR2" i="15"/>
  <c r="AQ2" i="15"/>
  <c r="AP2" i="15"/>
  <c r="AO2" i="15"/>
  <c r="AN2" i="15"/>
  <c r="AM2" i="15"/>
  <c r="AL2" i="15"/>
  <c r="AK2" i="15"/>
  <c r="AJ2" i="15"/>
  <c r="AI2" i="15"/>
  <c r="AH2" i="15"/>
  <c r="AG2" i="15"/>
  <c r="AF2" i="15"/>
  <c r="AE2" i="15"/>
  <c r="AD2" i="15"/>
  <c r="AC2" i="15"/>
  <c r="AB2" i="15"/>
  <c r="AA2" i="15"/>
  <c r="Z2" i="15"/>
  <c r="Y2" i="15"/>
  <c r="X2" i="15"/>
  <c r="W2" i="15"/>
  <c r="V2" i="15"/>
  <c r="U2" i="15"/>
  <c r="T2" i="15"/>
  <c r="S2" i="15"/>
  <c r="R2" i="15"/>
  <c r="Q2" i="15"/>
  <c r="P2" i="15"/>
  <c r="O2" i="15"/>
  <c r="N2" i="15"/>
  <c r="M2" i="15"/>
  <c r="L2" i="15"/>
  <c r="K2" i="15"/>
  <c r="J2" i="15"/>
  <c r="I2" i="15"/>
  <c r="H2" i="15"/>
  <c r="BJ1" i="15"/>
  <c r="BI1" i="15"/>
  <c r="BH1" i="15"/>
  <c r="BG1" i="15"/>
  <c r="BF1" i="15"/>
  <c r="BE1" i="15"/>
  <c r="BD1" i="15"/>
  <c r="BC1" i="15"/>
  <c r="BB1" i="15"/>
  <c r="BA1" i="15"/>
  <c r="AZ1" i="15"/>
  <c r="AY1" i="15"/>
  <c r="AX1" i="15"/>
  <c r="AW1" i="15"/>
  <c r="AV1" i="15"/>
  <c r="AU1" i="15"/>
  <c r="AT1" i="15"/>
  <c r="AS1" i="15"/>
  <c r="AR1" i="15"/>
  <c r="AQ1" i="15"/>
  <c r="AP1" i="15"/>
  <c r="AO1" i="15"/>
  <c r="AN1" i="15"/>
  <c r="AM1" i="15"/>
  <c r="AL1" i="15"/>
  <c r="AK1" i="15"/>
  <c r="AJ1" i="15"/>
  <c r="AI1" i="15"/>
  <c r="AH1" i="15"/>
  <c r="AG1" i="15"/>
  <c r="AF1" i="15"/>
  <c r="AE1" i="15"/>
  <c r="AD1" i="15"/>
  <c r="AC1" i="15"/>
  <c r="AB1" i="15"/>
  <c r="AA1" i="15"/>
  <c r="Z1" i="15"/>
  <c r="Y1" i="15"/>
  <c r="X1" i="15"/>
  <c r="W1" i="15"/>
  <c r="V1" i="15"/>
  <c r="U1" i="15"/>
  <c r="T1" i="15"/>
  <c r="S1" i="15"/>
  <c r="R1" i="15"/>
  <c r="Q1" i="15"/>
  <c r="P1" i="15"/>
  <c r="O1" i="15"/>
  <c r="N1" i="15"/>
  <c r="M1" i="15"/>
  <c r="L1" i="15"/>
  <c r="K1" i="15"/>
  <c r="J1" i="15"/>
  <c r="I1" i="15"/>
  <c r="H1" i="15"/>
  <c r="G3" i="15"/>
  <c r="G2" i="15"/>
  <c r="G1" i="15"/>
  <c r="AK69" i="9"/>
  <c r="E64" i="9"/>
  <c r="G22" i="15"/>
  <c r="E22" i="15"/>
  <c r="E20" i="15"/>
  <c r="F56" i="21"/>
  <c r="F55" i="21"/>
  <c r="G74" i="21"/>
  <c r="E55" i="21"/>
  <c r="E56" i="21"/>
  <c r="E17" i="12"/>
  <c r="E16" i="12"/>
  <c r="E15" i="12"/>
  <c r="E14" i="12"/>
  <c r="E13" i="12"/>
  <c r="E12" i="12"/>
  <c r="E9" i="12"/>
  <c r="E8" i="12"/>
  <c r="G16" i="8"/>
  <c r="G19" i="8"/>
  <c r="D17" i="8"/>
  <c r="G20" i="8"/>
  <c r="H150" i="3"/>
  <c r="H16" i="8"/>
  <c r="H19" i="8"/>
  <c r="H20" i="8"/>
  <c r="I150" i="3"/>
  <c r="I16" i="8"/>
  <c r="I19" i="8"/>
  <c r="I20" i="8"/>
  <c r="J150" i="3"/>
  <c r="J16" i="8"/>
  <c r="J19" i="8"/>
  <c r="J20" i="8"/>
  <c r="K150" i="3"/>
  <c r="K16" i="8"/>
  <c r="K19" i="8"/>
  <c r="K20" i="8"/>
  <c r="L150" i="3"/>
  <c r="L16" i="8"/>
  <c r="L19" i="8"/>
  <c r="L20" i="8"/>
  <c r="M150" i="3"/>
  <c r="M16" i="8"/>
  <c r="M19" i="8"/>
  <c r="M20" i="8"/>
  <c r="N150" i="3"/>
  <c r="N16" i="8"/>
  <c r="N19" i="8"/>
  <c r="N20" i="8"/>
  <c r="O150" i="3"/>
  <c r="O16" i="8"/>
  <c r="O19" i="8"/>
  <c r="O20" i="8"/>
  <c r="P150" i="3"/>
  <c r="P16" i="8"/>
  <c r="P19" i="8"/>
  <c r="P20" i="8"/>
  <c r="Q150" i="3"/>
  <c r="Q16" i="8"/>
  <c r="Q19" i="8"/>
  <c r="Q20" i="8"/>
  <c r="R150" i="3"/>
  <c r="R16" i="8"/>
  <c r="R19" i="8"/>
  <c r="R20" i="8"/>
  <c r="S150" i="3"/>
  <c r="S16" i="8"/>
  <c r="S19" i="8"/>
  <c r="S20" i="8"/>
  <c r="T150" i="3"/>
  <c r="T16" i="8"/>
  <c r="T19" i="8"/>
  <c r="T20" i="8"/>
  <c r="U150" i="3"/>
  <c r="U16" i="8"/>
  <c r="U19" i="8"/>
  <c r="U20" i="8"/>
  <c r="V150" i="3"/>
  <c r="V16" i="8"/>
  <c r="V19" i="8"/>
  <c r="V20" i="8"/>
  <c r="W150" i="3"/>
  <c r="W16" i="8"/>
  <c r="W19" i="8"/>
  <c r="W20" i="8"/>
  <c r="X150" i="3"/>
  <c r="X16" i="8"/>
  <c r="X19" i="8"/>
  <c r="X20" i="8"/>
  <c r="Y150" i="3"/>
  <c r="Y16" i="8"/>
  <c r="Y19" i="8"/>
  <c r="Y20" i="8"/>
  <c r="Z150" i="3"/>
  <c r="Z16" i="8"/>
  <c r="Z19" i="8"/>
  <c r="Z20" i="8"/>
  <c r="AA150" i="3"/>
  <c r="AA16" i="8"/>
  <c r="AA19" i="8"/>
  <c r="AA20" i="8"/>
  <c r="AB150" i="3"/>
  <c r="AB16" i="8"/>
  <c r="AB19" i="8"/>
  <c r="AB20" i="8"/>
  <c r="AC150" i="3"/>
  <c r="AC16" i="8"/>
  <c r="AC19" i="8"/>
  <c r="AC20" i="8"/>
  <c r="AD150" i="3"/>
  <c r="AD16" i="8"/>
  <c r="AD19" i="8"/>
  <c r="AD20" i="8"/>
  <c r="AE150" i="3"/>
  <c r="AE16" i="8"/>
  <c r="AE19" i="8"/>
  <c r="AE20" i="8"/>
  <c r="AF150" i="3"/>
  <c r="AF16" i="8"/>
  <c r="AF19" i="8"/>
  <c r="AF20" i="8"/>
  <c r="AG150" i="3"/>
  <c r="AG16" i="8"/>
  <c r="AG19" i="8"/>
  <c r="AG20" i="8"/>
  <c r="AH150" i="3"/>
  <c r="AH16" i="8"/>
  <c r="AH19" i="8"/>
  <c r="AH20" i="8"/>
  <c r="AI150" i="3"/>
  <c r="AI16" i="8"/>
  <c r="AI19" i="8"/>
  <c r="AI20" i="8"/>
  <c r="AJ150" i="3"/>
  <c r="AJ16" i="8"/>
  <c r="AJ19" i="8"/>
  <c r="AJ20" i="8"/>
  <c r="AK150" i="3"/>
  <c r="AK16" i="8"/>
  <c r="AK19" i="8"/>
  <c r="AK20" i="8"/>
  <c r="AL150" i="3"/>
  <c r="AM150" i="3"/>
  <c r="AM16" i="8"/>
  <c r="AM19" i="8"/>
  <c r="AM20" i="8"/>
  <c r="AN150" i="3"/>
  <c r="AN16" i="8"/>
  <c r="AN19" i="8"/>
  <c r="AN20" i="8"/>
  <c r="AO150" i="3"/>
  <c r="AO16" i="8"/>
  <c r="AO19" i="8"/>
  <c r="AO20" i="8"/>
  <c r="AP150" i="3"/>
  <c r="AP16" i="8"/>
  <c r="AP19" i="8"/>
  <c r="AP20" i="8"/>
  <c r="AQ150" i="3"/>
  <c r="AQ16" i="8"/>
  <c r="AQ19" i="8"/>
  <c r="AQ20" i="8"/>
  <c r="AR150" i="3"/>
  <c r="AR16" i="8"/>
  <c r="AR19" i="8"/>
  <c r="AR20" i="8"/>
  <c r="AS150" i="3"/>
  <c r="AS16" i="8"/>
  <c r="AS19" i="8"/>
  <c r="AS20" i="8"/>
  <c r="AT150" i="3"/>
  <c r="AT16" i="8"/>
  <c r="AT19" i="8"/>
  <c r="AT20" i="8"/>
  <c r="AU150" i="3"/>
  <c r="AU16" i="8"/>
  <c r="AU19" i="8"/>
  <c r="AU20" i="8"/>
  <c r="AV150" i="3"/>
  <c r="AV16" i="8"/>
  <c r="AV19" i="8"/>
  <c r="AV20" i="8"/>
  <c r="AW150" i="3"/>
  <c r="AW16" i="8"/>
  <c r="AW19" i="8"/>
  <c r="AW20" i="8"/>
  <c r="AX150" i="3"/>
  <c r="AX16" i="8"/>
  <c r="AX19" i="8"/>
  <c r="AX20" i="8"/>
  <c r="AY150" i="3"/>
  <c r="AY16" i="8"/>
  <c r="AY19" i="8"/>
  <c r="AY20" i="8"/>
  <c r="AZ150" i="3"/>
  <c r="AZ16" i="8"/>
  <c r="AZ19" i="8"/>
  <c r="AZ20" i="8"/>
  <c r="BA150" i="3"/>
  <c r="BA16" i="8"/>
  <c r="BA19" i="8"/>
  <c r="BA20" i="8"/>
  <c r="BB150" i="3"/>
  <c r="BC150" i="3"/>
  <c r="BC16" i="8"/>
  <c r="BC19" i="8"/>
  <c r="BC20" i="8"/>
  <c r="BD150" i="3"/>
  <c r="BD16" i="8"/>
  <c r="BD19" i="8"/>
  <c r="BD20" i="8"/>
  <c r="BE150" i="3"/>
  <c r="BE16" i="8"/>
  <c r="BE19" i="8"/>
  <c r="BE20" i="8"/>
  <c r="BF150" i="3"/>
  <c r="BF16" i="8"/>
  <c r="BF19" i="8"/>
  <c r="BF20" i="8"/>
  <c r="BG150" i="3"/>
  <c r="BG16" i="8"/>
  <c r="BG19" i="8"/>
  <c r="BG20" i="8"/>
  <c r="BH150" i="3"/>
  <c r="BH16" i="8"/>
  <c r="BH19" i="8"/>
  <c r="BH20" i="8"/>
  <c r="BI150" i="3"/>
  <c r="BI16" i="8"/>
  <c r="BI19" i="8"/>
  <c r="BI20" i="8"/>
  <c r="BJ150" i="3"/>
  <c r="BJ16" i="8"/>
  <c r="BJ19" i="8"/>
  <c r="BJ20" i="8"/>
  <c r="AL16" i="8"/>
  <c r="AL19" i="8"/>
  <c r="BB16" i="8"/>
  <c r="BB19" i="8"/>
  <c r="E18" i="8"/>
  <c r="E16" i="8"/>
  <c r="BJ1" i="10"/>
  <c r="BJ2" i="10"/>
  <c r="BH12" i="10"/>
  <c r="BJ13" i="10"/>
  <c r="BI1" i="10"/>
  <c r="BI2" i="10"/>
  <c r="BG12" i="10"/>
  <c r="BI13" i="10"/>
  <c r="BH1" i="10"/>
  <c r="BH2" i="10"/>
  <c r="BH13" i="10"/>
  <c r="BG1" i="10"/>
  <c r="BG2" i="10"/>
  <c r="BE12" i="10"/>
  <c r="BG13" i="10"/>
  <c r="BF1" i="10"/>
  <c r="BF2" i="10"/>
  <c r="BF13" i="10"/>
  <c r="BE1" i="10"/>
  <c r="BE2" i="10"/>
  <c r="BC12" i="10"/>
  <c r="BE13" i="10"/>
  <c r="BD1" i="10"/>
  <c r="BD2" i="10"/>
  <c r="BD13" i="10"/>
  <c r="BC1" i="10"/>
  <c r="BC2" i="10"/>
  <c r="BA12" i="10"/>
  <c r="BC13" i="10"/>
  <c r="BB1" i="10"/>
  <c r="BB2" i="10"/>
  <c r="BB13" i="10"/>
  <c r="BA1" i="10"/>
  <c r="BA2" i="10"/>
  <c r="AY12" i="10"/>
  <c r="BA13" i="10"/>
  <c r="AZ1" i="10"/>
  <c r="AZ2" i="10"/>
  <c r="AZ13" i="10"/>
  <c r="AY1" i="10"/>
  <c r="AY2" i="10"/>
  <c r="AW12" i="10"/>
  <c r="AY13" i="10"/>
  <c r="AX1" i="10"/>
  <c r="AX2" i="10"/>
  <c r="AX13" i="10"/>
  <c r="AW1" i="10"/>
  <c r="AW2" i="10"/>
  <c r="AU12" i="10"/>
  <c r="AW13" i="10"/>
  <c r="AV1" i="10"/>
  <c r="AV2" i="10"/>
  <c r="AV13" i="10"/>
  <c r="AU1" i="10"/>
  <c r="AU2" i="10"/>
  <c r="AS12" i="10"/>
  <c r="AU13" i="10"/>
  <c r="AT1" i="10"/>
  <c r="AT2" i="10"/>
  <c r="AT13" i="10"/>
  <c r="AS1" i="10"/>
  <c r="AS2" i="10"/>
  <c r="AQ12" i="10"/>
  <c r="AS13" i="10"/>
  <c r="AR1" i="10"/>
  <c r="AR2" i="10"/>
  <c r="AR13" i="10"/>
  <c r="AQ1" i="10"/>
  <c r="AQ2" i="10"/>
  <c r="AO12" i="10"/>
  <c r="AQ13" i="10"/>
  <c r="AP1" i="10"/>
  <c r="AP2" i="10"/>
  <c r="AP13" i="10"/>
  <c r="AO1" i="10"/>
  <c r="AO2" i="10"/>
  <c r="AM12" i="10"/>
  <c r="AO13" i="10"/>
  <c r="AN1" i="10"/>
  <c r="AN2" i="10"/>
  <c r="AN13" i="10"/>
  <c r="AM1" i="10"/>
  <c r="AM2" i="10"/>
  <c r="AK12" i="10"/>
  <c r="AM13" i="10"/>
  <c r="AL1" i="10"/>
  <c r="AL2" i="10"/>
  <c r="AL13" i="10"/>
  <c r="AK1" i="10"/>
  <c r="AK13" i="10"/>
  <c r="V1" i="10"/>
  <c r="V2" i="10"/>
  <c r="W2" i="10"/>
  <c r="V13" i="10"/>
  <c r="U1" i="10"/>
  <c r="U2" i="10"/>
  <c r="S12" i="10"/>
  <c r="U13" i="10"/>
  <c r="T1" i="10"/>
  <c r="T2" i="10"/>
  <c r="R12" i="10"/>
  <c r="T13" i="10"/>
  <c r="S1" i="10"/>
  <c r="S2" i="10"/>
  <c r="Q12" i="10"/>
  <c r="S13" i="10"/>
  <c r="R1" i="10"/>
  <c r="R2" i="10"/>
  <c r="P12" i="10"/>
  <c r="R13" i="10"/>
  <c r="Q1" i="10"/>
  <c r="Q2" i="10"/>
  <c r="O12" i="10"/>
  <c r="Q13" i="10"/>
  <c r="P1" i="10"/>
  <c r="P2" i="10"/>
  <c r="N12" i="10"/>
  <c r="P13" i="10"/>
  <c r="O1" i="10"/>
  <c r="O2" i="10"/>
  <c r="M12" i="10"/>
  <c r="O13" i="10"/>
  <c r="N1" i="10"/>
  <c r="N2" i="10"/>
  <c r="L12" i="10"/>
  <c r="N13" i="10"/>
  <c r="M1" i="10"/>
  <c r="M2" i="10"/>
  <c r="K12" i="10"/>
  <c r="M13" i="10"/>
  <c r="L1" i="10"/>
  <c r="L2" i="10"/>
  <c r="J12" i="10"/>
  <c r="L13" i="10"/>
  <c r="K1" i="10"/>
  <c r="K2" i="10"/>
  <c r="I12" i="10"/>
  <c r="K13" i="10"/>
  <c r="J1" i="10"/>
  <c r="J2" i="10"/>
  <c r="H12" i="10"/>
  <c r="J13" i="10"/>
  <c r="I1" i="10"/>
  <c r="I2" i="10"/>
  <c r="G12" i="10"/>
  <c r="I13" i="10"/>
  <c r="H1" i="10"/>
  <c r="H2" i="10"/>
  <c r="H13" i="10"/>
  <c r="G1" i="10"/>
  <c r="G2" i="10"/>
  <c r="U12" i="10"/>
  <c r="V12" i="10"/>
  <c r="X12" i="10"/>
  <c r="Z12" i="10"/>
  <c r="AB12" i="10"/>
  <c r="AD12" i="10"/>
  <c r="AF12" i="10"/>
  <c r="AH12" i="10"/>
  <c r="AJ12" i="10"/>
  <c r="AL12" i="10"/>
  <c r="AN12" i="10"/>
  <c r="AP12" i="10"/>
  <c r="AR12" i="10"/>
  <c r="AT12" i="10"/>
  <c r="AV12" i="10"/>
  <c r="AX12" i="10"/>
  <c r="AZ12" i="10"/>
  <c r="BB12" i="10"/>
  <c r="BD12" i="10"/>
  <c r="BF12" i="10"/>
  <c r="BI12" i="10"/>
  <c r="BJ12" i="10"/>
  <c r="E12" i="10"/>
  <c r="G13" i="10"/>
  <c r="E13" i="14"/>
  <c r="BJ2" i="14"/>
  <c r="BI2" i="14"/>
  <c r="BH2" i="14"/>
  <c r="BG2" i="14"/>
  <c r="BF2" i="14"/>
  <c r="BE2" i="14"/>
  <c r="BD2" i="14"/>
  <c r="BC2" i="14"/>
  <c r="BB2" i="14"/>
  <c r="BA2" i="14"/>
  <c r="AZ2" i="14"/>
  <c r="AY2" i="14"/>
  <c r="AX2" i="14"/>
  <c r="AW2" i="14"/>
  <c r="AV2" i="14"/>
  <c r="AU2" i="14"/>
  <c r="AT2" i="14"/>
  <c r="AS2" i="14"/>
  <c r="AR2" i="14"/>
  <c r="AQ2" i="14"/>
  <c r="AP2" i="14"/>
  <c r="AO2" i="14"/>
  <c r="AN2" i="14"/>
  <c r="AM2" i="14"/>
  <c r="AL2" i="14"/>
  <c r="AK2" i="14"/>
  <c r="AJ2" i="14"/>
  <c r="AI2" i="14"/>
  <c r="AH2" i="14"/>
  <c r="AG2" i="14"/>
  <c r="AF2" i="14"/>
  <c r="AE2" i="14"/>
  <c r="AD2" i="14"/>
  <c r="AC2" i="14"/>
  <c r="AB2" i="14"/>
  <c r="AA2" i="14"/>
  <c r="Z2" i="14"/>
  <c r="Y2" i="14"/>
  <c r="X2" i="14"/>
  <c r="W2" i="14"/>
  <c r="V2" i="14"/>
  <c r="U2" i="14"/>
  <c r="T2" i="14"/>
  <c r="S2" i="14"/>
  <c r="R2" i="14"/>
  <c r="Q2" i="14"/>
  <c r="P2" i="14"/>
  <c r="O2" i="14"/>
  <c r="N2" i="14"/>
  <c r="M2" i="14"/>
  <c r="L2" i="14"/>
  <c r="K2" i="14"/>
  <c r="J2" i="14"/>
  <c r="I2" i="14"/>
  <c r="H2" i="14"/>
  <c r="BJ1" i="14"/>
  <c r="BI1" i="14"/>
  <c r="BH1" i="14"/>
  <c r="BG1" i="14"/>
  <c r="BF1" i="14"/>
  <c r="BE1" i="14"/>
  <c r="BD1" i="14"/>
  <c r="BC1" i="14"/>
  <c r="BB1" i="14"/>
  <c r="BA1" i="14"/>
  <c r="AZ1" i="14"/>
  <c r="AY1" i="14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2" i="14"/>
  <c r="G1" i="14"/>
  <c r="E19" i="13"/>
  <c r="E17" i="13"/>
  <c r="E9" i="13"/>
  <c r="E7" i="13"/>
  <c r="BJ3" i="13"/>
  <c r="BI3" i="13"/>
  <c r="BH3" i="13"/>
  <c r="BG3" i="13"/>
  <c r="BF3" i="13"/>
  <c r="BE3" i="13"/>
  <c r="BD3" i="13"/>
  <c r="BC3" i="13"/>
  <c r="BB3" i="13"/>
  <c r="BA3" i="13"/>
  <c r="AZ3" i="13"/>
  <c r="AY3" i="13"/>
  <c r="AX3" i="13"/>
  <c r="AW3" i="13"/>
  <c r="AV3" i="13"/>
  <c r="AU3" i="13"/>
  <c r="AT3" i="13"/>
  <c r="AS3" i="13"/>
  <c r="AR3" i="13"/>
  <c r="AQ3" i="13"/>
  <c r="AP3" i="13"/>
  <c r="AO3" i="13"/>
  <c r="AN3" i="13"/>
  <c r="AM3" i="13"/>
  <c r="AL3" i="13"/>
  <c r="AK3" i="13"/>
  <c r="AJ3" i="13"/>
  <c r="AI3" i="13"/>
  <c r="AH3" i="13"/>
  <c r="AG3" i="13"/>
  <c r="AF3" i="13"/>
  <c r="AE3" i="13"/>
  <c r="AD3" i="13"/>
  <c r="AC3" i="13"/>
  <c r="AB3" i="13"/>
  <c r="AA3" i="13"/>
  <c r="Z3" i="13"/>
  <c r="Y3" i="13"/>
  <c r="X3" i="13"/>
  <c r="W3" i="13"/>
  <c r="V3" i="13"/>
  <c r="U3" i="13"/>
  <c r="T3" i="13"/>
  <c r="S3" i="13"/>
  <c r="R3" i="13"/>
  <c r="Q3" i="13"/>
  <c r="P3" i="13"/>
  <c r="O3" i="13"/>
  <c r="N3" i="13"/>
  <c r="M3" i="13"/>
  <c r="L3" i="13"/>
  <c r="K3" i="13"/>
  <c r="J3" i="13"/>
  <c r="I3" i="13"/>
  <c r="H3" i="13"/>
  <c r="U2" i="13"/>
  <c r="T2" i="13"/>
  <c r="S2" i="13"/>
  <c r="R2" i="13"/>
  <c r="Q2" i="13"/>
  <c r="P2" i="13"/>
  <c r="O2" i="13"/>
  <c r="N2" i="13"/>
  <c r="M2" i="13"/>
  <c r="L2" i="13"/>
  <c r="K2" i="13"/>
  <c r="J2" i="13"/>
  <c r="I2" i="13"/>
  <c r="H2" i="13"/>
  <c r="BJ1" i="13"/>
  <c r="BI1" i="13"/>
  <c r="BH1" i="13"/>
  <c r="BG1" i="13"/>
  <c r="BF1" i="13"/>
  <c r="BE1" i="13"/>
  <c r="BD1" i="13"/>
  <c r="BC1" i="13"/>
  <c r="BB1" i="13"/>
  <c r="BA1" i="13"/>
  <c r="AZ1" i="13"/>
  <c r="AY1" i="13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3" i="13"/>
  <c r="G2" i="13"/>
  <c r="G1" i="13"/>
  <c r="BJ3" i="12"/>
  <c r="BI3" i="12"/>
  <c r="BH3" i="12"/>
  <c r="BG3" i="12"/>
  <c r="BF3" i="12"/>
  <c r="BE3" i="12"/>
  <c r="BD3" i="12"/>
  <c r="BC3" i="12"/>
  <c r="BB3" i="12"/>
  <c r="BA3" i="12"/>
  <c r="AZ3" i="12"/>
  <c r="AY3" i="12"/>
  <c r="AX3" i="12"/>
  <c r="AW3" i="12"/>
  <c r="AV3" i="12"/>
  <c r="AU3" i="12"/>
  <c r="AT3" i="12"/>
  <c r="AS3" i="12"/>
  <c r="AR3" i="12"/>
  <c r="AQ3" i="12"/>
  <c r="AP3" i="12"/>
  <c r="AO3" i="12"/>
  <c r="AN3" i="12"/>
  <c r="AM3" i="12"/>
  <c r="AL3" i="12"/>
  <c r="AK3" i="12"/>
  <c r="AJ3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K3" i="12"/>
  <c r="J3" i="12"/>
  <c r="I3" i="12"/>
  <c r="H3" i="12"/>
  <c r="BJ2" i="12"/>
  <c r="BI2" i="12"/>
  <c r="BH2" i="12"/>
  <c r="BG2" i="12"/>
  <c r="BF2" i="12"/>
  <c r="BE2" i="12"/>
  <c r="BD2" i="12"/>
  <c r="BC2" i="12"/>
  <c r="BB2" i="12"/>
  <c r="BA2" i="12"/>
  <c r="AZ2" i="12"/>
  <c r="AY2" i="12"/>
  <c r="AX2" i="12"/>
  <c r="AW2" i="12"/>
  <c r="AV2" i="12"/>
  <c r="AU2" i="12"/>
  <c r="AT2" i="12"/>
  <c r="AS2" i="12"/>
  <c r="AR2" i="12"/>
  <c r="AQ2" i="12"/>
  <c r="AP2" i="12"/>
  <c r="AO2" i="12"/>
  <c r="AN2" i="12"/>
  <c r="AM2" i="12"/>
  <c r="AL2" i="12"/>
  <c r="AK2" i="12"/>
  <c r="AJ2" i="12"/>
  <c r="AI2" i="12"/>
  <c r="AH2" i="12"/>
  <c r="AG2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3" i="12"/>
  <c r="G2" i="12"/>
  <c r="BA61" i="9"/>
  <c r="G17" i="9"/>
  <c r="BJ21" i="9"/>
  <c r="BI21" i="9"/>
  <c r="BH21" i="9"/>
  <c r="BG21" i="9"/>
  <c r="BF21" i="9"/>
  <c r="BE21" i="9"/>
  <c r="BD21" i="9"/>
  <c r="BC21" i="9"/>
  <c r="BB21" i="9"/>
  <c r="BA21" i="9"/>
  <c r="AZ21" i="9"/>
  <c r="AY21" i="9"/>
  <c r="AX21" i="9"/>
  <c r="AW21" i="9"/>
  <c r="AV21" i="9"/>
  <c r="AU21" i="9"/>
  <c r="AT21" i="9"/>
  <c r="AS21" i="9"/>
  <c r="AR21" i="9"/>
  <c r="AQ21" i="9"/>
  <c r="AP21" i="9"/>
  <c r="AO21" i="9"/>
  <c r="AN21" i="9"/>
  <c r="AM21" i="9"/>
  <c r="AL21" i="9"/>
  <c r="AK21" i="9"/>
  <c r="AJ21" i="9"/>
  <c r="AI21" i="9"/>
  <c r="AH21" i="9"/>
  <c r="AG21" i="9"/>
  <c r="AF21" i="9"/>
  <c r="AE21" i="9"/>
  <c r="AD21" i="9"/>
  <c r="AC21" i="9"/>
  <c r="AB21" i="9"/>
  <c r="AB38" i="9"/>
  <c r="AA21" i="9"/>
  <c r="Z21" i="9"/>
  <c r="Y21" i="9"/>
  <c r="X21" i="9"/>
  <c r="X38" i="9"/>
  <c r="W21" i="9"/>
  <c r="V21" i="9"/>
  <c r="U21" i="9"/>
  <c r="T21" i="9"/>
  <c r="T38" i="9"/>
  <c r="S21" i="9"/>
  <c r="R21" i="9"/>
  <c r="Q21" i="9"/>
  <c r="P21" i="9"/>
  <c r="P38" i="9"/>
  <c r="O21" i="9"/>
  <c r="N21" i="9"/>
  <c r="M21" i="9"/>
  <c r="L21" i="9"/>
  <c r="L38" i="9"/>
  <c r="K21" i="9"/>
  <c r="J21" i="9"/>
  <c r="I21" i="9"/>
  <c r="H21" i="9"/>
  <c r="H38" i="9"/>
  <c r="G21" i="9"/>
  <c r="AL20" i="8"/>
  <c r="BB20" i="8"/>
  <c r="D49" i="9"/>
  <c r="D9" i="9"/>
  <c r="BJ3" i="9"/>
  <c r="BI3" i="9"/>
  <c r="BH3" i="9"/>
  <c r="BG3" i="9"/>
  <c r="BF3" i="9"/>
  <c r="BE3" i="9"/>
  <c r="BD3" i="9"/>
  <c r="BC3" i="9"/>
  <c r="BB3" i="9"/>
  <c r="BA3" i="9"/>
  <c r="AZ3" i="9"/>
  <c r="AY3" i="9"/>
  <c r="AX3" i="9"/>
  <c r="AW3" i="9"/>
  <c r="AV3" i="9"/>
  <c r="AU3" i="9"/>
  <c r="AT3" i="9"/>
  <c r="AS3" i="9"/>
  <c r="AR3" i="9"/>
  <c r="AQ3" i="9"/>
  <c r="AP3" i="9"/>
  <c r="AO3" i="9"/>
  <c r="AN3" i="9"/>
  <c r="AM3" i="9"/>
  <c r="AL3" i="9"/>
  <c r="AK3" i="9"/>
  <c r="AJ3" i="9"/>
  <c r="AI3" i="9"/>
  <c r="AH3" i="9"/>
  <c r="AG3" i="9"/>
  <c r="AF3" i="9"/>
  <c r="AE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BJ2" i="9"/>
  <c r="BI2" i="9"/>
  <c r="BH2" i="9"/>
  <c r="BG2" i="9"/>
  <c r="BF2" i="9"/>
  <c r="BE2" i="9"/>
  <c r="BD2" i="9"/>
  <c r="BC2" i="9"/>
  <c r="BB2" i="9"/>
  <c r="BA2" i="9"/>
  <c r="AZ2" i="9"/>
  <c r="AY2" i="9"/>
  <c r="AX2" i="9"/>
  <c r="AW2" i="9"/>
  <c r="AV2" i="9"/>
  <c r="AU2" i="9"/>
  <c r="AT2" i="9"/>
  <c r="AS2" i="9"/>
  <c r="AR2" i="9"/>
  <c r="AQ2" i="9"/>
  <c r="AP2" i="9"/>
  <c r="AO2" i="9"/>
  <c r="AN2" i="9"/>
  <c r="AM2" i="9"/>
  <c r="AL2" i="9"/>
  <c r="AK2" i="9"/>
  <c r="AJ2" i="9"/>
  <c r="AI2" i="9"/>
  <c r="AH2" i="9"/>
  <c r="AG2" i="9"/>
  <c r="AF2" i="9"/>
  <c r="AE2" i="9"/>
  <c r="AD2" i="9"/>
  <c r="AC2" i="9"/>
  <c r="AB2" i="9"/>
  <c r="AA2" i="9"/>
  <c r="Z2" i="9"/>
  <c r="Y2" i="9"/>
  <c r="X2" i="9"/>
  <c r="W2" i="9"/>
  <c r="V2" i="9"/>
  <c r="U2" i="9"/>
  <c r="T2" i="9"/>
  <c r="S2" i="9"/>
  <c r="R2" i="9"/>
  <c r="Q2" i="9"/>
  <c r="P2" i="9"/>
  <c r="O2" i="9"/>
  <c r="N2" i="9"/>
  <c r="M2" i="9"/>
  <c r="L2" i="9"/>
  <c r="K2" i="9"/>
  <c r="J2" i="9"/>
  <c r="I2" i="9"/>
  <c r="H2" i="9"/>
  <c r="BJ1" i="9"/>
  <c r="BI1" i="9"/>
  <c r="BH1" i="9"/>
  <c r="BG1" i="9"/>
  <c r="BF1" i="9"/>
  <c r="BE1" i="9"/>
  <c r="BD1" i="9"/>
  <c r="BC1" i="9"/>
  <c r="BB1" i="9"/>
  <c r="BA1" i="9"/>
  <c r="AZ1" i="9"/>
  <c r="AY1" i="9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3" i="9"/>
  <c r="G2" i="9"/>
  <c r="G1" i="9"/>
  <c r="E12" i="8"/>
  <c r="E10" i="8"/>
  <c r="E8" i="8"/>
  <c r="E7" i="8"/>
  <c r="E1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BJ2" i="8"/>
  <c r="BI2" i="8"/>
  <c r="BH2" i="8"/>
  <c r="BG2" i="8"/>
  <c r="BF2" i="8"/>
  <c r="BE2" i="8"/>
  <c r="BD2" i="8"/>
  <c r="BC2" i="8"/>
  <c r="BB2" i="8"/>
  <c r="BA2" i="8"/>
  <c r="AZ2" i="8"/>
  <c r="AY2" i="8"/>
  <c r="AX2" i="8"/>
  <c r="AW2" i="8"/>
  <c r="AV2" i="8"/>
  <c r="AU2" i="8"/>
  <c r="AT2" i="8"/>
  <c r="AS2" i="8"/>
  <c r="AR2" i="8"/>
  <c r="AQ2" i="8"/>
  <c r="AP2" i="8"/>
  <c r="AO2" i="8"/>
  <c r="AN2" i="8"/>
  <c r="AM2" i="8"/>
  <c r="AL2" i="8"/>
  <c r="AK2" i="8"/>
  <c r="AJ2" i="8"/>
  <c r="AI2" i="8"/>
  <c r="AH2" i="8"/>
  <c r="AG2" i="8"/>
  <c r="AF2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G3" i="8"/>
  <c r="G2" i="8"/>
  <c r="G1" i="8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T13" i="7"/>
  <c r="U13" i="7"/>
  <c r="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E11" i="7"/>
  <c r="E9" i="7"/>
  <c r="G8" i="7"/>
  <c r="H8" i="7"/>
  <c r="I8" i="7"/>
  <c r="J8" i="7"/>
  <c r="K8" i="7"/>
  <c r="L8" i="7"/>
  <c r="M8" i="7"/>
  <c r="N8" i="7"/>
  <c r="O8" i="7"/>
  <c r="P8" i="7"/>
  <c r="Q8" i="7"/>
  <c r="R8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AI8" i="7"/>
  <c r="AJ8" i="7"/>
  <c r="AK8" i="7"/>
  <c r="AL8" i="7"/>
  <c r="AM8" i="7"/>
  <c r="AN8" i="7"/>
  <c r="AO8" i="7"/>
  <c r="AP8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E8" i="7"/>
  <c r="E7" i="7"/>
  <c r="BJ3" i="7"/>
  <c r="BI3" i="7"/>
  <c r="BH3" i="7"/>
  <c r="BG3" i="7"/>
  <c r="BF3" i="7"/>
  <c r="BE3" i="7"/>
  <c r="BD3" i="7"/>
  <c r="BC3" i="7"/>
  <c r="BB3" i="7"/>
  <c r="BA3" i="7"/>
  <c r="AZ3" i="7"/>
  <c r="AY3" i="7"/>
  <c r="AX3" i="7"/>
  <c r="A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3" i="7"/>
  <c r="G2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G1" i="7"/>
  <c r="E16" i="21"/>
  <c r="E8" i="21"/>
  <c r="E9" i="21"/>
  <c r="E10" i="21"/>
  <c r="G11" i="21"/>
  <c r="H11" i="21"/>
  <c r="I11" i="21"/>
  <c r="J11" i="21"/>
  <c r="K11" i="21"/>
  <c r="L11" i="21"/>
  <c r="M11" i="21"/>
  <c r="N11" i="21"/>
  <c r="O11" i="21"/>
  <c r="P11" i="21"/>
  <c r="Q11" i="21"/>
  <c r="R11" i="21"/>
  <c r="S11" i="21"/>
  <c r="T11" i="21"/>
  <c r="U11" i="21"/>
  <c r="V11" i="21"/>
  <c r="AK11" i="21"/>
  <c r="AL11" i="21"/>
  <c r="AM11" i="21"/>
  <c r="AN11" i="21"/>
  <c r="AO11" i="21"/>
  <c r="AP11" i="21"/>
  <c r="AQ11" i="21"/>
  <c r="AR11" i="21"/>
  <c r="AS11" i="21"/>
  <c r="AT11" i="21"/>
  <c r="AU11" i="21"/>
  <c r="AV11" i="21"/>
  <c r="AW11" i="21"/>
  <c r="AX11" i="21"/>
  <c r="AY11" i="21"/>
  <c r="AZ11" i="21"/>
  <c r="BA11" i="21"/>
  <c r="BB11" i="21"/>
  <c r="BC11" i="21"/>
  <c r="BD11" i="21"/>
  <c r="BE11" i="21"/>
  <c r="BF11" i="21"/>
  <c r="BG11" i="21"/>
  <c r="BH11" i="21"/>
  <c r="BI11" i="21"/>
  <c r="BJ11" i="21"/>
  <c r="E11" i="21"/>
  <c r="E12" i="21"/>
  <c r="E13" i="21"/>
  <c r="E14" i="21"/>
  <c r="G15" i="21"/>
  <c r="H15" i="21"/>
  <c r="I15" i="21"/>
  <c r="J15" i="21"/>
  <c r="K15" i="21"/>
  <c r="L15" i="21"/>
  <c r="M15" i="21"/>
  <c r="N15" i="21"/>
  <c r="O15" i="21"/>
  <c r="P15" i="21"/>
  <c r="Q15" i="21"/>
  <c r="R15" i="21"/>
  <c r="S15" i="21"/>
  <c r="T15" i="21"/>
  <c r="U15" i="21"/>
  <c r="V15" i="21"/>
  <c r="AK15" i="21"/>
  <c r="AL15" i="21"/>
  <c r="AM15" i="21"/>
  <c r="AN15" i="21"/>
  <c r="AO15" i="21"/>
  <c r="AP15" i="21"/>
  <c r="AQ15" i="21"/>
  <c r="AR15" i="21"/>
  <c r="AS15" i="21"/>
  <c r="AT15" i="21"/>
  <c r="AU15" i="21"/>
  <c r="AV15" i="21"/>
  <c r="AW15" i="21"/>
  <c r="AX15" i="21"/>
  <c r="AY15" i="21"/>
  <c r="AZ15" i="21"/>
  <c r="BA15" i="21"/>
  <c r="BB15" i="21"/>
  <c r="BC15" i="21"/>
  <c r="BD15" i="21"/>
  <c r="BE15" i="21"/>
  <c r="BF15" i="21"/>
  <c r="BG15" i="21"/>
  <c r="BH15" i="21"/>
  <c r="BI15" i="21"/>
  <c r="BJ15" i="21"/>
  <c r="E15" i="21"/>
  <c r="E17" i="21"/>
  <c r="E18" i="21"/>
  <c r="E19" i="21"/>
  <c r="E20" i="21"/>
  <c r="E21" i="21"/>
  <c r="G22" i="21"/>
  <c r="H22" i="21"/>
  <c r="I22" i="21"/>
  <c r="J22" i="21"/>
  <c r="K22" i="21"/>
  <c r="L22" i="21"/>
  <c r="M22" i="21"/>
  <c r="N22" i="21"/>
  <c r="O22" i="21"/>
  <c r="P22" i="21"/>
  <c r="Q22" i="21"/>
  <c r="R22" i="21"/>
  <c r="S22" i="21"/>
  <c r="T22" i="21"/>
  <c r="U22" i="21"/>
  <c r="V22" i="21"/>
  <c r="AK22" i="21"/>
  <c r="AL22" i="21"/>
  <c r="AM22" i="21"/>
  <c r="AN22" i="21"/>
  <c r="AO22" i="21"/>
  <c r="AP22" i="21"/>
  <c r="AQ22" i="21"/>
  <c r="AR22" i="21"/>
  <c r="AS22" i="21"/>
  <c r="AT22" i="21"/>
  <c r="AU22" i="21"/>
  <c r="AV22" i="21"/>
  <c r="AW22" i="21"/>
  <c r="AX22" i="21"/>
  <c r="AY22" i="21"/>
  <c r="AZ22" i="21"/>
  <c r="BA22" i="21"/>
  <c r="BB22" i="21"/>
  <c r="BC22" i="21"/>
  <c r="BD22" i="21"/>
  <c r="BE22" i="21"/>
  <c r="BF22" i="21"/>
  <c r="BG22" i="21"/>
  <c r="BH22" i="21"/>
  <c r="BI22" i="21"/>
  <c r="BJ22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8" i="21"/>
  <c r="E59" i="21"/>
  <c r="E60" i="21"/>
  <c r="E61" i="21"/>
  <c r="E62" i="21"/>
  <c r="E65" i="21"/>
  <c r="E66" i="21"/>
  <c r="E67" i="21"/>
  <c r="G68" i="21"/>
  <c r="H68" i="21"/>
  <c r="I68" i="21"/>
  <c r="J68" i="21"/>
  <c r="K68" i="21"/>
  <c r="L68" i="21"/>
  <c r="M68" i="21"/>
  <c r="N68" i="21"/>
  <c r="O68" i="21"/>
  <c r="P68" i="21"/>
  <c r="Q68" i="21"/>
  <c r="R68" i="21"/>
  <c r="S68" i="21"/>
  <c r="T68" i="21"/>
  <c r="U68" i="21"/>
  <c r="V68" i="21"/>
  <c r="AK68" i="21"/>
  <c r="AL68" i="21"/>
  <c r="AM68" i="21"/>
  <c r="AN68" i="21"/>
  <c r="AO68" i="21"/>
  <c r="AP68" i="21"/>
  <c r="AQ68" i="21"/>
  <c r="AR68" i="21"/>
  <c r="AS68" i="21"/>
  <c r="AT68" i="21"/>
  <c r="AU68" i="21"/>
  <c r="AV68" i="21"/>
  <c r="AW68" i="21"/>
  <c r="AX68" i="21"/>
  <c r="AY68" i="21"/>
  <c r="AZ68" i="21"/>
  <c r="BA68" i="21"/>
  <c r="BB68" i="21"/>
  <c r="BC68" i="21"/>
  <c r="BD68" i="21"/>
  <c r="BE68" i="21"/>
  <c r="BF68" i="21"/>
  <c r="BG68" i="21"/>
  <c r="BH68" i="21"/>
  <c r="BI68" i="21"/>
  <c r="BJ68" i="21"/>
  <c r="E68" i="21"/>
  <c r="G74" i="3"/>
  <c r="G69" i="21"/>
  <c r="H74" i="3"/>
  <c r="H69" i="21"/>
  <c r="I74" i="3"/>
  <c r="I69" i="21"/>
  <c r="J74" i="3"/>
  <c r="J69" i="21"/>
  <c r="K74" i="3"/>
  <c r="K69" i="21"/>
  <c r="L74" i="3"/>
  <c r="L69" i="21"/>
  <c r="M74" i="3"/>
  <c r="M69" i="21"/>
  <c r="N74" i="3"/>
  <c r="N69" i="21"/>
  <c r="O74" i="3"/>
  <c r="O69" i="21"/>
  <c r="P74" i="3"/>
  <c r="P69" i="21"/>
  <c r="Q74" i="3"/>
  <c r="Q69" i="21"/>
  <c r="R74" i="3"/>
  <c r="R69" i="21"/>
  <c r="S74" i="3"/>
  <c r="S69" i="21"/>
  <c r="T74" i="3"/>
  <c r="T69" i="21"/>
  <c r="U74" i="3"/>
  <c r="U69" i="21"/>
  <c r="V74" i="3"/>
  <c r="V69" i="21"/>
  <c r="AK74" i="3"/>
  <c r="AK69" i="21"/>
  <c r="AL74" i="3"/>
  <c r="AL69" i="21"/>
  <c r="AM74" i="3"/>
  <c r="AM69" i="21"/>
  <c r="AN74" i="3"/>
  <c r="AN69" i="21"/>
  <c r="AO74" i="3"/>
  <c r="AO69" i="21"/>
  <c r="AP74" i="3"/>
  <c r="AP69" i="21"/>
  <c r="AQ74" i="3"/>
  <c r="AQ69" i="21"/>
  <c r="AR74" i="3"/>
  <c r="AR69" i="21"/>
  <c r="AS74" i="3"/>
  <c r="AS69" i="21"/>
  <c r="AT74" i="3"/>
  <c r="AT69" i="21"/>
  <c r="AU74" i="3"/>
  <c r="AU69" i="21"/>
  <c r="AV74" i="3"/>
  <c r="AV69" i="21"/>
  <c r="AW74" i="3"/>
  <c r="AW69" i="21"/>
  <c r="AX74" i="3"/>
  <c r="AX69" i="21"/>
  <c r="AY74" i="3"/>
  <c r="AY69" i="21"/>
  <c r="AZ74" i="3"/>
  <c r="AZ69" i="21"/>
  <c r="BA74" i="3"/>
  <c r="BA69" i="21"/>
  <c r="BB74" i="3"/>
  <c r="BB69" i="21"/>
  <c r="BC74" i="3"/>
  <c r="BC69" i="21"/>
  <c r="BD74" i="3"/>
  <c r="BD69" i="21"/>
  <c r="BE74" i="3"/>
  <c r="BE69" i="21"/>
  <c r="BF74" i="3"/>
  <c r="BF69" i="21"/>
  <c r="BG74" i="3"/>
  <c r="BG69" i="21"/>
  <c r="BH74" i="3"/>
  <c r="BH69" i="21"/>
  <c r="BI74" i="3"/>
  <c r="BI69" i="21"/>
  <c r="BJ74" i="3"/>
  <c r="BJ69" i="21"/>
  <c r="E69" i="21"/>
  <c r="E70" i="21"/>
  <c r="E71" i="21"/>
  <c r="E181" i="3"/>
  <c r="E180" i="3"/>
  <c r="E179" i="3"/>
  <c r="E178" i="3"/>
  <c r="E177" i="3"/>
  <c r="E176" i="3"/>
  <c r="E175" i="3"/>
  <c r="G167" i="3"/>
  <c r="G173" i="3"/>
  <c r="G174" i="3"/>
  <c r="H167" i="3"/>
  <c r="H173" i="3"/>
  <c r="H174" i="3"/>
  <c r="I167" i="3"/>
  <c r="I173" i="3"/>
  <c r="I174" i="3"/>
  <c r="J167" i="3"/>
  <c r="J173" i="3"/>
  <c r="J174" i="3"/>
  <c r="K167" i="3"/>
  <c r="K173" i="3"/>
  <c r="K174" i="3"/>
  <c r="L167" i="3"/>
  <c r="L173" i="3"/>
  <c r="L174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G150" i="3"/>
  <c r="G151" i="3"/>
  <c r="H151" i="3"/>
  <c r="I151" i="3"/>
  <c r="J151" i="3"/>
  <c r="K151" i="3"/>
  <c r="L151" i="3"/>
  <c r="M151" i="3"/>
  <c r="N151" i="3"/>
  <c r="O151" i="3"/>
  <c r="P151" i="3"/>
  <c r="Q151" i="3"/>
  <c r="R151" i="3"/>
  <c r="S151" i="3"/>
  <c r="T151" i="3"/>
  <c r="U151" i="3"/>
  <c r="V151" i="3"/>
  <c r="W151" i="3"/>
  <c r="X151" i="3"/>
  <c r="Y151" i="3"/>
  <c r="Z151" i="3"/>
  <c r="AA151" i="3"/>
  <c r="AB151" i="3"/>
  <c r="AC151" i="3"/>
  <c r="AD151" i="3"/>
  <c r="AE151" i="3"/>
  <c r="AF151" i="3"/>
  <c r="AG151" i="3"/>
  <c r="AH151" i="3"/>
  <c r="AI151" i="3"/>
  <c r="AJ151" i="3"/>
  <c r="AK151" i="3"/>
  <c r="AL151" i="3"/>
  <c r="AM151" i="3"/>
  <c r="AN151" i="3"/>
  <c r="AO151" i="3"/>
  <c r="AP151" i="3"/>
  <c r="AQ151" i="3"/>
  <c r="AR151" i="3"/>
  <c r="AS151" i="3"/>
  <c r="AT151" i="3"/>
  <c r="AU151" i="3"/>
  <c r="AV151" i="3"/>
  <c r="AW151" i="3"/>
  <c r="AX151" i="3"/>
  <c r="AY151" i="3"/>
  <c r="AZ151" i="3"/>
  <c r="BA151" i="3"/>
  <c r="BB151" i="3"/>
  <c r="BC151" i="3"/>
  <c r="BD151" i="3"/>
  <c r="BE151" i="3"/>
  <c r="BF151" i="3"/>
  <c r="BG151" i="3"/>
  <c r="BH151" i="3"/>
  <c r="BI151" i="3"/>
  <c r="BJ151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G100" i="3"/>
  <c r="G101" i="3"/>
  <c r="G102" i="3"/>
  <c r="G103" i="3"/>
  <c r="G104" i="3"/>
  <c r="G105" i="3"/>
  <c r="G106" i="3"/>
  <c r="G107" i="3"/>
  <c r="G108" i="3"/>
  <c r="H100" i="3"/>
  <c r="H101" i="3"/>
  <c r="H102" i="3"/>
  <c r="H103" i="3"/>
  <c r="H104" i="3"/>
  <c r="H105" i="3"/>
  <c r="H106" i="3"/>
  <c r="H107" i="3"/>
  <c r="H108" i="3"/>
  <c r="I100" i="3"/>
  <c r="I101" i="3"/>
  <c r="I102" i="3"/>
  <c r="I103" i="3"/>
  <c r="I104" i="3"/>
  <c r="I105" i="3"/>
  <c r="I106" i="3"/>
  <c r="I107" i="3"/>
  <c r="I108" i="3"/>
  <c r="J100" i="3"/>
  <c r="J101" i="3"/>
  <c r="J102" i="3"/>
  <c r="J103" i="3"/>
  <c r="J104" i="3"/>
  <c r="J105" i="3"/>
  <c r="J106" i="3"/>
  <c r="J107" i="3"/>
  <c r="J108" i="3"/>
  <c r="K100" i="3"/>
  <c r="K101" i="3"/>
  <c r="K102" i="3"/>
  <c r="K103" i="3"/>
  <c r="K104" i="3"/>
  <c r="K105" i="3"/>
  <c r="K106" i="3"/>
  <c r="K107" i="3"/>
  <c r="K108" i="3"/>
  <c r="L100" i="3"/>
  <c r="L101" i="3"/>
  <c r="L102" i="3"/>
  <c r="L103" i="3"/>
  <c r="L104" i="3"/>
  <c r="L105" i="3"/>
  <c r="L106" i="3"/>
  <c r="L107" i="3"/>
  <c r="L108" i="3"/>
  <c r="M100" i="3"/>
  <c r="M101" i="3"/>
  <c r="M102" i="3"/>
  <c r="M103" i="3"/>
  <c r="M104" i="3"/>
  <c r="M105" i="3"/>
  <c r="M106" i="3"/>
  <c r="M107" i="3"/>
  <c r="M108" i="3"/>
  <c r="N100" i="3"/>
  <c r="N101" i="3"/>
  <c r="N102" i="3"/>
  <c r="N103" i="3"/>
  <c r="N104" i="3"/>
  <c r="N105" i="3"/>
  <c r="N106" i="3"/>
  <c r="N107" i="3"/>
  <c r="N108" i="3"/>
  <c r="O100" i="3"/>
  <c r="O101" i="3"/>
  <c r="O102" i="3"/>
  <c r="O103" i="3"/>
  <c r="O104" i="3"/>
  <c r="O105" i="3"/>
  <c r="O106" i="3"/>
  <c r="O107" i="3"/>
  <c r="O108" i="3"/>
  <c r="P100" i="3"/>
  <c r="P101" i="3"/>
  <c r="P102" i="3"/>
  <c r="P103" i="3"/>
  <c r="P104" i="3"/>
  <c r="P105" i="3"/>
  <c r="P106" i="3"/>
  <c r="P107" i="3"/>
  <c r="P108" i="3"/>
  <c r="Q100" i="3"/>
  <c r="Q101" i="3"/>
  <c r="Q102" i="3"/>
  <c r="Q103" i="3"/>
  <c r="Q104" i="3"/>
  <c r="Q105" i="3"/>
  <c r="Q106" i="3"/>
  <c r="Q107" i="3"/>
  <c r="Q108" i="3"/>
  <c r="R100" i="3"/>
  <c r="R101" i="3"/>
  <c r="R102" i="3"/>
  <c r="R103" i="3"/>
  <c r="R104" i="3"/>
  <c r="R105" i="3"/>
  <c r="R106" i="3"/>
  <c r="R107" i="3"/>
  <c r="R108" i="3"/>
  <c r="S100" i="3"/>
  <c r="S101" i="3"/>
  <c r="S102" i="3"/>
  <c r="S103" i="3"/>
  <c r="S104" i="3"/>
  <c r="S105" i="3"/>
  <c r="S106" i="3"/>
  <c r="S107" i="3"/>
  <c r="S108" i="3"/>
  <c r="T100" i="3"/>
  <c r="T101" i="3"/>
  <c r="T102" i="3"/>
  <c r="T103" i="3"/>
  <c r="T104" i="3"/>
  <c r="T105" i="3"/>
  <c r="T106" i="3"/>
  <c r="T107" i="3"/>
  <c r="T108" i="3"/>
  <c r="U100" i="3"/>
  <c r="U101" i="3"/>
  <c r="U102" i="3"/>
  <c r="U103" i="3"/>
  <c r="U104" i="3"/>
  <c r="U105" i="3"/>
  <c r="U106" i="3"/>
  <c r="U107" i="3"/>
  <c r="U108" i="3"/>
  <c r="V100" i="3"/>
  <c r="V101" i="3"/>
  <c r="V102" i="3"/>
  <c r="V103" i="3"/>
  <c r="V104" i="3"/>
  <c r="V105" i="3"/>
  <c r="V106" i="3"/>
  <c r="V107" i="3"/>
  <c r="V108" i="3"/>
  <c r="AK100" i="3"/>
  <c r="AK101" i="3"/>
  <c r="AK102" i="3"/>
  <c r="AK103" i="3"/>
  <c r="AK104" i="3"/>
  <c r="AK105" i="3"/>
  <c r="AK106" i="3"/>
  <c r="AK107" i="3"/>
  <c r="AK108" i="3"/>
  <c r="AL100" i="3"/>
  <c r="AL101" i="3"/>
  <c r="AL102" i="3"/>
  <c r="AL103" i="3"/>
  <c r="AL104" i="3"/>
  <c r="AL105" i="3"/>
  <c r="AL106" i="3"/>
  <c r="AL107" i="3"/>
  <c r="AL108" i="3"/>
  <c r="AM100" i="3"/>
  <c r="AM101" i="3"/>
  <c r="AM102" i="3"/>
  <c r="AM103" i="3"/>
  <c r="AM104" i="3"/>
  <c r="AM105" i="3"/>
  <c r="AM106" i="3"/>
  <c r="AM107" i="3"/>
  <c r="AM108" i="3"/>
  <c r="AN100" i="3"/>
  <c r="AN101" i="3"/>
  <c r="AN102" i="3"/>
  <c r="AN103" i="3"/>
  <c r="AN104" i="3"/>
  <c r="AN105" i="3"/>
  <c r="AN106" i="3"/>
  <c r="AN107" i="3"/>
  <c r="AN108" i="3"/>
  <c r="AO100" i="3"/>
  <c r="AO101" i="3"/>
  <c r="AO102" i="3"/>
  <c r="AO103" i="3"/>
  <c r="AO104" i="3"/>
  <c r="AO105" i="3"/>
  <c r="AO106" i="3"/>
  <c r="AO107" i="3"/>
  <c r="AO108" i="3"/>
  <c r="AP100" i="3"/>
  <c r="AP101" i="3"/>
  <c r="AP102" i="3"/>
  <c r="AP103" i="3"/>
  <c r="AP104" i="3"/>
  <c r="AP105" i="3"/>
  <c r="AP106" i="3"/>
  <c r="AP107" i="3"/>
  <c r="AP108" i="3"/>
  <c r="AQ100" i="3"/>
  <c r="AQ101" i="3"/>
  <c r="AQ102" i="3"/>
  <c r="AQ103" i="3"/>
  <c r="AQ104" i="3"/>
  <c r="AQ105" i="3"/>
  <c r="AQ106" i="3"/>
  <c r="AQ107" i="3"/>
  <c r="AQ108" i="3"/>
  <c r="AR100" i="3"/>
  <c r="AR101" i="3"/>
  <c r="AR102" i="3"/>
  <c r="AR103" i="3"/>
  <c r="AR104" i="3"/>
  <c r="AR105" i="3"/>
  <c r="AR106" i="3"/>
  <c r="AR107" i="3"/>
  <c r="AR108" i="3"/>
  <c r="AS100" i="3"/>
  <c r="AS101" i="3"/>
  <c r="AS102" i="3"/>
  <c r="AS103" i="3"/>
  <c r="AS104" i="3"/>
  <c r="AS105" i="3"/>
  <c r="AS106" i="3"/>
  <c r="AS107" i="3"/>
  <c r="AS108" i="3"/>
  <c r="AT100" i="3"/>
  <c r="AT101" i="3"/>
  <c r="AT102" i="3"/>
  <c r="AT103" i="3"/>
  <c r="AT104" i="3"/>
  <c r="AT105" i="3"/>
  <c r="AT106" i="3"/>
  <c r="AT107" i="3"/>
  <c r="AT108" i="3"/>
  <c r="AU100" i="3"/>
  <c r="AU101" i="3"/>
  <c r="AU102" i="3"/>
  <c r="AU103" i="3"/>
  <c r="AU104" i="3"/>
  <c r="AU105" i="3"/>
  <c r="AU106" i="3"/>
  <c r="AU107" i="3"/>
  <c r="AU108" i="3"/>
  <c r="AV100" i="3"/>
  <c r="AV101" i="3"/>
  <c r="AV102" i="3"/>
  <c r="AV103" i="3"/>
  <c r="AV104" i="3"/>
  <c r="AV105" i="3"/>
  <c r="AV106" i="3"/>
  <c r="AV107" i="3"/>
  <c r="AV108" i="3"/>
  <c r="AW100" i="3"/>
  <c r="AW101" i="3"/>
  <c r="AW102" i="3"/>
  <c r="AW103" i="3"/>
  <c r="AW104" i="3"/>
  <c r="AW105" i="3"/>
  <c r="AW106" i="3"/>
  <c r="AW107" i="3"/>
  <c r="AW108" i="3"/>
  <c r="AX100" i="3"/>
  <c r="AX101" i="3"/>
  <c r="AX102" i="3"/>
  <c r="AX103" i="3"/>
  <c r="AX104" i="3"/>
  <c r="AX105" i="3"/>
  <c r="AX106" i="3"/>
  <c r="AX107" i="3"/>
  <c r="AX108" i="3"/>
  <c r="AY100" i="3"/>
  <c r="AY101" i="3"/>
  <c r="AY102" i="3"/>
  <c r="AY103" i="3"/>
  <c r="AY104" i="3"/>
  <c r="AY105" i="3"/>
  <c r="AY106" i="3"/>
  <c r="AY107" i="3"/>
  <c r="AY108" i="3"/>
  <c r="AZ100" i="3"/>
  <c r="AZ101" i="3"/>
  <c r="AZ102" i="3"/>
  <c r="AZ103" i="3"/>
  <c r="AZ104" i="3"/>
  <c r="AZ105" i="3"/>
  <c r="AZ106" i="3"/>
  <c r="AZ107" i="3"/>
  <c r="AZ108" i="3"/>
  <c r="BA100" i="3"/>
  <c r="BA101" i="3"/>
  <c r="BA102" i="3"/>
  <c r="BA103" i="3"/>
  <c r="BA104" i="3"/>
  <c r="BA105" i="3"/>
  <c r="BA106" i="3"/>
  <c r="BA107" i="3"/>
  <c r="BA108" i="3"/>
  <c r="BB100" i="3"/>
  <c r="BB101" i="3"/>
  <c r="BB102" i="3"/>
  <c r="BB103" i="3"/>
  <c r="BB104" i="3"/>
  <c r="BB105" i="3"/>
  <c r="BB106" i="3"/>
  <c r="BB107" i="3"/>
  <c r="BB108" i="3"/>
  <c r="BC100" i="3"/>
  <c r="BC101" i="3"/>
  <c r="BC102" i="3"/>
  <c r="BC103" i="3"/>
  <c r="BC104" i="3"/>
  <c r="BC105" i="3"/>
  <c r="BC106" i="3"/>
  <c r="BC107" i="3"/>
  <c r="BC108" i="3"/>
  <c r="BD100" i="3"/>
  <c r="BD101" i="3"/>
  <c r="BD102" i="3"/>
  <c r="BD103" i="3"/>
  <c r="BD104" i="3"/>
  <c r="BD105" i="3"/>
  <c r="BD106" i="3"/>
  <c r="BD107" i="3"/>
  <c r="BD108" i="3"/>
  <c r="BE100" i="3"/>
  <c r="BE101" i="3"/>
  <c r="BE102" i="3"/>
  <c r="BE103" i="3"/>
  <c r="BE104" i="3"/>
  <c r="BE105" i="3"/>
  <c r="BE106" i="3"/>
  <c r="BE107" i="3"/>
  <c r="BE108" i="3"/>
  <c r="BF100" i="3"/>
  <c r="BF101" i="3"/>
  <c r="BF102" i="3"/>
  <c r="BF103" i="3"/>
  <c r="BF104" i="3"/>
  <c r="BF105" i="3"/>
  <c r="BF106" i="3"/>
  <c r="BF107" i="3"/>
  <c r="BF108" i="3"/>
  <c r="BG100" i="3"/>
  <c r="BG101" i="3"/>
  <c r="BG102" i="3"/>
  <c r="BG103" i="3"/>
  <c r="BG104" i="3"/>
  <c r="BG105" i="3"/>
  <c r="BG106" i="3"/>
  <c r="BG107" i="3"/>
  <c r="BG108" i="3"/>
  <c r="BH100" i="3"/>
  <c r="BH101" i="3"/>
  <c r="BH102" i="3"/>
  <c r="BH103" i="3"/>
  <c r="BH104" i="3"/>
  <c r="BH105" i="3"/>
  <c r="BH106" i="3"/>
  <c r="BH107" i="3"/>
  <c r="BH108" i="3"/>
  <c r="BI100" i="3"/>
  <c r="BI101" i="3"/>
  <c r="BI102" i="3"/>
  <c r="BI103" i="3"/>
  <c r="BI104" i="3"/>
  <c r="BI105" i="3"/>
  <c r="BI106" i="3"/>
  <c r="BI107" i="3"/>
  <c r="BI108" i="3"/>
  <c r="BJ100" i="3"/>
  <c r="BJ101" i="3"/>
  <c r="BJ102" i="3"/>
  <c r="BJ103" i="3"/>
  <c r="BJ104" i="3"/>
  <c r="BJ105" i="3"/>
  <c r="BJ106" i="3"/>
  <c r="BJ107" i="3"/>
  <c r="BJ108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2" i="3"/>
  <c r="G88" i="3"/>
  <c r="G89" i="3"/>
  <c r="G90" i="3"/>
  <c r="G91" i="3"/>
  <c r="H88" i="3"/>
  <c r="H89" i="3"/>
  <c r="H90" i="3"/>
  <c r="H91" i="3"/>
  <c r="I88" i="3"/>
  <c r="I89" i="3"/>
  <c r="I90" i="3"/>
  <c r="I91" i="3"/>
  <c r="J88" i="3"/>
  <c r="J89" i="3"/>
  <c r="J90" i="3"/>
  <c r="J91" i="3"/>
  <c r="K88" i="3"/>
  <c r="K89" i="3"/>
  <c r="K90" i="3"/>
  <c r="K91" i="3"/>
  <c r="L88" i="3"/>
  <c r="L89" i="3"/>
  <c r="L90" i="3"/>
  <c r="L91" i="3"/>
  <c r="M88" i="3"/>
  <c r="M89" i="3"/>
  <c r="M90" i="3"/>
  <c r="M91" i="3"/>
  <c r="N88" i="3"/>
  <c r="N89" i="3"/>
  <c r="N90" i="3"/>
  <c r="N91" i="3"/>
  <c r="O88" i="3"/>
  <c r="O89" i="3"/>
  <c r="O90" i="3"/>
  <c r="O91" i="3"/>
  <c r="P88" i="3"/>
  <c r="P89" i="3"/>
  <c r="P90" i="3"/>
  <c r="P91" i="3"/>
  <c r="Q88" i="3"/>
  <c r="Q89" i="3"/>
  <c r="Q90" i="3"/>
  <c r="Q91" i="3"/>
  <c r="R88" i="3"/>
  <c r="R89" i="3"/>
  <c r="R90" i="3"/>
  <c r="R91" i="3"/>
  <c r="S88" i="3"/>
  <c r="S89" i="3"/>
  <c r="S90" i="3"/>
  <c r="S91" i="3"/>
  <c r="T88" i="3"/>
  <c r="T89" i="3"/>
  <c r="T90" i="3"/>
  <c r="T91" i="3"/>
  <c r="U88" i="3"/>
  <c r="U89" i="3"/>
  <c r="U90" i="3"/>
  <c r="U91" i="3"/>
  <c r="V88" i="3"/>
  <c r="V89" i="3"/>
  <c r="V90" i="3"/>
  <c r="V91" i="3"/>
  <c r="E91" i="3"/>
  <c r="E90" i="3"/>
  <c r="E89" i="3"/>
  <c r="E88" i="3"/>
  <c r="E87" i="3"/>
  <c r="E86" i="3"/>
  <c r="G79" i="3"/>
  <c r="G81" i="3"/>
  <c r="G83" i="3"/>
  <c r="G85" i="3"/>
  <c r="H79" i="3"/>
  <c r="H81" i="3"/>
  <c r="H83" i="3"/>
  <c r="H85" i="3"/>
  <c r="I79" i="3"/>
  <c r="I81" i="3"/>
  <c r="D82" i="3"/>
  <c r="I83" i="3"/>
  <c r="I85" i="3"/>
  <c r="J79" i="3"/>
  <c r="J81" i="3"/>
  <c r="J83" i="3"/>
  <c r="J85" i="3"/>
  <c r="K79" i="3"/>
  <c r="K81" i="3"/>
  <c r="K83" i="3"/>
  <c r="K85" i="3"/>
  <c r="L79" i="3"/>
  <c r="L81" i="3"/>
  <c r="L83" i="3"/>
  <c r="L85" i="3"/>
  <c r="M79" i="3"/>
  <c r="M81" i="3"/>
  <c r="M83" i="3"/>
  <c r="M85" i="3"/>
  <c r="N79" i="3"/>
  <c r="N81" i="3"/>
  <c r="N83" i="3"/>
  <c r="N85" i="3"/>
  <c r="O79" i="3"/>
  <c r="O81" i="3"/>
  <c r="O83" i="3"/>
  <c r="O85" i="3"/>
  <c r="P79" i="3"/>
  <c r="P81" i="3"/>
  <c r="P83" i="3"/>
  <c r="P85" i="3"/>
  <c r="Q79" i="3"/>
  <c r="Q81" i="3"/>
  <c r="Q83" i="3"/>
  <c r="Q85" i="3"/>
  <c r="R79" i="3"/>
  <c r="R81" i="3"/>
  <c r="R83" i="3"/>
  <c r="R85" i="3"/>
  <c r="S79" i="3"/>
  <c r="S81" i="3"/>
  <c r="S83" i="3"/>
  <c r="S85" i="3"/>
  <c r="T79" i="3"/>
  <c r="T81" i="3"/>
  <c r="T83" i="3"/>
  <c r="T85" i="3"/>
  <c r="U79" i="3"/>
  <c r="U81" i="3"/>
  <c r="U83" i="3"/>
  <c r="U85" i="3"/>
  <c r="V79" i="3"/>
  <c r="V81" i="3"/>
  <c r="V83" i="3"/>
  <c r="V85" i="3"/>
  <c r="D78" i="3"/>
  <c r="W79" i="3"/>
  <c r="D80" i="3"/>
  <c r="W81" i="3"/>
  <c r="W83" i="3"/>
  <c r="W85" i="3"/>
  <c r="X79" i="3"/>
  <c r="X81" i="3"/>
  <c r="X83" i="3"/>
  <c r="X85" i="3"/>
  <c r="Y79" i="3"/>
  <c r="Y81" i="3"/>
  <c r="Y83" i="3"/>
  <c r="Y85" i="3"/>
  <c r="Z79" i="3"/>
  <c r="Z81" i="3"/>
  <c r="Z83" i="3"/>
  <c r="Z85" i="3"/>
  <c r="AA79" i="3"/>
  <c r="AA81" i="3"/>
  <c r="AA83" i="3"/>
  <c r="AA85" i="3"/>
  <c r="AB79" i="3"/>
  <c r="AB81" i="3"/>
  <c r="AB83" i="3"/>
  <c r="AB85" i="3"/>
  <c r="AC79" i="3"/>
  <c r="AC81" i="3"/>
  <c r="AC83" i="3"/>
  <c r="AC85" i="3"/>
  <c r="AD79" i="3"/>
  <c r="AD81" i="3"/>
  <c r="AD83" i="3"/>
  <c r="AD85" i="3"/>
  <c r="AE79" i="3"/>
  <c r="AE81" i="3"/>
  <c r="AE83" i="3"/>
  <c r="AE85" i="3"/>
  <c r="AF79" i="3"/>
  <c r="AF81" i="3"/>
  <c r="AF83" i="3"/>
  <c r="AF85" i="3"/>
  <c r="AG79" i="3"/>
  <c r="AG81" i="3"/>
  <c r="AG83" i="3"/>
  <c r="AG85" i="3"/>
  <c r="AH79" i="3"/>
  <c r="AH81" i="3"/>
  <c r="AH83" i="3"/>
  <c r="AH85" i="3"/>
  <c r="AI79" i="3"/>
  <c r="AI81" i="3"/>
  <c r="AI83" i="3"/>
  <c r="AI85" i="3"/>
  <c r="AJ79" i="3"/>
  <c r="AJ81" i="3"/>
  <c r="AJ83" i="3"/>
  <c r="AJ85" i="3"/>
  <c r="AK79" i="3"/>
  <c r="AK81" i="3"/>
  <c r="AK83" i="3"/>
  <c r="AK85" i="3"/>
  <c r="AL79" i="3"/>
  <c r="AL81" i="3"/>
  <c r="AL83" i="3"/>
  <c r="AL85" i="3"/>
  <c r="AM79" i="3"/>
  <c r="AM81" i="3"/>
  <c r="AM83" i="3"/>
  <c r="AM85" i="3"/>
  <c r="AN79" i="3"/>
  <c r="AN81" i="3"/>
  <c r="AN83" i="3"/>
  <c r="AN85" i="3"/>
  <c r="AO79" i="3"/>
  <c r="AO81" i="3"/>
  <c r="AO83" i="3"/>
  <c r="AO85" i="3"/>
  <c r="AP79" i="3"/>
  <c r="AP81" i="3"/>
  <c r="AP83" i="3"/>
  <c r="AP85" i="3"/>
  <c r="AQ79" i="3"/>
  <c r="AQ81" i="3"/>
  <c r="AQ83" i="3"/>
  <c r="AQ85" i="3"/>
  <c r="AR79" i="3"/>
  <c r="AR81" i="3"/>
  <c r="AR83" i="3"/>
  <c r="AR85" i="3"/>
  <c r="AS79" i="3"/>
  <c r="AS81" i="3"/>
  <c r="AS83" i="3"/>
  <c r="AS85" i="3"/>
  <c r="AT79" i="3"/>
  <c r="AT81" i="3"/>
  <c r="AT83" i="3"/>
  <c r="AT85" i="3"/>
  <c r="AU79" i="3"/>
  <c r="AU81" i="3"/>
  <c r="AU83" i="3"/>
  <c r="AU85" i="3"/>
  <c r="AV79" i="3"/>
  <c r="AV81" i="3"/>
  <c r="AV83" i="3"/>
  <c r="AV85" i="3"/>
  <c r="AW79" i="3"/>
  <c r="AW81" i="3"/>
  <c r="AW83" i="3"/>
  <c r="AW85" i="3"/>
  <c r="AX79" i="3"/>
  <c r="AX81" i="3"/>
  <c r="AX83" i="3"/>
  <c r="AX85" i="3"/>
  <c r="AY79" i="3"/>
  <c r="AY81" i="3"/>
  <c r="AY83" i="3"/>
  <c r="AY85" i="3"/>
  <c r="AZ79" i="3"/>
  <c r="AZ81" i="3"/>
  <c r="AZ83" i="3"/>
  <c r="AZ85" i="3"/>
  <c r="BA79" i="3"/>
  <c r="BA81" i="3"/>
  <c r="BA83" i="3"/>
  <c r="BA85" i="3"/>
  <c r="BB79" i="3"/>
  <c r="BB81" i="3"/>
  <c r="BB83" i="3"/>
  <c r="BB85" i="3"/>
  <c r="BC79" i="3"/>
  <c r="BC81" i="3"/>
  <c r="BC83" i="3"/>
  <c r="BC85" i="3"/>
  <c r="BD79" i="3"/>
  <c r="BD81" i="3"/>
  <c r="BD83" i="3"/>
  <c r="BD85" i="3"/>
  <c r="BE79" i="3"/>
  <c r="BE81" i="3"/>
  <c r="BE83" i="3"/>
  <c r="BE85" i="3"/>
  <c r="BF79" i="3"/>
  <c r="BF81" i="3"/>
  <c r="BF83" i="3"/>
  <c r="BF85" i="3"/>
  <c r="BG79" i="3"/>
  <c r="BG81" i="3"/>
  <c r="BG83" i="3"/>
  <c r="BG85" i="3"/>
  <c r="BH79" i="3"/>
  <c r="BH81" i="3"/>
  <c r="BH83" i="3"/>
  <c r="BH85" i="3"/>
  <c r="BI79" i="3"/>
  <c r="BI81" i="3"/>
  <c r="BI83" i="3"/>
  <c r="BI85" i="3"/>
  <c r="BJ79" i="3"/>
  <c r="BJ81" i="3"/>
  <c r="BJ83" i="3"/>
  <c r="BJ85" i="3"/>
  <c r="E85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AZ84" i="3"/>
  <c r="BA84" i="3"/>
  <c r="BB84" i="3"/>
  <c r="BC84" i="3"/>
  <c r="BD84" i="3"/>
  <c r="BE84" i="3"/>
  <c r="BF84" i="3"/>
  <c r="BG84" i="3"/>
  <c r="BH84" i="3"/>
  <c r="BI84" i="3"/>
  <c r="BJ84" i="3"/>
  <c r="E84" i="3"/>
  <c r="E83" i="3"/>
  <c r="E82" i="3"/>
  <c r="E81" i="3"/>
  <c r="E80" i="3"/>
  <c r="E79" i="3"/>
  <c r="E78" i="3"/>
  <c r="E77" i="3"/>
  <c r="E76" i="3"/>
  <c r="E72" i="3"/>
  <c r="E71" i="3"/>
  <c r="E70" i="3"/>
  <c r="E69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E68" i="3"/>
  <c r="E67" i="3"/>
  <c r="E66" i="3"/>
  <c r="E65" i="3"/>
  <c r="E64" i="3"/>
  <c r="E62" i="3"/>
  <c r="E61" i="3"/>
  <c r="E60" i="3"/>
  <c r="E59" i="3"/>
  <c r="E58" i="3"/>
  <c r="E57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E56" i="3"/>
  <c r="E55" i="3"/>
  <c r="E54" i="3"/>
  <c r="E53" i="3"/>
  <c r="E52" i="3"/>
  <c r="E51" i="3"/>
  <c r="W34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X34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Y34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Z34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AA34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B34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C34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D34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E34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F34" i="3"/>
  <c r="AF36" i="3"/>
  <c r="AF37" i="3"/>
  <c r="AF38" i="3"/>
  <c r="AF39" i="3"/>
  <c r="AF40" i="3"/>
  <c r="AF41" i="3"/>
  <c r="AF42" i="3"/>
  <c r="AF43" i="3"/>
  <c r="AF44" i="3"/>
  <c r="AF45" i="3"/>
  <c r="AF46" i="3"/>
  <c r="AF47" i="3"/>
  <c r="AF48" i="3"/>
  <c r="AF49" i="3"/>
  <c r="AF50" i="3"/>
  <c r="AG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H34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I34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J34" i="3"/>
  <c r="AJ36" i="3"/>
  <c r="AJ37" i="3"/>
  <c r="AJ38" i="3"/>
  <c r="AJ39" i="3"/>
  <c r="AJ40" i="3"/>
  <c r="AJ41" i="3"/>
  <c r="AJ42" i="3"/>
  <c r="AJ43" i="3"/>
  <c r="AJ44" i="3"/>
  <c r="AJ45" i="3"/>
  <c r="AJ46" i="3"/>
  <c r="AJ47" i="3"/>
  <c r="AJ48" i="3"/>
  <c r="AJ49" i="3"/>
  <c r="AJ50" i="3"/>
  <c r="AK34" i="3"/>
  <c r="AK36" i="3"/>
  <c r="AK37" i="3"/>
  <c r="AK38" i="3"/>
  <c r="AK39" i="3"/>
  <c r="AK40" i="3"/>
  <c r="AK41" i="3"/>
  <c r="AK42" i="3"/>
  <c r="AK43" i="3"/>
  <c r="AK44" i="3"/>
  <c r="AK45" i="3"/>
  <c r="AK46" i="3"/>
  <c r="AK47" i="3"/>
  <c r="AK48" i="3"/>
  <c r="AK49" i="3"/>
  <c r="AK50" i="3"/>
  <c r="AL34" i="3"/>
  <c r="AL36" i="3"/>
  <c r="AL37" i="3"/>
  <c r="AL38" i="3"/>
  <c r="AL39" i="3"/>
  <c r="AL40" i="3"/>
  <c r="AL41" i="3"/>
  <c r="AL42" i="3"/>
  <c r="AL43" i="3"/>
  <c r="AL44" i="3"/>
  <c r="AL45" i="3"/>
  <c r="AL46" i="3"/>
  <c r="AL47" i="3"/>
  <c r="AL48" i="3"/>
  <c r="AL49" i="3"/>
  <c r="AL50" i="3"/>
  <c r="AM34" i="3"/>
  <c r="AM36" i="3"/>
  <c r="AM37" i="3"/>
  <c r="AM38" i="3"/>
  <c r="AM39" i="3"/>
  <c r="AM40" i="3"/>
  <c r="AM41" i="3"/>
  <c r="AM42" i="3"/>
  <c r="AM43" i="3"/>
  <c r="AM44" i="3"/>
  <c r="AM45" i="3"/>
  <c r="AM46" i="3"/>
  <c r="AM47" i="3"/>
  <c r="AM48" i="3"/>
  <c r="AM49" i="3"/>
  <c r="AM50" i="3"/>
  <c r="AN34" i="3"/>
  <c r="AN36" i="3"/>
  <c r="AN37" i="3"/>
  <c r="AN38" i="3"/>
  <c r="AN39" i="3"/>
  <c r="AN40" i="3"/>
  <c r="AN41" i="3"/>
  <c r="AN42" i="3"/>
  <c r="AN43" i="3"/>
  <c r="AN44" i="3"/>
  <c r="AN45" i="3"/>
  <c r="AN46" i="3"/>
  <c r="AN47" i="3"/>
  <c r="AN48" i="3"/>
  <c r="AN49" i="3"/>
  <c r="AN50" i="3"/>
  <c r="AO34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P34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Q34" i="3"/>
  <c r="AQ36" i="3"/>
  <c r="AQ37" i="3"/>
  <c r="AQ38" i="3"/>
  <c r="AQ39" i="3"/>
  <c r="AQ40" i="3"/>
  <c r="AQ41" i="3"/>
  <c r="AQ42" i="3"/>
  <c r="AQ43" i="3"/>
  <c r="AQ44" i="3"/>
  <c r="AQ45" i="3"/>
  <c r="AQ46" i="3"/>
  <c r="AQ47" i="3"/>
  <c r="AQ48" i="3"/>
  <c r="AQ49" i="3"/>
  <c r="AQ50" i="3"/>
  <c r="AR34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S34" i="3"/>
  <c r="AS36" i="3"/>
  <c r="AS37" i="3"/>
  <c r="AS38" i="3"/>
  <c r="AS39" i="3"/>
  <c r="AS40" i="3"/>
  <c r="AS41" i="3"/>
  <c r="AS42" i="3"/>
  <c r="AS43" i="3"/>
  <c r="AS44" i="3"/>
  <c r="AS45" i="3"/>
  <c r="AS46" i="3"/>
  <c r="AS47" i="3"/>
  <c r="AS48" i="3"/>
  <c r="AS49" i="3"/>
  <c r="AS50" i="3"/>
  <c r="AT34" i="3"/>
  <c r="AT36" i="3"/>
  <c r="AT37" i="3"/>
  <c r="AT38" i="3"/>
  <c r="AT39" i="3"/>
  <c r="AT40" i="3"/>
  <c r="AT41" i="3"/>
  <c r="AT42" i="3"/>
  <c r="AT43" i="3"/>
  <c r="AT44" i="3"/>
  <c r="AT45" i="3"/>
  <c r="AT46" i="3"/>
  <c r="AT47" i="3"/>
  <c r="AT48" i="3"/>
  <c r="AT49" i="3"/>
  <c r="AT50" i="3"/>
  <c r="AU34" i="3"/>
  <c r="AU36" i="3"/>
  <c r="AU37" i="3"/>
  <c r="AU38" i="3"/>
  <c r="AU39" i="3"/>
  <c r="AU40" i="3"/>
  <c r="AU41" i="3"/>
  <c r="AU42" i="3"/>
  <c r="AU43" i="3"/>
  <c r="AU44" i="3"/>
  <c r="AU45" i="3"/>
  <c r="AU46" i="3"/>
  <c r="AU47" i="3"/>
  <c r="AU48" i="3"/>
  <c r="AU49" i="3"/>
  <c r="AU50" i="3"/>
  <c r="AV34" i="3"/>
  <c r="AV36" i="3"/>
  <c r="AV37" i="3"/>
  <c r="AV38" i="3"/>
  <c r="AV39" i="3"/>
  <c r="AV40" i="3"/>
  <c r="AV41" i="3"/>
  <c r="AV42" i="3"/>
  <c r="AV43" i="3"/>
  <c r="AV44" i="3"/>
  <c r="AV45" i="3"/>
  <c r="AV46" i="3"/>
  <c r="AV47" i="3"/>
  <c r="AV48" i="3"/>
  <c r="AV49" i="3"/>
  <c r="AV50" i="3"/>
  <c r="AW34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X34" i="3"/>
  <c r="AX36" i="3"/>
  <c r="AX37" i="3"/>
  <c r="AX38" i="3"/>
  <c r="AX39" i="3"/>
  <c r="AX40" i="3"/>
  <c r="AX41" i="3"/>
  <c r="AX42" i="3"/>
  <c r="AX43" i="3"/>
  <c r="AX44" i="3"/>
  <c r="AX45" i="3"/>
  <c r="AX46" i="3"/>
  <c r="AX47" i="3"/>
  <c r="AX48" i="3"/>
  <c r="AX49" i="3"/>
  <c r="AX50" i="3"/>
  <c r="AY34" i="3"/>
  <c r="AY36" i="3"/>
  <c r="AY37" i="3"/>
  <c r="AY38" i="3"/>
  <c r="AY39" i="3"/>
  <c r="AY40" i="3"/>
  <c r="AY41" i="3"/>
  <c r="AY42" i="3"/>
  <c r="AY43" i="3"/>
  <c r="AY44" i="3"/>
  <c r="AY45" i="3"/>
  <c r="AY46" i="3"/>
  <c r="AY47" i="3"/>
  <c r="AY48" i="3"/>
  <c r="AY49" i="3"/>
  <c r="AY50" i="3"/>
  <c r="AZ34" i="3"/>
  <c r="AZ36" i="3"/>
  <c r="AZ37" i="3"/>
  <c r="AZ38" i="3"/>
  <c r="AZ39" i="3"/>
  <c r="AZ40" i="3"/>
  <c r="AZ41" i="3"/>
  <c r="AZ42" i="3"/>
  <c r="AZ43" i="3"/>
  <c r="AZ44" i="3"/>
  <c r="AZ45" i="3"/>
  <c r="AZ46" i="3"/>
  <c r="AZ47" i="3"/>
  <c r="AZ48" i="3"/>
  <c r="AZ49" i="3"/>
  <c r="AZ50" i="3"/>
  <c r="BA34" i="3"/>
  <c r="BA36" i="3"/>
  <c r="BA37" i="3"/>
  <c r="BA38" i="3"/>
  <c r="BA39" i="3"/>
  <c r="BA40" i="3"/>
  <c r="BA41" i="3"/>
  <c r="BA42" i="3"/>
  <c r="BA43" i="3"/>
  <c r="BA44" i="3"/>
  <c r="BA45" i="3"/>
  <c r="BA46" i="3"/>
  <c r="BA47" i="3"/>
  <c r="BA48" i="3"/>
  <c r="BA49" i="3"/>
  <c r="BA50" i="3"/>
  <c r="BB34" i="3"/>
  <c r="BB36" i="3"/>
  <c r="BB37" i="3"/>
  <c r="BB38" i="3"/>
  <c r="BB39" i="3"/>
  <c r="BB40" i="3"/>
  <c r="BB41" i="3"/>
  <c r="BB42" i="3"/>
  <c r="BB43" i="3"/>
  <c r="BB44" i="3"/>
  <c r="BB45" i="3"/>
  <c r="BB46" i="3"/>
  <c r="BB47" i="3"/>
  <c r="BB48" i="3"/>
  <c r="BB49" i="3"/>
  <c r="BB50" i="3"/>
  <c r="BC34" i="3"/>
  <c r="BC36" i="3"/>
  <c r="BC37" i="3"/>
  <c r="BC38" i="3"/>
  <c r="BC39" i="3"/>
  <c r="BC40" i="3"/>
  <c r="BC41" i="3"/>
  <c r="BC42" i="3"/>
  <c r="BC43" i="3"/>
  <c r="BC44" i="3"/>
  <c r="BC45" i="3"/>
  <c r="BC46" i="3"/>
  <c r="BC47" i="3"/>
  <c r="BC48" i="3"/>
  <c r="BC49" i="3"/>
  <c r="BC50" i="3"/>
  <c r="BD34" i="3"/>
  <c r="BD36" i="3"/>
  <c r="BD37" i="3"/>
  <c r="BD38" i="3"/>
  <c r="BD39" i="3"/>
  <c r="BD40" i="3"/>
  <c r="BD41" i="3"/>
  <c r="BD42" i="3"/>
  <c r="BD43" i="3"/>
  <c r="BD44" i="3"/>
  <c r="BD45" i="3"/>
  <c r="BD46" i="3"/>
  <c r="BD47" i="3"/>
  <c r="BD48" i="3"/>
  <c r="BD49" i="3"/>
  <c r="BD50" i="3"/>
  <c r="BE34" i="3"/>
  <c r="BE36" i="3"/>
  <c r="BE37" i="3"/>
  <c r="BE38" i="3"/>
  <c r="BE39" i="3"/>
  <c r="BE40" i="3"/>
  <c r="BE41" i="3"/>
  <c r="BE42" i="3"/>
  <c r="BE43" i="3"/>
  <c r="BE44" i="3"/>
  <c r="BE45" i="3"/>
  <c r="BE46" i="3"/>
  <c r="BE47" i="3"/>
  <c r="BE48" i="3"/>
  <c r="BE49" i="3"/>
  <c r="BE50" i="3"/>
  <c r="BF34" i="3"/>
  <c r="BF36" i="3"/>
  <c r="BF37" i="3"/>
  <c r="BF38" i="3"/>
  <c r="BF39" i="3"/>
  <c r="BF40" i="3"/>
  <c r="BF41" i="3"/>
  <c r="BF42" i="3"/>
  <c r="BF43" i="3"/>
  <c r="BF44" i="3"/>
  <c r="BF45" i="3"/>
  <c r="BF46" i="3"/>
  <c r="BF47" i="3"/>
  <c r="BF48" i="3"/>
  <c r="BF49" i="3"/>
  <c r="BF50" i="3"/>
  <c r="BG34" i="3"/>
  <c r="BG36" i="3"/>
  <c r="BG37" i="3"/>
  <c r="BG38" i="3"/>
  <c r="BG39" i="3"/>
  <c r="BG40" i="3"/>
  <c r="BG41" i="3"/>
  <c r="BG42" i="3"/>
  <c r="BG43" i="3"/>
  <c r="BG44" i="3"/>
  <c r="BG45" i="3"/>
  <c r="BG46" i="3"/>
  <c r="BG47" i="3"/>
  <c r="BG48" i="3"/>
  <c r="BG49" i="3"/>
  <c r="BG50" i="3"/>
  <c r="BH34" i="3"/>
  <c r="BH36" i="3"/>
  <c r="BH37" i="3"/>
  <c r="BH38" i="3"/>
  <c r="BH39" i="3"/>
  <c r="BH40" i="3"/>
  <c r="BH41" i="3"/>
  <c r="BH42" i="3"/>
  <c r="BH43" i="3"/>
  <c r="BH44" i="3"/>
  <c r="BH45" i="3"/>
  <c r="BH46" i="3"/>
  <c r="BH47" i="3"/>
  <c r="BH48" i="3"/>
  <c r="BH49" i="3"/>
  <c r="BH50" i="3"/>
  <c r="BI34" i="3"/>
  <c r="BI36" i="3"/>
  <c r="BI37" i="3"/>
  <c r="BI38" i="3"/>
  <c r="BI39" i="3"/>
  <c r="BI40" i="3"/>
  <c r="BI41" i="3"/>
  <c r="BI42" i="3"/>
  <c r="BI43" i="3"/>
  <c r="BI44" i="3"/>
  <c r="BI45" i="3"/>
  <c r="BI46" i="3"/>
  <c r="BI47" i="3"/>
  <c r="BI48" i="3"/>
  <c r="BI49" i="3"/>
  <c r="BI50" i="3"/>
  <c r="BJ34" i="3"/>
  <c r="BJ36" i="3"/>
  <c r="BJ37" i="3"/>
  <c r="BJ38" i="3"/>
  <c r="BJ39" i="3"/>
  <c r="BJ40" i="3"/>
  <c r="BJ41" i="3"/>
  <c r="BJ42" i="3"/>
  <c r="BJ43" i="3"/>
  <c r="BJ44" i="3"/>
  <c r="BJ45" i="3"/>
  <c r="BJ46" i="3"/>
  <c r="BJ47" i="3"/>
  <c r="BJ48" i="3"/>
  <c r="BJ49" i="3"/>
  <c r="BJ50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0" i="3"/>
  <c r="E9" i="3"/>
  <c r="E8" i="3"/>
  <c r="E7" i="3"/>
  <c r="E11" i="3"/>
  <c r="E31" i="10"/>
  <c r="E29" i="10"/>
  <c r="E28" i="10"/>
  <c r="E27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BB20" i="10"/>
  <c r="BC20" i="10"/>
  <c r="BD20" i="10"/>
  <c r="BE20" i="10"/>
  <c r="BF20" i="10"/>
  <c r="BG20" i="10"/>
  <c r="BH20" i="10"/>
  <c r="BI20" i="10"/>
  <c r="BJ20" i="10"/>
  <c r="E20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AK19" i="10"/>
  <c r="AL19" i="10"/>
  <c r="AM19" i="10"/>
  <c r="AN19" i="10"/>
  <c r="AO19" i="10"/>
  <c r="AP19" i="10"/>
  <c r="AQ19" i="10"/>
  <c r="AR19" i="10"/>
  <c r="AS19" i="10"/>
  <c r="AT19" i="10"/>
  <c r="AU19" i="10"/>
  <c r="AV19" i="10"/>
  <c r="AW19" i="10"/>
  <c r="AX19" i="10"/>
  <c r="AY19" i="10"/>
  <c r="AZ19" i="10"/>
  <c r="BA19" i="10"/>
  <c r="BB19" i="10"/>
  <c r="BC19" i="10"/>
  <c r="BD19" i="10"/>
  <c r="BE19" i="10"/>
  <c r="BF19" i="10"/>
  <c r="BG19" i="10"/>
  <c r="BH19" i="10"/>
  <c r="BI19" i="10"/>
  <c r="BJ19" i="10"/>
  <c r="E19" i="10"/>
  <c r="E18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AM17" i="10"/>
  <c r="AN17" i="10"/>
  <c r="AO17" i="10"/>
  <c r="AP17" i="10"/>
  <c r="AQ17" i="10"/>
  <c r="AR17" i="10"/>
  <c r="AS17" i="10"/>
  <c r="AT17" i="10"/>
  <c r="AU17" i="10"/>
  <c r="AV17" i="10"/>
  <c r="AW17" i="10"/>
  <c r="AX17" i="10"/>
  <c r="AY17" i="10"/>
  <c r="AZ17" i="10"/>
  <c r="BA17" i="10"/>
  <c r="BB17" i="10"/>
  <c r="BC17" i="10"/>
  <c r="BD17" i="10"/>
  <c r="BE17" i="10"/>
  <c r="BF17" i="10"/>
  <c r="BG17" i="10"/>
  <c r="BH17" i="10"/>
  <c r="BI17" i="10"/>
  <c r="BJ17" i="10"/>
  <c r="E17" i="10"/>
  <c r="E9" i="10"/>
  <c r="E8" i="10"/>
  <c r="E7" i="10"/>
  <c r="E48" i="6"/>
  <c r="E16" i="6"/>
  <c r="E11" i="6"/>
  <c r="E10" i="6"/>
  <c r="E9" i="6"/>
  <c r="E8" i="6"/>
  <c r="E13" i="10"/>
  <c r="E22" i="10"/>
  <c r="BJ21" i="10"/>
  <c r="BI21" i="10"/>
  <c r="BH21" i="10"/>
  <c r="BG21" i="10"/>
  <c r="BF21" i="10"/>
  <c r="BE21" i="10"/>
  <c r="BD21" i="10"/>
  <c r="BC21" i="10"/>
  <c r="BB21" i="10"/>
  <c r="BA21" i="10"/>
  <c r="AZ21" i="10"/>
  <c r="AY21" i="10"/>
  <c r="AX21" i="10"/>
  <c r="AW21" i="10"/>
  <c r="AV21" i="10"/>
  <c r="AU21" i="10"/>
  <c r="AT21" i="10"/>
  <c r="AS21" i="10"/>
  <c r="AR21" i="10"/>
  <c r="AQ21" i="10"/>
  <c r="AP21" i="10"/>
  <c r="AO21" i="10"/>
  <c r="AN21" i="10"/>
  <c r="AM21" i="10"/>
  <c r="AL21" i="10"/>
  <c r="AK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E21" i="10"/>
  <c r="E14" i="10"/>
  <c r="E11" i="10"/>
  <c r="AX2" i="21"/>
  <c r="V3" i="21"/>
  <c r="U3" i="21"/>
  <c r="T3" i="21"/>
  <c r="S3" i="21"/>
  <c r="R3" i="21"/>
  <c r="Q3" i="21"/>
  <c r="P3" i="21"/>
  <c r="O3" i="21"/>
  <c r="N3" i="21"/>
  <c r="M3" i="21"/>
  <c r="L3" i="21"/>
  <c r="K3" i="21"/>
  <c r="J3" i="21"/>
  <c r="I3" i="21"/>
  <c r="H3" i="21"/>
  <c r="BJ2" i="21"/>
  <c r="BI2" i="21"/>
  <c r="BH2" i="21"/>
  <c r="BG2" i="21"/>
  <c r="BF2" i="21"/>
  <c r="BE2" i="21"/>
  <c r="BD2" i="21"/>
  <c r="BC2" i="21"/>
  <c r="BB2" i="21"/>
  <c r="BA2" i="21"/>
  <c r="AZ2" i="21"/>
  <c r="AY2" i="21"/>
  <c r="AW2" i="21"/>
  <c r="AV2" i="21"/>
  <c r="AU2" i="21"/>
  <c r="AT2" i="21"/>
  <c r="AS2" i="21"/>
  <c r="AR2" i="21"/>
  <c r="AQ2" i="21"/>
  <c r="AP2" i="21"/>
  <c r="AO2" i="21"/>
  <c r="AN2" i="21"/>
  <c r="AM2" i="21"/>
  <c r="AL2" i="21"/>
  <c r="AK2" i="21"/>
  <c r="AJ2" i="21"/>
  <c r="AI2" i="21"/>
  <c r="AH2" i="21"/>
  <c r="AG2" i="21"/>
  <c r="AF2" i="21"/>
  <c r="AE2" i="21"/>
  <c r="AD2" i="21"/>
  <c r="AC2" i="21"/>
  <c r="AB2" i="21"/>
  <c r="AA2" i="21"/>
  <c r="Z2" i="21"/>
  <c r="Y2" i="21"/>
  <c r="X2" i="21"/>
  <c r="W2" i="21"/>
  <c r="V2" i="21"/>
  <c r="U2" i="21"/>
  <c r="T2" i="21"/>
  <c r="S2" i="21"/>
  <c r="R2" i="21"/>
  <c r="Q2" i="21"/>
  <c r="P2" i="21"/>
  <c r="O2" i="21"/>
  <c r="N2" i="21"/>
  <c r="M2" i="21"/>
  <c r="L2" i="21"/>
  <c r="K2" i="21"/>
  <c r="J2" i="21"/>
  <c r="I2" i="21"/>
  <c r="H2" i="21"/>
  <c r="BJ1" i="21"/>
  <c r="BI1" i="21"/>
  <c r="BH1" i="21"/>
  <c r="BG1" i="21"/>
  <c r="BF1" i="21"/>
  <c r="BE1" i="21"/>
  <c r="BD1" i="21"/>
  <c r="BC1" i="21"/>
  <c r="BB1" i="21"/>
  <c r="BA1" i="21"/>
  <c r="AZ1" i="21"/>
  <c r="AY1" i="21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3" i="21"/>
  <c r="G2" i="21"/>
  <c r="G1" i="21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D57" i="6"/>
  <c r="D156" i="3"/>
  <c r="D155" i="3"/>
  <c r="D148" i="3"/>
  <c r="D147" i="3"/>
  <c r="D146" i="3"/>
  <c r="D145" i="3"/>
  <c r="D144" i="3"/>
  <c r="D119" i="3"/>
  <c r="D117" i="3"/>
  <c r="D83" i="3"/>
  <c r="D81" i="3"/>
  <c r="D79" i="3"/>
  <c r="D33" i="3"/>
  <c r="D10" i="3"/>
  <c r="C105" i="23"/>
  <c r="C104" i="23"/>
  <c r="C103" i="23"/>
  <c r="C102" i="23"/>
  <c r="C101" i="23"/>
  <c r="A1" i="19"/>
  <c r="A1" i="20"/>
  <c r="A1" i="18"/>
  <c r="A1" i="17"/>
  <c r="A1" i="16"/>
  <c r="A1" i="14"/>
  <c r="A1" i="15"/>
  <c r="A1" i="13"/>
  <c r="A1" i="12"/>
  <c r="A1" i="9"/>
  <c r="A1" i="7"/>
  <c r="A1" i="8"/>
  <c r="A1" i="21"/>
  <c r="A1" i="3"/>
  <c r="A1" i="10"/>
  <c r="A1" i="6"/>
  <c r="TRZ9" i="7"/>
  <c r="TRY9" i="7"/>
  <c r="SLM9" i="7"/>
  <c r="SLL9" i="7"/>
  <c r="GHT9" i="7"/>
  <c r="GHS9" i="7"/>
  <c r="CPT9" i="7"/>
  <c r="CPS9" i="7"/>
  <c r="CLQ9" i="7"/>
  <c r="CLP9" i="7"/>
  <c r="C109" i="23"/>
  <c r="C110" i="23"/>
  <c r="C111" i="23"/>
  <c r="C112" i="23"/>
  <c r="C108" i="23"/>
  <c r="B156" i="3"/>
  <c r="B157" i="3"/>
  <c r="B158" i="3"/>
  <c r="B159" i="3"/>
  <c r="B160" i="3"/>
  <c r="B161" i="3"/>
  <c r="B162" i="3"/>
  <c r="B155" i="3"/>
  <c r="C30" i="15"/>
  <c r="B30" i="15"/>
  <c r="XFD9" i="7"/>
  <c r="XFC9" i="7"/>
  <c r="XFB9" i="7"/>
  <c r="XFA9" i="7"/>
  <c r="XEZ9" i="7"/>
  <c r="XEY9" i="7"/>
  <c r="XEX9" i="7"/>
  <c r="XEW9" i="7"/>
  <c r="XEV9" i="7"/>
  <c r="XEU9" i="7"/>
  <c r="XET9" i="7"/>
  <c r="XES9" i="7"/>
  <c r="XER9" i="7"/>
  <c r="XEQ9" i="7"/>
  <c r="XEP9" i="7"/>
  <c r="XEO9" i="7"/>
  <c r="XEN9" i="7"/>
  <c r="XEM9" i="7"/>
  <c r="XEL9" i="7"/>
  <c r="XEK9" i="7"/>
  <c r="XEJ9" i="7"/>
  <c r="XEI9" i="7"/>
  <c r="XEH9" i="7"/>
  <c r="XEG9" i="7"/>
  <c r="XEF9" i="7"/>
  <c r="XEE9" i="7"/>
  <c r="XED9" i="7"/>
  <c r="XEC9" i="7"/>
  <c r="XEB9" i="7"/>
  <c r="XEA9" i="7"/>
  <c r="XDZ9" i="7"/>
  <c r="XDY9" i="7"/>
  <c r="XDX9" i="7"/>
  <c r="XDW9" i="7"/>
  <c r="XDV9" i="7"/>
  <c r="XDU9" i="7"/>
  <c r="XDT9" i="7"/>
  <c r="XDS9" i="7"/>
  <c r="XDR9" i="7"/>
  <c r="XDQ9" i="7"/>
  <c r="XDP9" i="7"/>
  <c r="XDO9" i="7"/>
  <c r="XDN9" i="7"/>
  <c r="XDM9" i="7"/>
  <c r="XDL9" i="7"/>
  <c r="XDK9" i="7"/>
  <c r="XDJ9" i="7"/>
  <c r="XDI9" i="7"/>
  <c r="XDH9" i="7"/>
  <c r="XDG9" i="7"/>
  <c r="XDF9" i="7"/>
  <c r="XDE9" i="7"/>
  <c r="XDD9" i="7"/>
  <c r="XDC9" i="7"/>
  <c r="XDB9" i="7"/>
  <c r="XDA9" i="7"/>
  <c r="XCZ9" i="7"/>
  <c r="XCY9" i="7"/>
  <c r="XCX9" i="7"/>
  <c r="XCW9" i="7"/>
  <c r="XCV9" i="7"/>
  <c r="XCU9" i="7"/>
  <c r="XCT9" i="7"/>
  <c r="XCS9" i="7"/>
  <c r="XCR9" i="7"/>
  <c r="XCQ9" i="7"/>
  <c r="XCP9" i="7"/>
  <c r="XCO9" i="7"/>
  <c r="XCN9" i="7"/>
  <c r="XCM9" i="7"/>
  <c r="XCL9" i="7"/>
  <c r="XCK9" i="7"/>
  <c r="XCJ9" i="7"/>
  <c r="XCI9" i="7"/>
  <c r="XCH9" i="7"/>
  <c r="XCG9" i="7"/>
  <c r="XCF9" i="7"/>
  <c r="XCE9" i="7"/>
  <c r="XCD9" i="7"/>
  <c r="XCC9" i="7"/>
  <c r="XCB9" i="7"/>
  <c r="XCA9" i="7"/>
  <c r="XBZ9" i="7"/>
  <c r="XBY9" i="7"/>
  <c r="XBX9" i="7"/>
  <c r="XBW9" i="7"/>
  <c r="XBV9" i="7"/>
  <c r="XBU9" i="7"/>
  <c r="XBT9" i="7"/>
  <c r="XBS9" i="7"/>
  <c r="XBR9" i="7"/>
  <c r="XBQ9" i="7"/>
  <c r="XBP9" i="7"/>
  <c r="XBO9" i="7"/>
  <c r="XBN9" i="7"/>
  <c r="XBM9" i="7"/>
  <c r="XBL9" i="7"/>
  <c r="XBK9" i="7"/>
  <c r="XBJ9" i="7"/>
  <c r="XBI9" i="7"/>
  <c r="XBH9" i="7"/>
  <c r="XBG9" i="7"/>
  <c r="XBF9" i="7"/>
  <c r="XBE9" i="7"/>
  <c r="XBD9" i="7"/>
  <c r="XBC9" i="7"/>
  <c r="XBB9" i="7"/>
  <c r="XBA9" i="7"/>
  <c r="XAZ9" i="7"/>
  <c r="XAY9" i="7"/>
  <c r="XAX9" i="7"/>
  <c r="XAW9" i="7"/>
  <c r="XAV9" i="7"/>
  <c r="XAU9" i="7"/>
  <c r="XAT9" i="7"/>
  <c r="XAS9" i="7"/>
  <c r="XAR9" i="7"/>
  <c r="XAQ9" i="7"/>
  <c r="XAP9" i="7"/>
  <c r="XAO9" i="7"/>
  <c r="XAN9" i="7"/>
  <c r="XAM9" i="7"/>
  <c r="XAL9" i="7"/>
  <c r="XAK9" i="7"/>
  <c r="XAJ9" i="7"/>
  <c r="XAI9" i="7"/>
  <c r="XAH9" i="7"/>
  <c r="XAG9" i="7"/>
  <c r="XAF9" i="7"/>
  <c r="XAE9" i="7"/>
  <c r="XAD9" i="7"/>
  <c r="XAC9" i="7"/>
  <c r="XAB9" i="7"/>
  <c r="XAA9" i="7"/>
  <c r="WZZ9" i="7"/>
  <c r="WZY9" i="7"/>
  <c r="WZX9" i="7"/>
  <c r="WZW9" i="7"/>
  <c r="WZV9" i="7"/>
  <c r="WZU9" i="7"/>
  <c r="WZT9" i="7"/>
  <c r="WZS9" i="7"/>
  <c r="WZR9" i="7"/>
  <c r="WZQ9" i="7"/>
  <c r="WZP9" i="7"/>
  <c r="WZO9" i="7"/>
  <c r="WZN9" i="7"/>
  <c r="WZM9" i="7"/>
  <c r="WZL9" i="7"/>
  <c r="WZK9" i="7"/>
  <c r="WZJ9" i="7"/>
  <c r="WZI9" i="7"/>
  <c r="WZH9" i="7"/>
  <c r="WZG9" i="7"/>
  <c r="WZF9" i="7"/>
  <c r="WZE9" i="7"/>
  <c r="WZD9" i="7"/>
  <c r="WZC9" i="7"/>
  <c r="WZB9" i="7"/>
  <c r="WZA9" i="7"/>
  <c r="WYZ9" i="7"/>
  <c r="WYY9" i="7"/>
  <c r="WYX9" i="7"/>
  <c r="WYW9" i="7"/>
  <c r="WYV9" i="7"/>
  <c r="WYU9" i="7"/>
  <c r="WYT9" i="7"/>
  <c r="WYS9" i="7"/>
  <c r="WYR9" i="7"/>
  <c r="WYQ9" i="7"/>
  <c r="WYP9" i="7"/>
  <c r="WYO9" i="7"/>
  <c r="WYN9" i="7"/>
  <c r="WYM9" i="7"/>
  <c r="WYL9" i="7"/>
  <c r="WYK9" i="7"/>
  <c r="WYJ9" i="7"/>
  <c r="WYI9" i="7"/>
  <c r="WYH9" i="7"/>
  <c r="WYG9" i="7"/>
  <c r="WYF9" i="7"/>
  <c r="WYE9" i="7"/>
  <c r="WYD9" i="7"/>
  <c r="WYC9" i="7"/>
  <c r="WYB9" i="7"/>
  <c r="WYA9" i="7"/>
  <c r="WXZ9" i="7"/>
  <c r="WXY9" i="7"/>
  <c r="WXX9" i="7"/>
  <c r="WXW9" i="7"/>
  <c r="WXV9" i="7"/>
  <c r="WXU9" i="7"/>
  <c r="WXT9" i="7"/>
  <c r="WXS9" i="7"/>
  <c r="WXR9" i="7"/>
  <c r="WXQ9" i="7"/>
  <c r="WXP9" i="7"/>
  <c r="WXO9" i="7"/>
  <c r="WXN9" i="7"/>
  <c r="WXM9" i="7"/>
  <c r="WXL9" i="7"/>
  <c r="WXK9" i="7"/>
  <c r="WXJ9" i="7"/>
  <c r="WXI9" i="7"/>
  <c r="WXH9" i="7"/>
  <c r="WXG9" i="7"/>
  <c r="WXF9" i="7"/>
  <c r="WXE9" i="7"/>
  <c r="WXD9" i="7"/>
  <c r="WXC9" i="7"/>
  <c r="WXB9" i="7"/>
  <c r="WXA9" i="7"/>
  <c r="WWZ9" i="7"/>
  <c r="WWY9" i="7"/>
  <c r="WWX9" i="7"/>
  <c r="WWW9" i="7"/>
  <c r="WWV9" i="7"/>
  <c r="WWU9" i="7"/>
  <c r="WWT9" i="7"/>
  <c r="WWS9" i="7"/>
  <c r="WWR9" i="7"/>
  <c r="WWQ9" i="7"/>
  <c r="WWP9" i="7"/>
  <c r="WWO9" i="7"/>
  <c r="WWN9" i="7"/>
  <c r="WWM9" i="7"/>
  <c r="WWL9" i="7"/>
  <c r="WWK9" i="7"/>
  <c r="WWJ9" i="7"/>
  <c r="WWI9" i="7"/>
  <c r="WWH9" i="7"/>
  <c r="WWG9" i="7"/>
  <c r="WWF9" i="7"/>
  <c r="WWE9" i="7"/>
  <c r="WWD9" i="7"/>
  <c r="WWC9" i="7"/>
  <c r="WWB9" i="7"/>
  <c r="WWA9" i="7"/>
  <c r="WVZ9" i="7"/>
  <c r="WVY9" i="7"/>
  <c r="WVX9" i="7"/>
  <c r="WVW9" i="7"/>
  <c r="WVV9" i="7"/>
  <c r="WVU9" i="7"/>
  <c r="WVT9" i="7"/>
  <c r="WVS9" i="7"/>
  <c r="WVR9" i="7"/>
  <c r="WVQ9" i="7"/>
  <c r="WVP9" i="7"/>
  <c r="WVO9" i="7"/>
  <c r="WVN9" i="7"/>
  <c r="WVM9" i="7"/>
  <c r="WVL9" i="7"/>
  <c r="WVK9" i="7"/>
  <c r="WVJ9" i="7"/>
  <c r="WVI9" i="7"/>
  <c r="WVH9" i="7"/>
  <c r="WVG9" i="7"/>
  <c r="WVF9" i="7"/>
  <c r="WVE9" i="7"/>
  <c r="WVD9" i="7"/>
  <c r="WVC9" i="7"/>
  <c r="WVB9" i="7"/>
  <c r="WVA9" i="7"/>
  <c r="WUZ9" i="7"/>
  <c r="WUY9" i="7"/>
  <c r="WUX9" i="7"/>
  <c r="WUW9" i="7"/>
  <c r="WUV9" i="7"/>
  <c r="WUU9" i="7"/>
  <c r="WUT9" i="7"/>
  <c r="WUS9" i="7"/>
  <c r="WUR9" i="7"/>
  <c r="WUQ9" i="7"/>
  <c r="WUP9" i="7"/>
  <c r="WUO9" i="7"/>
  <c r="WUN9" i="7"/>
  <c r="WUM9" i="7"/>
  <c r="WUL9" i="7"/>
  <c r="WUK9" i="7"/>
  <c r="WUJ9" i="7"/>
  <c r="WUI9" i="7"/>
  <c r="WUH9" i="7"/>
  <c r="WUG9" i="7"/>
  <c r="WUF9" i="7"/>
  <c r="WUE9" i="7"/>
  <c r="WUD9" i="7"/>
  <c r="WUC9" i="7"/>
  <c r="WUB9" i="7"/>
  <c r="WUA9" i="7"/>
  <c r="WTZ9" i="7"/>
  <c r="WTY9" i="7"/>
  <c r="WTX9" i="7"/>
  <c r="WTW9" i="7"/>
  <c r="WTV9" i="7"/>
  <c r="WTU9" i="7"/>
  <c r="WTT9" i="7"/>
  <c r="WTS9" i="7"/>
  <c r="WTR9" i="7"/>
  <c r="WTQ9" i="7"/>
  <c r="WTP9" i="7"/>
  <c r="WTO9" i="7"/>
  <c r="WTN9" i="7"/>
  <c r="WTM9" i="7"/>
  <c r="WTL9" i="7"/>
  <c r="WTK9" i="7"/>
  <c r="WTJ9" i="7"/>
  <c r="WTI9" i="7"/>
  <c r="WTH9" i="7"/>
  <c r="WTG9" i="7"/>
  <c r="WTF9" i="7"/>
  <c r="WTE9" i="7"/>
  <c r="WTD9" i="7"/>
  <c r="WTC9" i="7"/>
  <c r="WTB9" i="7"/>
  <c r="WTA9" i="7"/>
  <c r="WSZ9" i="7"/>
  <c r="WSY9" i="7"/>
  <c r="WSX9" i="7"/>
  <c r="WSW9" i="7"/>
  <c r="WSV9" i="7"/>
  <c r="WSU9" i="7"/>
  <c r="WST9" i="7"/>
  <c r="WSS9" i="7"/>
  <c r="WSR9" i="7"/>
  <c r="WSQ9" i="7"/>
  <c r="WSP9" i="7"/>
  <c r="WSO9" i="7"/>
  <c r="WSN9" i="7"/>
  <c r="WSM9" i="7"/>
  <c r="WSL9" i="7"/>
  <c r="WSK9" i="7"/>
  <c r="WSJ9" i="7"/>
  <c r="WSI9" i="7"/>
  <c r="WSH9" i="7"/>
  <c r="WSG9" i="7"/>
  <c r="WSF9" i="7"/>
  <c r="WSE9" i="7"/>
  <c r="WSD9" i="7"/>
  <c r="WSC9" i="7"/>
  <c r="WSB9" i="7"/>
  <c r="WSA9" i="7"/>
  <c r="WRZ9" i="7"/>
  <c r="WRY9" i="7"/>
  <c r="WRX9" i="7"/>
  <c r="WRW9" i="7"/>
  <c r="WRV9" i="7"/>
  <c r="WRU9" i="7"/>
  <c r="WRT9" i="7"/>
  <c r="WRS9" i="7"/>
  <c r="WRR9" i="7"/>
  <c r="WRQ9" i="7"/>
  <c r="WRP9" i="7"/>
  <c r="WRO9" i="7"/>
  <c r="WRN9" i="7"/>
  <c r="WRM9" i="7"/>
  <c r="WRL9" i="7"/>
  <c r="WRK9" i="7"/>
  <c r="WRJ9" i="7"/>
  <c r="WRI9" i="7"/>
  <c r="WRH9" i="7"/>
  <c r="WRG9" i="7"/>
  <c r="WRF9" i="7"/>
  <c r="WRE9" i="7"/>
  <c r="WRD9" i="7"/>
  <c r="WRC9" i="7"/>
  <c r="WRB9" i="7"/>
  <c r="WRA9" i="7"/>
  <c r="WQZ9" i="7"/>
  <c r="WQY9" i="7"/>
  <c r="WQX9" i="7"/>
  <c r="WQW9" i="7"/>
  <c r="WQV9" i="7"/>
  <c r="WQU9" i="7"/>
  <c r="WQT9" i="7"/>
  <c r="WQS9" i="7"/>
  <c r="WQR9" i="7"/>
  <c r="WQQ9" i="7"/>
  <c r="WQP9" i="7"/>
  <c r="WQO9" i="7"/>
  <c r="WQN9" i="7"/>
  <c r="WQM9" i="7"/>
  <c r="WQL9" i="7"/>
  <c r="WQK9" i="7"/>
  <c r="WQJ9" i="7"/>
  <c r="WQI9" i="7"/>
  <c r="WQH9" i="7"/>
  <c r="WQG9" i="7"/>
  <c r="WQF9" i="7"/>
  <c r="WQE9" i="7"/>
  <c r="WQD9" i="7"/>
  <c r="WQC9" i="7"/>
  <c r="WQB9" i="7"/>
  <c r="WQA9" i="7"/>
  <c r="WPZ9" i="7"/>
  <c r="WPY9" i="7"/>
  <c r="WPX9" i="7"/>
  <c r="WPW9" i="7"/>
  <c r="WPV9" i="7"/>
  <c r="WPU9" i="7"/>
  <c r="WPT9" i="7"/>
  <c r="WPS9" i="7"/>
  <c r="WPR9" i="7"/>
  <c r="WPQ9" i="7"/>
  <c r="WPP9" i="7"/>
  <c r="WPO9" i="7"/>
  <c r="WPN9" i="7"/>
  <c r="WPM9" i="7"/>
  <c r="WPL9" i="7"/>
  <c r="WPK9" i="7"/>
  <c r="WPJ9" i="7"/>
  <c r="WPI9" i="7"/>
  <c r="WPH9" i="7"/>
  <c r="WPG9" i="7"/>
  <c r="WPF9" i="7"/>
  <c r="WPE9" i="7"/>
  <c r="WPD9" i="7"/>
  <c r="WPC9" i="7"/>
  <c r="WPB9" i="7"/>
  <c r="WPA9" i="7"/>
  <c r="WOZ9" i="7"/>
  <c r="WOY9" i="7"/>
  <c r="WOX9" i="7"/>
  <c r="WOW9" i="7"/>
  <c r="WOV9" i="7"/>
  <c r="WOU9" i="7"/>
  <c r="WOT9" i="7"/>
  <c r="WOS9" i="7"/>
  <c r="WOR9" i="7"/>
  <c r="WOQ9" i="7"/>
  <c r="WOP9" i="7"/>
  <c r="WOO9" i="7"/>
  <c r="WON9" i="7"/>
  <c r="WOM9" i="7"/>
  <c r="WOL9" i="7"/>
  <c r="WOK9" i="7"/>
  <c r="WOJ9" i="7"/>
  <c r="WOI9" i="7"/>
  <c r="WOH9" i="7"/>
  <c r="WOG9" i="7"/>
  <c r="WOF9" i="7"/>
  <c r="WOE9" i="7"/>
  <c r="WOD9" i="7"/>
  <c r="WOC9" i="7"/>
  <c r="WOB9" i="7"/>
  <c r="WOA9" i="7"/>
  <c r="WNZ9" i="7"/>
  <c r="WNY9" i="7"/>
  <c r="WNX9" i="7"/>
  <c r="WNW9" i="7"/>
  <c r="WNV9" i="7"/>
  <c r="WNU9" i="7"/>
  <c r="WNT9" i="7"/>
  <c r="WNS9" i="7"/>
  <c r="WNR9" i="7"/>
  <c r="WNQ9" i="7"/>
  <c r="WNP9" i="7"/>
  <c r="WNO9" i="7"/>
  <c r="WNN9" i="7"/>
  <c r="WNM9" i="7"/>
  <c r="WNL9" i="7"/>
  <c r="WNK9" i="7"/>
  <c r="WNJ9" i="7"/>
  <c r="WNI9" i="7"/>
  <c r="WNH9" i="7"/>
  <c r="WNG9" i="7"/>
  <c r="WNF9" i="7"/>
  <c r="WNE9" i="7"/>
  <c r="WND9" i="7"/>
  <c r="WNC9" i="7"/>
  <c r="WNB9" i="7"/>
  <c r="WNA9" i="7"/>
  <c r="WMZ9" i="7"/>
  <c r="WMY9" i="7"/>
  <c r="WMX9" i="7"/>
  <c r="WMW9" i="7"/>
  <c r="WMV9" i="7"/>
  <c r="WMU9" i="7"/>
  <c r="WMT9" i="7"/>
  <c r="WMS9" i="7"/>
  <c r="WMR9" i="7"/>
  <c r="WMQ9" i="7"/>
  <c r="WMP9" i="7"/>
  <c r="WMO9" i="7"/>
  <c r="WMN9" i="7"/>
  <c r="WMM9" i="7"/>
  <c r="WML9" i="7"/>
  <c r="WMK9" i="7"/>
  <c r="WMJ9" i="7"/>
  <c r="WMI9" i="7"/>
  <c r="WMH9" i="7"/>
  <c r="WMG9" i="7"/>
  <c r="WMF9" i="7"/>
  <c r="WME9" i="7"/>
  <c r="WMD9" i="7"/>
  <c r="WMC9" i="7"/>
  <c r="WMB9" i="7"/>
  <c r="WMA9" i="7"/>
  <c r="WLZ9" i="7"/>
  <c r="WLY9" i="7"/>
  <c r="WLX9" i="7"/>
  <c r="WLW9" i="7"/>
  <c r="WLV9" i="7"/>
  <c r="WLU9" i="7"/>
  <c r="WLT9" i="7"/>
  <c r="WLS9" i="7"/>
  <c r="WLR9" i="7"/>
  <c r="WLQ9" i="7"/>
  <c r="WLP9" i="7"/>
  <c r="WLO9" i="7"/>
  <c r="WLN9" i="7"/>
  <c r="WLM9" i="7"/>
  <c r="WLL9" i="7"/>
  <c r="WLK9" i="7"/>
  <c r="WLJ9" i="7"/>
  <c r="WLI9" i="7"/>
  <c r="WLH9" i="7"/>
  <c r="WLG9" i="7"/>
  <c r="WLF9" i="7"/>
  <c r="WLE9" i="7"/>
  <c r="WLD9" i="7"/>
  <c r="WLC9" i="7"/>
  <c r="WLB9" i="7"/>
  <c r="WLA9" i="7"/>
  <c r="WKZ9" i="7"/>
  <c r="WKY9" i="7"/>
  <c r="WKX9" i="7"/>
  <c r="WKW9" i="7"/>
  <c r="WKV9" i="7"/>
  <c r="WKU9" i="7"/>
  <c r="WKT9" i="7"/>
  <c r="WKS9" i="7"/>
  <c r="WKR9" i="7"/>
  <c r="WKQ9" i="7"/>
  <c r="WKP9" i="7"/>
  <c r="WKO9" i="7"/>
  <c r="WKN9" i="7"/>
  <c r="WKM9" i="7"/>
  <c r="WKL9" i="7"/>
  <c r="WKK9" i="7"/>
  <c r="WKJ9" i="7"/>
  <c r="WKI9" i="7"/>
  <c r="WKH9" i="7"/>
  <c r="WKG9" i="7"/>
  <c r="WKF9" i="7"/>
  <c r="WKE9" i="7"/>
  <c r="WKD9" i="7"/>
  <c r="WKC9" i="7"/>
  <c r="WKB9" i="7"/>
  <c r="WKA9" i="7"/>
  <c r="WJZ9" i="7"/>
  <c r="WJY9" i="7"/>
  <c r="WJX9" i="7"/>
  <c r="WJW9" i="7"/>
  <c r="WJV9" i="7"/>
  <c r="WJU9" i="7"/>
  <c r="WJT9" i="7"/>
  <c r="WJS9" i="7"/>
  <c r="WJR9" i="7"/>
  <c r="WJQ9" i="7"/>
  <c r="WJP9" i="7"/>
  <c r="WJO9" i="7"/>
  <c r="WJN9" i="7"/>
  <c r="WJM9" i="7"/>
  <c r="WJL9" i="7"/>
  <c r="WJK9" i="7"/>
  <c r="WJJ9" i="7"/>
  <c r="WJI9" i="7"/>
  <c r="WJH9" i="7"/>
  <c r="WJG9" i="7"/>
  <c r="WJF9" i="7"/>
  <c r="WJE9" i="7"/>
  <c r="WJD9" i="7"/>
  <c r="WJC9" i="7"/>
  <c r="WJB9" i="7"/>
  <c r="WJA9" i="7"/>
  <c r="WIZ9" i="7"/>
  <c r="WIY9" i="7"/>
  <c r="WIX9" i="7"/>
  <c r="WIW9" i="7"/>
  <c r="WIV9" i="7"/>
  <c r="WIU9" i="7"/>
  <c r="WIT9" i="7"/>
  <c r="WIS9" i="7"/>
  <c r="WIR9" i="7"/>
  <c r="WIQ9" i="7"/>
  <c r="WIP9" i="7"/>
  <c r="WIO9" i="7"/>
  <c r="WIN9" i="7"/>
  <c r="WIM9" i="7"/>
  <c r="WIL9" i="7"/>
  <c r="WIK9" i="7"/>
  <c r="WIJ9" i="7"/>
  <c r="WII9" i="7"/>
  <c r="WIH9" i="7"/>
  <c r="WIG9" i="7"/>
  <c r="WIF9" i="7"/>
  <c r="WIE9" i="7"/>
  <c r="WID9" i="7"/>
  <c r="WIC9" i="7"/>
  <c r="WIB9" i="7"/>
  <c r="WIA9" i="7"/>
  <c r="WHZ9" i="7"/>
  <c r="WHY9" i="7"/>
  <c r="WHX9" i="7"/>
  <c r="WHW9" i="7"/>
  <c r="WHV9" i="7"/>
  <c r="WHU9" i="7"/>
  <c r="WHT9" i="7"/>
  <c r="WHS9" i="7"/>
  <c r="WHR9" i="7"/>
  <c r="WHQ9" i="7"/>
  <c r="WHP9" i="7"/>
  <c r="WHO9" i="7"/>
  <c r="WHN9" i="7"/>
  <c r="WHM9" i="7"/>
  <c r="WHL9" i="7"/>
  <c r="WHK9" i="7"/>
  <c r="WHJ9" i="7"/>
  <c r="WHI9" i="7"/>
  <c r="WHH9" i="7"/>
  <c r="WHG9" i="7"/>
  <c r="WHF9" i="7"/>
  <c r="WHE9" i="7"/>
  <c r="WHD9" i="7"/>
  <c r="WHC9" i="7"/>
  <c r="WHB9" i="7"/>
  <c r="WHA9" i="7"/>
  <c r="WGZ9" i="7"/>
  <c r="WGY9" i="7"/>
  <c r="WGX9" i="7"/>
  <c r="WGW9" i="7"/>
  <c r="WGV9" i="7"/>
  <c r="WGU9" i="7"/>
  <c r="WGT9" i="7"/>
  <c r="WGS9" i="7"/>
  <c r="WGR9" i="7"/>
  <c r="WGQ9" i="7"/>
  <c r="WGP9" i="7"/>
  <c r="WGO9" i="7"/>
  <c r="WGN9" i="7"/>
  <c r="WGM9" i="7"/>
  <c r="WGL9" i="7"/>
  <c r="WGK9" i="7"/>
  <c r="WGJ9" i="7"/>
  <c r="WGI9" i="7"/>
  <c r="WGH9" i="7"/>
  <c r="WGG9" i="7"/>
  <c r="WGF9" i="7"/>
  <c r="WGE9" i="7"/>
  <c r="WGD9" i="7"/>
  <c r="WGC9" i="7"/>
  <c r="WGB9" i="7"/>
  <c r="WGA9" i="7"/>
  <c r="WFZ9" i="7"/>
  <c r="WFY9" i="7"/>
  <c r="WFX9" i="7"/>
  <c r="WFW9" i="7"/>
  <c r="WFV9" i="7"/>
  <c r="WFU9" i="7"/>
  <c r="WFT9" i="7"/>
  <c r="WFS9" i="7"/>
  <c r="WFR9" i="7"/>
  <c r="WFQ9" i="7"/>
  <c r="WFP9" i="7"/>
  <c r="WFO9" i="7"/>
  <c r="WFN9" i="7"/>
  <c r="WFM9" i="7"/>
  <c r="WFL9" i="7"/>
  <c r="WFK9" i="7"/>
  <c r="WFJ9" i="7"/>
  <c r="WFI9" i="7"/>
  <c r="WFH9" i="7"/>
  <c r="WFG9" i="7"/>
  <c r="WFF9" i="7"/>
  <c r="WFE9" i="7"/>
  <c r="WFD9" i="7"/>
  <c r="WFC9" i="7"/>
  <c r="WFB9" i="7"/>
  <c r="WFA9" i="7"/>
  <c r="WEZ9" i="7"/>
  <c r="WEY9" i="7"/>
  <c r="WEX9" i="7"/>
  <c r="WEW9" i="7"/>
  <c r="WEV9" i="7"/>
  <c r="WEU9" i="7"/>
  <c r="WET9" i="7"/>
  <c r="WES9" i="7"/>
  <c r="WER9" i="7"/>
  <c r="WEQ9" i="7"/>
  <c r="WEP9" i="7"/>
  <c r="WEO9" i="7"/>
  <c r="WEN9" i="7"/>
  <c r="WEM9" i="7"/>
  <c r="WEL9" i="7"/>
  <c r="WEK9" i="7"/>
  <c r="WEJ9" i="7"/>
  <c r="WEI9" i="7"/>
  <c r="WEH9" i="7"/>
  <c r="WEG9" i="7"/>
  <c r="WEF9" i="7"/>
  <c r="WEE9" i="7"/>
  <c r="WED9" i="7"/>
  <c r="WEC9" i="7"/>
  <c r="WEB9" i="7"/>
  <c r="WEA9" i="7"/>
  <c r="WDZ9" i="7"/>
  <c r="WDY9" i="7"/>
  <c r="WDX9" i="7"/>
  <c r="WDW9" i="7"/>
  <c r="WDV9" i="7"/>
  <c r="WDU9" i="7"/>
  <c r="WDT9" i="7"/>
  <c r="WDS9" i="7"/>
  <c r="WDR9" i="7"/>
  <c r="WDQ9" i="7"/>
  <c r="WDP9" i="7"/>
  <c r="WDO9" i="7"/>
  <c r="WDN9" i="7"/>
  <c r="WDM9" i="7"/>
  <c r="WDL9" i="7"/>
  <c r="WDK9" i="7"/>
  <c r="WDJ9" i="7"/>
  <c r="WDI9" i="7"/>
  <c r="WDH9" i="7"/>
  <c r="WDG9" i="7"/>
  <c r="WDF9" i="7"/>
  <c r="WDE9" i="7"/>
  <c r="WDD9" i="7"/>
  <c r="WDC9" i="7"/>
  <c r="WDB9" i="7"/>
  <c r="WDA9" i="7"/>
  <c r="WCZ9" i="7"/>
  <c r="WCY9" i="7"/>
  <c r="WCX9" i="7"/>
  <c r="WCW9" i="7"/>
  <c r="WCV9" i="7"/>
  <c r="WCU9" i="7"/>
  <c r="WCT9" i="7"/>
  <c r="WCS9" i="7"/>
  <c r="WCR9" i="7"/>
  <c r="WCQ9" i="7"/>
  <c r="WCP9" i="7"/>
  <c r="WCO9" i="7"/>
  <c r="WCN9" i="7"/>
  <c r="WCM9" i="7"/>
  <c r="WCL9" i="7"/>
  <c r="WCK9" i="7"/>
  <c r="WCJ9" i="7"/>
  <c r="WCI9" i="7"/>
  <c r="WCH9" i="7"/>
  <c r="WCG9" i="7"/>
  <c r="WCF9" i="7"/>
  <c r="WCE9" i="7"/>
  <c r="WCD9" i="7"/>
  <c r="WCC9" i="7"/>
  <c r="WCB9" i="7"/>
  <c r="WCA9" i="7"/>
  <c r="WBZ9" i="7"/>
  <c r="WBY9" i="7"/>
  <c r="WBX9" i="7"/>
  <c r="WBW9" i="7"/>
  <c r="WBV9" i="7"/>
  <c r="WBU9" i="7"/>
  <c r="WBT9" i="7"/>
  <c r="WBS9" i="7"/>
  <c r="WBR9" i="7"/>
  <c r="WBQ9" i="7"/>
  <c r="WBP9" i="7"/>
  <c r="WBO9" i="7"/>
  <c r="WBN9" i="7"/>
  <c r="WBM9" i="7"/>
  <c r="WBL9" i="7"/>
  <c r="WBK9" i="7"/>
  <c r="WBJ9" i="7"/>
  <c r="WBI9" i="7"/>
  <c r="WBH9" i="7"/>
  <c r="WBG9" i="7"/>
  <c r="WBF9" i="7"/>
  <c r="WBE9" i="7"/>
  <c r="WBD9" i="7"/>
  <c r="WBC9" i="7"/>
  <c r="WBB9" i="7"/>
  <c r="WBA9" i="7"/>
  <c r="WAZ9" i="7"/>
  <c r="WAY9" i="7"/>
  <c r="WAX9" i="7"/>
  <c r="WAW9" i="7"/>
  <c r="WAV9" i="7"/>
  <c r="WAU9" i="7"/>
  <c r="WAT9" i="7"/>
  <c r="WAS9" i="7"/>
  <c r="WAR9" i="7"/>
  <c r="WAQ9" i="7"/>
  <c r="WAP9" i="7"/>
  <c r="WAO9" i="7"/>
  <c r="WAN9" i="7"/>
  <c r="WAM9" i="7"/>
  <c r="WAL9" i="7"/>
  <c r="WAK9" i="7"/>
  <c r="WAJ9" i="7"/>
  <c r="WAI9" i="7"/>
  <c r="WAH9" i="7"/>
  <c r="WAG9" i="7"/>
  <c r="WAF9" i="7"/>
  <c r="WAE9" i="7"/>
  <c r="WAD9" i="7"/>
  <c r="WAC9" i="7"/>
  <c r="WAB9" i="7"/>
  <c r="WAA9" i="7"/>
  <c r="VZZ9" i="7"/>
  <c r="VZY9" i="7"/>
  <c r="VZX9" i="7"/>
  <c r="VZW9" i="7"/>
  <c r="VZV9" i="7"/>
  <c r="VZU9" i="7"/>
  <c r="VZT9" i="7"/>
  <c r="VZS9" i="7"/>
  <c r="VZR9" i="7"/>
  <c r="VZQ9" i="7"/>
  <c r="VZP9" i="7"/>
  <c r="VZO9" i="7"/>
  <c r="VZN9" i="7"/>
  <c r="VZM9" i="7"/>
  <c r="VZL9" i="7"/>
  <c r="VZK9" i="7"/>
  <c r="VZJ9" i="7"/>
  <c r="VZI9" i="7"/>
  <c r="VZH9" i="7"/>
  <c r="VZG9" i="7"/>
  <c r="VZF9" i="7"/>
  <c r="VZE9" i="7"/>
  <c r="VZD9" i="7"/>
  <c r="VZC9" i="7"/>
  <c r="VZB9" i="7"/>
  <c r="VZA9" i="7"/>
  <c r="VYZ9" i="7"/>
  <c r="VYY9" i="7"/>
  <c r="VYX9" i="7"/>
  <c r="VYW9" i="7"/>
  <c r="VYV9" i="7"/>
  <c r="VYU9" i="7"/>
  <c r="VYT9" i="7"/>
  <c r="VYS9" i="7"/>
  <c r="VYR9" i="7"/>
  <c r="VYQ9" i="7"/>
  <c r="VYP9" i="7"/>
  <c r="VYO9" i="7"/>
  <c r="VYN9" i="7"/>
  <c r="VYM9" i="7"/>
  <c r="VYL9" i="7"/>
  <c r="VYK9" i="7"/>
  <c r="VYJ9" i="7"/>
  <c r="VYI9" i="7"/>
  <c r="VYH9" i="7"/>
  <c r="VYG9" i="7"/>
  <c r="VYF9" i="7"/>
  <c r="VYE9" i="7"/>
  <c r="VYD9" i="7"/>
  <c r="VYC9" i="7"/>
  <c r="VYB9" i="7"/>
  <c r="VYA9" i="7"/>
  <c r="VXZ9" i="7"/>
  <c r="VXY9" i="7"/>
  <c r="VXX9" i="7"/>
  <c r="VXW9" i="7"/>
  <c r="VXV9" i="7"/>
  <c r="VXU9" i="7"/>
  <c r="VXT9" i="7"/>
  <c r="VXS9" i="7"/>
  <c r="VXR9" i="7"/>
  <c r="VXQ9" i="7"/>
  <c r="VXP9" i="7"/>
  <c r="VXO9" i="7"/>
  <c r="VXN9" i="7"/>
  <c r="VXM9" i="7"/>
  <c r="VXL9" i="7"/>
  <c r="VXK9" i="7"/>
  <c r="VXJ9" i="7"/>
  <c r="VXI9" i="7"/>
  <c r="VXH9" i="7"/>
  <c r="VXG9" i="7"/>
  <c r="VXF9" i="7"/>
  <c r="VXE9" i="7"/>
  <c r="VXD9" i="7"/>
  <c r="VXC9" i="7"/>
  <c r="VXB9" i="7"/>
  <c r="VXA9" i="7"/>
  <c r="VWZ9" i="7"/>
  <c r="VWY9" i="7"/>
  <c r="VWX9" i="7"/>
  <c r="VWW9" i="7"/>
  <c r="VWV9" i="7"/>
  <c r="VWU9" i="7"/>
  <c r="VWT9" i="7"/>
  <c r="VWS9" i="7"/>
  <c r="VWR9" i="7"/>
  <c r="VWQ9" i="7"/>
  <c r="VWP9" i="7"/>
  <c r="VWO9" i="7"/>
  <c r="VWN9" i="7"/>
  <c r="VWM9" i="7"/>
  <c r="VWL9" i="7"/>
  <c r="VWK9" i="7"/>
  <c r="VWJ9" i="7"/>
  <c r="VWI9" i="7"/>
  <c r="VWH9" i="7"/>
  <c r="VWG9" i="7"/>
  <c r="VWF9" i="7"/>
  <c r="VWE9" i="7"/>
  <c r="VWD9" i="7"/>
  <c r="VWC9" i="7"/>
  <c r="VWB9" i="7"/>
  <c r="VWA9" i="7"/>
  <c r="VVZ9" i="7"/>
  <c r="VVY9" i="7"/>
  <c r="VVX9" i="7"/>
  <c r="VVW9" i="7"/>
  <c r="VVV9" i="7"/>
  <c r="VVU9" i="7"/>
  <c r="VVT9" i="7"/>
  <c r="VVS9" i="7"/>
  <c r="VVR9" i="7"/>
  <c r="VVQ9" i="7"/>
  <c r="VVP9" i="7"/>
  <c r="VVO9" i="7"/>
  <c r="VVN9" i="7"/>
  <c r="VVM9" i="7"/>
  <c r="VVL9" i="7"/>
  <c r="VVK9" i="7"/>
  <c r="VVJ9" i="7"/>
  <c r="VVI9" i="7"/>
  <c r="VVH9" i="7"/>
  <c r="VVG9" i="7"/>
  <c r="VVF9" i="7"/>
  <c r="VVE9" i="7"/>
  <c r="VVD9" i="7"/>
  <c r="VVC9" i="7"/>
  <c r="VVB9" i="7"/>
  <c r="VVA9" i="7"/>
  <c r="VUZ9" i="7"/>
  <c r="VUY9" i="7"/>
  <c r="VUX9" i="7"/>
  <c r="VUW9" i="7"/>
  <c r="VUV9" i="7"/>
  <c r="VUU9" i="7"/>
  <c r="VUT9" i="7"/>
  <c r="VUS9" i="7"/>
  <c r="VUR9" i="7"/>
  <c r="VUQ9" i="7"/>
  <c r="VUP9" i="7"/>
  <c r="VUO9" i="7"/>
  <c r="VUN9" i="7"/>
  <c r="VUM9" i="7"/>
  <c r="VUL9" i="7"/>
  <c r="VUK9" i="7"/>
  <c r="VUJ9" i="7"/>
  <c r="VUI9" i="7"/>
  <c r="VUH9" i="7"/>
  <c r="VUG9" i="7"/>
  <c r="VUF9" i="7"/>
  <c r="VUE9" i="7"/>
  <c r="VUD9" i="7"/>
  <c r="VUC9" i="7"/>
  <c r="VUB9" i="7"/>
  <c r="VUA9" i="7"/>
  <c r="VTZ9" i="7"/>
  <c r="VTY9" i="7"/>
  <c r="VTX9" i="7"/>
  <c r="VTW9" i="7"/>
  <c r="VTV9" i="7"/>
  <c r="VTU9" i="7"/>
  <c r="VTT9" i="7"/>
  <c r="VTS9" i="7"/>
  <c r="VTR9" i="7"/>
  <c r="VTQ9" i="7"/>
  <c r="VTP9" i="7"/>
  <c r="VTO9" i="7"/>
  <c r="VTN9" i="7"/>
  <c r="VTM9" i="7"/>
  <c r="VTL9" i="7"/>
  <c r="VTK9" i="7"/>
  <c r="VTJ9" i="7"/>
  <c r="VTI9" i="7"/>
  <c r="VTH9" i="7"/>
  <c r="VTG9" i="7"/>
  <c r="VTF9" i="7"/>
  <c r="VTE9" i="7"/>
  <c r="VTD9" i="7"/>
  <c r="VTC9" i="7"/>
  <c r="VTB9" i="7"/>
  <c r="VTA9" i="7"/>
  <c r="VSZ9" i="7"/>
  <c r="VSY9" i="7"/>
  <c r="VSX9" i="7"/>
  <c r="VSW9" i="7"/>
  <c r="VSV9" i="7"/>
  <c r="VSU9" i="7"/>
  <c r="VST9" i="7"/>
  <c r="VSS9" i="7"/>
  <c r="VSR9" i="7"/>
  <c r="VSQ9" i="7"/>
  <c r="VSP9" i="7"/>
  <c r="VSO9" i="7"/>
  <c r="VSN9" i="7"/>
  <c r="VSM9" i="7"/>
  <c r="VSL9" i="7"/>
  <c r="VSK9" i="7"/>
  <c r="VSJ9" i="7"/>
  <c r="VSI9" i="7"/>
  <c r="VSH9" i="7"/>
  <c r="VSG9" i="7"/>
  <c r="VSF9" i="7"/>
  <c r="VSE9" i="7"/>
  <c r="VSD9" i="7"/>
  <c r="VSC9" i="7"/>
  <c r="VSB9" i="7"/>
  <c r="VSA9" i="7"/>
  <c r="VRZ9" i="7"/>
  <c r="VRY9" i="7"/>
  <c r="VRX9" i="7"/>
  <c r="VRW9" i="7"/>
  <c r="VRV9" i="7"/>
  <c r="VRU9" i="7"/>
  <c r="VRT9" i="7"/>
  <c r="VRS9" i="7"/>
  <c r="VRR9" i="7"/>
  <c r="VRQ9" i="7"/>
  <c r="VRP9" i="7"/>
  <c r="VRO9" i="7"/>
  <c r="VRN9" i="7"/>
  <c r="VRM9" i="7"/>
  <c r="VRL9" i="7"/>
  <c r="VRK9" i="7"/>
  <c r="VRJ9" i="7"/>
  <c r="VRI9" i="7"/>
  <c r="VRH9" i="7"/>
  <c r="VRG9" i="7"/>
  <c r="VRF9" i="7"/>
  <c r="VRE9" i="7"/>
  <c r="VRD9" i="7"/>
  <c r="VRC9" i="7"/>
  <c r="VRB9" i="7"/>
  <c r="VRA9" i="7"/>
  <c r="VQZ9" i="7"/>
  <c r="VQY9" i="7"/>
  <c r="VQX9" i="7"/>
  <c r="VQW9" i="7"/>
  <c r="VQV9" i="7"/>
  <c r="VQU9" i="7"/>
  <c r="VQT9" i="7"/>
  <c r="VQS9" i="7"/>
  <c r="VQR9" i="7"/>
  <c r="VQQ9" i="7"/>
  <c r="VQP9" i="7"/>
  <c r="VQO9" i="7"/>
  <c r="VQN9" i="7"/>
  <c r="VQM9" i="7"/>
  <c r="VQL9" i="7"/>
  <c r="VQK9" i="7"/>
  <c r="VQJ9" i="7"/>
  <c r="VQI9" i="7"/>
  <c r="VQH9" i="7"/>
  <c r="VQG9" i="7"/>
  <c r="VQF9" i="7"/>
  <c r="VQE9" i="7"/>
  <c r="VQD9" i="7"/>
  <c r="VQC9" i="7"/>
  <c r="VQB9" i="7"/>
  <c r="VQA9" i="7"/>
  <c r="VPZ9" i="7"/>
  <c r="VPY9" i="7"/>
  <c r="VPX9" i="7"/>
  <c r="VPW9" i="7"/>
  <c r="VPV9" i="7"/>
  <c r="VPU9" i="7"/>
  <c r="VPT9" i="7"/>
  <c r="VPS9" i="7"/>
  <c r="VPR9" i="7"/>
  <c r="VPQ9" i="7"/>
  <c r="VPP9" i="7"/>
  <c r="VPO9" i="7"/>
  <c r="VPN9" i="7"/>
  <c r="VPM9" i="7"/>
  <c r="VPL9" i="7"/>
  <c r="VPK9" i="7"/>
  <c r="VPJ9" i="7"/>
  <c r="VPI9" i="7"/>
  <c r="VPH9" i="7"/>
  <c r="VPG9" i="7"/>
  <c r="VPF9" i="7"/>
  <c r="VPE9" i="7"/>
  <c r="VPD9" i="7"/>
  <c r="VPC9" i="7"/>
  <c r="VPB9" i="7"/>
  <c r="VPA9" i="7"/>
  <c r="VOZ9" i="7"/>
  <c r="VOY9" i="7"/>
  <c r="VOX9" i="7"/>
  <c r="VOW9" i="7"/>
  <c r="VOV9" i="7"/>
  <c r="VOU9" i="7"/>
  <c r="VOT9" i="7"/>
  <c r="VOS9" i="7"/>
  <c r="VOR9" i="7"/>
  <c r="VOQ9" i="7"/>
  <c r="VOP9" i="7"/>
  <c r="VOO9" i="7"/>
  <c r="VON9" i="7"/>
  <c r="VOM9" i="7"/>
  <c r="VOL9" i="7"/>
  <c r="VOK9" i="7"/>
  <c r="VOJ9" i="7"/>
  <c r="VOI9" i="7"/>
  <c r="VOH9" i="7"/>
  <c r="VOG9" i="7"/>
  <c r="VOF9" i="7"/>
  <c r="VOE9" i="7"/>
  <c r="VOD9" i="7"/>
  <c r="VOC9" i="7"/>
  <c r="VOB9" i="7"/>
  <c r="VOA9" i="7"/>
  <c r="VNZ9" i="7"/>
  <c r="VNY9" i="7"/>
  <c r="VNX9" i="7"/>
  <c r="VNW9" i="7"/>
  <c r="VNV9" i="7"/>
  <c r="VNU9" i="7"/>
  <c r="VNT9" i="7"/>
  <c r="VNS9" i="7"/>
  <c r="VNR9" i="7"/>
  <c r="VNQ9" i="7"/>
  <c r="VNP9" i="7"/>
  <c r="VNO9" i="7"/>
  <c r="VNN9" i="7"/>
  <c r="VNM9" i="7"/>
  <c r="VNL9" i="7"/>
  <c r="VNK9" i="7"/>
  <c r="VNJ9" i="7"/>
  <c r="VNI9" i="7"/>
  <c r="VNH9" i="7"/>
  <c r="VNG9" i="7"/>
  <c r="VNF9" i="7"/>
  <c r="VNE9" i="7"/>
  <c r="VND9" i="7"/>
  <c r="VNC9" i="7"/>
  <c r="VNB9" i="7"/>
  <c r="VNA9" i="7"/>
  <c r="VMZ9" i="7"/>
  <c r="VMY9" i="7"/>
  <c r="VMX9" i="7"/>
  <c r="VMW9" i="7"/>
  <c r="VMV9" i="7"/>
  <c r="VMU9" i="7"/>
  <c r="VMT9" i="7"/>
  <c r="VMS9" i="7"/>
  <c r="VMR9" i="7"/>
  <c r="VMQ9" i="7"/>
  <c r="VMP9" i="7"/>
  <c r="VMO9" i="7"/>
  <c r="VMN9" i="7"/>
  <c r="VMM9" i="7"/>
  <c r="VML9" i="7"/>
  <c r="VMK9" i="7"/>
  <c r="VMJ9" i="7"/>
  <c r="VMI9" i="7"/>
  <c r="VMH9" i="7"/>
  <c r="VMG9" i="7"/>
  <c r="VMF9" i="7"/>
  <c r="VME9" i="7"/>
  <c r="VMD9" i="7"/>
  <c r="VMC9" i="7"/>
  <c r="VMB9" i="7"/>
  <c r="VMA9" i="7"/>
  <c r="VLZ9" i="7"/>
  <c r="VLY9" i="7"/>
  <c r="VLX9" i="7"/>
  <c r="VLW9" i="7"/>
  <c r="VLV9" i="7"/>
  <c r="VLU9" i="7"/>
  <c r="VLT9" i="7"/>
  <c r="VLS9" i="7"/>
  <c r="VLR9" i="7"/>
  <c r="VLQ9" i="7"/>
  <c r="VLP9" i="7"/>
  <c r="VLO9" i="7"/>
  <c r="VLN9" i="7"/>
  <c r="VLM9" i="7"/>
  <c r="VLL9" i="7"/>
  <c r="VLK9" i="7"/>
  <c r="VLJ9" i="7"/>
  <c r="VLI9" i="7"/>
  <c r="VLH9" i="7"/>
  <c r="VLG9" i="7"/>
  <c r="VLF9" i="7"/>
  <c r="VLE9" i="7"/>
  <c r="VLD9" i="7"/>
  <c r="VLC9" i="7"/>
  <c r="VLB9" i="7"/>
  <c r="VLA9" i="7"/>
  <c r="VKZ9" i="7"/>
  <c r="VKY9" i="7"/>
  <c r="VKX9" i="7"/>
  <c r="VKW9" i="7"/>
  <c r="VKV9" i="7"/>
  <c r="VKU9" i="7"/>
  <c r="VKT9" i="7"/>
  <c r="VKS9" i="7"/>
  <c r="VKR9" i="7"/>
  <c r="VKQ9" i="7"/>
  <c r="VKP9" i="7"/>
  <c r="VKO9" i="7"/>
  <c r="VKN9" i="7"/>
  <c r="VKM9" i="7"/>
  <c r="VKL9" i="7"/>
  <c r="VKK9" i="7"/>
  <c r="VKJ9" i="7"/>
  <c r="VKI9" i="7"/>
  <c r="VKH9" i="7"/>
  <c r="VKG9" i="7"/>
  <c r="VKF9" i="7"/>
  <c r="VKE9" i="7"/>
  <c r="VKD9" i="7"/>
  <c r="VKC9" i="7"/>
  <c r="VKB9" i="7"/>
  <c r="VKA9" i="7"/>
  <c r="VJZ9" i="7"/>
  <c r="VJY9" i="7"/>
  <c r="VJX9" i="7"/>
  <c r="VJW9" i="7"/>
  <c r="VJV9" i="7"/>
  <c r="VJU9" i="7"/>
  <c r="VJT9" i="7"/>
  <c r="VJS9" i="7"/>
  <c r="VJR9" i="7"/>
  <c r="VJQ9" i="7"/>
  <c r="VJP9" i="7"/>
  <c r="VJO9" i="7"/>
  <c r="VJN9" i="7"/>
  <c r="VJM9" i="7"/>
  <c r="VJL9" i="7"/>
  <c r="VJK9" i="7"/>
  <c r="VJJ9" i="7"/>
  <c r="VJI9" i="7"/>
  <c r="VJH9" i="7"/>
  <c r="VJG9" i="7"/>
  <c r="VJF9" i="7"/>
  <c r="VJE9" i="7"/>
  <c r="VJD9" i="7"/>
  <c r="VJC9" i="7"/>
  <c r="VJB9" i="7"/>
  <c r="VJA9" i="7"/>
  <c r="VIZ9" i="7"/>
  <c r="VIY9" i="7"/>
  <c r="VIX9" i="7"/>
  <c r="VIW9" i="7"/>
  <c r="VIV9" i="7"/>
  <c r="VIU9" i="7"/>
  <c r="VIT9" i="7"/>
  <c r="VIS9" i="7"/>
  <c r="VIR9" i="7"/>
  <c r="VIQ9" i="7"/>
  <c r="VIP9" i="7"/>
  <c r="VIO9" i="7"/>
  <c r="VIN9" i="7"/>
  <c r="VIM9" i="7"/>
  <c r="VIL9" i="7"/>
  <c r="VIK9" i="7"/>
  <c r="VIJ9" i="7"/>
  <c r="VII9" i="7"/>
  <c r="VIH9" i="7"/>
  <c r="VIG9" i="7"/>
  <c r="VIF9" i="7"/>
  <c r="VIE9" i="7"/>
  <c r="VID9" i="7"/>
  <c r="VIC9" i="7"/>
  <c r="VIB9" i="7"/>
  <c r="VIA9" i="7"/>
  <c r="VHZ9" i="7"/>
  <c r="VHY9" i="7"/>
  <c r="VHX9" i="7"/>
  <c r="VHW9" i="7"/>
  <c r="VHV9" i="7"/>
  <c r="VHU9" i="7"/>
  <c r="VHT9" i="7"/>
  <c r="VHS9" i="7"/>
  <c r="VHR9" i="7"/>
  <c r="VHQ9" i="7"/>
  <c r="VHP9" i="7"/>
  <c r="VHO9" i="7"/>
  <c r="VHN9" i="7"/>
  <c r="VHM9" i="7"/>
  <c r="VHL9" i="7"/>
  <c r="VHK9" i="7"/>
  <c r="VHJ9" i="7"/>
  <c r="VHI9" i="7"/>
  <c r="VHH9" i="7"/>
  <c r="VHG9" i="7"/>
  <c r="VHF9" i="7"/>
  <c r="VHE9" i="7"/>
  <c r="VHD9" i="7"/>
  <c r="VHC9" i="7"/>
  <c r="VHB9" i="7"/>
  <c r="VHA9" i="7"/>
  <c r="VGZ9" i="7"/>
  <c r="VGY9" i="7"/>
  <c r="VGX9" i="7"/>
  <c r="VGW9" i="7"/>
  <c r="VGV9" i="7"/>
  <c r="VGU9" i="7"/>
  <c r="VGT9" i="7"/>
  <c r="VGS9" i="7"/>
  <c r="VGR9" i="7"/>
  <c r="VGQ9" i="7"/>
  <c r="VGP9" i="7"/>
  <c r="VGO9" i="7"/>
  <c r="VGN9" i="7"/>
  <c r="VGM9" i="7"/>
  <c r="VGL9" i="7"/>
  <c r="VGK9" i="7"/>
  <c r="VGJ9" i="7"/>
  <c r="VGI9" i="7"/>
  <c r="VGH9" i="7"/>
  <c r="VGG9" i="7"/>
  <c r="VGF9" i="7"/>
  <c r="VGE9" i="7"/>
  <c r="VGD9" i="7"/>
  <c r="VGC9" i="7"/>
  <c r="VGB9" i="7"/>
  <c r="VGA9" i="7"/>
  <c r="VFZ9" i="7"/>
  <c r="VFY9" i="7"/>
  <c r="VFX9" i="7"/>
  <c r="VFW9" i="7"/>
  <c r="VFV9" i="7"/>
  <c r="VFU9" i="7"/>
  <c r="VFT9" i="7"/>
  <c r="VFS9" i="7"/>
  <c r="VFR9" i="7"/>
  <c r="VFQ9" i="7"/>
  <c r="VFP9" i="7"/>
  <c r="VFO9" i="7"/>
  <c r="VFN9" i="7"/>
  <c r="VFM9" i="7"/>
  <c r="VFL9" i="7"/>
  <c r="VFK9" i="7"/>
  <c r="VFJ9" i="7"/>
  <c r="VFI9" i="7"/>
  <c r="VFH9" i="7"/>
  <c r="VFG9" i="7"/>
  <c r="VFF9" i="7"/>
  <c r="VFE9" i="7"/>
  <c r="VFD9" i="7"/>
  <c r="VFC9" i="7"/>
  <c r="VFB9" i="7"/>
  <c r="VFA9" i="7"/>
  <c r="VEZ9" i="7"/>
  <c r="VEY9" i="7"/>
  <c r="VEX9" i="7"/>
  <c r="VEW9" i="7"/>
  <c r="VEV9" i="7"/>
  <c r="VEU9" i="7"/>
  <c r="VET9" i="7"/>
  <c r="VES9" i="7"/>
  <c r="VER9" i="7"/>
  <c r="VEQ9" i="7"/>
  <c r="VEP9" i="7"/>
  <c r="VEO9" i="7"/>
  <c r="VEN9" i="7"/>
  <c r="VEM9" i="7"/>
  <c r="VEL9" i="7"/>
  <c r="VEK9" i="7"/>
  <c r="VEJ9" i="7"/>
  <c r="VEI9" i="7"/>
  <c r="VEH9" i="7"/>
  <c r="VEG9" i="7"/>
  <c r="VEF9" i="7"/>
  <c r="VEE9" i="7"/>
  <c r="VED9" i="7"/>
  <c r="VEC9" i="7"/>
  <c r="VEB9" i="7"/>
  <c r="VEA9" i="7"/>
  <c r="VDZ9" i="7"/>
  <c r="VDY9" i="7"/>
  <c r="VDX9" i="7"/>
  <c r="VDW9" i="7"/>
  <c r="VDV9" i="7"/>
  <c r="VDU9" i="7"/>
  <c r="VDT9" i="7"/>
  <c r="VDS9" i="7"/>
  <c r="VDR9" i="7"/>
  <c r="VDQ9" i="7"/>
  <c r="VDP9" i="7"/>
  <c r="VDO9" i="7"/>
  <c r="VDN9" i="7"/>
  <c r="VDM9" i="7"/>
  <c r="VDL9" i="7"/>
  <c r="VDK9" i="7"/>
  <c r="VDJ9" i="7"/>
  <c r="VDI9" i="7"/>
  <c r="VDH9" i="7"/>
  <c r="VDG9" i="7"/>
  <c r="VDF9" i="7"/>
  <c r="VDE9" i="7"/>
  <c r="VDD9" i="7"/>
  <c r="VDC9" i="7"/>
  <c r="VDB9" i="7"/>
  <c r="VDA9" i="7"/>
  <c r="VCZ9" i="7"/>
  <c r="VCY9" i="7"/>
  <c r="VCX9" i="7"/>
  <c r="VCW9" i="7"/>
  <c r="VCV9" i="7"/>
  <c r="VCU9" i="7"/>
  <c r="VCT9" i="7"/>
  <c r="VCS9" i="7"/>
  <c r="VCR9" i="7"/>
  <c r="VCQ9" i="7"/>
  <c r="VCP9" i="7"/>
  <c r="VCO9" i="7"/>
  <c r="VCN9" i="7"/>
  <c r="VCM9" i="7"/>
  <c r="VCL9" i="7"/>
  <c r="VCK9" i="7"/>
  <c r="VCJ9" i="7"/>
  <c r="VCI9" i="7"/>
  <c r="VCH9" i="7"/>
  <c r="VCG9" i="7"/>
  <c r="VCF9" i="7"/>
  <c r="VCE9" i="7"/>
  <c r="VCD9" i="7"/>
  <c r="VCC9" i="7"/>
  <c r="VCB9" i="7"/>
  <c r="VCA9" i="7"/>
  <c r="VBZ9" i="7"/>
  <c r="VBY9" i="7"/>
  <c r="VBX9" i="7"/>
  <c r="VBW9" i="7"/>
  <c r="VBV9" i="7"/>
  <c r="VBU9" i="7"/>
  <c r="VBT9" i="7"/>
  <c r="VBS9" i="7"/>
  <c r="VBR9" i="7"/>
  <c r="VBQ9" i="7"/>
  <c r="VBP9" i="7"/>
  <c r="VBO9" i="7"/>
  <c r="VBN9" i="7"/>
  <c r="VBM9" i="7"/>
  <c r="VBL9" i="7"/>
  <c r="VBK9" i="7"/>
  <c r="VBJ9" i="7"/>
  <c r="VBI9" i="7"/>
  <c r="VBH9" i="7"/>
  <c r="VBG9" i="7"/>
  <c r="VBF9" i="7"/>
  <c r="VBE9" i="7"/>
  <c r="VBD9" i="7"/>
  <c r="VBC9" i="7"/>
  <c r="VBB9" i="7"/>
  <c r="VBA9" i="7"/>
  <c r="VAZ9" i="7"/>
  <c r="VAY9" i="7"/>
  <c r="VAX9" i="7"/>
  <c r="VAW9" i="7"/>
  <c r="VAV9" i="7"/>
  <c r="VAU9" i="7"/>
  <c r="VAT9" i="7"/>
  <c r="VAS9" i="7"/>
  <c r="VAR9" i="7"/>
  <c r="VAQ9" i="7"/>
  <c r="VAP9" i="7"/>
  <c r="VAO9" i="7"/>
  <c r="VAN9" i="7"/>
  <c r="VAM9" i="7"/>
  <c r="VAL9" i="7"/>
  <c r="VAK9" i="7"/>
  <c r="VAJ9" i="7"/>
  <c r="VAI9" i="7"/>
  <c r="VAH9" i="7"/>
  <c r="VAG9" i="7"/>
  <c r="VAF9" i="7"/>
  <c r="VAE9" i="7"/>
  <c r="VAD9" i="7"/>
  <c r="VAC9" i="7"/>
  <c r="VAB9" i="7"/>
  <c r="VAA9" i="7"/>
  <c r="UZZ9" i="7"/>
  <c r="UZY9" i="7"/>
  <c r="UZX9" i="7"/>
  <c r="UZW9" i="7"/>
  <c r="UZV9" i="7"/>
  <c r="UZU9" i="7"/>
  <c r="UZT9" i="7"/>
  <c r="UZS9" i="7"/>
  <c r="UZR9" i="7"/>
  <c r="UZQ9" i="7"/>
  <c r="UZP9" i="7"/>
  <c r="UZO9" i="7"/>
  <c r="UZN9" i="7"/>
  <c r="UZM9" i="7"/>
  <c r="UZL9" i="7"/>
  <c r="UZK9" i="7"/>
  <c r="UZJ9" i="7"/>
  <c r="UZI9" i="7"/>
  <c r="UZH9" i="7"/>
  <c r="UZG9" i="7"/>
  <c r="UZF9" i="7"/>
  <c r="UZE9" i="7"/>
  <c r="UZD9" i="7"/>
  <c r="UZC9" i="7"/>
  <c r="UZB9" i="7"/>
  <c r="UZA9" i="7"/>
  <c r="UYZ9" i="7"/>
  <c r="UYY9" i="7"/>
  <c r="UYX9" i="7"/>
  <c r="UYW9" i="7"/>
  <c r="UYV9" i="7"/>
  <c r="UYU9" i="7"/>
  <c r="UYT9" i="7"/>
  <c r="UYS9" i="7"/>
  <c r="UYR9" i="7"/>
  <c r="UYQ9" i="7"/>
  <c r="UYP9" i="7"/>
  <c r="UYO9" i="7"/>
  <c r="UYN9" i="7"/>
  <c r="UYM9" i="7"/>
  <c r="UYL9" i="7"/>
  <c r="UYK9" i="7"/>
  <c r="UYJ9" i="7"/>
  <c r="UYI9" i="7"/>
  <c r="UYH9" i="7"/>
  <c r="UYG9" i="7"/>
  <c r="UYF9" i="7"/>
  <c r="UYE9" i="7"/>
  <c r="UYD9" i="7"/>
  <c r="UYC9" i="7"/>
  <c r="UYB9" i="7"/>
  <c r="UYA9" i="7"/>
  <c r="UXZ9" i="7"/>
  <c r="UXY9" i="7"/>
  <c r="UXX9" i="7"/>
  <c r="UXW9" i="7"/>
  <c r="UXV9" i="7"/>
  <c r="UXU9" i="7"/>
  <c r="UXT9" i="7"/>
  <c r="UXS9" i="7"/>
  <c r="UXR9" i="7"/>
  <c r="UXQ9" i="7"/>
  <c r="UXP9" i="7"/>
  <c r="UXO9" i="7"/>
  <c r="UXN9" i="7"/>
  <c r="UXM9" i="7"/>
  <c r="UXL9" i="7"/>
  <c r="UXK9" i="7"/>
  <c r="UXJ9" i="7"/>
  <c r="UXI9" i="7"/>
  <c r="UXH9" i="7"/>
  <c r="UXG9" i="7"/>
  <c r="UXF9" i="7"/>
  <c r="UXE9" i="7"/>
  <c r="UXD9" i="7"/>
  <c r="UXC9" i="7"/>
  <c r="UXB9" i="7"/>
  <c r="UXA9" i="7"/>
  <c r="UWZ9" i="7"/>
  <c r="UWY9" i="7"/>
  <c r="UWX9" i="7"/>
  <c r="UWW9" i="7"/>
  <c r="UWV9" i="7"/>
  <c r="UWU9" i="7"/>
  <c r="UWT9" i="7"/>
  <c r="UWS9" i="7"/>
  <c r="UWR9" i="7"/>
  <c r="UWQ9" i="7"/>
  <c r="UWP9" i="7"/>
  <c r="UWO9" i="7"/>
  <c r="UWN9" i="7"/>
  <c r="UWM9" i="7"/>
  <c r="UWL9" i="7"/>
  <c r="UWK9" i="7"/>
  <c r="UWJ9" i="7"/>
  <c r="UWI9" i="7"/>
  <c r="UWH9" i="7"/>
  <c r="UWG9" i="7"/>
  <c r="UWF9" i="7"/>
  <c r="UWE9" i="7"/>
  <c r="UWD9" i="7"/>
  <c r="UWC9" i="7"/>
  <c r="UWB9" i="7"/>
  <c r="UWA9" i="7"/>
  <c r="UVZ9" i="7"/>
  <c r="UVY9" i="7"/>
  <c r="UVX9" i="7"/>
  <c r="UVW9" i="7"/>
  <c r="UVV9" i="7"/>
  <c r="UVU9" i="7"/>
  <c r="UVT9" i="7"/>
  <c r="UVS9" i="7"/>
  <c r="UVR9" i="7"/>
  <c r="UVQ9" i="7"/>
  <c r="UVP9" i="7"/>
  <c r="UVO9" i="7"/>
  <c r="UVN9" i="7"/>
  <c r="UVM9" i="7"/>
  <c r="UVL9" i="7"/>
  <c r="UVK9" i="7"/>
  <c r="UVJ9" i="7"/>
  <c r="UVI9" i="7"/>
  <c r="UVH9" i="7"/>
  <c r="UVG9" i="7"/>
  <c r="UVF9" i="7"/>
  <c r="UVE9" i="7"/>
  <c r="UVD9" i="7"/>
  <c r="UVC9" i="7"/>
  <c r="UVB9" i="7"/>
  <c r="UVA9" i="7"/>
  <c r="UUZ9" i="7"/>
  <c r="UUY9" i="7"/>
  <c r="UUX9" i="7"/>
  <c r="UUW9" i="7"/>
  <c r="UUV9" i="7"/>
  <c r="UUU9" i="7"/>
  <c r="UUT9" i="7"/>
  <c r="UUS9" i="7"/>
  <c r="UUR9" i="7"/>
  <c r="UUQ9" i="7"/>
  <c r="UUP9" i="7"/>
  <c r="UUO9" i="7"/>
  <c r="UUN9" i="7"/>
  <c r="UUM9" i="7"/>
  <c r="UUL9" i="7"/>
  <c r="UUK9" i="7"/>
  <c r="UUJ9" i="7"/>
  <c r="UUI9" i="7"/>
  <c r="UUH9" i="7"/>
  <c r="UUG9" i="7"/>
  <c r="UUF9" i="7"/>
  <c r="UUE9" i="7"/>
  <c r="UUD9" i="7"/>
  <c r="UUC9" i="7"/>
  <c r="UUB9" i="7"/>
  <c r="UUA9" i="7"/>
  <c r="UTZ9" i="7"/>
  <c r="UTY9" i="7"/>
  <c r="UTX9" i="7"/>
  <c r="UTW9" i="7"/>
  <c r="UTV9" i="7"/>
  <c r="UTU9" i="7"/>
  <c r="UTT9" i="7"/>
  <c r="UTS9" i="7"/>
  <c r="UTR9" i="7"/>
  <c r="UTQ9" i="7"/>
  <c r="UTP9" i="7"/>
  <c r="UTO9" i="7"/>
  <c r="UTN9" i="7"/>
  <c r="UTM9" i="7"/>
  <c r="UTL9" i="7"/>
  <c r="UTK9" i="7"/>
  <c r="UTJ9" i="7"/>
  <c r="UTI9" i="7"/>
  <c r="UTH9" i="7"/>
  <c r="UTG9" i="7"/>
  <c r="UTF9" i="7"/>
  <c r="UTE9" i="7"/>
  <c r="UTD9" i="7"/>
  <c r="UTC9" i="7"/>
  <c r="UTB9" i="7"/>
  <c r="UTA9" i="7"/>
  <c r="USZ9" i="7"/>
  <c r="USY9" i="7"/>
  <c r="USX9" i="7"/>
  <c r="USW9" i="7"/>
  <c r="USV9" i="7"/>
  <c r="USU9" i="7"/>
  <c r="UST9" i="7"/>
  <c r="USS9" i="7"/>
  <c r="USR9" i="7"/>
  <c r="USQ9" i="7"/>
  <c r="USP9" i="7"/>
  <c r="USO9" i="7"/>
  <c r="USN9" i="7"/>
  <c r="USM9" i="7"/>
  <c r="USL9" i="7"/>
  <c r="USK9" i="7"/>
  <c r="USJ9" i="7"/>
  <c r="USI9" i="7"/>
  <c r="USH9" i="7"/>
  <c r="USG9" i="7"/>
  <c r="USF9" i="7"/>
  <c r="USE9" i="7"/>
  <c r="USD9" i="7"/>
  <c r="USC9" i="7"/>
  <c r="USB9" i="7"/>
  <c r="USA9" i="7"/>
  <c r="URZ9" i="7"/>
  <c r="URY9" i="7"/>
  <c r="URX9" i="7"/>
  <c r="URW9" i="7"/>
  <c r="URV9" i="7"/>
  <c r="URU9" i="7"/>
  <c r="URT9" i="7"/>
  <c r="URS9" i="7"/>
  <c r="URR9" i="7"/>
  <c r="URQ9" i="7"/>
  <c r="URP9" i="7"/>
  <c r="URO9" i="7"/>
  <c r="URN9" i="7"/>
  <c r="URM9" i="7"/>
  <c r="URL9" i="7"/>
  <c r="URK9" i="7"/>
  <c r="URJ9" i="7"/>
  <c r="URI9" i="7"/>
  <c r="URH9" i="7"/>
  <c r="URG9" i="7"/>
  <c r="URF9" i="7"/>
  <c r="URE9" i="7"/>
  <c r="URD9" i="7"/>
  <c r="URC9" i="7"/>
  <c r="URB9" i="7"/>
  <c r="URA9" i="7"/>
  <c r="UQZ9" i="7"/>
  <c r="UQY9" i="7"/>
  <c r="UQX9" i="7"/>
  <c r="UQW9" i="7"/>
  <c r="UQV9" i="7"/>
  <c r="UQU9" i="7"/>
  <c r="UQT9" i="7"/>
  <c r="UQS9" i="7"/>
  <c r="UQR9" i="7"/>
  <c r="UQQ9" i="7"/>
  <c r="UQP9" i="7"/>
  <c r="UQO9" i="7"/>
  <c r="UQN9" i="7"/>
  <c r="UQM9" i="7"/>
  <c r="UQL9" i="7"/>
  <c r="UQK9" i="7"/>
  <c r="UQJ9" i="7"/>
  <c r="UQI9" i="7"/>
  <c r="UQH9" i="7"/>
  <c r="UQG9" i="7"/>
  <c r="UQF9" i="7"/>
  <c r="UQE9" i="7"/>
  <c r="UQD9" i="7"/>
  <c r="UQC9" i="7"/>
  <c r="UQB9" i="7"/>
  <c r="UQA9" i="7"/>
  <c r="UPZ9" i="7"/>
  <c r="UPY9" i="7"/>
  <c r="UPX9" i="7"/>
  <c r="UPW9" i="7"/>
  <c r="UPV9" i="7"/>
  <c r="UPU9" i="7"/>
  <c r="UPT9" i="7"/>
  <c r="UPS9" i="7"/>
  <c r="UPR9" i="7"/>
  <c r="UPQ9" i="7"/>
  <c r="UPP9" i="7"/>
  <c r="UPO9" i="7"/>
  <c r="UPN9" i="7"/>
  <c r="UPM9" i="7"/>
  <c r="UPL9" i="7"/>
  <c r="UPK9" i="7"/>
  <c r="UPJ9" i="7"/>
  <c r="UPI9" i="7"/>
  <c r="UPH9" i="7"/>
  <c r="UPG9" i="7"/>
  <c r="UPF9" i="7"/>
  <c r="UPE9" i="7"/>
  <c r="UPD9" i="7"/>
  <c r="UPC9" i="7"/>
  <c r="UPB9" i="7"/>
  <c r="UPA9" i="7"/>
  <c r="UOZ9" i="7"/>
  <c r="UOY9" i="7"/>
  <c r="UOX9" i="7"/>
  <c r="UOW9" i="7"/>
  <c r="UOV9" i="7"/>
  <c r="UOU9" i="7"/>
  <c r="UOT9" i="7"/>
  <c r="UOS9" i="7"/>
  <c r="UOR9" i="7"/>
  <c r="UOQ9" i="7"/>
  <c r="UOP9" i="7"/>
  <c r="UOO9" i="7"/>
  <c r="UON9" i="7"/>
  <c r="UOM9" i="7"/>
  <c r="UOL9" i="7"/>
  <c r="UOK9" i="7"/>
  <c r="UOJ9" i="7"/>
  <c r="UOI9" i="7"/>
  <c r="UOH9" i="7"/>
  <c r="UOG9" i="7"/>
  <c r="UOF9" i="7"/>
  <c r="UOE9" i="7"/>
  <c r="UOD9" i="7"/>
  <c r="UOC9" i="7"/>
  <c r="UOB9" i="7"/>
  <c r="UOA9" i="7"/>
  <c r="UNZ9" i="7"/>
  <c r="UNY9" i="7"/>
  <c r="UNX9" i="7"/>
  <c r="UNW9" i="7"/>
  <c r="UNV9" i="7"/>
  <c r="UNU9" i="7"/>
  <c r="UNT9" i="7"/>
  <c r="UNS9" i="7"/>
  <c r="UNR9" i="7"/>
  <c r="UNQ9" i="7"/>
  <c r="UNP9" i="7"/>
  <c r="UNO9" i="7"/>
  <c r="UNN9" i="7"/>
  <c r="UNM9" i="7"/>
  <c r="UNL9" i="7"/>
  <c r="UNK9" i="7"/>
  <c r="UNJ9" i="7"/>
  <c r="UNI9" i="7"/>
  <c r="UNH9" i="7"/>
  <c r="UNG9" i="7"/>
  <c r="UNF9" i="7"/>
  <c r="UNE9" i="7"/>
  <c r="UND9" i="7"/>
  <c r="UNC9" i="7"/>
  <c r="UNB9" i="7"/>
  <c r="UNA9" i="7"/>
  <c r="UMZ9" i="7"/>
  <c r="UMY9" i="7"/>
  <c r="UMX9" i="7"/>
  <c r="UMW9" i="7"/>
  <c r="UMV9" i="7"/>
  <c r="UMU9" i="7"/>
  <c r="UMT9" i="7"/>
  <c r="UMS9" i="7"/>
  <c r="UMR9" i="7"/>
  <c r="UMQ9" i="7"/>
  <c r="UMP9" i="7"/>
  <c r="UMO9" i="7"/>
  <c r="UMN9" i="7"/>
  <c r="UMM9" i="7"/>
  <c r="UML9" i="7"/>
  <c r="UMK9" i="7"/>
  <c r="UMJ9" i="7"/>
  <c r="UMI9" i="7"/>
  <c r="UMH9" i="7"/>
  <c r="UMG9" i="7"/>
  <c r="UMF9" i="7"/>
  <c r="UME9" i="7"/>
  <c r="UMD9" i="7"/>
  <c r="UMC9" i="7"/>
  <c r="UMB9" i="7"/>
  <c r="UMA9" i="7"/>
  <c r="ULZ9" i="7"/>
  <c r="ULY9" i="7"/>
  <c r="ULX9" i="7"/>
  <c r="ULW9" i="7"/>
  <c r="ULV9" i="7"/>
  <c r="ULU9" i="7"/>
  <c r="ULT9" i="7"/>
  <c r="ULS9" i="7"/>
  <c r="ULR9" i="7"/>
  <c r="ULQ9" i="7"/>
  <c r="ULP9" i="7"/>
  <c r="ULO9" i="7"/>
  <c r="ULN9" i="7"/>
  <c r="ULM9" i="7"/>
  <c r="ULL9" i="7"/>
  <c r="ULK9" i="7"/>
  <c r="ULJ9" i="7"/>
  <c r="ULI9" i="7"/>
  <c r="ULH9" i="7"/>
  <c r="ULG9" i="7"/>
  <c r="ULF9" i="7"/>
  <c r="ULE9" i="7"/>
  <c r="ULD9" i="7"/>
  <c r="ULC9" i="7"/>
  <c r="ULB9" i="7"/>
  <c r="ULA9" i="7"/>
  <c r="UKZ9" i="7"/>
  <c r="UKY9" i="7"/>
  <c r="UKX9" i="7"/>
  <c r="UKW9" i="7"/>
  <c r="UKV9" i="7"/>
  <c r="UKU9" i="7"/>
  <c r="UKT9" i="7"/>
  <c r="UKS9" i="7"/>
  <c r="UKR9" i="7"/>
  <c r="UKQ9" i="7"/>
  <c r="UKP9" i="7"/>
  <c r="UKO9" i="7"/>
  <c r="UKN9" i="7"/>
  <c r="UKM9" i="7"/>
  <c r="UKL9" i="7"/>
  <c r="UKK9" i="7"/>
  <c r="UKJ9" i="7"/>
  <c r="UKI9" i="7"/>
  <c r="UKH9" i="7"/>
  <c r="UKG9" i="7"/>
  <c r="UKF9" i="7"/>
  <c r="UKE9" i="7"/>
  <c r="UKD9" i="7"/>
  <c r="UKC9" i="7"/>
  <c r="UKB9" i="7"/>
  <c r="UKA9" i="7"/>
  <c r="UJZ9" i="7"/>
  <c r="UJY9" i="7"/>
  <c r="UJX9" i="7"/>
  <c r="UJW9" i="7"/>
  <c r="UJV9" i="7"/>
  <c r="UJU9" i="7"/>
  <c r="UJT9" i="7"/>
  <c r="UJS9" i="7"/>
  <c r="UJR9" i="7"/>
  <c r="UJQ9" i="7"/>
  <c r="UJP9" i="7"/>
  <c r="UJO9" i="7"/>
  <c r="UJN9" i="7"/>
  <c r="UJM9" i="7"/>
  <c r="UJL9" i="7"/>
  <c r="UJK9" i="7"/>
  <c r="UJJ9" i="7"/>
  <c r="UJI9" i="7"/>
  <c r="UJH9" i="7"/>
  <c r="UJG9" i="7"/>
  <c r="UJF9" i="7"/>
  <c r="UJE9" i="7"/>
  <c r="UJD9" i="7"/>
  <c r="UJC9" i="7"/>
  <c r="UJB9" i="7"/>
  <c r="UJA9" i="7"/>
  <c r="UIZ9" i="7"/>
  <c r="UIY9" i="7"/>
  <c r="UIX9" i="7"/>
  <c r="UIW9" i="7"/>
  <c r="UIV9" i="7"/>
  <c r="UIU9" i="7"/>
  <c r="UIT9" i="7"/>
  <c r="UIS9" i="7"/>
  <c r="UIR9" i="7"/>
  <c r="UIQ9" i="7"/>
  <c r="UIP9" i="7"/>
  <c r="UIO9" i="7"/>
  <c r="UIN9" i="7"/>
  <c r="UIM9" i="7"/>
  <c r="UIL9" i="7"/>
  <c r="UIK9" i="7"/>
  <c r="UIJ9" i="7"/>
  <c r="UII9" i="7"/>
  <c r="UIH9" i="7"/>
  <c r="UIG9" i="7"/>
  <c r="UIF9" i="7"/>
  <c r="UIE9" i="7"/>
  <c r="UID9" i="7"/>
  <c r="UIC9" i="7"/>
  <c r="UIB9" i="7"/>
  <c r="UIA9" i="7"/>
  <c r="UHZ9" i="7"/>
  <c r="UHY9" i="7"/>
  <c r="UHX9" i="7"/>
  <c r="UHW9" i="7"/>
  <c r="UHV9" i="7"/>
  <c r="UHU9" i="7"/>
  <c r="UHT9" i="7"/>
  <c r="UHS9" i="7"/>
  <c r="UHR9" i="7"/>
  <c r="UHQ9" i="7"/>
  <c r="UHP9" i="7"/>
  <c r="UHO9" i="7"/>
  <c r="UHN9" i="7"/>
  <c r="UHM9" i="7"/>
  <c r="UHL9" i="7"/>
  <c r="UHK9" i="7"/>
  <c r="UHJ9" i="7"/>
  <c r="UHI9" i="7"/>
  <c r="UHH9" i="7"/>
  <c r="UHG9" i="7"/>
  <c r="UHF9" i="7"/>
  <c r="UHE9" i="7"/>
  <c r="UHD9" i="7"/>
  <c r="UHC9" i="7"/>
  <c r="UHB9" i="7"/>
  <c r="UHA9" i="7"/>
  <c r="UGZ9" i="7"/>
  <c r="UGY9" i="7"/>
  <c r="UGX9" i="7"/>
  <c r="UGW9" i="7"/>
  <c r="UGV9" i="7"/>
  <c r="UGU9" i="7"/>
  <c r="UGT9" i="7"/>
  <c r="UGS9" i="7"/>
  <c r="UGR9" i="7"/>
  <c r="UGQ9" i="7"/>
  <c r="UGP9" i="7"/>
  <c r="UGO9" i="7"/>
  <c r="UGN9" i="7"/>
  <c r="UGM9" i="7"/>
  <c r="UGL9" i="7"/>
  <c r="UGK9" i="7"/>
  <c r="UGJ9" i="7"/>
  <c r="UGI9" i="7"/>
  <c r="UGH9" i="7"/>
  <c r="UGG9" i="7"/>
  <c r="UGF9" i="7"/>
  <c r="UGE9" i="7"/>
  <c r="UGD9" i="7"/>
  <c r="UGC9" i="7"/>
  <c r="UGB9" i="7"/>
  <c r="UGA9" i="7"/>
  <c r="UFZ9" i="7"/>
  <c r="UFY9" i="7"/>
  <c r="UFX9" i="7"/>
  <c r="UFW9" i="7"/>
  <c r="UFV9" i="7"/>
  <c r="UFU9" i="7"/>
  <c r="UFT9" i="7"/>
  <c r="UFS9" i="7"/>
  <c r="UFR9" i="7"/>
  <c r="UFQ9" i="7"/>
  <c r="UFP9" i="7"/>
  <c r="UFO9" i="7"/>
  <c r="UFN9" i="7"/>
  <c r="UFM9" i="7"/>
  <c r="UFL9" i="7"/>
  <c r="UFK9" i="7"/>
  <c r="UFJ9" i="7"/>
  <c r="UFI9" i="7"/>
  <c r="UFH9" i="7"/>
  <c r="UFG9" i="7"/>
  <c r="UFF9" i="7"/>
  <c r="UFE9" i="7"/>
  <c r="UFD9" i="7"/>
  <c r="UFC9" i="7"/>
  <c r="UFB9" i="7"/>
  <c r="UFA9" i="7"/>
  <c r="UEZ9" i="7"/>
  <c r="UEY9" i="7"/>
  <c r="UEX9" i="7"/>
  <c r="UEW9" i="7"/>
  <c r="UEV9" i="7"/>
  <c r="UEU9" i="7"/>
  <c r="UET9" i="7"/>
  <c r="UES9" i="7"/>
  <c r="UER9" i="7"/>
  <c r="UEQ9" i="7"/>
  <c r="UEP9" i="7"/>
  <c r="UEO9" i="7"/>
  <c r="UEN9" i="7"/>
  <c r="UEM9" i="7"/>
  <c r="UEL9" i="7"/>
  <c r="UEK9" i="7"/>
  <c r="UEJ9" i="7"/>
  <c r="UEI9" i="7"/>
  <c r="UEH9" i="7"/>
  <c r="UEG9" i="7"/>
  <c r="UEF9" i="7"/>
  <c r="UEE9" i="7"/>
  <c r="UED9" i="7"/>
  <c r="UEC9" i="7"/>
  <c r="UEB9" i="7"/>
  <c r="UEA9" i="7"/>
  <c r="UDZ9" i="7"/>
  <c r="UDY9" i="7"/>
  <c r="UDX9" i="7"/>
  <c r="UDW9" i="7"/>
  <c r="UDV9" i="7"/>
  <c r="UDU9" i="7"/>
  <c r="UDT9" i="7"/>
  <c r="UDS9" i="7"/>
  <c r="UDR9" i="7"/>
  <c r="UDQ9" i="7"/>
  <c r="UDP9" i="7"/>
  <c r="UDO9" i="7"/>
  <c r="UDN9" i="7"/>
  <c r="UDM9" i="7"/>
  <c r="UDL9" i="7"/>
  <c r="UDK9" i="7"/>
  <c r="UDJ9" i="7"/>
  <c r="UDI9" i="7"/>
  <c r="UDH9" i="7"/>
  <c r="UDG9" i="7"/>
  <c r="UDF9" i="7"/>
  <c r="UDE9" i="7"/>
  <c r="UDD9" i="7"/>
  <c r="UDC9" i="7"/>
  <c r="UDB9" i="7"/>
  <c r="UDA9" i="7"/>
  <c r="UCZ9" i="7"/>
  <c r="UCY9" i="7"/>
  <c r="UCX9" i="7"/>
  <c r="UCW9" i="7"/>
  <c r="UCV9" i="7"/>
  <c r="UCU9" i="7"/>
  <c r="UCT9" i="7"/>
  <c r="UCS9" i="7"/>
  <c r="UCR9" i="7"/>
  <c r="UCQ9" i="7"/>
  <c r="UCP9" i="7"/>
  <c r="UCO9" i="7"/>
  <c r="UCN9" i="7"/>
  <c r="UCM9" i="7"/>
  <c r="UCL9" i="7"/>
  <c r="UCK9" i="7"/>
  <c r="UCJ9" i="7"/>
  <c r="UCI9" i="7"/>
  <c r="UCH9" i="7"/>
  <c r="UCG9" i="7"/>
  <c r="UCF9" i="7"/>
  <c r="UCE9" i="7"/>
  <c r="UCD9" i="7"/>
  <c r="UCC9" i="7"/>
  <c r="UCB9" i="7"/>
  <c r="UCA9" i="7"/>
  <c r="UBZ9" i="7"/>
  <c r="UBY9" i="7"/>
  <c r="UBX9" i="7"/>
  <c r="UBW9" i="7"/>
  <c r="UBV9" i="7"/>
  <c r="UBU9" i="7"/>
  <c r="UBT9" i="7"/>
  <c r="UBS9" i="7"/>
  <c r="UBR9" i="7"/>
  <c r="UBQ9" i="7"/>
  <c r="UBP9" i="7"/>
  <c r="UBO9" i="7"/>
  <c r="UBN9" i="7"/>
  <c r="UBM9" i="7"/>
  <c r="UBL9" i="7"/>
  <c r="UBK9" i="7"/>
  <c r="UBJ9" i="7"/>
  <c r="UBI9" i="7"/>
  <c r="UBH9" i="7"/>
  <c r="UBG9" i="7"/>
  <c r="UBF9" i="7"/>
  <c r="UBE9" i="7"/>
  <c r="UBD9" i="7"/>
  <c r="UBC9" i="7"/>
  <c r="UBB9" i="7"/>
  <c r="UBA9" i="7"/>
  <c r="UAZ9" i="7"/>
  <c r="UAY9" i="7"/>
  <c r="UAX9" i="7"/>
  <c r="UAW9" i="7"/>
  <c r="UAV9" i="7"/>
  <c r="UAU9" i="7"/>
  <c r="UAT9" i="7"/>
  <c r="UAS9" i="7"/>
  <c r="UAR9" i="7"/>
  <c r="UAQ9" i="7"/>
  <c r="UAP9" i="7"/>
  <c r="UAO9" i="7"/>
  <c r="UAN9" i="7"/>
  <c r="UAM9" i="7"/>
  <c r="UAL9" i="7"/>
  <c r="UAK9" i="7"/>
  <c r="UAJ9" i="7"/>
  <c r="UAI9" i="7"/>
  <c r="UAH9" i="7"/>
  <c r="UAG9" i="7"/>
  <c r="UAF9" i="7"/>
  <c r="UAE9" i="7"/>
  <c r="UAD9" i="7"/>
  <c r="UAC9" i="7"/>
  <c r="UAB9" i="7"/>
  <c r="UAA9" i="7"/>
  <c r="TZZ9" i="7"/>
  <c r="TZY9" i="7"/>
  <c r="TZX9" i="7"/>
  <c r="TZW9" i="7"/>
  <c r="TZV9" i="7"/>
  <c r="TZU9" i="7"/>
  <c r="TZT9" i="7"/>
  <c r="TZS9" i="7"/>
  <c r="TZR9" i="7"/>
  <c r="TZQ9" i="7"/>
  <c r="TZP9" i="7"/>
  <c r="TZO9" i="7"/>
  <c r="TZN9" i="7"/>
  <c r="TZM9" i="7"/>
  <c r="TZL9" i="7"/>
  <c r="TZK9" i="7"/>
  <c r="TZJ9" i="7"/>
  <c r="TZI9" i="7"/>
  <c r="TZH9" i="7"/>
  <c r="TZG9" i="7"/>
  <c r="TZF9" i="7"/>
  <c r="TZE9" i="7"/>
  <c r="TZD9" i="7"/>
  <c r="TZC9" i="7"/>
  <c r="TZB9" i="7"/>
  <c r="TZA9" i="7"/>
  <c r="TYZ9" i="7"/>
  <c r="TYY9" i="7"/>
  <c r="TYX9" i="7"/>
  <c r="TYW9" i="7"/>
  <c r="TYV9" i="7"/>
  <c r="TYU9" i="7"/>
  <c r="TYT9" i="7"/>
  <c r="TYS9" i="7"/>
  <c r="TYR9" i="7"/>
  <c r="TYQ9" i="7"/>
  <c r="TYP9" i="7"/>
  <c r="TYO9" i="7"/>
  <c r="TYN9" i="7"/>
  <c r="TYM9" i="7"/>
  <c r="TYL9" i="7"/>
  <c r="TYK9" i="7"/>
  <c r="TYJ9" i="7"/>
  <c r="TYI9" i="7"/>
  <c r="TYH9" i="7"/>
  <c r="TYG9" i="7"/>
  <c r="TYF9" i="7"/>
  <c r="TYE9" i="7"/>
  <c r="TYD9" i="7"/>
  <c r="TYC9" i="7"/>
  <c r="TYB9" i="7"/>
  <c r="TYA9" i="7"/>
  <c r="TXZ9" i="7"/>
  <c r="TXY9" i="7"/>
  <c r="TXX9" i="7"/>
  <c r="TXW9" i="7"/>
  <c r="TXV9" i="7"/>
  <c r="TXU9" i="7"/>
  <c r="TXT9" i="7"/>
  <c r="TXS9" i="7"/>
  <c r="TXR9" i="7"/>
  <c r="TXQ9" i="7"/>
  <c r="TXP9" i="7"/>
  <c r="TXO9" i="7"/>
  <c r="TXN9" i="7"/>
  <c r="TXM9" i="7"/>
  <c r="TXL9" i="7"/>
  <c r="TXK9" i="7"/>
  <c r="TXJ9" i="7"/>
  <c r="TXI9" i="7"/>
  <c r="TXH9" i="7"/>
  <c r="TXG9" i="7"/>
  <c r="TXF9" i="7"/>
  <c r="TXE9" i="7"/>
  <c r="TXD9" i="7"/>
  <c r="TXC9" i="7"/>
  <c r="TXB9" i="7"/>
  <c r="TXA9" i="7"/>
  <c r="TWZ9" i="7"/>
  <c r="TWY9" i="7"/>
  <c r="TWX9" i="7"/>
  <c r="TWW9" i="7"/>
  <c r="TWV9" i="7"/>
  <c r="TWU9" i="7"/>
  <c r="TWT9" i="7"/>
  <c r="TWS9" i="7"/>
  <c r="TWR9" i="7"/>
  <c r="TWQ9" i="7"/>
  <c r="TWP9" i="7"/>
  <c r="TWO9" i="7"/>
  <c r="TWN9" i="7"/>
  <c r="TWM9" i="7"/>
  <c r="TWL9" i="7"/>
  <c r="TWK9" i="7"/>
  <c r="TWJ9" i="7"/>
  <c r="TWI9" i="7"/>
  <c r="TWH9" i="7"/>
  <c r="TWG9" i="7"/>
  <c r="TWF9" i="7"/>
  <c r="TWE9" i="7"/>
  <c r="TWD9" i="7"/>
  <c r="TWC9" i="7"/>
  <c r="TWB9" i="7"/>
  <c r="TWA9" i="7"/>
  <c r="TVZ9" i="7"/>
  <c r="TVY9" i="7"/>
  <c r="TVX9" i="7"/>
  <c r="TVW9" i="7"/>
  <c r="TVV9" i="7"/>
  <c r="TVU9" i="7"/>
  <c r="TVT9" i="7"/>
  <c r="TVS9" i="7"/>
  <c r="TVR9" i="7"/>
  <c r="TVQ9" i="7"/>
  <c r="TVP9" i="7"/>
  <c r="TVO9" i="7"/>
  <c r="TVN9" i="7"/>
  <c r="TVM9" i="7"/>
  <c r="TVL9" i="7"/>
  <c r="TVK9" i="7"/>
  <c r="TVJ9" i="7"/>
  <c r="TVI9" i="7"/>
  <c r="TVH9" i="7"/>
  <c r="TVG9" i="7"/>
  <c r="TVF9" i="7"/>
  <c r="TVE9" i="7"/>
  <c r="TVD9" i="7"/>
  <c r="TVC9" i="7"/>
  <c r="TVB9" i="7"/>
  <c r="TVA9" i="7"/>
  <c r="TUZ9" i="7"/>
  <c r="TUY9" i="7"/>
  <c r="TUX9" i="7"/>
  <c r="TUW9" i="7"/>
  <c r="TUV9" i="7"/>
  <c r="TUU9" i="7"/>
  <c r="TUT9" i="7"/>
  <c r="TUS9" i="7"/>
  <c r="TUR9" i="7"/>
  <c r="TUQ9" i="7"/>
  <c r="TUP9" i="7"/>
  <c r="TUO9" i="7"/>
  <c r="TUN9" i="7"/>
  <c r="TUM9" i="7"/>
  <c r="TUL9" i="7"/>
  <c r="TUK9" i="7"/>
  <c r="TUJ9" i="7"/>
  <c r="TUI9" i="7"/>
  <c r="TUH9" i="7"/>
  <c r="TUG9" i="7"/>
  <c r="TUF9" i="7"/>
  <c r="TUE9" i="7"/>
  <c r="TUD9" i="7"/>
  <c r="TUC9" i="7"/>
  <c r="TUB9" i="7"/>
  <c r="TUA9" i="7"/>
  <c r="TTZ9" i="7"/>
  <c r="TTY9" i="7"/>
  <c r="TTX9" i="7"/>
  <c r="TTW9" i="7"/>
  <c r="TTV9" i="7"/>
  <c r="TTU9" i="7"/>
  <c r="TTT9" i="7"/>
  <c r="TTS9" i="7"/>
  <c r="TTR9" i="7"/>
  <c r="TTQ9" i="7"/>
  <c r="TTP9" i="7"/>
  <c r="TTO9" i="7"/>
  <c r="TTN9" i="7"/>
  <c r="TTM9" i="7"/>
  <c r="TTL9" i="7"/>
  <c r="TTK9" i="7"/>
  <c r="TTJ9" i="7"/>
  <c r="TTI9" i="7"/>
  <c r="TTH9" i="7"/>
  <c r="TTG9" i="7"/>
  <c r="TTF9" i="7"/>
  <c r="TTE9" i="7"/>
  <c r="TTD9" i="7"/>
  <c r="TTC9" i="7"/>
  <c r="TTB9" i="7"/>
  <c r="TTA9" i="7"/>
  <c r="TSZ9" i="7"/>
  <c r="TSY9" i="7"/>
  <c r="TSX9" i="7"/>
  <c r="TSW9" i="7"/>
  <c r="TSV9" i="7"/>
  <c r="TSU9" i="7"/>
  <c r="TST9" i="7"/>
  <c r="TSS9" i="7"/>
  <c r="TSR9" i="7"/>
  <c r="TSQ9" i="7"/>
  <c r="TSP9" i="7"/>
  <c r="TSO9" i="7"/>
  <c r="TSN9" i="7"/>
  <c r="TSM9" i="7"/>
  <c r="TSL9" i="7"/>
  <c r="TSK9" i="7"/>
  <c r="TSJ9" i="7"/>
  <c r="TSI9" i="7"/>
  <c r="TSH9" i="7"/>
  <c r="TSG9" i="7"/>
  <c r="TSF9" i="7"/>
  <c r="TSE9" i="7"/>
  <c r="TSD9" i="7"/>
  <c r="TSC9" i="7"/>
  <c r="TSB9" i="7"/>
  <c r="TSA9" i="7"/>
  <c r="TRX9" i="7"/>
  <c r="TRW9" i="7"/>
  <c r="TRV9" i="7"/>
  <c r="TRU9" i="7"/>
  <c r="TRT9" i="7"/>
  <c r="TRS9" i="7"/>
  <c r="TRR9" i="7"/>
  <c r="TRQ9" i="7"/>
  <c r="TRP9" i="7"/>
  <c r="TRO9" i="7"/>
  <c r="TRN9" i="7"/>
  <c r="TRM9" i="7"/>
  <c r="TRL9" i="7"/>
  <c r="TRK9" i="7"/>
  <c r="TRJ9" i="7"/>
  <c r="TRI9" i="7"/>
  <c r="TRH9" i="7"/>
  <c r="TRG9" i="7"/>
  <c r="TRF9" i="7"/>
  <c r="TRE9" i="7"/>
  <c r="TRD9" i="7"/>
  <c r="TRC9" i="7"/>
  <c r="TRB9" i="7"/>
  <c r="TRA9" i="7"/>
  <c r="TQZ9" i="7"/>
  <c r="TQY9" i="7"/>
  <c r="TQX9" i="7"/>
  <c r="TQW9" i="7"/>
  <c r="TQV9" i="7"/>
  <c r="TQU9" i="7"/>
  <c r="TQT9" i="7"/>
  <c r="TQS9" i="7"/>
  <c r="TQR9" i="7"/>
  <c r="TQQ9" i="7"/>
  <c r="TQP9" i="7"/>
  <c r="TQO9" i="7"/>
  <c r="TQN9" i="7"/>
  <c r="TQM9" i="7"/>
  <c r="TQL9" i="7"/>
  <c r="TQK9" i="7"/>
  <c r="TQJ9" i="7"/>
  <c r="TQI9" i="7"/>
  <c r="TQH9" i="7"/>
  <c r="TQG9" i="7"/>
  <c r="TQF9" i="7"/>
  <c r="TQE9" i="7"/>
  <c r="TQD9" i="7"/>
  <c r="TQC9" i="7"/>
  <c r="TQB9" i="7"/>
  <c r="TQA9" i="7"/>
  <c r="TPZ9" i="7"/>
  <c r="TPY9" i="7"/>
  <c r="TPX9" i="7"/>
  <c r="TPW9" i="7"/>
  <c r="TPV9" i="7"/>
  <c r="TPU9" i="7"/>
  <c r="TPT9" i="7"/>
  <c r="TPS9" i="7"/>
  <c r="TPR9" i="7"/>
  <c r="TPQ9" i="7"/>
  <c r="TPP9" i="7"/>
  <c r="TPO9" i="7"/>
  <c r="TPN9" i="7"/>
  <c r="TPM9" i="7"/>
  <c r="TPL9" i="7"/>
  <c r="TPK9" i="7"/>
  <c r="TPJ9" i="7"/>
  <c r="TPI9" i="7"/>
  <c r="TPH9" i="7"/>
  <c r="TPG9" i="7"/>
  <c r="TPF9" i="7"/>
  <c r="TPE9" i="7"/>
  <c r="TPD9" i="7"/>
  <c r="TPC9" i="7"/>
  <c r="TPB9" i="7"/>
  <c r="TPA9" i="7"/>
  <c r="TOZ9" i="7"/>
  <c r="TOY9" i="7"/>
  <c r="TOX9" i="7"/>
  <c r="TOW9" i="7"/>
  <c r="TOV9" i="7"/>
  <c r="TOU9" i="7"/>
  <c r="TOT9" i="7"/>
  <c r="TOS9" i="7"/>
  <c r="TOR9" i="7"/>
  <c r="TOQ9" i="7"/>
  <c r="TOP9" i="7"/>
  <c r="TOO9" i="7"/>
  <c r="TON9" i="7"/>
  <c r="TOM9" i="7"/>
  <c r="TOL9" i="7"/>
  <c r="TOK9" i="7"/>
  <c r="TOJ9" i="7"/>
  <c r="TOI9" i="7"/>
  <c r="TOH9" i="7"/>
  <c r="TOG9" i="7"/>
  <c r="TOF9" i="7"/>
  <c r="TOE9" i="7"/>
  <c r="TOD9" i="7"/>
  <c r="TOC9" i="7"/>
  <c r="TOB9" i="7"/>
  <c r="TOA9" i="7"/>
  <c r="TNZ9" i="7"/>
  <c r="TNY9" i="7"/>
  <c r="TNX9" i="7"/>
  <c r="TNW9" i="7"/>
  <c r="TNV9" i="7"/>
  <c r="TNU9" i="7"/>
  <c r="TNT9" i="7"/>
  <c r="TNS9" i="7"/>
  <c r="TNR9" i="7"/>
  <c r="TNQ9" i="7"/>
  <c r="TNP9" i="7"/>
  <c r="TNO9" i="7"/>
  <c r="TNN9" i="7"/>
  <c r="TNM9" i="7"/>
  <c r="TNL9" i="7"/>
  <c r="TNK9" i="7"/>
  <c r="TNJ9" i="7"/>
  <c r="TNI9" i="7"/>
  <c r="TNH9" i="7"/>
  <c r="TNG9" i="7"/>
  <c r="TNF9" i="7"/>
  <c r="TNE9" i="7"/>
  <c r="TND9" i="7"/>
  <c r="TNC9" i="7"/>
  <c r="TNB9" i="7"/>
  <c r="TNA9" i="7"/>
  <c r="TMZ9" i="7"/>
  <c r="TMY9" i="7"/>
  <c r="TMX9" i="7"/>
  <c r="TMW9" i="7"/>
  <c r="TMV9" i="7"/>
  <c r="TMU9" i="7"/>
  <c r="TMT9" i="7"/>
  <c r="TMS9" i="7"/>
  <c r="TMR9" i="7"/>
  <c r="TMQ9" i="7"/>
  <c r="TMP9" i="7"/>
  <c r="TMO9" i="7"/>
  <c r="TMN9" i="7"/>
  <c r="TMM9" i="7"/>
  <c r="TML9" i="7"/>
  <c r="TMK9" i="7"/>
  <c r="TMJ9" i="7"/>
  <c r="TMI9" i="7"/>
  <c r="TMH9" i="7"/>
  <c r="TMG9" i="7"/>
  <c r="TMF9" i="7"/>
  <c r="TME9" i="7"/>
  <c r="TMD9" i="7"/>
  <c r="TMC9" i="7"/>
  <c r="TMB9" i="7"/>
  <c r="TMA9" i="7"/>
  <c r="TLZ9" i="7"/>
  <c r="TLY9" i="7"/>
  <c r="TLX9" i="7"/>
  <c r="TLW9" i="7"/>
  <c r="TLV9" i="7"/>
  <c r="TLU9" i="7"/>
  <c r="TLT9" i="7"/>
  <c r="TLS9" i="7"/>
  <c r="TLR9" i="7"/>
  <c r="TLQ9" i="7"/>
  <c r="TLP9" i="7"/>
  <c r="TLO9" i="7"/>
  <c r="TLN9" i="7"/>
  <c r="TLM9" i="7"/>
  <c r="TLL9" i="7"/>
  <c r="TLK9" i="7"/>
  <c r="TLJ9" i="7"/>
  <c r="TLI9" i="7"/>
  <c r="TLH9" i="7"/>
  <c r="TLG9" i="7"/>
  <c r="TLF9" i="7"/>
  <c r="TLE9" i="7"/>
  <c r="TLD9" i="7"/>
  <c r="TLC9" i="7"/>
  <c r="TLB9" i="7"/>
  <c r="TLA9" i="7"/>
  <c r="TKZ9" i="7"/>
  <c r="TKY9" i="7"/>
  <c r="TKX9" i="7"/>
  <c r="TKW9" i="7"/>
  <c r="TKV9" i="7"/>
  <c r="TKU9" i="7"/>
  <c r="TKT9" i="7"/>
  <c r="TKS9" i="7"/>
  <c r="TKR9" i="7"/>
  <c r="TKQ9" i="7"/>
  <c r="TKP9" i="7"/>
  <c r="TKO9" i="7"/>
  <c r="TKN9" i="7"/>
  <c r="TKM9" i="7"/>
  <c r="TKL9" i="7"/>
  <c r="TKK9" i="7"/>
  <c r="TKJ9" i="7"/>
  <c r="TKI9" i="7"/>
  <c r="TKH9" i="7"/>
  <c r="TKG9" i="7"/>
  <c r="TKF9" i="7"/>
  <c r="TKE9" i="7"/>
  <c r="TKD9" i="7"/>
  <c r="TKC9" i="7"/>
  <c r="TKB9" i="7"/>
  <c r="TKA9" i="7"/>
  <c r="TJZ9" i="7"/>
  <c r="TJY9" i="7"/>
  <c r="TJX9" i="7"/>
  <c r="TJW9" i="7"/>
  <c r="TJV9" i="7"/>
  <c r="TJU9" i="7"/>
  <c r="TJT9" i="7"/>
  <c r="TJS9" i="7"/>
  <c r="TJR9" i="7"/>
  <c r="TJQ9" i="7"/>
  <c r="TJP9" i="7"/>
  <c r="TJO9" i="7"/>
  <c r="TJN9" i="7"/>
  <c r="TJM9" i="7"/>
  <c r="TJL9" i="7"/>
  <c r="TJK9" i="7"/>
  <c r="TJJ9" i="7"/>
  <c r="TJI9" i="7"/>
  <c r="TJH9" i="7"/>
  <c r="TJG9" i="7"/>
  <c r="TJF9" i="7"/>
  <c r="TJE9" i="7"/>
  <c r="TJD9" i="7"/>
  <c r="TJC9" i="7"/>
  <c r="TJB9" i="7"/>
  <c r="TJA9" i="7"/>
  <c r="TIZ9" i="7"/>
  <c r="TIY9" i="7"/>
  <c r="TIX9" i="7"/>
  <c r="TIW9" i="7"/>
  <c r="TIV9" i="7"/>
  <c r="TIU9" i="7"/>
  <c r="TIT9" i="7"/>
  <c r="TIS9" i="7"/>
  <c r="TIR9" i="7"/>
  <c r="TIQ9" i="7"/>
  <c r="TIP9" i="7"/>
  <c r="TIO9" i="7"/>
  <c r="TIN9" i="7"/>
  <c r="TIM9" i="7"/>
  <c r="TIL9" i="7"/>
  <c r="TIK9" i="7"/>
  <c r="TIJ9" i="7"/>
  <c r="TII9" i="7"/>
  <c r="TIH9" i="7"/>
  <c r="TIG9" i="7"/>
  <c r="TIF9" i="7"/>
  <c r="TIE9" i="7"/>
  <c r="TID9" i="7"/>
  <c r="TIC9" i="7"/>
  <c r="TIB9" i="7"/>
  <c r="TIA9" i="7"/>
  <c r="THZ9" i="7"/>
  <c r="THY9" i="7"/>
  <c r="THX9" i="7"/>
  <c r="THW9" i="7"/>
  <c r="THV9" i="7"/>
  <c r="THU9" i="7"/>
  <c r="THT9" i="7"/>
  <c r="THS9" i="7"/>
  <c r="THR9" i="7"/>
  <c r="THQ9" i="7"/>
  <c r="THP9" i="7"/>
  <c r="THO9" i="7"/>
  <c r="THN9" i="7"/>
  <c r="THM9" i="7"/>
  <c r="THL9" i="7"/>
  <c r="THK9" i="7"/>
  <c r="THJ9" i="7"/>
  <c r="THI9" i="7"/>
  <c r="THH9" i="7"/>
  <c r="THG9" i="7"/>
  <c r="THF9" i="7"/>
  <c r="THE9" i="7"/>
  <c r="THD9" i="7"/>
  <c r="THC9" i="7"/>
  <c r="THB9" i="7"/>
  <c r="THA9" i="7"/>
  <c r="TGZ9" i="7"/>
  <c r="TGY9" i="7"/>
  <c r="TGX9" i="7"/>
  <c r="TGW9" i="7"/>
  <c r="TGV9" i="7"/>
  <c r="TGU9" i="7"/>
  <c r="TGT9" i="7"/>
  <c r="TGS9" i="7"/>
  <c r="TGR9" i="7"/>
  <c r="TGQ9" i="7"/>
  <c r="TGP9" i="7"/>
  <c r="TGO9" i="7"/>
  <c r="TGN9" i="7"/>
  <c r="TGM9" i="7"/>
  <c r="TGL9" i="7"/>
  <c r="TGK9" i="7"/>
  <c r="TGJ9" i="7"/>
  <c r="TGI9" i="7"/>
  <c r="TGH9" i="7"/>
  <c r="TGG9" i="7"/>
  <c r="TGF9" i="7"/>
  <c r="TGE9" i="7"/>
  <c r="TGD9" i="7"/>
  <c r="TGC9" i="7"/>
  <c r="TGB9" i="7"/>
  <c r="TGA9" i="7"/>
  <c r="TFZ9" i="7"/>
  <c r="TFY9" i="7"/>
  <c r="TFX9" i="7"/>
  <c r="TFW9" i="7"/>
  <c r="TFV9" i="7"/>
  <c r="TFU9" i="7"/>
  <c r="TFT9" i="7"/>
  <c r="TFS9" i="7"/>
  <c r="TFR9" i="7"/>
  <c r="TFQ9" i="7"/>
  <c r="TFP9" i="7"/>
  <c r="TFO9" i="7"/>
  <c r="TFN9" i="7"/>
  <c r="TFM9" i="7"/>
  <c r="TFL9" i="7"/>
  <c r="TFK9" i="7"/>
  <c r="TFJ9" i="7"/>
  <c r="TFI9" i="7"/>
  <c r="TFH9" i="7"/>
  <c r="TFG9" i="7"/>
  <c r="TFF9" i="7"/>
  <c r="TFE9" i="7"/>
  <c r="TFD9" i="7"/>
  <c r="TFC9" i="7"/>
  <c r="TFB9" i="7"/>
  <c r="TFA9" i="7"/>
  <c r="TEZ9" i="7"/>
  <c r="TEY9" i="7"/>
  <c r="TEX9" i="7"/>
  <c r="TEW9" i="7"/>
  <c r="TEV9" i="7"/>
  <c r="TEU9" i="7"/>
  <c r="TET9" i="7"/>
  <c r="TES9" i="7"/>
  <c r="TER9" i="7"/>
  <c r="TEQ9" i="7"/>
  <c r="TEP9" i="7"/>
  <c r="TEO9" i="7"/>
  <c r="TEN9" i="7"/>
  <c r="TEM9" i="7"/>
  <c r="TEL9" i="7"/>
  <c r="TEK9" i="7"/>
  <c r="TEJ9" i="7"/>
  <c r="TEI9" i="7"/>
  <c r="TEH9" i="7"/>
  <c r="TEG9" i="7"/>
  <c r="TEF9" i="7"/>
  <c r="TEE9" i="7"/>
  <c r="TED9" i="7"/>
  <c r="TEC9" i="7"/>
  <c r="TEB9" i="7"/>
  <c r="TEA9" i="7"/>
  <c r="TDZ9" i="7"/>
  <c r="TDY9" i="7"/>
  <c r="TDX9" i="7"/>
  <c r="TDW9" i="7"/>
  <c r="TDV9" i="7"/>
  <c r="TDU9" i="7"/>
  <c r="TDT9" i="7"/>
  <c r="TDS9" i="7"/>
  <c r="TDR9" i="7"/>
  <c r="TDQ9" i="7"/>
  <c r="TDP9" i="7"/>
  <c r="TDO9" i="7"/>
  <c r="TDN9" i="7"/>
  <c r="TDM9" i="7"/>
  <c r="TDL9" i="7"/>
  <c r="TDK9" i="7"/>
  <c r="TDJ9" i="7"/>
  <c r="TDI9" i="7"/>
  <c r="TDH9" i="7"/>
  <c r="TDG9" i="7"/>
  <c r="TDF9" i="7"/>
  <c r="TDE9" i="7"/>
  <c r="TDD9" i="7"/>
  <c r="TDC9" i="7"/>
  <c r="TDB9" i="7"/>
  <c r="TDA9" i="7"/>
  <c r="TCZ9" i="7"/>
  <c r="TCY9" i="7"/>
  <c r="TCX9" i="7"/>
  <c r="TCW9" i="7"/>
  <c r="TCV9" i="7"/>
  <c r="TCU9" i="7"/>
  <c r="TCT9" i="7"/>
  <c r="TCS9" i="7"/>
  <c r="TCR9" i="7"/>
  <c r="TCQ9" i="7"/>
  <c r="TCP9" i="7"/>
  <c r="TCO9" i="7"/>
  <c r="TCN9" i="7"/>
  <c r="TCM9" i="7"/>
  <c r="TCL9" i="7"/>
  <c r="TCK9" i="7"/>
  <c r="TCJ9" i="7"/>
  <c r="TCI9" i="7"/>
  <c r="TCH9" i="7"/>
  <c r="TCG9" i="7"/>
  <c r="TCF9" i="7"/>
  <c r="TCE9" i="7"/>
  <c r="TCD9" i="7"/>
  <c r="TCC9" i="7"/>
  <c r="TCB9" i="7"/>
  <c r="TCA9" i="7"/>
  <c r="TBZ9" i="7"/>
  <c r="TBY9" i="7"/>
  <c r="TBX9" i="7"/>
  <c r="TBW9" i="7"/>
  <c r="TBV9" i="7"/>
  <c r="TBU9" i="7"/>
  <c r="TBT9" i="7"/>
  <c r="TBS9" i="7"/>
  <c r="TBR9" i="7"/>
  <c r="TBQ9" i="7"/>
  <c r="TBP9" i="7"/>
  <c r="TBO9" i="7"/>
  <c r="TBN9" i="7"/>
  <c r="TBM9" i="7"/>
  <c r="TBL9" i="7"/>
  <c r="TBK9" i="7"/>
  <c r="TBJ9" i="7"/>
  <c r="TBI9" i="7"/>
  <c r="TBH9" i="7"/>
  <c r="TBG9" i="7"/>
  <c r="TBF9" i="7"/>
  <c r="TBE9" i="7"/>
  <c r="TBD9" i="7"/>
  <c r="TBC9" i="7"/>
  <c r="TBB9" i="7"/>
  <c r="TBA9" i="7"/>
  <c r="TAZ9" i="7"/>
  <c r="TAY9" i="7"/>
  <c r="TAX9" i="7"/>
  <c r="TAW9" i="7"/>
  <c r="TAV9" i="7"/>
  <c r="TAU9" i="7"/>
  <c r="TAT9" i="7"/>
  <c r="TAS9" i="7"/>
  <c r="TAR9" i="7"/>
  <c r="TAQ9" i="7"/>
  <c r="TAP9" i="7"/>
  <c r="TAO9" i="7"/>
  <c r="TAN9" i="7"/>
  <c r="TAM9" i="7"/>
  <c r="TAL9" i="7"/>
  <c r="TAK9" i="7"/>
  <c r="TAJ9" i="7"/>
  <c r="TAI9" i="7"/>
  <c r="TAH9" i="7"/>
  <c r="TAG9" i="7"/>
  <c r="TAF9" i="7"/>
  <c r="TAE9" i="7"/>
  <c r="TAD9" i="7"/>
  <c r="TAC9" i="7"/>
  <c r="TAB9" i="7"/>
  <c r="TAA9" i="7"/>
  <c r="SZZ9" i="7"/>
  <c r="SZY9" i="7"/>
  <c r="SZX9" i="7"/>
  <c r="SZW9" i="7"/>
  <c r="SZV9" i="7"/>
  <c r="SZU9" i="7"/>
  <c r="SZT9" i="7"/>
  <c r="SZS9" i="7"/>
  <c r="SZR9" i="7"/>
  <c r="SZQ9" i="7"/>
  <c r="SZP9" i="7"/>
  <c r="SZO9" i="7"/>
  <c r="SZN9" i="7"/>
  <c r="SZM9" i="7"/>
  <c r="SZL9" i="7"/>
  <c r="SZK9" i="7"/>
  <c r="SZJ9" i="7"/>
  <c r="SZI9" i="7"/>
  <c r="SZH9" i="7"/>
  <c r="SZG9" i="7"/>
  <c r="SZF9" i="7"/>
  <c r="SZE9" i="7"/>
  <c r="SZD9" i="7"/>
  <c r="SZC9" i="7"/>
  <c r="SZB9" i="7"/>
  <c r="SZA9" i="7"/>
  <c r="SYZ9" i="7"/>
  <c r="SYY9" i="7"/>
  <c r="SYX9" i="7"/>
  <c r="SYW9" i="7"/>
  <c r="SYV9" i="7"/>
  <c r="SYU9" i="7"/>
  <c r="SYT9" i="7"/>
  <c r="SYS9" i="7"/>
  <c r="SYR9" i="7"/>
  <c r="SYQ9" i="7"/>
  <c r="SYP9" i="7"/>
  <c r="SYO9" i="7"/>
  <c r="SYN9" i="7"/>
  <c r="SYM9" i="7"/>
  <c r="SYL9" i="7"/>
  <c r="SYK9" i="7"/>
  <c r="SYJ9" i="7"/>
  <c r="SYI9" i="7"/>
  <c r="SYH9" i="7"/>
  <c r="SYG9" i="7"/>
  <c r="SYF9" i="7"/>
  <c r="SYE9" i="7"/>
  <c r="SYD9" i="7"/>
  <c r="SYC9" i="7"/>
  <c r="SYB9" i="7"/>
  <c r="SYA9" i="7"/>
  <c r="SXZ9" i="7"/>
  <c r="SXY9" i="7"/>
  <c r="SXX9" i="7"/>
  <c r="SXW9" i="7"/>
  <c r="SXV9" i="7"/>
  <c r="SXU9" i="7"/>
  <c r="SXT9" i="7"/>
  <c r="SXS9" i="7"/>
  <c r="SXR9" i="7"/>
  <c r="SXQ9" i="7"/>
  <c r="SXP9" i="7"/>
  <c r="SXO9" i="7"/>
  <c r="SXN9" i="7"/>
  <c r="SXM9" i="7"/>
  <c r="SXL9" i="7"/>
  <c r="SXK9" i="7"/>
  <c r="SXJ9" i="7"/>
  <c r="SXI9" i="7"/>
  <c r="SXH9" i="7"/>
  <c r="SXG9" i="7"/>
  <c r="SXF9" i="7"/>
  <c r="SXE9" i="7"/>
  <c r="SXD9" i="7"/>
  <c r="SXC9" i="7"/>
  <c r="SXB9" i="7"/>
  <c r="SXA9" i="7"/>
  <c r="SWZ9" i="7"/>
  <c r="SWY9" i="7"/>
  <c r="SWX9" i="7"/>
  <c r="SWW9" i="7"/>
  <c r="SWV9" i="7"/>
  <c r="SWU9" i="7"/>
  <c r="SWT9" i="7"/>
  <c r="SWS9" i="7"/>
  <c r="SWR9" i="7"/>
  <c r="SWQ9" i="7"/>
  <c r="SWP9" i="7"/>
  <c r="SWO9" i="7"/>
  <c r="SWN9" i="7"/>
  <c r="SWM9" i="7"/>
  <c r="SWL9" i="7"/>
  <c r="SWK9" i="7"/>
  <c r="SWJ9" i="7"/>
  <c r="SWI9" i="7"/>
  <c r="SWH9" i="7"/>
  <c r="SWG9" i="7"/>
  <c r="SWF9" i="7"/>
  <c r="SWE9" i="7"/>
  <c r="SWD9" i="7"/>
  <c r="SWC9" i="7"/>
  <c r="SWB9" i="7"/>
  <c r="SWA9" i="7"/>
  <c r="SVZ9" i="7"/>
  <c r="SVY9" i="7"/>
  <c r="SVX9" i="7"/>
  <c r="SVW9" i="7"/>
  <c r="SVV9" i="7"/>
  <c r="SVU9" i="7"/>
  <c r="SVT9" i="7"/>
  <c r="SVS9" i="7"/>
  <c r="SVR9" i="7"/>
  <c r="SVQ9" i="7"/>
  <c r="SVP9" i="7"/>
  <c r="SVO9" i="7"/>
  <c r="SVN9" i="7"/>
  <c r="SVM9" i="7"/>
  <c r="SVL9" i="7"/>
  <c r="SVK9" i="7"/>
  <c r="SVJ9" i="7"/>
  <c r="SVI9" i="7"/>
  <c r="SVH9" i="7"/>
  <c r="SVG9" i="7"/>
  <c r="SVF9" i="7"/>
  <c r="SVE9" i="7"/>
  <c r="SVD9" i="7"/>
  <c r="SVC9" i="7"/>
  <c r="SVB9" i="7"/>
  <c r="SVA9" i="7"/>
  <c r="SUZ9" i="7"/>
  <c r="SUY9" i="7"/>
  <c r="SUX9" i="7"/>
  <c r="SUW9" i="7"/>
  <c r="SUV9" i="7"/>
  <c r="SUU9" i="7"/>
  <c r="SUT9" i="7"/>
  <c r="SUS9" i="7"/>
  <c r="SUR9" i="7"/>
  <c r="SUQ9" i="7"/>
  <c r="SUP9" i="7"/>
  <c r="SUO9" i="7"/>
  <c r="SUN9" i="7"/>
  <c r="SUM9" i="7"/>
  <c r="SUL9" i="7"/>
  <c r="SUK9" i="7"/>
  <c r="SUJ9" i="7"/>
  <c r="SUI9" i="7"/>
  <c r="SUH9" i="7"/>
  <c r="SUG9" i="7"/>
  <c r="SUF9" i="7"/>
  <c r="SUE9" i="7"/>
  <c r="SUD9" i="7"/>
  <c r="SUC9" i="7"/>
  <c r="SUB9" i="7"/>
  <c r="SUA9" i="7"/>
  <c r="STZ9" i="7"/>
  <c r="STY9" i="7"/>
  <c r="STX9" i="7"/>
  <c r="STW9" i="7"/>
  <c r="STV9" i="7"/>
  <c r="STU9" i="7"/>
  <c r="STT9" i="7"/>
  <c r="STS9" i="7"/>
  <c r="STR9" i="7"/>
  <c r="STQ9" i="7"/>
  <c r="STP9" i="7"/>
  <c r="STO9" i="7"/>
  <c r="STN9" i="7"/>
  <c r="STM9" i="7"/>
  <c r="STL9" i="7"/>
  <c r="STK9" i="7"/>
  <c r="STJ9" i="7"/>
  <c r="STI9" i="7"/>
  <c r="STH9" i="7"/>
  <c r="STG9" i="7"/>
  <c r="STF9" i="7"/>
  <c r="STE9" i="7"/>
  <c r="STD9" i="7"/>
  <c r="STC9" i="7"/>
  <c r="STB9" i="7"/>
  <c r="STA9" i="7"/>
  <c r="SSZ9" i="7"/>
  <c r="SSY9" i="7"/>
  <c r="SSX9" i="7"/>
  <c r="SSW9" i="7"/>
  <c r="SSV9" i="7"/>
  <c r="SSU9" i="7"/>
  <c r="SST9" i="7"/>
  <c r="SSS9" i="7"/>
  <c r="SSR9" i="7"/>
  <c r="SSQ9" i="7"/>
  <c r="SSP9" i="7"/>
  <c r="SSO9" i="7"/>
  <c r="SSN9" i="7"/>
  <c r="SSM9" i="7"/>
  <c r="SSL9" i="7"/>
  <c r="SSK9" i="7"/>
  <c r="SSJ9" i="7"/>
  <c r="SSI9" i="7"/>
  <c r="SSH9" i="7"/>
  <c r="SSG9" i="7"/>
  <c r="SSF9" i="7"/>
  <c r="SSE9" i="7"/>
  <c r="SSD9" i="7"/>
  <c r="SSC9" i="7"/>
  <c r="SSB9" i="7"/>
  <c r="SSA9" i="7"/>
  <c r="SRZ9" i="7"/>
  <c r="SRY9" i="7"/>
  <c r="SRX9" i="7"/>
  <c r="SRW9" i="7"/>
  <c r="SRV9" i="7"/>
  <c r="SRU9" i="7"/>
  <c r="SRT9" i="7"/>
  <c r="SRS9" i="7"/>
  <c r="SRR9" i="7"/>
  <c r="SRQ9" i="7"/>
  <c r="SRP9" i="7"/>
  <c r="SRO9" i="7"/>
  <c r="SRN9" i="7"/>
  <c r="SRM9" i="7"/>
  <c r="SRL9" i="7"/>
  <c r="SRK9" i="7"/>
  <c r="SRJ9" i="7"/>
  <c r="SRI9" i="7"/>
  <c r="SRH9" i="7"/>
  <c r="SRG9" i="7"/>
  <c r="SRF9" i="7"/>
  <c r="SRE9" i="7"/>
  <c r="SRD9" i="7"/>
  <c r="SRC9" i="7"/>
  <c r="SRB9" i="7"/>
  <c r="SRA9" i="7"/>
  <c r="SQZ9" i="7"/>
  <c r="SQY9" i="7"/>
  <c r="SQX9" i="7"/>
  <c r="SQW9" i="7"/>
  <c r="SQV9" i="7"/>
  <c r="SQU9" i="7"/>
  <c r="SQT9" i="7"/>
  <c r="SQS9" i="7"/>
  <c r="SQR9" i="7"/>
  <c r="SQQ9" i="7"/>
  <c r="SQP9" i="7"/>
  <c r="SQO9" i="7"/>
  <c r="SQN9" i="7"/>
  <c r="SQM9" i="7"/>
  <c r="SQL9" i="7"/>
  <c r="SQK9" i="7"/>
  <c r="SQJ9" i="7"/>
  <c r="SQI9" i="7"/>
  <c r="SQH9" i="7"/>
  <c r="SQG9" i="7"/>
  <c r="SQF9" i="7"/>
  <c r="SQE9" i="7"/>
  <c r="SQD9" i="7"/>
  <c r="SQC9" i="7"/>
  <c r="SQB9" i="7"/>
  <c r="SQA9" i="7"/>
  <c r="SPZ9" i="7"/>
  <c r="SPY9" i="7"/>
  <c r="SPX9" i="7"/>
  <c r="SPW9" i="7"/>
  <c r="SPV9" i="7"/>
  <c r="SPU9" i="7"/>
  <c r="SPT9" i="7"/>
  <c r="SPS9" i="7"/>
  <c r="SPR9" i="7"/>
  <c r="SPQ9" i="7"/>
  <c r="SPP9" i="7"/>
  <c r="SPO9" i="7"/>
  <c r="SPN9" i="7"/>
  <c r="SPM9" i="7"/>
  <c r="SPL9" i="7"/>
  <c r="SPK9" i="7"/>
  <c r="SPJ9" i="7"/>
  <c r="SPI9" i="7"/>
  <c r="SPH9" i="7"/>
  <c r="SPG9" i="7"/>
  <c r="SPF9" i="7"/>
  <c r="SPE9" i="7"/>
  <c r="SPD9" i="7"/>
  <c r="SPC9" i="7"/>
  <c r="SPB9" i="7"/>
  <c r="SPA9" i="7"/>
  <c r="SOZ9" i="7"/>
  <c r="SOY9" i="7"/>
  <c r="SOX9" i="7"/>
  <c r="SOW9" i="7"/>
  <c r="SOV9" i="7"/>
  <c r="SOU9" i="7"/>
  <c r="SOT9" i="7"/>
  <c r="SOS9" i="7"/>
  <c r="SOR9" i="7"/>
  <c r="SOQ9" i="7"/>
  <c r="SOP9" i="7"/>
  <c r="SOO9" i="7"/>
  <c r="SON9" i="7"/>
  <c r="SOM9" i="7"/>
  <c r="SOL9" i="7"/>
  <c r="SOK9" i="7"/>
  <c r="SOJ9" i="7"/>
  <c r="SOI9" i="7"/>
  <c r="SOH9" i="7"/>
  <c r="SOG9" i="7"/>
  <c r="SOF9" i="7"/>
  <c r="SOE9" i="7"/>
  <c r="SOD9" i="7"/>
  <c r="SOC9" i="7"/>
  <c r="SOB9" i="7"/>
  <c r="SOA9" i="7"/>
  <c r="SNZ9" i="7"/>
  <c r="SNY9" i="7"/>
  <c r="SNX9" i="7"/>
  <c r="SNW9" i="7"/>
  <c r="SNV9" i="7"/>
  <c r="SNU9" i="7"/>
  <c r="SNT9" i="7"/>
  <c r="SNS9" i="7"/>
  <c r="SNR9" i="7"/>
  <c r="SNQ9" i="7"/>
  <c r="SNP9" i="7"/>
  <c r="SNO9" i="7"/>
  <c r="SNN9" i="7"/>
  <c r="SNM9" i="7"/>
  <c r="SNL9" i="7"/>
  <c r="SNK9" i="7"/>
  <c r="SNJ9" i="7"/>
  <c r="SNI9" i="7"/>
  <c r="SNH9" i="7"/>
  <c r="SNG9" i="7"/>
  <c r="SNF9" i="7"/>
  <c r="SNE9" i="7"/>
  <c r="SND9" i="7"/>
  <c r="SNC9" i="7"/>
  <c r="SNB9" i="7"/>
  <c r="SNA9" i="7"/>
  <c r="SMZ9" i="7"/>
  <c r="SMY9" i="7"/>
  <c r="SMX9" i="7"/>
  <c r="SMW9" i="7"/>
  <c r="SMV9" i="7"/>
  <c r="SMU9" i="7"/>
  <c r="SMT9" i="7"/>
  <c r="SMS9" i="7"/>
  <c r="SMR9" i="7"/>
  <c r="SMQ9" i="7"/>
  <c r="SMP9" i="7"/>
  <c r="SMO9" i="7"/>
  <c r="SMN9" i="7"/>
  <c r="SMM9" i="7"/>
  <c r="SML9" i="7"/>
  <c r="SMK9" i="7"/>
  <c r="SMJ9" i="7"/>
  <c r="SMI9" i="7"/>
  <c r="SMH9" i="7"/>
  <c r="SMG9" i="7"/>
  <c r="SMF9" i="7"/>
  <c r="SME9" i="7"/>
  <c r="SMD9" i="7"/>
  <c r="SMC9" i="7"/>
  <c r="SMB9" i="7"/>
  <c r="SMA9" i="7"/>
  <c r="SLZ9" i="7"/>
  <c r="SLY9" i="7"/>
  <c r="SLX9" i="7"/>
  <c r="SLW9" i="7"/>
  <c r="SLV9" i="7"/>
  <c r="SLU9" i="7"/>
  <c r="SLT9" i="7"/>
  <c r="SLS9" i="7"/>
  <c r="SLR9" i="7"/>
  <c r="SLQ9" i="7"/>
  <c r="SLP9" i="7"/>
  <c r="SLO9" i="7"/>
  <c r="SLN9" i="7"/>
  <c r="SLK9" i="7"/>
  <c r="SLJ9" i="7"/>
  <c r="SLI9" i="7"/>
  <c r="SLH9" i="7"/>
  <c r="SLG9" i="7"/>
  <c r="SLF9" i="7"/>
  <c r="SLE9" i="7"/>
  <c r="SLD9" i="7"/>
  <c r="SLC9" i="7"/>
  <c r="SLB9" i="7"/>
  <c r="SLA9" i="7"/>
  <c r="SKZ9" i="7"/>
  <c r="SKY9" i="7"/>
  <c r="SKX9" i="7"/>
  <c r="SKW9" i="7"/>
  <c r="SKV9" i="7"/>
  <c r="SKU9" i="7"/>
  <c r="SKT9" i="7"/>
  <c r="SKS9" i="7"/>
  <c r="SKR9" i="7"/>
  <c r="SKQ9" i="7"/>
  <c r="SKP9" i="7"/>
  <c r="SKO9" i="7"/>
  <c r="SKN9" i="7"/>
  <c r="SKM9" i="7"/>
  <c r="SKL9" i="7"/>
  <c r="SKK9" i="7"/>
  <c r="SKJ9" i="7"/>
  <c r="SKI9" i="7"/>
  <c r="SKH9" i="7"/>
  <c r="SKG9" i="7"/>
  <c r="SKF9" i="7"/>
  <c r="SKE9" i="7"/>
  <c r="SKD9" i="7"/>
  <c r="SKC9" i="7"/>
  <c r="SKB9" i="7"/>
  <c r="SKA9" i="7"/>
  <c r="SJZ9" i="7"/>
  <c r="SJY9" i="7"/>
  <c r="SJX9" i="7"/>
  <c r="SJW9" i="7"/>
  <c r="SJV9" i="7"/>
  <c r="SJU9" i="7"/>
  <c r="SJT9" i="7"/>
  <c r="SJS9" i="7"/>
  <c r="SJR9" i="7"/>
  <c r="SJQ9" i="7"/>
  <c r="SJP9" i="7"/>
  <c r="SJO9" i="7"/>
  <c r="SJN9" i="7"/>
  <c r="SJM9" i="7"/>
  <c r="SJL9" i="7"/>
  <c r="SJK9" i="7"/>
  <c r="SJJ9" i="7"/>
  <c r="SJI9" i="7"/>
  <c r="SJH9" i="7"/>
  <c r="SJG9" i="7"/>
  <c r="SJF9" i="7"/>
  <c r="SJE9" i="7"/>
  <c r="SJD9" i="7"/>
  <c r="SJC9" i="7"/>
  <c r="SJB9" i="7"/>
  <c r="SJA9" i="7"/>
  <c r="SIZ9" i="7"/>
  <c r="SIY9" i="7"/>
  <c r="SIX9" i="7"/>
  <c r="SIW9" i="7"/>
  <c r="SIV9" i="7"/>
  <c r="SIU9" i="7"/>
  <c r="SIT9" i="7"/>
  <c r="SIS9" i="7"/>
  <c r="SIR9" i="7"/>
  <c r="SIQ9" i="7"/>
  <c r="SIP9" i="7"/>
  <c r="SIO9" i="7"/>
  <c r="SIN9" i="7"/>
  <c r="SIM9" i="7"/>
  <c r="SIL9" i="7"/>
  <c r="SIK9" i="7"/>
  <c r="SIJ9" i="7"/>
  <c r="SII9" i="7"/>
  <c r="SIH9" i="7"/>
  <c r="SIG9" i="7"/>
  <c r="SIF9" i="7"/>
  <c r="SIE9" i="7"/>
  <c r="SID9" i="7"/>
  <c r="SIC9" i="7"/>
  <c r="SIB9" i="7"/>
  <c r="SIA9" i="7"/>
  <c r="SHZ9" i="7"/>
  <c r="SHY9" i="7"/>
  <c r="SHX9" i="7"/>
  <c r="SHW9" i="7"/>
  <c r="SHV9" i="7"/>
  <c r="SHU9" i="7"/>
  <c r="SHT9" i="7"/>
  <c r="SHS9" i="7"/>
  <c r="SHR9" i="7"/>
  <c r="SHQ9" i="7"/>
  <c r="SHP9" i="7"/>
  <c r="SHO9" i="7"/>
  <c r="SHN9" i="7"/>
  <c r="SHM9" i="7"/>
  <c r="SHL9" i="7"/>
  <c r="SHK9" i="7"/>
  <c r="SHJ9" i="7"/>
  <c r="SHI9" i="7"/>
  <c r="SHH9" i="7"/>
  <c r="SHG9" i="7"/>
  <c r="SHF9" i="7"/>
  <c r="SHE9" i="7"/>
  <c r="SHD9" i="7"/>
  <c r="SHC9" i="7"/>
  <c r="SHB9" i="7"/>
  <c r="SHA9" i="7"/>
  <c r="SGZ9" i="7"/>
  <c r="SGY9" i="7"/>
  <c r="SGX9" i="7"/>
  <c r="SGW9" i="7"/>
  <c r="SGV9" i="7"/>
  <c r="SGU9" i="7"/>
  <c r="SGT9" i="7"/>
  <c r="SGS9" i="7"/>
  <c r="SGR9" i="7"/>
  <c r="SGQ9" i="7"/>
  <c r="SGP9" i="7"/>
  <c r="SGO9" i="7"/>
  <c r="SGN9" i="7"/>
  <c r="SGM9" i="7"/>
  <c r="SGL9" i="7"/>
  <c r="SGK9" i="7"/>
  <c r="SGJ9" i="7"/>
  <c r="SGI9" i="7"/>
  <c r="SGH9" i="7"/>
  <c r="SGG9" i="7"/>
  <c r="SGF9" i="7"/>
  <c r="SGE9" i="7"/>
  <c r="SGD9" i="7"/>
  <c r="SGC9" i="7"/>
  <c r="SGB9" i="7"/>
  <c r="SGA9" i="7"/>
  <c r="SFZ9" i="7"/>
  <c r="SFY9" i="7"/>
  <c r="SFX9" i="7"/>
  <c r="SFW9" i="7"/>
  <c r="SFV9" i="7"/>
  <c r="SFU9" i="7"/>
  <c r="SFT9" i="7"/>
  <c r="SFS9" i="7"/>
  <c r="SFR9" i="7"/>
  <c r="SFQ9" i="7"/>
  <c r="SFP9" i="7"/>
  <c r="SFO9" i="7"/>
  <c r="SFN9" i="7"/>
  <c r="SFM9" i="7"/>
  <c r="SFL9" i="7"/>
  <c r="SFK9" i="7"/>
  <c r="SFJ9" i="7"/>
  <c r="SFI9" i="7"/>
  <c r="SFH9" i="7"/>
  <c r="SFG9" i="7"/>
  <c r="SFF9" i="7"/>
  <c r="SFE9" i="7"/>
  <c r="SFD9" i="7"/>
  <c r="SFC9" i="7"/>
  <c r="SFB9" i="7"/>
  <c r="SFA9" i="7"/>
  <c r="SEZ9" i="7"/>
  <c r="SEY9" i="7"/>
  <c r="SEX9" i="7"/>
  <c r="SEW9" i="7"/>
  <c r="SEV9" i="7"/>
  <c r="SEU9" i="7"/>
  <c r="SET9" i="7"/>
  <c r="SES9" i="7"/>
  <c r="SER9" i="7"/>
  <c r="SEQ9" i="7"/>
  <c r="SEP9" i="7"/>
  <c r="SEO9" i="7"/>
  <c r="SEN9" i="7"/>
  <c r="SEM9" i="7"/>
  <c r="SEL9" i="7"/>
  <c r="SEK9" i="7"/>
  <c r="SEJ9" i="7"/>
  <c r="SEI9" i="7"/>
  <c r="SEH9" i="7"/>
  <c r="SEG9" i="7"/>
  <c r="SEF9" i="7"/>
  <c r="SEE9" i="7"/>
  <c r="SED9" i="7"/>
  <c r="SEC9" i="7"/>
  <c r="SEB9" i="7"/>
  <c r="SEA9" i="7"/>
  <c r="SDZ9" i="7"/>
  <c r="SDY9" i="7"/>
  <c r="SDX9" i="7"/>
  <c r="SDW9" i="7"/>
  <c r="SDV9" i="7"/>
  <c r="SDU9" i="7"/>
  <c r="SDT9" i="7"/>
  <c r="SDS9" i="7"/>
  <c r="SDR9" i="7"/>
  <c r="SDQ9" i="7"/>
  <c r="SDP9" i="7"/>
  <c r="SDO9" i="7"/>
  <c r="SDN9" i="7"/>
  <c r="SDM9" i="7"/>
  <c r="SDL9" i="7"/>
  <c r="SDK9" i="7"/>
  <c r="SDJ9" i="7"/>
  <c r="SDI9" i="7"/>
  <c r="SDH9" i="7"/>
  <c r="SDG9" i="7"/>
  <c r="SDF9" i="7"/>
  <c r="SDE9" i="7"/>
  <c r="SDD9" i="7"/>
  <c r="SDC9" i="7"/>
  <c r="SDB9" i="7"/>
  <c r="SDA9" i="7"/>
  <c r="SCZ9" i="7"/>
  <c r="SCY9" i="7"/>
  <c r="SCX9" i="7"/>
  <c r="SCW9" i="7"/>
  <c r="SCV9" i="7"/>
  <c r="SCU9" i="7"/>
  <c r="SCT9" i="7"/>
  <c r="SCS9" i="7"/>
  <c r="SCR9" i="7"/>
  <c r="SCQ9" i="7"/>
  <c r="SCP9" i="7"/>
  <c r="SCO9" i="7"/>
  <c r="SCN9" i="7"/>
  <c r="SCM9" i="7"/>
  <c r="SCL9" i="7"/>
  <c r="SCK9" i="7"/>
  <c r="SCJ9" i="7"/>
  <c r="SCI9" i="7"/>
  <c r="SCH9" i="7"/>
  <c r="SCG9" i="7"/>
  <c r="SCF9" i="7"/>
  <c r="SCE9" i="7"/>
  <c r="SCD9" i="7"/>
  <c r="SCC9" i="7"/>
  <c r="SCB9" i="7"/>
  <c r="SCA9" i="7"/>
  <c r="SBZ9" i="7"/>
  <c r="SBY9" i="7"/>
  <c r="SBX9" i="7"/>
  <c r="SBW9" i="7"/>
  <c r="SBV9" i="7"/>
  <c r="SBU9" i="7"/>
  <c r="SBT9" i="7"/>
  <c r="SBS9" i="7"/>
  <c r="SBR9" i="7"/>
  <c r="SBQ9" i="7"/>
  <c r="SBP9" i="7"/>
  <c r="SBO9" i="7"/>
  <c r="SBN9" i="7"/>
  <c r="SBM9" i="7"/>
  <c r="SBL9" i="7"/>
  <c r="SBK9" i="7"/>
  <c r="SBJ9" i="7"/>
  <c r="SBI9" i="7"/>
  <c r="SBH9" i="7"/>
  <c r="SBG9" i="7"/>
  <c r="SBF9" i="7"/>
  <c r="SBE9" i="7"/>
  <c r="SBD9" i="7"/>
  <c r="SBC9" i="7"/>
  <c r="SBB9" i="7"/>
  <c r="SBA9" i="7"/>
  <c r="SAZ9" i="7"/>
  <c r="SAY9" i="7"/>
  <c r="SAX9" i="7"/>
  <c r="SAW9" i="7"/>
  <c r="SAV9" i="7"/>
  <c r="SAU9" i="7"/>
  <c r="SAT9" i="7"/>
  <c r="SAS9" i="7"/>
  <c r="SAR9" i="7"/>
  <c r="SAQ9" i="7"/>
  <c r="SAP9" i="7"/>
  <c r="SAO9" i="7"/>
  <c r="SAN9" i="7"/>
  <c r="SAM9" i="7"/>
  <c r="SAL9" i="7"/>
  <c r="SAK9" i="7"/>
  <c r="SAJ9" i="7"/>
  <c r="SAI9" i="7"/>
  <c r="SAH9" i="7"/>
  <c r="SAG9" i="7"/>
  <c r="SAF9" i="7"/>
  <c r="SAE9" i="7"/>
  <c r="SAD9" i="7"/>
  <c r="SAC9" i="7"/>
  <c r="SAB9" i="7"/>
  <c r="SAA9" i="7"/>
  <c r="RZZ9" i="7"/>
  <c r="RZY9" i="7"/>
  <c r="RZX9" i="7"/>
  <c r="RZW9" i="7"/>
  <c r="RZV9" i="7"/>
  <c r="RZU9" i="7"/>
  <c r="RZT9" i="7"/>
  <c r="RZS9" i="7"/>
  <c r="RZR9" i="7"/>
  <c r="RZQ9" i="7"/>
  <c r="RZP9" i="7"/>
  <c r="RZO9" i="7"/>
  <c r="RZN9" i="7"/>
  <c r="RZM9" i="7"/>
  <c r="RZL9" i="7"/>
  <c r="RZK9" i="7"/>
  <c r="RZJ9" i="7"/>
  <c r="RZI9" i="7"/>
  <c r="RZH9" i="7"/>
  <c r="RZG9" i="7"/>
  <c r="RZF9" i="7"/>
  <c r="RZE9" i="7"/>
  <c r="RZD9" i="7"/>
  <c r="RZC9" i="7"/>
  <c r="RZB9" i="7"/>
  <c r="RZA9" i="7"/>
  <c r="RYZ9" i="7"/>
  <c r="RYY9" i="7"/>
  <c r="RYX9" i="7"/>
  <c r="RYW9" i="7"/>
  <c r="RYV9" i="7"/>
  <c r="RYU9" i="7"/>
  <c r="RYT9" i="7"/>
  <c r="RYS9" i="7"/>
  <c r="RYR9" i="7"/>
  <c r="RYQ9" i="7"/>
  <c r="RYP9" i="7"/>
  <c r="RYO9" i="7"/>
  <c r="RYN9" i="7"/>
  <c r="RYM9" i="7"/>
  <c r="RYL9" i="7"/>
  <c r="RYK9" i="7"/>
  <c r="RYJ9" i="7"/>
  <c r="RYI9" i="7"/>
  <c r="RYH9" i="7"/>
  <c r="RYG9" i="7"/>
  <c r="RYF9" i="7"/>
  <c r="RYE9" i="7"/>
  <c r="RYD9" i="7"/>
  <c r="RYC9" i="7"/>
  <c r="RYB9" i="7"/>
  <c r="RYA9" i="7"/>
  <c r="RXZ9" i="7"/>
  <c r="RXY9" i="7"/>
  <c r="RXX9" i="7"/>
  <c r="RXW9" i="7"/>
  <c r="RXV9" i="7"/>
  <c r="RXU9" i="7"/>
  <c r="RXT9" i="7"/>
  <c r="RXS9" i="7"/>
  <c r="RXR9" i="7"/>
  <c r="RXQ9" i="7"/>
  <c r="RXP9" i="7"/>
  <c r="RXO9" i="7"/>
  <c r="RXN9" i="7"/>
  <c r="RXM9" i="7"/>
  <c r="RXL9" i="7"/>
  <c r="RXK9" i="7"/>
  <c r="RXJ9" i="7"/>
  <c r="RXI9" i="7"/>
  <c r="RXH9" i="7"/>
  <c r="RXG9" i="7"/>
  <c r="RXF9" i="7"/>
  <c r="RXE9" i="7"/>
  <c r="RXD9" i="7"/>
  <c r="RXC9" i="7"/>
  <c r="RXB9" i="7"/>
  <c r="RXA9" i="7"/>
  <c r="RWZ9" i="7"/>
  <c r="RWY9" i="7"/>
  <c r="RWX9" i="7"/>
  <c r="RWW9" i="7"/>
  <c r="RWV9" i="7"/>
  <c r="RWU9" i="7"/>
  <c r="RWT9" i="7"/>
  <c r="RWS9" i="7"/>
  <c r="RWR9" i="7"/>
  <c r="RWQ9" i="7"/>
  <c r="RWP9" i="7"/>
  <c r="RWO9" i="7"/>
  <c r="RWN9" i="7"/>
  <c r="RWM9" i="7"/>
  <c r="RWL9" i="7"/>
  <c r="RWK9" i="7"/>
  <c r="RWJ9" i="7"/>
  <c r="RWI9" i="7"/>
  <c r="RWH9" i="7"/>
  <c r="RWG9" i="7"/>
  <c r="RWF9" i="7"/>
  <c r="RWE9" i="7"/>
  <c r="RWD9" i="7"/>
  <c r="RWC9" i="7"/>
  <c r="RWB9" i="7"/>
  <c r="RWA9" i="7"/>
  <c r="RVZ9" i="7"/>
  <c r="RVY9" i="7"/>
  <c r="RVX9" i="7"/>
  <c r="RVW9" i="7"/>
  <c r="RVV9" i="7"/>
  <c r="RVU9" i="7"/>
  <c r="RVT9" i="7"/>
  <c r="RVS9" i="7"/>
  <c r="RVR9" i="7"/>
  <c r="RVQ9" i="7"/>
  <c r="RVP9" i="7"/>
  <c r="RVO9" i="7"/>
  <c r="RVN9" i="7"/>
  <c r="RVM9" i="7"/>
  <c r="RVL9" i="7"/>
  <c r="RVK9" i="7"/>
  <c r="RVJ9" i="7"/>
  <c r="RVI9" i="7"/>
  <c r="RVH9" i="7"/>
  <c r="RVG9" i="7"/>
  <c r="RVF9" i="7"/>
  <c r="RVE9" i="7"/>
  <c r="RVD9" i="7"/>
  <c r="RVC9" i="7"/>
  <c r="RVB9" i="7"/>
  <c r="RVA9" i="7"/>
  <c r="RUZ9" i="7"/>
  <c r="RUY9" i="7"/>
  <c r="RUX9" i="7"/>
  <c r="RUW9" i="7"/>
  <c r="RUV9" i="7"/>
  <c r="RUU9" i="7"/>
  <c r="RUT9" i="7"/>
  <c r="RUS9" i="7"/>
  <c r="RUR9" i="7"/>
  <c r="RUQ9" i="7"/>
  <c r="RUP9" i="7"/>
  <c r="RUO9" i="7"/>
  <c r="RUN9" i="7"/>
  <c r="RUM9" i="7"/>
  <c r="RUL9" i="7"/>
  <c r="RUK9" i="7"/>
  <c r="RUJ9" i="7"/>
  <c r="RUI9" i="7"/>
  <c r="RUH9" i="7"/>
  <c r="RUG9" i="7"/>
  <c r="RUF9" i="7"/>
  <c r="RUE9" i="7"/>
  <c r="RUD9" i="7"/>
  <c r="RUC9" i="7"/>
  <c r="RUB9" i="7"/>
  <c r="RUA9" i="7"/>
  <c r="RTZ9" i="7"/>
  <c r="RTY9" i="7"/>
  <c r="RTX9" i="7"/>
  <c r="RTW9" i="7"/>
  <c r="RTV9" i="7"/>
  <c r="RTU9" i="7"/>
  <c r="RTT9" i="7"/>
  <c r="RTS9" i="7"/>
  <c r="RTR9" i="7"/>
  <c r="RTQ9" i="7"/>
  <c r="RTP9" i="7"/>
  <c r="RTO9" i="7"/>
  <c r="RTN9" i="7"/>
  <c r="RTM9" i="7"/>
  <c r="RTL9" i="7"/>
  <c r="RTK9" i="7"/>
  <c r="RTJ9" i="7"/>
  <c r="RTI9" i="7"/>
  <c r="RTH9" i="7"/>
  <c r="RTG9" i="7"/>
  <c r="RTF9" i="7"/>
  <c r="RTE9" i="7"/>
  <c r="RTD9" i="7"/>
  <c r="RTC9" i="7"/>
  <c r="RTB9" i="7"/>
  <c r="RTA9" i="7"/>
  <c r="RSZ9" i="7"/>
  <c r="RSY9" i="7"/>
  <c r="RSX9" i="7"/>
  <c r="RSW9" i="7"/>
  <c r="RSV9" i="7"/>
  <c r="RSU9" i="7"/>
  <c r="RST9" i="7"/>
  <c r="RSS9" i="7"/>
  <c r="RSR9" i="7"/>
  <c r="RSQ9" i="7"/>
  <c r="RSP9" i="7"/>
  <c r="RSO9" i="7"/>
  <c r="RSN9" i="7"/>
  <c r="RSM9" i="7"/>
  <c r="RSL9" i="7"/>
  <c r="RSK9" i="7"/>
  <c r="RSJ9" i="7"/>
  <c r="RSI9" i="7"/>
  <c r="RSH9" i="7"/>
  <c r="RSG9" i="7"/>
  <c r="RSF9" i="7"/>
  <c r="RSE9" i="7"/>
  <c r="RSD9" i="7"/>
  <c r="RSC9" i="7"/>
  <c r="RSB9" i="7"/>
  <c r="RSA9" i="7"/>
  <c r="RRZ9" i="7"/>
  <c r="RRY9" i="7"/>
  <c r="RRX9" i="7"/>
  <c r="RRW9" i="7"/>
  <c r="RRV9" i="7"/>
  <c r="RRU9" i="7"/>
  <c r="RRT9" i="7"/>
  <c r="RRS9" i="7"/>
  <c r="RRR9" i="7"/>
  <c r="RRQ9" i="7"/>
  <c r="RRP9" i="7"/>
  <c r="RRO9" i="7"/>
  <c r="RRN9" i="7"/>
  <c r="RRM9" i="7"/>
  <c r="RRL9" i="7"/>
  <c r="RRK9" i="7"/>
  <c r="RRJ9" i="7"/>
  <c r="RRI9" i="7"/>
  <c r="RRH9" i="7"/>
  <c r="RRG9" i="7"/>
  <c r="RRF9" i="7"/>
  <c r="RRE9" i="7"/>
  <c r="RRD9" i="7"/>
  <c r="RRC9" i="7"/>
  <c r="RRB9" i="7"/>
  <c r="RRA9" i="7"/>
  <c r="RQZ9" i="7"/>
  <c r="RQY9" i="7"/>
  <c r="RQX9" i="7"/>
  <c r="RQW9" i="7"/>
  <c r="RQV9" i="7"/>
  <c r="RQU9" i="7"/>
  <c r="RQT9" i="7"/>
  <c r="RQS9" i="7"/>
  <c r="RQR9" i="7"/>
  <c r="RQQ9" i="7"/>
  <c r="RQP9" i="7"/>
  <c r="RQO9" i="7"/>
  <c r="RQN9" i="7"/>
  <c r="RQM9" i="7"/>
  <c r="RQL9" i="7"/>
  <c r="RQK9" i="7"/>
  <c r="RQJ9" i="7"/>
  <c r="RQI9" i="7"/>
  <c r="RQH9" i="7"/>
  <c r="RQG9" i="7"/>
  <c r="RQF9" i="7"/>
  <c r="RQE9" i="7"/>
  <c r="RQD9" i="7"/>
  <c r="RQC9" i="7"/>
  <c r="RQB9" i="7"/>
  <c r="RQA9" i="7"/>
  <c r="RPZ9" i="7"/>
  <c r="RPY9" i="7"/>
  <c r="RPX9" i="7"/>
  <c r="RPW9" i="7"/>
  <c r="RPV9" i="7"/>
  <c r="RPU9" i="7"/>
  <c r="RPT9" i="7"/>
  <c r="RPS9" i="7"/>
  <c r="RPR9" i="7"/>
  <c r="RPQ9" i="7"/>
  <c r="RPP9" i="7"/>
  <c r="RPO9" i="7"/>
  <c r="RPN9" i="7"/>
  <c r="RPM9" i="7"/>
  <c r="RPL9" i="7"/>
  <c r="RPK9" i="7"/>
  <c r="RPJ9" i="7"/>
  <c r="RPI9" i="7"/>
  <c r="RPH9" i="7"/>
  <c r="RPG9" i="7"/>
  <c r="RPF9" i="7"/>
  <c r="RPE9" i="7"/>
  <c r="RPD9" i="7"/>
  <c r="RPC9" i="7"/>
  <c r="RPB9" i="7"/>
  <c r="RPA9" i="7"/>
  <c r="ROZ9" i="7"/>
  <c r="ROY9" i="7"/>
  <c r="ROX9" i="7"/>
  <c r="ROW9" i="7"/>
  <c r="ROV9" i="7"/>
  <c r="ROU9" i="7"/>
  <c r="ROT9" i="7"/>
  <c r="ROS9" i="7"/>
  <c r="ROR9" i="7"/>
  <c r="ROQ9" i="7"/>
  <c r="ROP9" i="7"/>
  <c r="ROO9" i="7"/>
  <c r="RON9" i="7"/>
  <c r="ROM9" i="7"/>
  <c r="ROL9" i="7"/>
  <c r="ROK9" i="7"/>
  <c r="ROJ9" i="7"/>
  <c r="ROI9" i="7"/>
  <c r="ROH9" i="7"/>
  <c r="ROG9" i="7"/>
  <c r="ROF9" i="7"/>
  <c r="ROE9" i="7"/>
  <c r="ROD9" i="7"/>
  <c r="ROC9" i="7"/>
  <c r="ROB9" i="7"/>
  <c r="ROA9" i="7"/>
  <c r="RNZ9" i="7"/>
  <c r="RNY9" i="7"/>
  <c r="RNX9" i="7"/>
  <c r="RNW9" i="7"/>
  <c r="RNV9" i="7"/>
  <c r="RNU9" i="7"/>
  <c r="RNT9" i="7"/>
  <c r="RNS9" i="7"/>
  <c r="RNR9" i="7"/>
  <c r="RNQ9" i="7"/>
  <c r="RNP9" i="7"/>
  <c r="RNO9" i="7"/>
  <c r="RNN9" i="7"/>
  <c r="RNM9" i="7"/>
  <c r="RNL9" i="7"/>
  <c r="RNK9" i="7"/>
  <c r="RNJ9" i="7"/>
  <c r="RNI9" i="7"/>
  <c r="RNH9" i="7"/>
  <c r="RNG9" i="7"/>
  <c r="RNF9" i="7"/>
  <c r="RNE9" i="7"/>
  <c r="RND9" i="7"/>
  <c r="RNC9" i="7"/>
  <c r="RNB9" i="7"/>
  <c r="RNA9" i="7"/>
  <c r="RMZ9" i="7"/>
  <c r="RMY9" i="7"/>
  <c r="RMX9" i="7"/>
  <c r="RMW9" i="7"/>
  <c r="RMV9" i="7"/>
  <c r="RMU9" i="7"/>
  <c r="RMT9" i="7"/>
  <c r="RMS9" i="7"/>
  <c r="RMR9" i="7"/>
  <c r="RMQ9" i="7"/>
  <c r="RMP9" i="7"/>
  <c r="RMO9" i="7"/>
  <c r="RMN9" i="7"/>
  <c r="RMM9" i="7"/>
  <c r="RML9" i="7"/>
  <c r="RMK9" i="7"/>
  <c r="RMJ9" i="7"/>
  <c r="RMI9" i="7"/>
  <c r="RMH9" i="7"/>
  <c r="RMG9" i="7"/>
  <c r="RMF9" i="7"/>
  <c r="RME9" i="7"/>
  <c r="RMD9" i="7"/>
  <c r="RMC9" i="7"/>
  <c r="RMB9" i="7"/>
  <c r="RMA9" i="7"/>
  <c r="RLZ9" i="7"/>
  <c r="RLY9" i="7"/>
  <c r="RLX9" i="7"/>
  <c r="RLW9" i="7"/>
  <c r="RLV9" i="7"/>
  <c r="RLU9" i="7"/>
  <c r="RLT9" i="7"/>
  <c r="RLS9" i="7"/>
  <c r="RLR9" i="7"/>
  <c r="RLQ9" i="7"/>
  <c r="RLP9" i="7"/>
  <c r="RLO9" i="7"/>
  <c r="RLN9" i="7"/>
  <c r="RLM9" i="7"/>
  <c r="RLL9" i="7"/>
  <c r="RLK9" i="7"/>
  <c r="RLJ9" i="7"/>
  <c r="RLI9" i="7"/>
  <c r="RLH9" i="7"/>
  <c r="RLG9" i="7"/>
  <c r="RLF9" i="7"/>
  <c r="RLE9" i="7"/>
  <c r="RLD9" i="7"/>
  <c r="RLC9" i="7"/>
  <c r="RLB9" i="7"/>
  <c r="RLA9" i="7"/>
  <c r="RKZ9" i="7"/>
  <c r="RKY9" i="7"/>
  <c r="RKX9" i="7"/>
  <c r="RKW9" i="7"/>
  <c r="RKV9" i="7"/>
  <c r="RKU9" i="7"/>
  <c r="RKT9" i="7"/>
  <c r="RKS9" i="7"/>
  <c r="RKR9" i="7"/>
  <c r="RKQ9" i="7"/>
  <c r="RKP9" i="7"/>
  <c r="RKO9" i="7"/>
  <c r="RKN9" i="7"/>
  <c r="RKM9" i="7"/>
  <c r="RKL9" i="7"/>
  <c r="RKK9" i="7"/>
  <c r="RKJ9" i="7"/>
  <c r="RKI9" i="7"/>
  <c r="RKH9" i="7"/>
  <c r="RKG9" i="7"/>
  <c r="RKF9" i="7"/>
  <c r="RKE9" i="7"/>
  <c r="RKD9" i="7"/>
  <c r="RKC9" i="7"/>
  <c r="RKB9" i="7"/>
  <c r="RKA9" i="7"/>
  <c r="RJZ9" i="7"/>
  <c r="RJY9" i="7"/>
  <c r="RJX9" i="7"/>
  <c r="RJW9" i="7"/>
  <c r="RJV9" i="7"/>
  <c r="RJU9" i="7"/>
  <c r="RJT9" i="7"/>
  <c r="RJS9" i="7"/>
  <c r="RJR9" i="7"/>
  <c r="RJQ9" i="7"/>
  <c r="RJP9" i="7"/>
  <c r="RJO9" i="7"/>
  <c r="RJN9" i="7"/>
  <c r="RJM9" i="7"/>
  <c r="RJL9" i="7"/>
  <c r="RJK9" i="7"/>
  <c r="RJJ9" i="7"/>
  <c r="RJI9" i="7"/>
  <c r="RJH9" i="7"/>
  <c r="RJG9" i="7"/>
  <c r="RJF9" i="7"/>
  <c r="RJE9" i="7"/>
  <c r="RJD9" i="7"/>
  <c r="RJC9" i="7"/>
  <c r="RJB9" i="7"/>
  <c r="RJA9" i="7"/>
  <c r="RIZ9" i="7"/>
  <c r="RIY9" i="7"/>
  <c r="RIX9" i="7"/>
  <c r="RIW9" i="7"/>
  <c r="RIV9" i="7"/>
  <c r="RIU9" i="7"/>
  <c r="RIT9" i="7"/>
  <c r="RIS9" i="7"/>
  <c r="RIR9" i="7"/>
  <c r="RIQ9" i="7"/>
  <c r="RIP9" i="7"/>
  <c r="RIO9" i="7"/>
  <c r="RIN9" i="7"/>
  <c r="RIM9" i="7"/>
  <c r="RIL9" i="7"/>
  <c r="RIK9" i="7"/>
  <c r="RIJ9" i="7"/>
  <c r="RII9" i="7"/>
  <c r="RIH9" i="7"/>
  <c r="RIG9" i="7"/>
  <c r="RIF9" i="7"/>
  <c r="RIE9" i="7"/>
  <c r="RID9" i="7"/>
  <c r="RIC9" i="7"/>
  <c r="RIB9" i="7"/>
  <c r="RIA9" i="7"/>
  <c r="RHZ9" i="7"/>
  <c r="RHY9" i="7"/>
  <c r="RHX9" i="7"/>
  <c r="RHW9" i="7"/>
  <c r="RHV9" i="7"/>
  <c r="RHU9" i="7"/>
  <c r="RHT9" i="7"/>
  <c r="RHS9" i="7"/>
  <c r="RHR9" i="7"/>
  <c r="RHQ9" i="7"/>
  <c r="RHP9" i="7"/>
  <c r="RHO9" i="7"/>
  <c r="RHN9" i="7"/>
  <c r="RHM9" i="7"/>
  <c r="RHL9" i="7"/>
  <c r="RHK9" i="7"/>
  <c r="RHJ9" i="7"/>
  <c r="RHI9" i="7"/>
  <c r="RHH9" i="7"/>
  <c r="RHG9" i="7"/>
  <c r="RHF9" i="7"/>
  <c r="RHE9" i="7"/>
  <c r="RHD9" i="7"/>
  <c r="RHC9" i="7"/>
  <c r="RHB9" i="7"/>
  <c r="RHA9" i="7"/>
  <c r="RGZ9" i="7"/>
  <c r="RGY9" i="7"/>
  <c r="RGX9" i="7"/>
  <c r="RGW9" i="7"/>
  <c r="RGV9" i="7"/>
  <c r="RGU9" i="7"/>
  <c r="RGT9" i="7"/>
  <c r="RGS9" i="7"/>
  <c r="RGR9" i="7"/>
  <c r="RGQ9" i="7"/>
  <c r="RGP9" i="7"/>
  <c r="RGO9" i="7"/>
  <c r="RGN9" i="7"/>
  <c r="RGM9" i="7"/>
  <c r="RGL9" i="7"/>
  <c r="RGK9" i="7"/>
  <c r="RGJ9" i="7"/>
  <c r="RGI9" i="7"/>
  <c r="RGH9" i="7"/>
  <c r="RGG9" i="7"/>
  <c r="RGF9" i="7"/>
  <c r="RGE9" i="7"/>
  <c r="RGD9" i="7"/>
  <c r="RGC9" i="7"/>
  <c r="RGB9" i="7"/>
  <c r="RGA9" i="7"/>
  <c r="RFZ9" i="7"/>
  <c r="RFY9" i="7"/>
  <c r="RFX9" i="7"/>
  <c r="RFW9" i="7"/>
  <c r="RFV9" i="7"/>
  <c r="RFU9" i="7"/>
  <c r="RFT9" i="7"/>
  <c r="RFS9" i="7"/>
  <c r="RFR9" i="7"/>
  <c r="RFQ9" i="7"/>
  <c r="RFP9" i="7"/>
  <c r="RFO9" i="7"/>
  <c r="RFN9" i="7"/>
  <c r="RFM9" i="7"/>
  <c r="RFL9" i="7"/>
  <c r="RFK9" i="7"/>
  <c r="RFJ9" i="7"/>
  <c r="RFI9" i="7"/>
  <c r="RFH9" i="7"/>
  <c r="RFG9" i="7"/>
  <c r="RFF9" i="7"/>
  <c r="RFE9" i="7"/>
  <c r="RFD9" i="7"/>
  <c r="RFC9" i="7"/>
  <c r="RFB9" i="7"/>
  <c r="RFA9" i="7"/>
  <c r="REZ9" i="7"/>
  <c r="REY9" i="7"/>
  <c r="REX9" i="7"/>
  <c r="REW9" i="7"/>
  <c r="REV9" i="7"/>
  <c r="REU9" i="7"/>
  <c r="RET9" i="7"/>
  <c r="RES9" i="7"/>
  <c r="RER9" i="7"/>
  <c r="REQ9" i="7"/>
  <c r="REP9" i="7"/>
  <c r="REO9" i="7"/>
  <c r="REN9" i="7"/>
  <c r="REM9" i="7"/>
  <c r="REL9" i="7"/>
  <c r="REK9" i="7"/>
  <c r="REJ9" i="7"/>
  <c r="REI9" i="7"/>
  <c r="REH9" i="7"/>
  <c r="REG9" i="7"/>
  <c r="REF9" i="7"/>
  <c r="REE9" i="7"/>
  <c r="RED9" i="7"/>
  <c r="REC9" i="7"/>
  <c r="REB9" i="7"/>
  <c r="REA9" i="7"/>
  <c r="RDZ9" i="7"/>
  <c r="RDY9" i="7"/>
  <c r="RDX9" i="7"/>
  <c r="RDW9" i="7"/>
  <c r="RDV9" i="7"/>
  <c r="RDU9" i="7"/>
  <c r="RDT9" i="7"/>
  <c r="RDS9" i="7"/>
  <c r="RDR9" i="7"/>
  <c r="RDQ9" i="7"/>
  <c r="RDP9" i="7"/>
  <c r="RDO9" i="7"/>
  <c r="RDN9" i="7"/>
  <c r="RDM9" i="7"/>
  <c r="RDL9" i="7"/>
  <c r="RDK9" i="7"/>
  <c r="RDJ9" i="7"/>
  <c r="RDI9" i="7"/>
  <c r="RDH9" i="7"/>
  <c r="RDG9" i="7"/>
  <c r="RDF9" i="7"/>
  <c r="RDE9" i="7"/>
  <c r="RDD9" i="7"/>
  <c r="RDC9" i="7"/>
  <c r="RDB9" i="7"/>
  <c r="RDA9" i="7"/>
  <c r="RCZ9" i="7"/>
  <c r="RCY9" i="7"/>
  <c r="RCX9" i="7"/>
  <c r="RCW9" i="7"/>
  <c r="RCV9" i="7"/>
  <c r="RCU9" i="7"/>
  <c r="RCT9" i="7"/>
  <c r="RCS9" i="7"/>
  <c r="RCR9" i="7"/>
  <c r="RCQ9" i="7"/>
  <c r="RCP9" i="7"/>
  <c r="RCO9" i="7"/>
  <c r="RCN9" i="7"/>
  <c r="RCM9" i="7"/>
  <c r="RCL9" i="7"/>
  <c r="RCK9" i="7"/>
  <c r="RCJ9" i="7"/>
  <c r="RCI9" i="7"/>
  <c r="RCH9" i="7"/>
  <c r="RCG9" i="7"/>
  <c r="RCF9" i="7"/>
  <c r="RCE9" i="7"/>
  <c r="RCD9" i="7"/>
  <c r="RCC9" i="7"/>
  <c r="RCB9" i="7"/>
  <c r="RCA9" i="7"/>
  <c r="RBZ9" i="7"/>
  <c r="RBY9" i="7"/>
  <c r="RBX9" i="7"/>
  <c r="RBW9" i="7"/>
  <c r="RBV9" i="7"/>
  <c r="RBU9" i="7"/>
  <c r="RBT9" i="7"/>
  <c r="RBS9" i="7"/>
  <c r="RBR9" i="7"/>
  <c r="RBQ9" i="7"/>
  <c r="RBP9" i="7"/>
  <c r="RBO9" i="7"/>
  <c r="RBN9" i="7"/>
  <c r="RBM9" i="7"/>
  <c r="RBL9" i="7"/>
  <c r="RBK9" i="7"/>
  <c r="RBJ9" i="7"/>
  <c r="RBI9" i="7"/>
  <c r="RBH9" i="7"/>
  <c r="RBG9" i="7"/>
  <c r="RBF9" i="7"/>
  <c r="RBE9" i="7"/>
  <c r="RBD9" i="7"/>
  <c r="RBC9" i="7"/>
  <c r="RBB9" i="7"/>
  <c r="RBA9" i="7"/>
  <c r="RAZ9" i="7"/>
  <c r="RAY9" i="7"/>
  <c r="RAX9" i="7"/>
  <c r="RAW9" i="7"/>
  <c r="RAV9" i="7"/>
  <c r="RAU9" i="7"/>
  <c r="RAT9" i="7"/>
  <c r="RAS9" i="7"/>
  <c r="RAR9" i="7"/>
  <c r="RAQ9" i="7"/>
  <c r="RAP9" i="7"/>
  <c r="RAO9" i="7"/>
  <c r="RAN9" i="7"/>
  <c r="RAM9" i="7"/>
  <c r="RAL9" i="7"/>
  <c r="RAK9" i="7"/>
  <c r="RAJ9" i="7"/>
  <c r="RAI9" i="7"/>
  <c r="RAH9" i="7"/>
  <c r="RAG9" i="7"/>
  <c r="RAF9" i="7"/>
  <c r="RAE9" i="7"/>
  <c r="RAD9" i="7"/>
  <c r="RAC9" i="7"/>
  <c r="RAB9" i="7"/>
  <c r="RAA9" i="7"/>
  <c r="QZZ9" i="7"/>
  <c r="QZY9" i="7"/>
  <c r="QZX9" i="7"/>
  <c r="QZW9" i="7"/>
  <c r="QZV9" i="7"/>
  <c r="QZU9" i="7"/>
  <c r="QZT9" i="7"/>
  <c r="QZS9" i="7"/>
  <c r="QZR9" i="7"/>
  <c r="QZQ9" i="7"/>
  <c r="QZP9" i="7"/>
  <c r="QZO9" i="7"/>
  <c r="QZN9" i="7"/>
  <c r="QZM9" i="7"/>
  <c r="QZL9" i="7"/>
  <c r="QZK9" i="7"/>
  <c r="QZJ9" i="7"/>
  <c r="QZI9" i="7"/>
  <c r="QZH9" i="7"/>
  <c r="QZG9" i="7"/>
  <c r="QZF9" i="7"/>
  <c r="QZE9" i="7"/>
  <c r="QZD9" i="7"/>
  <c r="QZC9" i="7"/>
  <c r="QZB9" i="7"/>
  <c r="QZA9" i="7"/>
  <c r="QYZ9" i="7"/>
  <c r="QYY9" i="7"/>
  <c r="QYX9" i="7"/>
  <c r="QYW9" i="7"/>
  <c r="QYV9" i="7"/>
  <c r="QYU9" i="7"/>
  <c r="QYT9" i="7"/>
  <c r="QYS9" i="7"/>
  <c r="QYR9" i="7"/>
  <c r="QYQ9" i="7"/>
  <c r="QYP9" i="7"/>
  <c r="QYO9" i="7"/>
  <c r="QYN9" i="7"/>
  <c r="QYM9" i="7"/>
  <c r="QYL9" i="7"/>
  <c r="QYK9" i="7"/>
  <c r="QYJ9" i="7"/>
  <c r="QYI9" i="7"/>
  <c r="QYH9" i="7"/>
  <c r="QYG9" i="7"/>
  <c r="QYF9" i="7"/>
  <c r="QYE9" i="7"/>
  <c r="QYD9" i="7"/>
  <c r="QYC9" i="7"/>
  <c r="QYB9" i="7"/>
  <c r="QYA9" i="7"/>
  <c r="QXZ9" i="7"/>
  <c r="QXY9" i="7"/>
  <c r="QXX9" i="7"/>
  <c r="QXW9" i="7"/>
  <c r="QXV9" i="7"/>
  <c r="QXU9" i="7"/>
  <c r="QXT9" i="7"/>
  <c r="QXS9" i="7"/>
  <c r="QXR9" i="7"/>
  <c r="QXQ9" i="7"/>
  <c r="QXP9" i="7"/>
  <c r="QXO9" i="7"/>
  <c r="QXN9" i="7"/>
  <c r="QXM9" i="7"/>
  <c r="QXL9" i="7"/>
  <c r="QXK9" i="7"/>
  <c r="QXJ9" i="7"/>
  <c r="QXI9" i="7"/>
  <c r="QXH9" i="7"/>
  <c r="QXG9" i="7"/>
  <c r="QXF9" i="7"/>
  <c r="QXE9" i="7"/>
  <c r="QXD9" i="7"/>
  <c r="QXC9" i="7"/>
  <c r="QXB9" i="7"/>
  <c r="QXA9" i="7"/>
  <c r="QWZ9" i="7"/>
  <c r="QWY9" i="7"/>
  <c r="QWX9" i="7"/>
  <c r="QWW9" i="7"/>
  <c r="QWV9" i="7"/>
  <c r="QWU9" i="7"/>
  <c r="QWT9" i="7"/>
  <c r="QWS9" i="7"/>
  <c r="QWR9" i="7"/>
  <c r="QWQ9" i="7"/>
  <c r="QWP9" i="7"/>
  <c r="QWO9" i="7"/>
  <c r="QWN9" i="7"/>
  <c r="QWM9" i="7"/>
  <c r="QWL9" i="7"/>
  <c r="QWK9" i="7"/>
  <c r="QWJ9" i="7"/>
  <c r="QWI9" i="7"/>
  <c r="QWH9" i="7"/>
  <c r="QWG9" i="7"/>
  <c r="QWF9" i="7"/>
  <c r="QWE9" i="7"/>
  <c r="QWD9" i="7"/>
  <c r="QWC9" i="7"/>
  <c r="QWB9" i="7"/>
  <c r="QWA9" i="7"/>
  <c r="QVZ9" i="7"/>
  <c r="QVY9" i="7"/>
  <c r="QVX9" i="7"/>
  <c r="QVW9" i="7"/>
  <c r="QVV9" i="7"/>
  <c r="QVU9" i="7"/>
  <c r="QVT9" i="7"/>
  <c r="QVS9" i="7"/>
  <c r="QVR9" i="7"/>
  <c r="QVQ9" i="7"/>
  <c r="QVP9" i="7"/>
  <c r="QVO9" i="7"/>
  <c r="QVN9" i="7"/>
  <c r="QVM9" i="7"/>
  <c r="QVL9" i="7"/>
  <c r="QVK9" i="7"/>
  <c r="QVJ9" i="7"/>
  <c r="QVI9" i="7"/>
  <c r="QVH9" i="7"/>
  <c r="QVG9" i="7"/>
  <c r="QVF9" i="7"/>
  <c r="QVE9" i="7"/>
  <c r="QVD9" i="7"/>
  <c r="QVC9" i="7"/>
  <c r="QVB9" i="7"/>
  <c r="QVA9" i="7"/>
  <c r="QUZ9" i="7"/>
  <c r="QUY9" i="7"/>
  <c r="QUX9" i="7"/>
  <c r="QUW9" i="7"/>
  <c r="QUV9" i="7"/>
  <c r="QUU9" i="7"/>
  <c r="QUT9" i="7"/>
  <c r="QUS9" i="7"/>
  <c r="QUR9" i="7"/>
  <c r="QUQ9" i="7"/>
  <c r="QUP9" i="7"/>
  <c r="QUO9" i="7"/>
  <c r="QUN9" i="7"/>
  <c r="QUM9" i="7"/>
  <c r="QUL9" i="7"/>
  <c r="QUK9" i="7"/>
  <c r="QUJ9" i="7"/>
  <c r="QUI9" i="7"/>
  <c r="QUH9" i="7"/>
  <c r="QUG9" i="7"/>
  <c r="QUF9" i="7"/>
  <c r="QUE9" i="7"/>
  <c r="QUD9" i="7"/>
  <c r="QUC9" i="7"/>
  <c r="QUB9" i="7"/>
  <c r="QUA9" i="7"/>
  <c r="QTZ9" i="7"/>
  <c r="QTY9" i="7"/>
  <c r="QTX9" i="7"/>
  <c r="QTW9" i="7"/>
  <c r="QTV9" i="7"/>
  <c r="QTU9" i="7"/>
  <c r="QTT9" i="7"/>
  <c r="QTS9" i="7"/>
  <c r="QTR9" i="7"/>
  <c r="QTQ9" i="7"/>
  <c r="QTP9" i="7"/>
  <c r="QTO9" i="7"/>
  <c r="QTN9" i="7"/>
  <c r="QTM9" i="7"/>
  <c r="QTL9" i="7"/>
  <c r="QTK9" i="7"/>
  <c r="QTJ9" i="7"/>
  <c r="QTI9" i="7"/>
  <c r="QTH9" i="7"/>
  <c r="QTG9" i="7"/>
  <c r="QTF9" i="7"/>
  <c r="QTE9" i="7"/>
  <c r="QTD9" i="7"/>
  <c r="QTC9" i="7"/>
  <c r="QTB9" i="7"/>
  <c r="QTA9" i="7"/>
  <c r="QSZ9" i="7"/>
  <c r="QSY9" i="7"/>
  <c r="QSX9" i="7"/>
  <c r="QSW9" i="7"/>
  <c r="QSV9" i="7"/>
  <c r="QSU9" i="7"/>
  <c r="QST9" i="7"/>
  <c r="QSS9" i="7"/>
  <c r="QSR9" i="7"/>
  <c r="QSQ9" i="7"/>
  <c r="QSP9" i="7"/>
  <c r="QSO9" i="7"/>
  <c r="QSN9" i="7"/>
  <c r="QSM9" i="7"/>
  <c r="QSL9" i="7"/>
  <c r="QSK9" i="7"/>
  <c r="QSJ9" i="7"/>
  <c r="QSI9" i="7"/>
  <c r="QSH9" i="7"/>
  <c r="QSG9" i="7"/>
  <c r="QSF9" i="7"/>
  <c r="QSE9" i="7"/>
  <c r="QSD9" i="7"/>
  <c r="QSC9" i="7"/>
  <c r="QSB9" i="7"/>
  <c r="QSA9" i="7"/>
  <c r="QRZ9" i="7"/>
  <c r="QRY9" i="7"/>
  <c r="QRX9" i="7"/>
  <c r="QRW9" i="7"/>
  <c r="QRV9" i="7"/>
  <c r="QRU9" i="7"/>
  <c r="QRT9" i="7"/>
  <c r="QRS9" i="7"/>
  <c r="QRR9" i="7"/>
  <c r="QRQ9" i="7"/>
  <c r="QRP9" i="7"/>
  <c r="QRO9" i="7"/>
  <c r="QRN9" i="7"/>
  <c r="QRM9" i="7"/>
  <c r="QRL9" i="7"/>
  <c r="QRK9" i="7"/>
  <c r="QRJ9" i="7"/>
  <c r="QRI9" i="7"/>
  <c r="QRH9" i="7"/>
  <c r="QRG9" i="7"/>
  <c r="QRF9" i="7"/>
  <c r="QRE9" i="7"/>
  <c r="QRD9" i="7"/>
  <c r="QRC9" i="7"/>
  <c r="QRB9" i="7"/>
  <c r="QRA9" i="7"/>
  <c r="QQZ9" i="7"/>
  <c r="QQY9" i="7"/>
  <c r="QQX9" i="7"/>
  <c r="QQW9" i="7"/>
  <c r="QQV9" i="7"/>
  <c r="QQU9" i="7"/>
  <c r="QQT9" i="7"/>
  <c r="QQS9" i="7"/>
  <c r="QQR9" i="7"/>
  <c r="QQQ9" i="7"/>
  <c r="QQP9" i="7"/>
  <c r="QQO9" i="7"/>
  <c r="QQN9" i="7"/>
  <c r="QQM9" i="7"/>
  <c r="QQL9" i="7"/>
  <c r="QQK9" i="7"/>
  <c r="QQJ9" i="7"/>
  <c r="QQI9" i="7"/>
  <c r="QQH9" i="7"/>
  <c r="QQG9" i="7"/>
  <c r="QQF9" i="7"/>
  <c r="QQE9" i="7"/>
  <c r="QQD9" i="7"/>
  <c r="QQC9" i="7"/>
  <c r="QQB9" i="7"/>
  <c r="QQA9" i="7"/>
  <c r="QPZ9" i="7"/>
  <c r="QPY9" i="7"/>
  <c r="QPX9" i="7"/>
  <c r="QPW9" i="7"/>
  <c r="QPV9" i="7"/>
  <c r="QPU9" i="7"/>
  <c r="QPT9" i="7"/>
  <c r="QPS9" i="7"/>
  <c r="QPR9" i="7"/>
  <c r="QPQ9" i="7"/>
  <c r="QPP9" i="7"/>
  <c r="QPO9" i="7"/>
  <c r="QPN9" i="7"/>
  <c r="QPM9" i="7"/>
  <c r="QPL9" i="7"/>
  <c r="QPK9" i="7"/>
  <c r="QPJ9" i="7"/>
  <c r="QPI9" i="7"/>
  <c r="QPH9" i="7"/>
  <c r="QPG9" i="7"/>
  <c r="QPF9" i="7"/>
  <c r="QPE9" i="7"/>
  <c r="QPD9" i="7"/>
  <c r="QPC9" i="7"/>
  <c r="QPB9" i="7"/>
  <c r="QPA9" i="7"/>
  <c r="QOZ9" i="7"/>
  <c r="QOY9" i="7"/>
  <c r="QOX9" i="7"/>
  <c r="QOW9" i="7"/>
  <c r="QOV9" i="7"/>
  <c r="QOU9" i="7"/>
  <c r="QOT9" i="7"/>
  <c r="QOS9" i="7"/>
  <c r="QOR9" i="7"/>
  <c r="QOQ9" i="7"/>
  <c r="QOP9" i="7"/>
  <c r="QOO9" i="7"/>
  <c r="QON9" i="7"/>
  <c r="QOM9" i="7"/>
  <c r="QOL9" i="7"/>
  <c r="QOK9" i="7"/>
  <c r="QOJ9" i="7"/>
  <c r="QOI9" i="7"/>
  <c r="QOH9" i="7"/>
  <c r="QOG9" i="7"/>
  <c r="QOF9" i="7"/>
  <c r="QOE9" i="7"/>
  <c r="QOD9" i="7"/>
  <c r="QOC9" i="7"/>
  <c r="QOB9" i="7"/>
  <c r="QOA9" i="7"/>
  <c r="QNZ9" i="7"/>
  <c r="QNY9" i="7"/>
  <c r="QNX9" i="7"/>
  <c r="QNW9" i="7"/>
  <c r="QNV9" i="7"/>
  <c r="QNU9" i="7"/>
  <c r="QNT9" i="7"/>
  <c r="QNS9" i="7"/>
  <c r="QNR9" i="7"/>
  <c r="QNQ9" i="7"/>
  <c r="QNP9" i="7"/>
  <c r="QNO9" i="7"/>
  <c r="QNN9" i="7"/>
  <c r="QNM9" i="7"/>
  <c r="QNL9" i="7"/>
  <c r="QNK9" i="7"/>
  <c r="QNJ9" i="7"/>
  <c r="QNI9" i="7"/>
  <c r="QNH9" i="7"/>
  <c r="QNG9" i="7"/>
  <c r="QNF9" i="7"/>
  <c r="QNE9" i="7"/>
  <c r="QND9" i="7"/>
  <c r="QNC9" i="7"/>
  <c r="QNB9" i="7"/>
  <c r="QNA9" i="7"/>
  <c r="QMZ9" i="7"/>
  <c r="QMY9" i="7"/>
  <c r="QMX9" i="7"/>
  <c r="QMW9" i="7"/>
  <c r="QMV9" i="7"/>
  <c r="QMU9" i="7"/>
  <c r="QMT9" i="7"/>
  <c r="QMS9" i="7"/>
  <c r="QMR9" i="7"/>
  <c r="QMQ9" i="7"/>
  <c r="QMP9" i="7"/>
  <c r="QMO9" i="7"/>
  <c r="QMN9" i="7"/>
  <c r="QMM9" i="7"/>
  <c r="QML9" i="7"/>
  <c r="QMK9" i="7"/>
  <c r="QMJ9" i="7"/>
  <c r="QMI9" i="7"/>
  <c r="QMH9" i="7"/>
  <c r="QMG9" i="7"/>
  <c r="QMF9" i="7"/>
  <c r="QME9" i="7"/>
  <c r="QMD9" i="7"/>
  <c r="QMC9" i="7"/>
  <c r="QMB9" i="7"/>
  <c r="QMA9" i="7"/>
  <c r="QLZ9" i="7"/>
  <c r="QLY9" i="7"/>
  <c r="QLX9" i="7"/>
  <c r="QLW9" i="7"/>
  <c r="QLV9" i="7"/>
  <c r="QLU9" i="7"/>
  <c r="QLT9" i="7"/>
  <c r="QLS9" i="7"/>
  <c r="QLR9" i="7"/>
  <c r="QLQ9" i="7"/>
  <c r="QLP9" i="7"/>
  <c r="QLO9" i="7"/>
  <c r="QLN9" i="7"/>
  <c r="QLM9" i="7"/>
  <c r="QLL9" i="7"/>
  <c r="QLK9" i="7"/>
  <c r="QLJ9" i="7"/>
  <c r="QLI9" i="7"/>
  <c r="QLH9" i="7"/>
  <c r="QLG9" i="7"/>
  <c r="QLF9" i="7"/>
  <c r="QLE9" i="7"/>
  <c r="QLD9" i="7"/>
  <c r="QLC9" i="7"/>
  <c r="QLB9" i="7"/>
  <c r="QLA9" i="7"/>
  <c r="QKZ9" i="7"/>
  <c r="QKY9" i="7"/>
  <c r="QKX9" i="7"/>
  <c r="QKW9" i="7"/>
  <c r="QKV9" i="7"/>
  <c r="QKU9" i="7"/>
  <c r="QKT9" i="7"/>
  <c r="QKS9" i="7"/>
  <c r="QKR9" i="7"/>
  <c r="QKQ9" i="7"/>
  <c r="QKP9" i="7"/>
  <c r="QKO9" i="7"/>
  <c r="QKN9" i="7"/>
  <c r="QKM9" i="7"/>
  <c r="QKL9" i="7"/>
  <c r="QKK9" i="7"/>
  <c r="QKJ9" i="7"/>
  <c r="QKI9" i="7"/>
  <c r="QKH9" i="7"/>
  <c r="QKG9" i="7"/>
  <c r="QKF9" i="7"/>
  <c r="QKE9" i="7"/>
  <c r="QKD9" i="7"/>
  <c r="QKC9" i="7"/>
  <c r="QKB9" i="7"/>
  <c r="QKA9" i="7"/>
  <c r="QJZ9" i="7"/>
  <c r="QJY9" i="7"/>
  <c r="QJX9" i="7"/>
  <c r="QJW9" i="7"/>
  <c r="QJV9" i="7"/>
  <c r="QJU9" i="7"/>
  <c r="QJT9" i="7"/>
  <c r="QJS9" i="7"/>
  <c r="QJR9" i="7"/>
  <c r="QJQ9" i="7"/>
  <c r="QJP9" i="7"/>
  <c r="QJO9" i="7"/>
  <c r="QJN9" i="7"/>
  <c r="QJM9" i="7"/>
  <c r="QJL9" i="7"/>
  <c r="QJK9" i="7"/>
  <c r="QJJ9" i="7"/>
  <c r="QJI9" i="7"/>
  <c r="QJH9" i="7"/>
  <c r="QJG9" i="7"/>
  <c r="QJF9" i="7"/>
  <c r="QJE9" i="7"/>
  <c r="QJD9" i="7"/>
  <c r="QJC9" i="7"/>
  <c r="QJB9" i="7"/>
  <c r="QJA9" i="7"/>
  <c r="QIZ9" i="7"/>
  <c r="QIY9" i="7"/>
  <c r="QIX9" i="7"/>
  <c r="QIW9" i="7"/>
  <c r="QIV9" i="7"/>
  <c r="QIU9" i="7"/>
  <c r="QIT9" i="7"/>
  <c r="QIS9" i="7"/>
  <c r="QIR9" i="7"/>
  <c r="QIQ9" i="7"/>
  <c r="QIP9" i="7"/>
  <c r="QIO9" i="7"/>
  <c r="QIN9" i="7"/>
  <c r="QIM9" i="7"/>
  <c r="QIL9" i="7"/>
  <c r="QIK9" i="7"/>
  <c r="QIJ9" i="7"/>
  <c r="QII9" i="7"/>
  <c r="QIH9" i="7"/>
  <c r="QIG9" i="7"/>
  <c r="QIF9" i="7"/>
  <c r="QIE9" i="7"/>
  <c r="QID9" i="7"/>
  <c r="QIC9" i="7"/>
  <c r="QIB9" i="7"/>
  <c r="QIA9" i="7"/>
  <c r="QHZ9" i="7"/>
  <c r="QHY9" i="7"/>
  <c r="QHX9" i="7"/>
  <c r="QHW9" i="7"/>
  <c r="QHV9" i="7"/>
  <c r="QHU9" i="7"/>
  <c r="QHT9" i="7"/>
  <c r="QHS9" i="7"/>
  <c r="QHR9" i="7"/>
  <c r="QHQ9" i="7"/>
  <c r="QHP9" i="7"/>
  <c r="QHO9" i="7"/>
  <c r="QHN9" i="7"/>
  <c r="QHM9" i="7"/>
  <c r="QHL9" i="7"/>
  <c r="QHK9" i="7"/>
  <c r="QHJ9" i="7"/>
  <c r="QHI9" i="7"/>
  <c r="QHH9" i="7"/>
  <c r="QHG9" i="7"/>
  <c r="QHF9" i="7"/>
  <c r="QHE9" i="7"/>
  <c r="QHD9" i="7"/>
  <c r="QHC9" i="7"/>
  <c r="QHB9" i="7"/>
  <c r="QHA9" i="7"/>
  <c r="QGZ9" i="7"/>
  <c r="QGY9" i="7"/>
  <c r="QGX9" i="7"/>
  <c r="QGW9" i="7"/>
  <c r="QGV9" i="7"/>
  <c r="QGU9" i="7"/>
  <c r="QGT9" i="7"/>
  <c r="QGS9" i="7"/>
  <c r="QGR9" i="7"/>
  <c r="QGQ9" i="7"/>
  <c r="QGP9" i="7"/>
  <c r="QGO9" i="7"/>
  <c r="QGN9" i="7"/>
  <c r="QGM9" i="7"/>
  <c r="QGL9" i="7"/>
  <c r="QGK9" i="7"/>
  <c r="QGJ9" i="7"/>
  <c r="QGI9" i="7"/>
  <c r="QGH9" i="7"/>
  <c r="QGG9" i="7"/>
  <c r="QGF9" i="7"/>
  <c r="QGE9" i="7"/>
  <c r="QGD9" i="7"/>
  <c r="QGC9" i="7"/>
  <c r="QGB9" i="7"/>
  <c r="QGA9" i="7"/>
  <c r="QFZ9" i="7"/>
  <c r="QFY9" i="7"/>
  <c r="QFX9" i="7"/>
  <c r="QFW9" i="7"/>
  <c r="QFV9" i="7"/>
  <c r="QFU9" i="7"/>
  <c r="QFT9" i="7"/>
  <c r="QFS9" i="7"/>
  <c r="QFR9" i="7"/>
  <c r="QFQ9" i="7"/>
  <c r="QFP9" i="7"/>
  <c r="QFO9" i="7"/>
  <c r="QFN9" i="7"/>
  <c r="QFM9" i="7"/>
  <c r="QFL9" i="7"/>
  <c r="QFK9" i="7"/>
  <c r="QFJ9" i="7"/>
  <c r="QFI9" i="7"/>
  <c r="QFH9" i="7"/>
  <c r="QFG9" i="7"/>
  <c r="QFF9" i="7"/>
  <c r="QFE9" i="7"/>
  <c r="QFD9" i="7"/>
  <c r="QFC9" i="7"/>
  <c r="QFB9" i="7"/>
  <c r="QFA9" i="7"/>
  <c r="QEZ9" i="7"/>
  <c r="QEY9" i="7"/>
  <c r="QEX9" i="7"/>
  <c r="QEW9" i="7"/>
  <c r="QEV9" i="7"/>
  <c r="QEU9" i="7"/>
  <c r="QET9" i="7"/>
  <c r="QES9" i="7"/>
  <c r="QER9" i="7"/>
  <c r="QEQ9" i="7"/>
  <c r="QEP9" i="7"/>
  <c r="QEO9" i="7"/>
  <c r="QEN9" i="7"/>
  <c r="QEM9" i="7"/>
  <c r="QEL9" i="7"/>
  <c r="QEK9" i="7"/>
  <c r="QEJ9" i="7"/>
  <c r="QEI9" i="7"/>
  <c r="QEH9" i="7"/>
  <c r="QEG9" i="7"/>
  <c r="QEF9" i="7"/>
  <c r="QEE9" i="7"/>
  <c r="QED9" i="7"/>
  <c r="QEC9" i="7"/>
  <c r="QEB9" i="7"/>
  <c r="QEA9" i="7"/>
  <c r="QDZ9" i="7"/>
  <c r="QDY9" i="7"/>
  <c r="QDX9" i="7"/>
  <c r="QDW9" i="7"/>
  <c r="QDV9" i="7"/>
  <c r="QDU9" i="7"/>
  <c r="QDT9" i="7"/>
  <c r="QDS9" i="7"/>
  <c r="QDR9" i="7"/>
  <c r="QDQ9" i="7"/>
  <c r="QDP9" i="7"/>
  <c r="QDO9" i="7"/>
  <c r="QDN9" i="7"/>
  <c r="QDM9" i="7"/>
  <c r="QDL9" i="7"/>
  <c r="QDK9" i="7"/>
  <c r="QDJ9" i="7"/>
  <c r="QDI9" i="7"/>
  <c r="QDH9" i="7"/>
  <c r="QDG9" i="7"/>
  <c r="QDF9" i="7"/>
  <c r="QDE9" i="7"/>
  <c r="QDD9" i="7"/>
  <c r="QDC9" i="7"/>
  <c r="QDB9" i="7"/>
  <c r="QDA9" i="7"/>
  <c r="QCZ9" i="7"/>
  <c r="QCY9" i="7"/>
  <c r="QCX9" i="7"/>
  <c r="QCW9" i="7"/>
  <c r="QCV9" i="7"/>
  <c r="QCU9" i="7"/>
  <c r="QCT9" i="7"/>
  <c r="QCS9" i="7"/>
  <c r="QCR9" i="7"/>
  <c r="QCQ9" i="7"/>
  <c r="QCP9" i="7"/>
  <c r="QCO9" i="7"/>
  <c r="QCN9" i="7"/>
  <c r="QCM9" i="7"/>
  <c r="QCL9" i="7"/>
  <c r="QCK9" i="7"/>
  <c r="QCJ9" i="7"/>
  <c r="QCI9" i="7"/>
  <c r="QCH9" i="7"/>
  <c r="QCG9" i="7"/>
  <c r="QCF9" i="7"/>
  <c r="QCE9" i="7"/>
  <c r="QCD9" i="7"/>
  <c r="QCC9" i="7"/>
  <c r="QCB9" i="7"/>
  <c r="QCA9" i="7"/>
  <c r="QBZ9" i="7"/>
  <c r="QBY9" i="7"/>
  <c r="QBX9" i="7"/>
  <c r="QBW9" i="7"/>
  <c r="QBV9" i="7"/>
  <c r="QBU9" i="7"/>
  <c r="QBT9" i="7"/>
  <c r="QBS9" i="7"/>
  <c r="QBR9" i="7"/>
  <c r="QBQ9" i="7"/>
  <c r="QBP9" i="7"/>
  <c r="QBO9" i="7"/>
  <c r="QBN9" i="7"/>
  <c r="QBM9" i="7"/>
  <c r="QBL9" i="7"/>
  <c r="QBK9" i="7"/>
  <c r="QBJ9" i="7"/>
  <c r="QBI9" i="7"/>
  <c r="QBH9" i="7"/>
  <c r="QBG9" i="7"/>
  <c r="QBF9" i="7"/>
  <c r="QBE9" i="7"/>
  <c r="QBD9" i="7"/>
  <c r="QBC9" i="7"/>
  <c r="QBB9" i="7"/>
  <c r="QBA9" i="7"/>
  <c r="QAZ9" i="7"/>
  <c r="QAY9" i="7"/>
  <c r="QAX9" i="7"/>
  <c r="QAW9" i="7"/>
  <c r="QAV9" i="7"/>
  <c r="QAU9" i="7"/>
  <c r="QAT9" i="7"/>
  <c r="QAS9" i="7"/>
  <c r="QAR9" i="7"/>
  <c r="QAQ9" i="7"/>
  <c r="QAP9" i="7"/>
  <c r="QAO9" i="7"/>
  <c r="QAN9" i="7"/>
  <c r="QAM9" i="7"/>
  <c r="QAL9" i="7"/>
  <c r="QAK9" i="7"/>
  <c r="QAJ9" i="7"/>
  <c r="QAI9" i="7"/>
  <c r="QAH9" i="7"/>
  <c r="QAG9" i="7"/>
  <c r="QAF9" i="7"/>
  <c r="QAE9" i="7"/>
  <c r="QAD9" i="7"/>
  <c r="QAC9" i="7"/>
  <c r="QAB9" i="7"/>
  <c r="QAA9" i="7"/>
  <c r="PZZ9" i="7"/>
  <c r="PZY9" i="7"/>
  <c r="PZX9" i="7"/>
  <c r="PZW9" i="7"/>
  <c r="PZV9" i="7"/>
  <c r="PZU9" i="7"/>
  <c r="PZT9" i="7"/>
  <c r="PZS9" i="7"/>
  <c r="PZR9" i="7"/>
  <c r="PZQ9" i="7"/>
  <c r="PZP9" i="7"/>
  <c r="PZO9" i="7"/>
  <c r="PZN9" i="7"/>
  <c r="PZM9" i="7"/>
  <c r="PZL9" i="7"/>
  <c r="PZK9" i="7"/>
  <c r="PZJ9" i="7"/>
  <c r="PZI9" i="7"/>
  <c r="PZH9" i="7"/>
  <c r="PZG9" i="7"/>
  <c r="PZF9" i="7"/>
  <c r="PZE9" i="7"/>
  <c r="PZD9" i="7"/>
  <c r="PZC9" i="7"/>
  <c r="PZB9" i="7"/>
  <c r="PZA9" i="7"/>
  <c r="PYZ9" i="7"/>
  <c r="PYY9" i="7"/>
  <c r="PYX9" i="7"/>
  <c r="PYW9" i="7"/>
  <c r="PYV9" i="7"/>
  <c r="PYU9" i="7"/>
  <c r="PYT9" i="7"/>
  <c r="PYS9" i="7"/>
  <c r="PYR9" i="7"/>
  <c r="PYQ9" i="7"/>
  <c r="PYP9" i="7"/>
  <c r="PYO9" i="7"/>
  <c r="PYN9" i="7"/>
  <c r="PYM9" i="7"/>
  <c r="PYL9" i="7"/>
  <c r="PYK9" i="7"/>
  <c r="PYJ9" i="7"/>
  <c r="PYI9" i="7"/>
  <c r="PYH9" i="7"/>
  <c r="PYG9" i="7"/>
  <c r="PYF9" i="7"/>
  <c r="PYE9" i="7"/>
  <c r="PYD9" i="7"/>
  <c r="PYC9" i="7"/>
  <c r="PYB9" i="7"/>
  <c r="PYA9" i="7"/>
  <c r="PXZ9" i="7"/>
  <c r="PXY9" i="7"/>
  <c r="PXX9" i="7"/>
  <c r="PXW9" i="7"/>
  <c r="PXV9" i="7"/>
  <c r="PXU9" i="7"/>
  <c r="PXT9" i="7"/>
  <c r="PXS9" i="7"/>
  <c r="PXR9" i="7"/>
  <c r="PXQ9" i="7"/>
  <c r="PXP9" i="7"/>
  <c r="PXO9" i="7"/>
  <c r="PXN9" i="7"/>
  <c r="PXM9" i="7"/>
  <c r="PXL9" i="7"/>
  <c r="PXK9" i="7"/>
  <c r="PXJ9" i="7"/>
  <c r="PXI9" i="7"/>
  <c r="PXH9" i="7"/>
  <c r="PXG9" i="7"/>
  <c r="PXF9" i="7"/>
  <c r="PXE9" i="7"/>
  <c r="PXD9" i="7"/>
  <c r="PXC9" i="7"/>
  <c r="PXB9" i="7"/>
  <c r="PXA9" i="7"/>
  <c r="PWZ9" i="7"/>
  <c r="PWY9" i="7"/>
  <c r="PWX9" i="7"/>
  <c r="PWW9" i="7"/>
  <c r="PWV9" i="7"/>
  <c r="PWU9" i="7"/>
  <c r="PWT9" i="7"/>
  <c r="PWS9" i="7"/>
  <c r="PWR9" i="7"/>
  <c r="PWQ9" i="7"/>
  <c r="PWP9" i="7"/>
  <c r="PWO9" i="7"/>
  <c r="PWN9" i="7"/>
  <c r="PWM9" i="7"/>
  <c r="PWL9" i="7"/>
  <c r="PWK9" i="7"/>
  <c r="PWJ9" i="7"/>
  <c r="PWI9" i="7"/>
  <c r="PWH9" i="7"/>
  <c r="PWG9" i="7"/>
  <c r="PWF9" i="7"/>
  <c r="PWE9" i="7"/>
  <c r="PWD9" i="7"/>
  <c r="PWC9" i="7"/>
  <c r="PWB9" i="7"/>
  <c r="PWA9" i="7"/>
  <c r="PVZ9" i="7"/>
  <c r="PVY9" i="7"/>
  <c r="PVX9" i="7"/>
  <c r="PVW9" i="7"/>
  <c r="PVV9" i="7"/>
  <c r="PVU9" i="7"/>
  <c r="PVT9" i="7"/>
  <c r="PVS9" i="7"/>
  <c r="PVR9" i="7"/>
  <c r="PVQ9" i="7"/>
  <c r="PVP9" i="7"/>
  <c r="PVO9" i="7"/>
  <c r="PVN9" i="7"/>
  <c r="PVM9" i="7"/>
  <c r="PVL9" i="7"/>
  <c r="PVK9" i="7"/>
  <c r="PVJ9" i="7"/>
  <c r="PVI9" i="7"/>
  <c r="PVH9" i="7"/>
  <c r="PVG9" i="7"/>
  <c r="PVF9" i="7"/>
  <c r="PVE9" i="7"/>
  <c r="PVD9" i="7"/>
  <c r="PVC9" i="7"/>
  <c r="PVB9" i="7"/>
  <c r="PVA9" i="7"/>
  <c r="PUZ9" i="7"/>
  <c r="PUY9" i="7"/>
  <c r="PUX9" i="7"/>
  <c r="PUW9" i="7"/>
  <c r="PUV9" i="7"/>
  <c r="PUU9" i="7"/>
  <c r="PUT9" i="7"/>
  <c r="PUS9" i="7"/>
  <c r="PUR9" i="7"/>
  <c r="PUQ9" i="7"/>
  <c r="PUP9" i="7"/>
  <c r="PUO9" i="7"/>
  <c r="PUN9" i="7"/>
  <c r="PUM9" i="7"/>
  <c r="PUL9" i="7"/>
  <c r="PUK9" i="7"/>
  <c r="PUJ9" i="7"/>
  <c r="PUI9" i="7"/>
  <c r="PUH9" i="7"/>
  <c r="PUG9" i="7"/>
  <c r="PUF9" i="7"/>
  <c r="PUE9" i="7"/>
  <c r="PUD9" i="7"/>
  <c r="PUC9" i="7"/>
  <c r="PUB9" i="7"/>
  <c r="PUA9" i="7"/>
  <c r="PTZ9" i="7"/>
  <c r="PTY9" i="7"/>
  <c r="PTX9" i="7"/>
  <c r="PTW9" i="7"/>
  <c r="PTV9" i="7"/>
  <c r="PTU9" i="7"/>
  <c r="PTT9" i="7"/>
  <c r="PTS9" i="7"/>
  <c r="PTR9" i="7"/>
  <c r="PTQ9" i="7"/>
  <c r="PTP9" i="7"/>
  <c r="PTO9" i="7"/>
  <c r="PTN9" i="7"/>
  <c r="PTM9" i="7"/>
  <c r="PTL9" i="7"/>
  <c r="PTK9" i="7"/>
  <c r="PTJ9" i="7"/>
  <c r="PTI9" i="7"/>
  <c r="PTH9" i="7"/>
  <c r="PTG9" i="7"/>
  <c r="PTF9" i="7"/>
  <c r="PTE9" i="7"/>
  <c r="PTD9" i="7"/>
  <c r="PTC9" i="7"/>
  <c r="PTB9" i="7"/>
  <c r="PTA9" i="7"/>
  <c r="PSZ9" i="7"/>
  <c r="PSY9" i="7"/>
  <c r="PSX9" i="7"/>
  <c r="PSW9" i="7"/>
  <c r="PSV9" i="7"/>
  <c r="PSU9" i="7"/>
  <c r="PST9" i="7"/>
  <c r="PSS9" i="7"/>
  <c r="PSR9" i="7"/>
  <c r="PSQ9" i="7"/>
  <c r="PSP9" i="7"/>
  <c r="PSO9" i="7"/>
  <c r="PSN9" i="7"/>
  <c r="PSM9" i="7"/>
  <c r="PSL9" i="7"/>
  <c r="PSK9" i="7"/>
  <c r="PSJ9" i="7"/>
  <c r="PSI9" i="7"/>
  <c r="PSH9" i="7"/>
  <c r="PSG9" i="7"/>
  <c r="PSF9" i="7"/>
  <c r="PSE9" i="7"/>
  <c r="PSD9" i="7"/>
  <c r="PSC9" i="7"/>
  <c r="PSB9" i="7"/>
  <c r="PSA9" i="7"/>
  <c r="PRZ9" i="7"/>
  <c r="PRY9" i="7"/>
  <c r="PRX9" i="7"/>
  <c r="PRW9" i="7"/>
  <c r="PRV9" i="7"/>
  <c r="PRU9" i="7"/>
  <c r="PRT9" i="7"/>
  <c r="PRS9" i="7"/>
  <c r="PRR9" i="7"/>
  <c r="PRQ9" i="7"/>
  <c r="PRP9" i="7"/>
  <c r="PRO9" i="7"/>
  <c r="PRN9" i="7"/>
  <c r="PRM9" i="7"/>
  <c r="PRL9" i="7"/>
  <c r="PRK9" i="7"/>
  <c r="PRJ9" i="7"/>
  <c r="PRI9" i="7"/>
  <c r="PRH9" i="7"/>
  <c r="PRG9" i="7"/>
  <c r="PRF9" i="7"/>
  <c r="PRE9" i="7"/>
  <c r="PRD9" i="7"/>
  <c r="PRC9" i="7"/>
  <c r="PRB9" i="7"/>
  <c r="PRA9" i="7"/>
  <c r="PQZ9" i="7"/>
  <c r="PQY9" i="7"/>
  <c r="PQX9" i="7"/>
  <c r="PQW9" i="7"/>
  <c r="PQV9" i="7"/>
  <c r="PQU9" i="7"/>
  <c r="PQT9" i="7"/>
  <c r="PQS9" i="7"/>
  <c r="PQR9" i="7"/>
  <c r="PQQ9" i="7"/>
  <c r="PQP9" i="7"/>
  <c r="PQO9" i="7"/>
  <c r="PQN9" i="7"/>
  <c r="PQM9" i="7"/>
  <c r="PQL9" i="7"/>
  <c r="PQK9" i="7"/>
  <c r="PQJ9" i="7"/>
  <c r="PQI9" i="7"/>
  <c r="PQH9" i="7"/>
  <c r="PQG9" i="7"/>
  <c r="PQF9" i="7"/>
  <c r="PQE9" i="7"/>
  <c r="PQD9" i="7"/>
  <c r="PQC9" i="7"/>
  <c r="PQB9" i="7"/>
  <c r="PQA9" i="7"/>
  <c r="PPZ9" i="7"/>
  <c r="PPY9" i="7"/>
  <c r="PPX9" i="7"/>
  <c r="PPW9" i="7"/>
  <c r="PPV9" i="7"/>
  <c r="PPU9" i="7"/>
  <c r="PPT9" i="7"/>
  <c r="PPS9" i="7"/>
  <c r="PPR9" i="7"/>
  <c r="PPQ9" i="7"/>
  <c r="PPP9" i="7"/>
  <c r="PPO9" i="7"/>
  <c r="PPN9" i="7"/>
  <c r="PPM9" i="7"/>
  <c r="PPL9" i="7"/>
  <c r="PPK9" i="7"/>
  <c r="PPJ9" i="7"/>
  <c r="PPI9" i="7"/>
  <c r="PPH9" i="7"/>
  <c r="PPG9" i="7"/>
  <c r="PPF9" i="7"/>
  <c r="PPE9" i="7"/>
  <c r="PPD9" i="7"/>
  <c r="PPC9" i="7"/>
  <c r="PPB9" i="7"/>
  <c r="PPA9" i="7"/>
  <c r="POZ9" i="7"/>
  <c r="POY9" i="7"/>
  <c r="POX9" i="7"/>
  <c r="POW9" i="7"/>
  <c r="POV9" i="7"/>
  <c r="POU9" i="7"/>
  <c r="POT9" i="7"/>
  <c r="POS9" i="7"/>
  <c r="POR9" i="7"/>
  <c r="POQ9" i="7"/>
  <c r="POP9" i="7"/>
  <c r="POO9" i="7"/>
  <c r="PON9" i="7"/>
  <c r="POM9" i="7"/>
  <c r="POL9" i="7"/>
  <c r="POK9" i="7"/>
  <c r="POJ9" i="7"/>
  <c r="POI9" i="7"/>
  <c r="POH9" i="7"/>
  <c r="POG9" i="7"/>
  <c r="POF9" i="7"/>
  <c r="POE9" i="7"/>
  <c r="POD9" i="7"/>
  <c r="POC9" i="7"/>
  <c r="POB9" i="7"/>
  <c r="POA9" i="7"/>
  <c r="PNZ9" i="7"/>
  <c r="PNY9" i="7"/>
  <c r="PNX9" i="7"/>
  <c r="PNW9" i="7"/>
  <c r="PNV9" i="7"/>
  <c r="PNU9" i="7"/>
  <c r="PNT9" i="7"/>
  <c r="PNS9" i="7"/>
  <c r="PNR9" i="7"/>
  <c r="PNQ9" i="7"/>
  <c r="PNP9" i="7"/>
  <c r="PNO9" i="7"/>
  <c r="PNN9" i="7"/>
  <c r="PNM9" i="7"/>
  <c r="PNL9" i="7"/>
  <c r="PNK9" i="7"/>
  <c r="PNJ9" i="7"/>
  <c r="PNI9" i="7"/>
  <c r="PNH9" i="7"/>
  <c r="PNG9" i="7"/>
  <c r="PNF9" i="7"/>
  <c r="PNE9" i="7"/>
  <c r="PND9" i="7"/>
  <c r="PNC9" i="7"/>
  <c r="PNB9" i="7"/>
  <c r="PNA9" i="7"/>
  <c r="PMZ9" i="7"/>
  <c r="PMY9" i="7"/>
  <c r="PMX9" i="7"/>
  <c r="PMW9" i="7"/>
  <c r="PMV9" i="7"/>
  <c r="PMU9" i="7"/>
  <c r="PMT9" i="7"/>
  <c r="PMS9" i="7"/>
  <c r="PMR9" i="7"/>
  <c r="PMQ9" i="7"/>
  <c r="PMP9" i="7"/>
  <c r="PMO9" i="7"/>
  <c r="PMN9" i="7"/>
  <c r="PMM9" i="7"/>
  <c r="PML9" i="7"/>
  <c r="PMK9" i="7"/>
  <c r="PMJ9" i="7"/>
  <c r="PMI9" i="7"/>
  <c r="PMH9" i="7"/>
  <c r="PMG9" i="7"/>
  <c r="PMF9" i="7"/>
  <c r="PME9" i="7"/>
  <c r="PMD9" i="7"/>
  <c r="PMC9" i="7"/>
  <c r="PMB9" i="7"/>
  <c r="PMA9" i="7"/>
  <c r="PLZ9" i="7"/>
  <c r="PLY9" i="7"/>
  <c r="PLX9" i="7"/>
  <c r="PLW9" i="7"/>
  <c r="PLV9" i="7"/>
  <c r="PLU9" i="7"/>
  <c r="PLT9" i="7"/>
  <c r="PLS9" i="7"/>
  <c r="PLR9" i="7"/>
  <c r="PLQ9" i="7"/>
  <c r="PLP9" i="7"/>
  <c r="PLO9" i="7"/>
  <c r="PLN9" i="7"/>
  <c r="PLM9" i="7"/>
  <c r="PLL9" i="7"/>
  <c r="PLK9" i="7"/>
  <c r="PLJ9" i="7"/>
  <c r="PLI9" i="7"/>
  <c r="PLH9" i="7"/>
  <c r="PLG9" i="7"/>
  <c r="PLF9" i="7"/>
  <c r="PLE9" i="7"/>
  <c r="PLD9" i="7"/>
  <c r="PLC9" i="7"/>
  <c r="PLB9" i="7"/>
  <c r="PLA9" i="7"/>
  <c r="PKZ9" i="7"/>
  <c r="PKY9" i="7"/>
  <c r="PKX9" i="7"/>
  <c r="PKW9" i="7"/>
  <c r="PKV9" i="7"/>
  <c r="PKU9" i="7"/>
  <c r="PKT9" i="7"/>
  <c r="PKS9" i="7"/>
  <c r="PKR9" i="7"/>
  <c r="PKQ9" i="7"/>
  <c r="PKP9" i="7"/>
  <c r="PKO9" i="7"/>
  <c r="PKN9" i="7"/>
  <c r="PKM9" i="7"/>
  <c r="PKL9" i="7"/>
  <c r="PKK9" i="7"/>
  <c r="PKJ9" i="7"/>
  <c r="PKI9" i="7"/>
  <c r="PKH9" i="7"/>
  <c r="PKG9" i="7"/>
  <c r="PKF9" i="7"/>
  <c r="PKE9" i="7"/>
  <c r="PKD9" i="7"/>
  <c r="PKC9" i="7"/>
  <c r="PKB9" i="7"/>
  <c r="PKA9" i="7"/>
  <c r="PJZ9" i="7"/>
  <c r="PJY9" i="7"/>
  <c r="PJX9" i="7"/>
  <c r="PJW9" i="7"/>
  <c r="PJV9" i="7"/>
  <c r="PJU9" i="7"/>
  <c r="PJT9" i="7"/>
  <c r="PJS9" i="7"/>
  <c r="PJR9" i="7"/>
  <c r="PJQ9" i="7"/>
  <c r="PJP9" i="7"/>
  <c r="PJO9" i="7"/>
  <c r="PJN9" i="7"/>
  <c r="PJM9" i="7"/>
  <c r="PJL9" i="7"/>
  <c r="PJK9" i="7"/>
  <c r="PJJ9" i="7"/>
  <c r="PJI9" i="7"/>
  <c r="PJH9" i="7"/>
  <c r="PJG9" i="7"/>
  <c r="PJF9" i="7"/>
  <c r="PJE9" i="7"/>
  <c r="PJD9" i="7"/>
  <c r="PJC9" i="7"/>
  <c r="PJB9" i="7"/>
  <c r="PJA9" i="7"/>
  <c r="PIZ9" i="7"/>
  <c r="PIY9" i="7"/>
  <c r="PIX9" i="7"/>
  <c r="PIW9" i="7"/>
  <c r="PIV9" i="7"/>
  <c r="PIU9" i="7"/>
  <c r="PIT9" i="7"/>
  <c r="PIS9" i="7"/>
  <c r="PIR9" i="7"/>
  <c r="PIQ9" i="7"/>
  <c r="PIP9" i="7"/>
  <c r="PIO9" i="7"/>
  <c r="PIN9" i="7"/>
  <c r="PIM9" i="7"/>
  <c r="PIL9" i="7"/>
  <c r="PIK9" i="7"/>
  <c r="PIJ9" i="7"/>
  <c r="PII9" i="7"/>
  <c r="PIH9" i="7"/>
  <c r="PIG9" i="7"/>
  <c r="PIF9" i="7"/>
  <c r="PIE9" i="7"/>
  <c r="PID9" i="7"/>
  <c r="PIC9" i="7"/>
  <c r="PIB9" i="7"/>
  <c r="PIA9" i="7"/>
  <c r="PHZ9" i="7"/>
  <c r="PHY9" i="7"/>
  <c r="PHX9" i="7"/>
  <c r="PHW9" i="7"/>
  <c r="PHV9" i="7"/>
  <c r="PHU9" i="7"/>
  <c r="PHT9" i="7"/>
  <c r="PHS9" i="7"/>
  <c r="PHR9" i="7"/>
  <c r="PHQ9" i="7"/>
  <c r="PHP9" i="7"/>
  <c r="PHO9" i="7"/>
  <c r="PHN9" i="7"/>
  <c r="PHM9" i="7"/>
  <c r="PHL9" i="7"/>
  <c r="PHK9" i="7"/>
  <c r="PHJ9" i="7"/>
  <c r="PHI9" i="7"/>
  <c r="PHH9" i="7"/>
  <c r="PHG9" i="7"/>
  <c r="PHF9" i="7"/>
  <c r="PHE9" i="7"/>
  <c r="PHD9" i="7"/>
  <c r="PHC9" i="7"/>
  <c r="PHB9" i="7"/>
  <c r="PHA9" i="7"/>
  <c r="PGZ9" i="7"/>
  <c r="PGY9" i="7"/>
  <c r="PGX9" i="7"/>
  <c r="PGW9" i="7"/>
  <c r="PGV9" i="7"/>
  <c r="PGU9" i="7"/>
  <c r="PGT9" i="7"/>
  <c r="PGS9" i="7"/>
  <c r="PGR9" i="7"/>
  <c r="PGQ9" i="7"/>
  <c r="PGP9" i="7"/>
  <c r="PGO9" i="7"/>
  <c r="PGN9" i="7"/>
  <c r="PGM9" i="7"/>
  <c r="PGL9" i="7"/>
  <c r="PGK9" i="7"/>
  <c r="PGJ9" i="7"/>
  <c r="PGI9" i="7"/>
  <c r="PGH9" i="7"/>
  <c r="PGG9" i="7"/>
  <c r="PGF9" i="7"/>
  <c r="PGE9" i="7"/>
  <c r="PGD9" i="7"/>
  <c r="PGC9" i="7"/>
  <c r="PGB9" i="7"/>
  <c r="PGA9" i="7"/>
  <c r="PFZ9" i="7"/>
  <c r="PFY9" i="7"/>
  <c r="PFX9" i="7"/>
  <c r="PFW9" i="7"/>
  <c r="PFV9" i="7"/>
  <c r="PFU9" i="7"/>
  <c r="PFT9" i="7"/>
  <c r="PFS9" i="7"/>
  <c r="PFR9" i="7"/>
  <c r="PFQ9" i="7"/>
  <c r="PFP9" i="7"/>
  <c r="PFO9" i="7"/>
  <c r="PFN9" i="7"/>
  <c r="PFM9" i="7"/>
  <c r="PFL9" i="7"/>
  <c r="PFK9" i="7"/>
  <c r="PFJ9" i="7"/>
  <c r="PFI9" i="7"/>
  <c r="PFH9" i="7"/>
  <c r="PFG9" i="7"/>
  <c r="PFF9" i="7"/>
  <c r="PFE9" i="7"/>
  <c r="PFD9" i="7"/>
  <c r="PFC9" i="7"/>
  <c r="PFB9" i="7"/>
  <c r="PFA9" i="7"/>
  <c r="PEZ9" i="7"/>
  <c r="PEY9" i="7"/>
  <c r="PEX9" i="7"/>
  <c r="PEW9" i="7"/>
  <c r="PEV9" i="7"/>
  <c r="PEU9" i="7"/>
  <c r="PET9" i="7"/>
  <c r="PES9" i="7"/>
  <c r="PER9" i="7"/>
  <c r="PEQ9" i="7"/>
  <c r="PEP9" i="7"/>
  <c r="PEO9" i="7"/>
  <c r="PEN9" i="7"/>
  <c r="PEM9" i="7"/>
  <c r="PEL9" i="7"/>
  <c r="PEK9" i="7"/>
  <c r="PEJ9" i="7"/>
  <c r="PEI9" i="7"/>
  <c r="PEH9" i="7"/>
  <c r="PEG9" i="7"/>
  <c r="PEF9" i="7"/>
  <c r="PEE9" i="7"/>
  <c r="PED9" i="7"/>
  <c r="PEC9" i="7"/>
  <c r="PEB9" i="7"/>
  <c r="PEA9" i="7"/>
  <c r="PDZ9" i="7"/>
  <c r="PDY9" i="7"/>
  <c r="PDX9" i="7"/>
  <c r="PDW9" i="7"/>
  <c r="PDV9" i="7"/>
  <c r="PDU9" i="7"/>
  <c r="PDT9" i="7"/>
  <c r="PDS9" i="7"/>
  <c r="PDR9" i="7"/>
  <c r="PDQ9" i="7"/>
  <c r="PDP9" i="7"/>
  <c r="PDO9" i="7"/>
  <c r="PDN9" i="7"/>
  <c r="PDM9" i="7"/>
  <c r="PDL9" i="7"/>
  <c r="PDK9" i="7"/>
  <c r="PDJ9" i="7"/>
  <c r="PDI9" i="7"/>
  <c r="PDH9" i="7"/>
  <c r="PDG9" i="7"/>
  <c r="PDF9" i="7"/>
  <c r="PDE9" i="7"/>
  <c r="PDD9" i="7"/>
  <c r="PDC9" i="7"/>
  <c r="PDB9" i="7"/>
  <c r="PDA9" i="7"/>
  <c r="PCZ9" i="7"/>
  <c r="PCY9" i="7"/>
  <c r="PCX9" i="7"/>
  <c r="PCW9" i="7"/>
  <c r="PCV9" i="7"/>
  <c r="PCU9" i="7"/>
  <c r="PCT9" i="7"/>
  <c r="PCS9" i="7"/>
  <c r="PCR9" i="7"/>
  <c r="PCQ9" i="7"/>
  <c r="PCP9" i="7"/>
  <c r="PCO9" i="7"/>
  <c r="PCN9" i="7"/>
  <c r="PCM9" i="7"/>
  <c r="PCL9" i="7"/>
  <c r="PCK9" i="7"/>
  <c r="PCJ9" i="7"/>
  <c r="PCI9" i="7"/>
  <c r="PCH9" i="7"/>
  <c r="PCG9" i="7"/>
  <c r="PCF9" i="7"/>
  <c r="PCE9" i="7"/>
  <c r="PCD9" i="7"/>
  <c r="PCC9" i="7"/>
  <c r="PCB9" i="7"/>
  <c r="PCA9" i="7"/>
  <c r="PBZ9" i="7"/>
  <c r="PBY9" i="7"/>
  <c r="PBX9" i="7"/>
  <c r="PBW9" i="7"/>
  <c r="PBV9" i="7"/>
  <c r="PBU9" i="7"/>
  <c r="PBT9" i="7"/>
  <c r="PBS9" i="7"/>
  <c r="PBR9" i="7"/>
  <c r="PBQ9" i="7"/>
  <c r="PBP9" i="7"/>
  <c r="PBO9" i="7"/>
  <c r="PBN9" i="7"/>
  <c r="PBM9" i="7"/>
  <c r="PBL9" i="7"/>
  <c r="PBK9" i="7"/>
  <c r="PBJ9" i="7"/>
  <c r="PBI9" i="7"/>
  <c r="PBH9" i="7"/>
  <c r="PBG9" i="7"/>
  <c r="PBF9" i="7"/>
  <c r="PBE9" i="7"/>
  <c r="PBD9" i="7"/>
  <c r="PBC9" i="7"/>
  <c r="PBB9" i="7"/>
  <c r="PBA9" i="7"/>
  <c r="PAZ9" i="7"/>
  <c r="PAY9" i="7"/>
  <c r="PAX9" i="7"/>
  <c r="PAW9" i="7"/>
  <c r="PAV9" i="7"/>
  <c r="PAU9" i="7"/>
  <c r="PAT9" i="7"/>
  <c r="PAS9" i="7"/>
  <c r="PAR9" i="7"/>
  <c r="PAQ9" i="7"/>
  <c r="PAP9" i="7"/>
  <c r="PAO9" i="7"/>
  <c r="PAN9" i="7"/>
  <c r="PAM9" i="7"/>
  <c r="PAL9" i="7"/>
  <c r="PAK9" i="7"/>
  <c r="PAJ9" i="7"/>
  <c r="PAI9" i="7"/>
  <c r="PAH9" i="7"/>
  <c r="PAG9" i="7"/>
  <c r="PAF9" i="7"/>
  <c r="PAE9" i="7"/>
  <c r="PAD9" i="7"/>
  <c r="PAC9" i="7"/>
  <c r="PAB9" i="7"/>
  <c r="PAA9" i="7"/>
  <c r="OZZ9" i="7"/>
  <c r="OZY9" i="7"/>
  <c r="OZX9" i="7"/>
  <c r="OZW9" i="7"/>
  <c r="OZV9" i="7"/>
  <c r="OZU9" i="7"/>
  <c r="OZT9" i="7"/>
  <c r="OZS9" i="7"/>
  <c r="OZR9" i="7"/>
  <c r="OZQ9" i="7"/>
  <c r="OZP9" i="7"/>
  <c r="OZO9" i="7"/>
  <c r="OZN9" i="7"/>
  <c r="OZM9" i="7"/>
  <c r="OZL9" i="7"/>
  <c r="OZK9" i="7"/>
  <c r="OZJ9" i="7"/>
  <c r="OZI9" i="7"/>
  <c r="OZH9" i="7"/>
  <c r="OZG9" i="7"/>
  <c r="OZF9" i="7"/>
  <c r="OZE9" i="7"/>
  <c r="OZD9" i="7"/>
  <c r="OZC9" i="7"/>
  <c r="OZB9" i="7"/>
  <c r="OZA9" i="7"/>
  <c r="OYZ9" i="7"/>
  <c r="OYY9" i="7"/>
  <c r="OYX9" i="7"/>
  <c r="OYW9" i="7"/>
  <c r="OYV9" i="7"/>
  <c r="OYU9" i="7"/>
  <c r="OYT9" i="7"/>
  <c r="OYS9" i="7"/>
  <c r="OYR9" i="7"/>
  <c r="OYQ9" i="7"/>
  <c r="OYP9" i="7"/>
  <c r="OYO9" i="7"/>
  <c r="OYN9" i="7"/>
  <c r="OYM9" i="7"/>
  <c r="OYL9" i="7"/>
  <c r="OYK9" i="7"/>
  <c r="OYJ9" i="7"/>
  <c r="OYI9" i="7"/>
  <c r="OYH9" i="7"/>
  <c r="OYG9" i="7"/>
  <c r="OYF9" i="7"/>
  <c r="OYE9" i="7"/>
  <c r="OYD9" i="7"/>
  <c r="OYC9" i="7"/>
  <c r="OYB9" i="7"/>
  <c r="OYA9" i="7"/>
  <c r="OXZ9" i="7"/>
  <c r="OXY9" i="7"/>
  <c r="OXX9" i="7"/>
  <c r="OXW9" i="7"/>
  <c r="OXV9" i="7"/>
  <c r="OXU9" i="7"/>
  <c r="OXT9" i="7"/>
  <c r="OXS9" i="7"/>
  <c r="OXR9" i="7"/>
  <c r="OXQ9" i="7"/>
  <c r="OXP9" i="7"/>
  <c r="OXO9" i="7"/>
  <c r="OXN9" i="7"/>
  <c r="OXM9" i="7"/>
  <c r="OXL9" i="7"/>
  <c r="OXK9" i="7"/>
  <c r="OXJ9" i="7"/>
  <c r="OXI9" i="7"/>
  <c r="OXH9" i="7"/>
  <c r="OXG9" i="7"/>
  <c r="OXF9" i="7"/>
  <c r="OXE9" i="7"/>
  <c r="OXD9" i="7"/>
  <c r="OXC9" i="7"/>
  <c r="OXB9" i="7"/>
  <c r="OXA9" i="7"/>
  <c r="OWZ9" i="7"/>
  <c r="OWY9" i="7"/>
  <c r="OWX9" i="7"/>
  <c r="OWW9" i="7"/>
  <c r="OWV9" i="7"/>
  <c r="OWU9" i="7"/>
  <c r="OWT9" i="7"/>
  <c r="OWS9" i="7"/>
  <c r="OWR9" i="7"/>
  <c r="OWQ9" i="7"/>
  <c r="OWP9" i="7"/>
  <c r="OWO9" i="7"/>
  <c r="OWN9" i="7"/>
  <c r="OWM9" i="7"/>
  <c r="OWL9" i="7"/>
  <c r="OWK9" i="7"/>
  <c r="OWJ9" i="7"/>
  <c r="OWI9" i="7"/>
  <c r="OWH9" i="7"/>
  <c r="OWG9" i="7"/>
  <c r="OWF9" i="7"/>
  <c r="OWE9" i="7"/>
  <c r="OWD9" i="7"/>
  <c r="OWC9" i="7"/>
  <c r="OWB9" i="7"/>
  <c r="OWA9" i="7"/>
  <c r="OVZ9" i="7"/>
  <c r="OVY9" i="7"/>
  <c r="OVX9" i="7"/>
  <c r="OVW9" i="7"/>
  <c r="OVV9" i="7"/>
  <c r="OVU9" i="7"/>
  <c r="OVT9" i="7"/>
  <c r="OVS9" i="7"/>
  <c r="OVR9" i="7"/>
  <c r="OVQ9" i="7"/>
  <c r="OVP9" i="7"/>
  <c r="OVO9" i="7"/>
  <c r="OVN9" i="7"/>
  <c r="OVM9" i="7"/>
  <c r="OVL9" i="7"/>
  <c r="OVK9" i="7"/>
  <c r="OVJ9" i="7"/>
  <c r="OVI9" i="7"/>
  <c r="OVH9" i="7"/>
  <c r="OVG9" i="7"/>
  <c r="OVF9" i="7"/>
  <c r="OVE9" i="7"/>
  <c r="OVD9" i="7"/>
  <c r="OVC9" i="7"/>
  <c r="OVB9" i="7"/>
  <c r="OVA9" i="7"/>
  <c r="OUZ9" i="7"/>
  <c r="OUY9" i="7"/>
  <c r="OUX9" i="7"/>
  <c r="OUW9" i="7"/>
  <c r="OUV9" i="7"/>
  <c r="OUU9" i="7"/>
  <c r="OUT9" i="7"/>
  <c r="OUS9" i="7"/>
  <c r="OUR9" i="7"/>
  <c r="OUQ9" i="7"/>
  <c r="OUP9" i="7"/>
  <c r="OUO9" i="7"/>
  <c r="OUN9" i="7"/>
  <c r="OUM9" i="7"/>
  <c r="OUL9" i="7"/>
  <c r="OUK9" i="7"/>
  <c r="OUJ9" i="7"/>
  <c r="OUI9" i="7"/>
  <c r="OUH9" i="7"/>
  <c r="OUG9" i="7"/>
  <c r="OUF9" i="7"/>
  <c r="OUE9" i="7"/>
  <c r="OUD9" i="7"/>
  <c r="OUC9" i="7"/>
  <c r="OUB9" i="7"/>
  <c r="OUA9" i="7"/>
  <c r="OTZ9" i="7"/>
  <c r="OTY9" i="7"/>
  <c r="OTX9" i="7"/>
  <c r="OTW9" i="7"/>
  <c r="OTV9" i="7"/>
  <c r="OTU9" i="7"/>
  <c r="OTT9" i="7"/>
  <c r="OTS9" i="7"/>
  <c r="OTR9" i="7"/>
  <c r="OTQ9" i="7"/>
  <c r="OTP9" i="7"/>
  <c r="OTO9" i="7"/>
  <c r="OTN9" i="7"/>
  <c r="OTM9" i="7"/>
  <c r="OTL9" i="7"/>
  <c r="OTK9" i="7"/>
  <c r="OTJ9" i="7"/>
  <c r="OTI9" i="7"/>
  <c r="OTH9" i="7"/>
  <c r="OTG9" i="7"/>
  <c r="OTF9" i="7"/>
  <c r="OTE9" i="7"/>
  <c r="OTD9" i="7"/>
  <c r="OTC9" i="7"/>
  <c r="OTB9" i="7"/>
  <c r="OTA9" i="7"/>
  <c r="OSZ9" i="7"/>
  <c r="OSY9" i="7"/>
  <c r="OSX9" i="7"/>
  <c r="OSW9" i="7"/>
  <c r="OSV9" i="7"/>
  <c r="OSU9" i="7"/>
  <c r="OST9" i="7"/>
  <c r="OSS9" i="7"/>
  <c r="OSR9" i="7"/>
  <c r="OSQ9" i="7"/>
  <c r="OSP9" i="7"/>
  <c r="OSO9" i="7"/>
  <c r="OSN9" i="7"/>
  <c r="OSM9" i="7"/>
  <c r="OSL9" i="7"/>
  <c r="OSK9" i="7"/>
  <c r="OSJ9" i="7"/>
  <c r="OSI9" i="7"/>
  <c r="OSH9" i="7"/>
  <c r="OSG9" i="7"/>
  <c r="OSF9" i="7"/>
  <c r="OSE9" i="7"/>
  <c r="OSD9" i="7"/>
  <c r="OSC9" i="7"/>
  <c r="OSB9" i="7"/>
  <c r="OSA9" i="7"/>
  <c r="ORZ9" i="7"/>
  <c r="ORY9" i="7"/>
  <c r="ORX9" i="7"/>
  <c r="ORW9" i="7"/>
  <c r="ORV9" i="7"/>
  <c r="ORU9" i="7"/>
  <c r="ORT9" i="7"/>
  <c r="ORS9" i="7"/>
  <c r="ORR9" i="7"/>
  <c r="ORQ9" i="7"/>
  <c r="ORP9" i="7"/>
  <c r="ORO9" i="7"/>
  <c r="ORN9" i="7"/>
  <c r="ORM9" i="7"/>
  <c r="ORL9" i="7"/>
  <c r="ORK9" i="7"/>
  <c r="ORJ9" i="7"/>
  <c r="ORI9" i="7"/>
  <c r="ORH9" i="7"/>
  <c r="ORG9" i="7"/>
  <c r="ORF9" i="7"/>
  <c r="ORE9" i="7"/>
  <c r="ORD9" i="7"/>
  <c r="ORC9" i="7"/>
  <c r="ORB9" i="7"/>
  <c r="ORA9" i="7"/>
  <c r="OQZ9" i="7"/>
  <c r="OQY9" i="7"/>
  <c r="OQX9" i="7"/>
  <c r="OQW9" i="7"/>
  <c r="OQV9" i="7"/>
  <c r="OQU9" i="7"/>
  <c r="OQT9" i="7"/>
  <c r="OQS9" i="7"/>
  <c r="OQR9" i="7"/>
  <c r="OQQ9" i="7"/>
  <c r="OQP9" i="7"/>
  <c r="OQO9" i="7"/>
  <c r="OQN9" i="7"/>
  <c r="OQM9" i="7"/>
  <c r="OQL9" i="7"/>
  <c r="OQK9" i="7"/>
  <c r="OQJ9" i="7"/>
  <c r="OQI9" i="7"/>
  <c r="OQH9" i="7"/>
  <c r="OQG9" i="7"/>
  <c r="OQF9" i="7"/>
  <c r="OQE9" i="7"/>
  <c r="OQD9" i="7"/>
  <c r="OQC9" i="7"/>
  <c r="OQB9" i="7"/>
  <c r="OQA9" i="7"/>
  <c r="OPZ9" i="7"/>
  <c r="OPY9" i="7"/>
  <c r="OPX9" i="7"/>
  <c r="OPW9" i="7"/>
  <c r="OPV9" i="7"/>
  <c r="OPU9" i="7"/>
  <c r="OPT9" i="7"/>
  <c r="OPS9" i="7"/>
  <c r="OPR9" i="7"/>
  <c r="OPQ9" i="7"/>
  <c r="OPP9" i="7"/>
  <c r="OPO9" i="7"/>
  <c r="OPN9" i="7"/>
  <c r="OPM9" i="7"/>
  <c r="OPL9" i="7"/>
  <c r="OPK9" i="7"/>
  <c r="OPJ9" i="7"/>
  <c r="OPI9" i="7"/>
  <c r="OPH9" i="7"/>
  <c r="OPG9" i="7"/>
  <c r="OPF9" i="7"/>
  <c r="OPE9" i="7"/>
  <c r="OPD9" i="7"/>
  <c r="OPC9" i="7"/>
  <c r="OPB9" i="7"/>
  <c r="OPA9" i="7"/>
  <c r="OOZ9" i="7"/>
  <c r="OOY9" i="7"/>
  <c r="OOX9" i="7"/>
  <c r="OOW9" i="7"/>
  <c r="OOV9" i="7"/>
  <c r="OOU9" i="7"/>
  <c r="OOT9" i="7"/>
  <c r="OOS9" i="7"/>
  <c r="OOR9" i="7"/>
  <c r="OOQ9" i="7"/>
  <c r="OOP9" i="7"/>
  <c r="OOO9" i="7"/>
  <c r="OON9" i="7"/>
  <c r="OOM9" i="7"/>
  <c r="OOL9" i="7"/>
  <c r="OOK9" i="7"/>
  <c r="OOJ9" i="7"/>
  <c r="OOI9" i="7"/>
  <c r="OOH9" i="7"/>
  <c r="OOG9" i="7"/>
  <c r="OOF9" i="7"/>
  <c r="OOE9" i="7"/>
  <c r="OOD9" i="7"/>
  <c r="OOC9" i="7"/>
  <c r="OOB9" i="7"/>
  <c r="OOA9" i="7"/>
  <c r="ONZ9" i="7"/>
  <c r="ONY9" i="7"/>
  <c r="ONX9" i="7"/>
  <c r="ONW9" i="7"/>
  <c r="ONV9" i="7"/>
  <c r="ONU9" i="7"/>
  <c r="ONT9" i="7"/>
  <c r="ONS9" i="7"/>
  <c r="ONR9" i="7"/>
  <c r="ONQ9" i="7"/>
  <c r="ONP9" i="7"/>
  <c r="ONO9" i="7"/>
  <c r="ONN9" i="7"/>
  <c r="ONM9" i="7"/>
  <c r="ONL9" i="7"/>
  <c r="ONK9" i="7"/>
  <c r="ONJ9" i="7"/>
  <c r="ONI9" i="7"/>
  <c r="ONH9" i="7"/>
  <c r="ONG9" i="7"/>
  <c r="ONF9" i="7"/>
  <c r="ONE9" i="7"/>
  <c r="OND9" i="7"/>
  <c r="ONC9" i="7"/>
  <c r="ONB9" i="7"/>
  <c r="ONA9" i="7"/>
  <c r="OMZ9" i="7"/>
  <c r="OMY9" i="7"/>
  <c r="OMX9" i="7"/>
  <c r="OMW9" i="7"/>
  <c r="OMV9" i="7"/>
  <c r="OMU9" i="7"/>
  <c r="OMT9" i="7"/>
  <c r="OMS9" i="7"/>
  <c r="OMR9" i="7"/>
  <c r="OMQ9" i="7"/>
  <c r="OMP9" i="7"/>
  <c r="OMO9" i="7"/>
  <c r="OMN9" i="7"/>
  <c r="OMM9" i="7"/>
  <c r="OML9" i="7"/>
  <c r="OMK9" i="7"/>
  <c r="OMJ9" i="7"/>
  <c r="OMI9" i="7"/>
  <c r="OMH9" i="7"/>
  <c r="OMG9" i="7"/>
  <c r="OMF9" i="7"/>
  <c r="OME9" i="7"/>
  <c r="OMD9" i="7"/>
  <c r="OMC9" i="7"/>
  <c r="OMB9" i="7"/>
  <c r="OMA9" i="7"/>
  <c r="OLZ9" i="7"/>
  <c r="OLY9" i="7"/>
  <c r="OLX9" i="7"/>
  <c r="OLW9" i="7"/>
  <c r="OLV9" i="7"/>
  <c r="OLU9" i="7"/>
  <c r="OLT9" i="7"/>
  <c r="OLS9" i="7"/>
  <c r="OLR9" i="7"/>
  <c r="OLQ9" i="7"/>
  <c r="OLP9" i="7"/>
  <c r="OLO9" i="7"/>
  <c r="OLN9" i="7"/>
  <c r="OLM9" i="7"/>
  <c r="OLL9" i="7"/>
  <c r="OLK9" i="7"/>
  <c r="OLJ9" i="7"/>
  <c r="OLI9" i="7"/>
  <c r="OLH9" i="7"/>
  <c r="OLG9" i="7"/>
  <c r="OLF9" i="7"/>
  <c r="OLE9" i="7"/>
  <c r="OLD9" i="7"/>
  <c r="OLC9" i="7"/>
  <c r="OLB9" i="7"/>
  <c r="OLA9" i="7"/>
  <c r="OKZ9" i="7"/>
  <c r="OKY9" i="7"/>
  <c r="OKX9" i="7"/>
  <c r="OKW9" i="7"/>
  <c r="OKV9" i="7"/>
  <c r="OKU9" i="7"/>
  <c r="OKT9" i="7"/>
  <c r="OKS9" i="7"/>
  <c r="OKR9" i="7"/>
  <c r="OKQ9" i="7"/>
  <c r="OKP9" i="7"/>
  <c r="OKO9" i="7"/>
  <c r="OKN9" i="7"/>
  <c r="OKM9" i="7"/>
  <c r="OKL9" i="7"/>
  <c r="OKK9" i="7"/>
  <c r="OKJ9" i="7"/>
  <c r="OKI9" i="7"/>
  <c r="OKH9" i="7"/>
  <c r="OKG9" i="7"/>
  <c r="OKF9" i="7"/>
  <c r="OKE9" i="7"/>
  <c r="OKD9" i="7"/>
  <c r="OKC9" i="7"/>
  <c r="OKB9" i="7"/>
  <c r="OKA9" i="7"/>
  <c r="OJZ9" i="7"/>
  <c r="OJY9" i="7"/>
  <c r="OJX9" i="7"/>
  <c r="OJW9" i="7"/>
  <c r="OJV9" i="7"/>
  <c r="OJU9" i="7"/>
  <c r="OJT9" i="7"/>
  <c r="OJS9" i="7"/>
  <c r="OJR9" i="7"/>
  <c r="OJQ9" i="7"/>
  <c r="OJP9" i="7"/>
  <c r="OJO9" i="7"/>
  <c r="OJN9" i="7"/>
  <c r="OJM9" i="7"/>
  <c r="OJL9" i="7"/>
  <c r="OJK9" i="7"/>
  <c r="OJJ9" i="7"/>
  <c r="OJI9" i="7"/>
  <c r="OJH9" i="7"/>
  <c r="OJG9" i="7"/>
  <c r="OJF9" i="7"/>
  <c r="OJE9" i="7"/>
  <c r="OJD9" i="7"/>
  <c r="OJC9" i="7"/>
  <c r="OJB9" i="7"/>
  <c r="OJA9" i="7"/>
  <c r="OIZ9" i="7"/>
  <c r="OIY9" i="7"/>
  <c r="OIX9" i="7"/>
  <c r="OIW9" i="7"/>
  <c r="OIV9" i="7"/>
  <c r="OIU9" i="7"/>
  <c r="OIT9" i="7"/>
  <c r="OIS9" i="7"/>
  <c r="OIR9" i="7"/>
  <c r="OIQ9" i="7"/>
  <c r="OIP9" i="7"/>
  <c r="OIO9" i="7"/>
  <c r="OIN9" i="7"/>
  <c r="OIM9" i="7"/>
  <c r="OIL9" i="7"/>
  <c r="OIK9" i="7"/>
  <c r="OIJ9" i="7"/>
  <c r="OII9" i="7"/>
  <c r="OIH9" i="7"/>
  <c r="OIG9" i="7"/>
  <c r="OIF9" i="7"/>
  <c r="OIE9" i="7"/>
  <c r="OID9" i="7"/>
  <c r="OIC9" i="7"/>
  <c r="OIB9" i="7"/>
  <c r="OIA9" i="7"/>
  <c r="OHZ9" i="7"/>
  <c r="OHY9" i="7"/>
  <c r="OHX9" i="7"/>
  <c r="OHW9" i="7"/>
  <c r="OHV9" i="7"/>
  <c r="OHU9" i="7"/>
  <c r="OHT9" i="7"/>
  <c r="OHS9" i="7"/>
  <c r="OHR9" i="7"/>
  <c r="OHQ9" i="7"/>
  <c r="OHP9" i="7"/>
  <c r="OHO9" i="7"/>
  <c r="OHN9" i="7"/>
  <c r="OHM9" i="7"/>
  <c r="OHL9" i="7"/>
  <c r="OHK9" i="7"/>
  <c r="OHJ9" i="7"/>
  <c r="OHI9" i="7"/>
  <c r="OHH9" i="7"/>
  <c r="OHG9" i="7"/>
  <c r="OHF9" i="7"/>
  <c r="OHE9" i="7"/>
  <c r="OHD9" i="7"/>
  <c r="OHC9" i="7"/>
  <c r="OHB9" i="7"/>
  <c r="OHA9" i="7"/>
  <c r="OGZ9" i="7"/>
  <c r="OGY9" i="7"/>
  <c r="OGX9" i="7"/>
  <c r="OGW9" i="7"/>
  <c r="OGV9" i="7"/>
  <c r="OGU9" i="7"/>
  <c r="OGT9" i="7"/>
  <c r="OGS9" i="7"/>
  <c r="OGR9" i="7"/>
  <c r="OGQ9" i="7"/>
  <c r="OGP9" i="7"/>
  <c r="OGO9" i="7"/>
  <c r="OGN9" i="7"/>
  <c r="OGM9" i="7"/>
  <c r="OGL9" i="7"/>
  <c r="OGK9" i="7"/>
  <c r="OGJ9" i="7"/>
  <c r="OGI9" i="7"/>
  <c r="OGH9" i="7"/>
  <c r="OGG9" i="7"/>
  <c r="OGF9" i="7"/>
  <c r="OGE9" i="7"/>
  <c r="OGD9" i="7"/>
  <c r="OGC9" i="7"/>
  <c r="OGB9" i="7"/>
  <c r="OGA9" i="7"/>
  <c r="OFZ9" i="7"/>
  <c r="OFY9" i="7"/>
  <c r="OFX9" i="7"/>
  <c r="OFW9" i="7"/>
  <c r="OFV9" i="7"/>
  <c r="OFU9" i="7"/>
  <c r="OFT9" i="7"/>
  <c r="OFS9" i="7"/>
  <c r="OFR9" i="7"/>
  <c r="OFQ9" i="7"/>
  <c r="OFP9" i="7"/>
  <c r="OFO9" i="7"/>
  <c r="OFN9" i="7"/>
  <c r="OFM9" i="7"/>
  <c r="OFL9" i="7"/>
  <c r="OFK9" i="7"/>
  <c r="OFJ9" i="7"/>
  <c r="OFI9" i="7"/>
  <c r="OFH9" i="7"/>
  <c r="OFG9" i="7"/>
  <c r="OFF9" i="7"/>
  <c r="OFE9" i="7"/>
  <c r="OFD9" i="7"/>
  <c r="OFC9" i="7"/>
  <c r="OFB9" i="7"/>
  <c r="OFA9" i="7"/>
  <c r="OEZ9" i="7"/>
  <c r="OEY9" i="7"/>
  <c r="OEX9" i="7"/>
  <c r="OEW9" i="7"/>
  <c r="OEV9" i="7"/>
  <c r="OEU9" i="7"/>
  <c r="OET9" i="7"/>
  <c r="OES9" i="7"/>
  <c r="OER9" i="7"/>
  <c r="OEQ9" i="7"/>
  <c r="OEP9" i="7"/>
  <c r="OEO9" i="7"/>
  <c r="OEN9" i="7"/>
  <c r="OEM9" i="7"/>
  <c r="OEL9" i="7"/>
  <c r="OEK9" i="7"/>
  <c r="OEJ9" i="7"/>
  <c r="OEI9" i="7"/>
  <c r="OEH9" i="7"/>
  <c r="OEG9" i="7"/>
  <c r="OEF9" i="7"/>
  <c r="OEE9" i="7"/>
  <c r="OED9" i="7"/>
  <c r="OEC9" i="7"/>
  <c r="OEB9" i="7"/>
  <c r="OEA9" i="7"/>
  <c r="ODZ9" i="7"/>
  <c r="ODY9" i="7"/>
  <c r="ODX9" i="7"/>
  <c r="ODW9" i="7"/>
  <c r="ODV9" i="7"/>
  <c r="ODU9" i="7"/>
  <c r="ODT9" i="7"/>
  <c r="ODS9" i="7"/>
  <c r="ODR9" i="7"/>
  <c r="ODQ9" i="7"/>
  <c r="ODP9" i="7"/>
  <c r="ODO9" i="7"/>
  <c r="ODN9" i="7"/>
  <c r="ODM9" i="7"/>
  <c r="ODL9" i="7"/>
  <c r="ODK9" i="7"/>
  <c r="ODJ9" i="7"/>
  <c r="ODI9" i="7"/>
  <c r="ODH9" i="7"/>
  <c r="ODG9" i="7"/>
  <c r="ODF9" i="7"/>
  <c r="ODE9" i="7"/>
  <c r="ODD9" i="7"/>
  <c r="ODC9" i="7"/>
  <c r="ODB9" i="7"/>
  <c r="ODA9" i="7"/>
  <c r="OCZ9" i="7"/>
  <c r="OCY9" i="7"/>
  <c r="OCX9" i="7"/>
  <c r="OCW9" i="7"/>
  <c r="OCV9" i="7"/>
  <c r="OCU9" i="7"/>
  <c r="OCT9" i="7"/>
  <c r="OCS9" i="7"/>
  <c r="OCR9" i="7"/>
  <c r="OCQ9" i="7"/>
  <c r="OCP9" i="7"/>
  <c r="OCO9" i="7"/>
  <c r="OCN9" i="7"/>
  <c r="OCM9" i="7"/>
  <c r="OCL9" i="7"/>
  <c r="OCK9" i="7"/>
  <c r="OCJ9" i="7"/>
  <c r="OCI9" i="7"/>
  <c r="OCH9" i="7"/>
  <c r="OCG9" i="7"/>
  <c r="OCF9" i="7"/>
  <c r="OCE9" i="7"/>
  <c r="OCD9" i="7"/>
  <c r="OCC9" i="7"/>
  <c r="OCB9" i="7"/>
  <c r="OCA9" i="7"/>
  <c r="OBZ9" i="7"/>
  <c r="OBY9" i="7"/>
  <c r="OBX9" i="7"/>
  <c r="OBW9" i="7"/>
  <c r="OBV9" i="7"/>
  <c r="OBU9" i="7"/>
  <c r="OBT9" i="7"/>
  <c r="OBS9" i="7"/>
  <c r="OBR9" i="7"/>
  <c r="OBQ9" i="7"/>
  <c r="OBP9" i="7"/>
  <c r="OBO9" i="7"/>
  <c r="OBN9" i="7"/>
  <c r="OBM9" i="7"/>
  <c r="OBL9" i="7"/>
  <c r="OBK9" i="7"/>
  <c r="OBJ9" i="7"/>
  <c r="OBI9" i="7"/>
  <c r="OBH9" i="7"/>
  <c r="OBG9" i="7"/>
  <c r="OBF9" i="7"/>
  <c r="OBE9" i="7"/>
  <c r="OBD9" i="7"/>
  <c r="OBC9" i="7"/>
  <c r="OBB9" i="7"/>
  <c r="OBA9" i="7"/>
  <c r="OAZ9" i="7"/>
  <c r="OAY9" i="7"/>
  <c r="OAX9" i="7"/>
  <c r="OAW9" i="7"/>
  <c r="OAV9" i="7"/>
  <c r="OAU9" i="7"/>
  <c r="OAT9" i="7"/>
  <c r="OAS9" i="7"/>
  <c r="OAR9" i="7"/>
  <c r="OAQ9" i="7"/>
  <c r="OAP9" i="7"/>
  <c r="OAO9" i="7"/>
  <c r="OAN9" i="7"/>
  <c r="OAM9" i="7"/>
  <c r="OAL9" i="7"/>
  <c r="OAK9" i="7"/>
  <c r="OAJ9" i="7"/>
  <c r="OAI9" i="7"/>
  <c r="OAH9" i="7"/>
  <c r="OAG9" i="7"/>
  <c r="OAF9" i="7"/>
  <c r="OAE9" i="7"/>
  <c r="OAD9" i="7"/>
  <c r="OAC9" i="7"/>
  <c r="OAB9" i="7"/>
  <c r="OAA9" i="7"/>
  <c r="NZZ9" i="7"/>
  <c r="NZY9" i="7"/>
  <c r="NZX9" i="7"/>
  <c r="NZW9" i="7"/>
  <c r="NZV9" i="7"/>
  <c r="NZU9" i="7"/>
  <c r="NZT9" i="7"/>
  <c r="NZS9" i="7"/>
  <c r="NZR9" i="7"/>
  <c r="NZQ9" i="7"/>
  <c r="NZP9" i="7"/>
  <c r="NZO9" i="7"/>
  <c r="NZN9" i="7"/>
  <c r="NZM9" i="7"/>
  <c r="NZL9" i="7"/>
  <c r="NZK9" i="7"/>
  <c r="NZJ9" i="7"/>
  <c r="NZI9" i="7"/>
  <c r="NZH9" i="7"/>
  <c r="NZG9" i="7"/>
  <c r="NZF9" i="7"/>
  <c r="NZE9" i="7"/>
  <c r="NZD9" i="7"/>
  <c r="NZC9" i="7"/>
  <c r="NZB9" i="7"/>
  <c r="NZA9" i="7"/>
  <c r="NYZ9" i="7"/>
  <c r="NYY9" i="7"/>
  <c r="NYX9" i="7"/>
  <c r="NYW9" i="7"/>
  <c r="NYV9" i="7"/>
  <c r="NYU9" i="7"/>
  <c r="NYT9" i="7"/>
  <c r="NYS9" i="7"/>
  <c r="NYR9" i="7"/>
  <c r="NYQ9" i="7"/>
  <c r="NYP9" i="7"/>
  <c r="NYO9" i="7"/>
  <c r="NYN9" i="7"/>
  <c r="NYM9" i="7"/>
  <c r="NYL9" i="7"/>
  <c r="NYK9" i="7"/>
  <c r="NYJ9" i="7"/>
  <c r="NYI9" i="7"/>
  <c r="NYH9" i="7"/>
  <c r="NYG9" i="7"/>
  <c r="NYF9" i="7"/>
  <c r="NYE9" i="7"/>
  <c r="NYD9" i="7"/>
  <c r="NYC9" i="7"/>
  <c r="NYB9" i="7"/>
  <c r="NYA9" i="7"/>
  <c r="NXZ9" i="7"/>
  <c r="NXY9" i="7"/>
  <c r="NXX9" i="7"/>
  <c r="NXW9" i="7"/>
  <c r="NXV9" i="7"/>
  <c r="NXU9" i="7"/>
  <c r="NXT9" i="7"/>
  <c r="NXS9" i="7"/>
  <c r="NXR9" i="7"/>
  <c r="NXQ9" i="7"/>
  <c r="NXP9" i="7"/>
  <c r="NXO9" i="7"/>
  <c r="NXN9" i="7"/>
  <c r="NXM9" i="7"/>
  <c r="NXL9" i="7"/>
  <c r="NXK9" i="7"/>
  <c r="NXJ9" i="7"/>
  <c r="NXI9" i="7"/>
  <c r="NXH9" i="7"/>
  <c r="NXG9" i="7"/>
  <c r="NXF9" i="7"/>
  <c r="NXE9" i="7"/>
  <c r="NXD9" i="7"/>
  <c r="NXC9" i="7"/>
  <c r="NXB9" i="7"/>
  <c r="NXA9" i="7"/>
  <c r="NWZ9" i="7"/>
  <c r="NWY9" i="7"/>
  <c r="NWX9" i="7"/>
  <c r="NWW9" i="7"/>
  <c r="NWV9" i="7"/>
  <c r="NWU9" i="7"/>
  <c r="NWT9" i="7"/>
  <c r="NWS9" i="7"/>
  <c r="NWR9" i="7"/>
  <c r="NWQ9" i="7"/>
  <c r="NWP9" i="7"/>
  <c r="NWO9" i="7"/>
  <c r="NWN9" i="7"/>
  <c r="NWM9" i="7"/>
  <c r="NWL9" i="7"/>
  <c r="NWK9" i="7"/>
  <c r="NWJ9" i="7"/>
  <c r="NWI9" i="7"/>
  <c r="NWH9" i="7"/>
  <c r="NWG9" i="7"/>
  <c r="NWF9" i="7"/>
  <c r="NWE9" i="7"/>
  <c r="NWD9" i="7"/>
  <c r="NWC9" i="7"/>
  <c r="NWB9" i="7"/>
  <c r="NWA9" i="7"/>
  <c r="NVZ9" i="7"/>
  <c r="NVY9" i="7"/>
  <c r="NVX9" i="7"/>
  <c r="NVW9" i="7"/>
  <c r="NVV9" i="7"/>
  <c r="NVU9" i="7"/>
  <c r="NVT9" i="7"/>
  <c r="NVS9" i="7"/>
  <c r="NVR9" i="7"/>
  <c r="NVQ9" i="7"/>
  <c r="NVP9" i="7"/>
  <c r="NVO9" i="7"/>
  <c r="NVN9" i="7"/>
  <c r="NVM9" i="7"/>
  <c r="NVL9" i="7"/>
  <c r="NVK9" i="7"/>
  <c r="NVJ9" i="7"/>
  <c r="NVI9" i="7"/>
  <c r="NVH9" i="7"/>
  <c r="NVG9" i="7"/>
  <c r="NVF9" i="7"/>
  <c r="NVE9" i="7"/>
  <c r="NVD9" i="7"/>
  <c r="NVC9" i="7"/>
  <c r="NVB9" i="7"/>
  <c r="NVA9" i="7"/>
  <c r="NUZ9" i="7"/>
  <c r="NUY9" i="7"/>
  <c r="NUX9" i="7"/>
  <c r="NUW9" i="7"/>
  <c r="NUV9" i="7"/>
  <c r="NUU9" i="7"/>
  <c r="NUT9" i="7"/>
  <c r="NUS9" i="7"/>
  <c r="NUR9" i="7"/>
  <c r="NUQ9" i="7"/>
  <c r="NUP9" i="7"/>
  <c r="NUO9" i="7"/>
  <c r="NUN9" i="7"/>
  <c r="NUM9" i="7"/>
  <c r="NUL9" i="7"/>
  <c r="NUK9" i="7"/>
  <c r="NUJ9" i="7"/>
  <c r="NUI9" i="7"/>
  <c r="NUH9" i="7"/>
  <c r="NUG9" i="7"/>
  <c r="NUF9" i="7"/>
  <c r="NUE9" i="7"/>
  <c r="NUD9" i="7"/>
  <c r="NUC9" i="7"/>
  <c r="NUB9" i="7"/>
  <c r="NUA9" i="7"/>
  <c r="NTZ9" i="7"/>
  <c r="NTY9" i="7"/>
  <c r="NTX9" i="7"/>
  <c r="NTW9" i="7"/>
  <c r="NTV9" i="7"/>
  <c r="NTU9" i="7"/>
  <c r="NTT9" i="7"/>
  <c r="NTS9" i="7"/>
  <c r="NTR9" i="7"/>
  <c r="NTQ9" i="7"/>
  <c r="NTP9" i="7"/>
  <c r="NTO9" i="7"/>
  <c r="NTN9" i="7"/>
  <c r="NTM9" i="7"/>
  <c r="NTL9" i="7"/>
  <c r="NTK9" i="7"/>
  <c r="NTJ9" i="7"/>
  <c r="NTI9" i="7"/>
  <c r="NTH9" i="7"/>
  <c r="NTG9" i="7"/>
  <c r="NTF9" i="7"/>
  <c r="NTE9" i="7"/>
  <c r="NTD9" i="7"/>
  <c r="NTC9" i="7"/>
  <c r="NTB9" i="7"/>
  <c r="NTA9" i="7"/>
  <c r="NSZ9" i="7"/>
  <c r="NSY9" i="7"/>
  <c r="NSX9" i="7"/>
  <c r="NSW9" i="7"/>
  <c r="NSV9" i="7"/>
  <c r="NSU9" i="7"/>
  <c r="NST9" i="7"/>
  <c r="NSS9" i="7"/>
  <c r="NSR9" i="7"/>
  <c r="NSQ9" i="7"/>
  <c r="NSP9" i="7"/>
  <c r="NSO9" i="7"/>
  <c r="NSN9" i="7"/>
  <c r="NSM9" i="7"/>
  <c r="NSL9" i="7"/>
  <c r="NSK9" i="7"/>
  <c r="NSJ9" i="7"/>
  <c r="NSI9" i="7"/>
  <c r="NSH9" i="7"/>
  <c r="NSG9" i="7"/>
  <c r="NSF9" i="7"/>
  <c r="NSE9" i="7"/>
  <c r="NSD9" i="7"/>
  <c r="NSC9" i="7"/>
  <c r="NSB9" i="7"/>
  <c r="NSA9" i="7"/>
  <c r="NRZ9" i="7"/>
  <c r="NRY9" i="7"/>
  <c r="NRX9" i="7"/>
  <c r="NRW9" i="7"/>
  <c r="NRV9" i="7"/>
  <c r="NRU9" i="7"/>
  <c r="NRT9" i="7"/>
  <c r="NRS9" i="7"/>
  <c r="NRR9" i="7"/>
  <c r="NRQ9" i="7"/>
  <c r="NRP9" i="7"/>
  <c r="NRO9" i="7"/>
  <c r="NRN9" i="7"/>
  <c r="NRM9" i="7"/>
  <c r="NRL9" i="7"/>
  <c r="NRK9" i="7"/>
  <c r="NRJ9" i="7"/>
  <c r="NRI9" i="7"/>
  <c r="NRH9" i="7"/>
  <c r="NRG9" i="7"/>
  <c r="NRF9" i="7"/>
  <c r="NRE9" i="7"/>
  <c r="NRD9" i="7"/>
  <c r="NRC9" i="7"/>
  <c r="NRB9" i="7"/>
  <c r="NRA9" i="7"/>
  <c r="NQZ9" i="7"/>
  <c r="NQY9" i="7"/>
  <c r="NQX9" i="7"/>
  <c r="NQW9" i="7"/>
  <c r="NQV9" i="7"/>
  <c r="NQU9" i="7"/>
  <c r="NQT9" i="7"/>
  <c r="NQS9" i="7"/>
  <c r="NQR9" i="7"/>
  <c r="NQQ9" i="7"/>
  <c r="NQP9" i="7"/>
  <c r="NQO9" i="7"/>
  <c r="NQN9" i="7"/>
  <c r="NQM9" i="7"/>
  <c r="NQL9" i="7"/>
  <c r="NQK9" i="7"/>
  <c r="NQJ9" i="7"/>
  <c r="NQI9" i="7"/>
  <c r="NQH9" i="7"/>
  <c r="NQG9" i="7"/>
  <c r="NQF9" i="7"/>
  <c r="NQE9" i="7"/>
  <c r="NQD9" i="7"/>
  <c r="NQC9" i="7"/>
  <c r="NQB9" i="7"/>
  <c r="NQA9" i="7"/>
  <c r="NPZ9" i="7"/>
  <c r="NPY9" i="7"/>
  <c r="NPX9" i="7"/>
  <c r="NPW9" i="7"/>
  <c r="NPV9" i="7"/>
  <c r="NPU9" i="7"/>
  <c r="NPT9" i="7"/>
  <c r="NPS9" i="7"/>
  <c r="NPR9" i="7"/>
  <c r="NPQ9" i="7"/>
  <c r="NPP9" i="7"/>
  <c r="NPO9" i="7"/>
  <c r="NPN9" i="7"/>
  <c r="NPM9" i="7"/>
  <c r="NPL9" i="7"/>
  <c r="NPK9" i="7"/>
  <c r="NPJ9" i="7"/>
  <c r="NPI9" i="7"/>
  <c r="NPH9" i="7"/>
  <c r="NPG9" i="7"/>
  <c r="NPF9" i="7"/>
  <c r="NPE9" i="7"/>
  <c r="NPD9" i="7"/>
  <c r="NPC9" i="7"/>
  <c r="NPB9" i="7"/>
  <c r="NPA9" i="7"/>
  <c r="NOZ9" i="7"/>
  <c r="NOY9" i="7"/>
  <c r="NOX9" i="7"/>
  <c r="NOW9" i="7"/>
  <c r="NOV9" i="7"/>
  <c r="NOU9" i="7"/>
  <c r="NOT9" i="7"/>
  <c r="NOS9" i="7"/>
  <c r="NOR9" i="7"/>
  <c r="NOQ9" i="7"/>
  <c r="NOP9" i="7"/>
  <c r="NOO9" i="7"/>
  <c r="NON9" i="7"/>
  <c r="NOM9" i="7"/>
  <c r="NOL9" i="7"/>
  <c r="NOK9" i="7"/>
  <c r="NOJ9" i="7"/>
  <c r="NOI9" i="7"/>
  <c r="NOH9" i="7"/>
  <c r="NOG9" i="7"/>
  <c r="NOF9" i="7"/>
  <c r="NOE9" i="7"/>
  <c r="NOD9" i="7"/>
  <c r="NOC9" i="7"/>
  <c r="NOB9" i="7"/>
  <c r="NOA9" i="7"/>
  <c r="NNZ9" i="7"/>
  <c r="NNY9" i="7"/>
  <c r="NNX9" i="7"/>
  <c r="NNW9" i="7"/>
  <c r="NNV9" i="7"/>
  <c r="NNU9" i="7"/>
  <c r="NNT9" i="7"/>
  <c r="NNS9" i="7"/>
  <c r="NNR9" i="7"/>
  <c r="NNQ9" i="7"/>
  <c r="NNP9" i="7"/>
  <c r="NNO9" i="7"/>
  <c r="NNN9" i="7"/>
  <c r="NNM9" i="7"/>
  <c r="NNL9" i="7"/>
  <c r="NNK9" i="7"/>
  <c r="NNJ9" i="7"/>
  <c r="NNI9" i="7"/>
  <c r="NNH9" i="7"/>
  <c r="NNG9" i="7"/>
  <c r="NNF9" i="7"/>
  <c r="NNE9" i="7"/>
  <c r="NND9" i="7"/>
  <c r="NNC9" i="7"/>
  <c r="NNB9" i="7"/>
  <c r="NNA9" i="7"/>
  <c r="NMZ9" i="7"/>
  <c r="NMY9" i="7"/>
  <c r="NMX9" i="7"/>
  <c r="NMW9" i="7"/>
  <c r="NMV9" i="7"/>
  <c r="NMU9" i="7"/>
  <c r="NMT9" i="7"/>
  <c r="NMS9" i="7"/>
  <c r="NMR9" i="7"/>
  <c r="NMQ9" i="7"/>
  <c r="NMP9" i="7"/>
  <c r="NMO9" i="7"/>
  <c r="NMN9" i="7"/>
  <c r="NMM9" i="7"/>
  <c r="NML9" i="7"/>
  <c r="NMK9" i="7"/>
  <c r="NMJ9" i="7"/>
  <c r="NMI9" i="7"/>
  <c r="NMH9" i="7"/>
  <c r="NMG9" i="7"/>
  <c r="NMF9" i="7"/>
  <c r="NME9" i="7"/>
  <c r="NMD9" i="7"/>
  <c r="NMC9" i="7"/>
  <c r="NMB9" i="7"/>
  <c r="NMA9" i="7"/>
  <c r="NLZ9" i="7"/>
  <c r="NLY9" i="7"/>
  <c r="NLX9" i="7"/>
  <c r="NLW9" i="7"/>
  <c r="NLV9" i="7"/>
  <c r="NLU9" i="7"/>
  <c r="NLT9" i="7"/>
  <c r="NLS9" i="7"/>
  <c r="NLR9" i="7"/>
  <c r="NLQ9" i="7"/>
  <c r="NLP9" i="7"/>
  <c r="NLO9" i="7"/>
  <c r="NLN9" i="7"/>
  <c r="NLM9" i="7"/>
  <c r="NLL9" i="7"/>
  <c r="NLK9" i="7"/>
  <c r="NLJ9" i="7"/>
  <c r="NLI9" i="7"/>
  <c r="NLH9" i="7"/>
  <c r="NLG9" i="7"/>
  <c r="NLF9" i="7"/>
  <c r="NLE9" i="7"/>
  <c r="NLD9" i="7"/>
  <c r="NLC9" i="7"/>
  <c r="NLB9" i="7"/>
  <c r="NLA9" i="7"/>
  <c r="NKZ9" i="7"/>
  <c r="NKY9" i="7"/>
  <c r="NKX9" i="7"/>
  <c r="NKW9" i="7"/>
  <c r="NKV9" i="7"/>
  <c r="NKU9" i="7"/>
  <c r="NKT9" i="7"/>
  <c r="NKS9" i="7"/>
  <c r="NKR9" i="7"/>
  <c r="NKQ9" i="7"/>
  <c r="NKP9" i="7"/>
  <c r="NKO9" i="7"/>
  <c r="NKN9" i="7"/>
  <c r="NKM9" i="7"/>
  <c r="NKL9" i="7"/>
  <c r="NKK9" i="7"/>
  <c r="NKJ9" i="7"/>
  <c r="NKI9" i="7"/>
  <c r="NKH9" i="7"/>
  <c r="NKG9" i="7"/>
  <c r="NKF9" i="7"/>
  <c r="NKE9" i="7"/>
  <c r="NKD9" i="7"/>
  <c r="NKC9" i="7"/>
  <c r="NKB9" i="7"/>
  <c r="NKA9" i="7"/>
  <c r="NJZ9" i="7"/>
  <c r="NJY9" i="7"/>
  <c r="NJX9" i="7"/>
  <c r="NJW9" i="7"/>
  <c r="NJV9" i="7"/>
  <c r="NJU9" i="7"/>
  <c r="NJT9" i="7"/>
  <c r="NJS9" i="7"/>
  <c r="NJR9" i="7"/>
  <c r="NJQ9" i="7"/>
  <c r="NJP9" i="7"/>
  <c r="NJO9" i="7"/>
  <c r="NJN9" i="7"/>
  <c r="NJM9" i="7"/>
  <c r="NJL9" i="7"/>
  <c r="NJK9" i="7"/>
  <c r="NJJ9" i="7"/>
  <c r="NJI9" i="7"/>
  <c r="NJH9" i="7"/>
  <c r="NJG9" i="7"/>
  <c r="NJF9" i="7"/>
  <c r="NJE9" i="7"/>
  <c r="NJD9" i="7"/>
  <c r="NJC9" i="7"/>
  <c r="NJB9" i="7"/>
  <c r="NJA9" i="7"/>
  <c r="NIZ9" i="7"/>
  <c r="NIY9" i="7"/>
  <c r="NIX9" i="7"/>
  <c r="NIW9" i="7"/>
  <c r="NIV9" i="7"/>
  <c r="NIU9" i="7"/>
  <c r="NIT9" i="7"/>
  <c r="NIS9" i="7"/>
  <c r="NIR9" i="7"/>
  <c r="NIQ9" i="7"/>
  <c r="NIP9" i="7"/>
  <c r="NIO9" i="7"/>
  <c r="NIN9" i="7"/>
  <c r="NIM9" i="7"/>
  <c r="NIL9" i="7"/>
  <c r="NIK9" i="7"/>
  <c r="NIJ9" i="7"/>
  <c r="NII9" i="7"/>
  <c r="NIH9" i="7"/>
  <c r="NIG9" i="7"/>
  <c r="NIF9" i="7"/>
  <c r="NIE9" i="7"/>
  <c r="NID9" i="7"/>
  <c r="NIC9" i="7"/>
  <c r="NIB9" i="7"/>
  <c r="NIA9" i="7"/>
  <c r="NHZ9" i="7"/>
  <c r="NHY9" i="7"/>
  <c r="NHX9" i="7"/>
  <c r="NHW9" i="7"/>
  <c r="NHV9" i="7"/>
  <c r="NHU9" i="7"/>
  <c r="NHT9" i="7"/>
  <c r="NHS9" i="7"/>
  <c r="NHR9" i="7"/>
  <c r="NHQ9" i="7"/>
  <c r="NHP9" i="7"/>
  <c r="NHO9" i="7"/>
  <c r="NHN9" i="7"/>
  <c r="NHM9" i="7"/>
  <c r="NHL9" i="7"/>
  <c r="NHK9" i="7"/>
  <c r="NHJ9" i="7"/>
  <c r="NHI9" i="7"/>
  <c r="NHH9" i="7"/>
  <c r="NHG9" i="7"/>
  <c r="NHF9" i="7"/>
  <c r="NHE9" i="7"/>
  <c r="NHD9" i="7"/>
  <c r="NHC9" i="7"/>
  <c r="NHB9" i="7"/>
  <c r="NHA9" i="7"/>
  <c r="NGZ9" i="7"/>
  <c r="NGY9" i="7"/>
  <c r="NGX9" i="7"/>
  <c r="NGW9" i="7"/>
  <c r="NGV9" i="7"/>
  <c r="NGU9" i="7"/>
  <c r="NGT9" i="7"/>
  <c r="NGS9" i="7"/>
  <c r="NGR9" i="7"/>
  <c r="NGQ9" i="7"/>
  <c r="NGP9" i="7"/>
  <c r="NGO9" i="7"/>
  <c r="NGN9" i="7"/>
  <c r="NGM9" i="7"/>
  <c r="NGL9" i="7"/>
  <c r="NGK9" i="7"/>
  <c r="NGJ9" i="7"/>
  <c r="NGI9" i="7"/>
  <c r="NGH9" i="7"/>
  <c r="NGG9" i="7"/>
  <c r="NGF9" i="7"/>
  <c r="NGE9" i="7"/>
  <c r="NGD9" i="7"/>
  <c r="NGC9" i="7"/>
  <c r="NGB9" i="7"/>
  <c r="NGA9" i="7"/>
  <c r="NFZ9" i="7"/>
  <c r="NFY9" i="7"/>
  <c r="NFX9" i="7"/>
  <c r="NFW9" i="7"/>
  <c r="NFV9" i="7"/>
  <c r="NFU9" i="7"/>
  <c r="NFT9" i="7"/>
  <c r="NFS9" i="7"/>
  <c r="NFR9" i="7"/>
  <c r="NFQ9" i="7"/>
  <c r="NFP9" i="7"/>
  <c r="NFO9" i="7"/>
  <c r="NFN9" i="7"/>
  <c r="NFM9" i="7"/>
  <c r="NFL9" i="7"/>
  <c r="NFK9" i="7"/>
  <c r="NFJ9" i="7"/>
  <c r="NFI9" i="7"/>
  <c r="NFH9" i="7"/>
  <c r="NFG9" i="7"/>
  <c r="NFF9" i="7"/>
  <c r="NFE9" i="7"/>
  <c r="NFD9" i="7"/>
  <c r="NFC9" i="7"/>
  <c r="NFB9" i="7"/>
  <c r="NFA9" i="7"/>
  <c r="NEZ9" i="7"/>
  <c r="NEY9" i="7"/>
  <c r="NEX9" i="7"/>
  <c r="NEW9" i="7"/>
  <c r="NEV9" i="7"/>
  <c r="NEU9" i="7"/>
  <c r="NET9" i="7"/>
  <c r="NES9" i="7"/>
  <c r="NER9" i="7"/>
  <c r="NEQ9" i="7"/>
  <c r="NEP9" i="7"/>
  <c r="NEO9" i="7"/>
  <c r="NEN9" i="7"/>
  <c r="NEM9" i="7"/>
  <c r="NEL9" i="7"/>
  <c r="NEK9" i="7"/>
  <c r="NEJ9" i="7"/>
  <c r="NEI9" i="7"/>
  <c r="NEH9" i="7"/>
  <c r="NEG9" i="7"/>
  <c r="NEF9" i="7"/>
  <c r="NEE9" i="7"/>
  <c r="NED9" i="7"/>
  <c r="NEC9" i="7"/>
  <c r="NEB9" i="7"/>
  <c r="NEA9" i="7"/>
  <c r="NDZ9" i="7"/>
  <c r="NDY9" i="7"/>
  <c r="NDX9" i="7"/>
  <c r="NDW9" i="7"/>
  <c r="NDV9" i="7"/>
  <c r="NDU9" i="7"/>
  <c r="NDT9" i="7"/>
  <c r="NDS9" i="7"/>
  <c r="NDR9" i="7"/>
  <c r="NDQ9" i="7"/>
  <c r="NDP9" i="7"/>
  <c r="NDO9" i="7"/>
  <c r="NDN9" i="7"/>
  <c r="NDM9" i="7"/>
  <c r="NDL9" i="7"/>
  <c r="NDK9" i="7"/>
  <c r="NDJ9" i="7"/>
  <c r="NDI9" i="7"/>
  <c r="NDH9" i="7"/>
  <c r="NDG9" i="7"/>
  <c r="NDF9" i="7"/>
  <c r="NDE9" i="7"/>
  <c r="NDD9" i="7"/>
  <c r="NDC9" i="7"/>
  <c r="NDB9" i="7"/>
  <c r="NDA9" i="7"/>
  <c r="NCZ9" i="7"/>
  <c r="NCY9" i="7"/>
  <c r="NCX9" i="7"/>
  <c r="NCW9" i="7"/>
  <c r="NCV9" i="7"/>
  <c r="NCU9" i="7"/>
  <c r="NCT9" i="7"/>
  <c r="NCS9" i="7"/>
  <c r="NCR9" i="7"/>
  <c r="NCQ9" i="7"/>
  <c r="NCP9" i="7"/>
  <c r="NCO9" i="7"/>
  <c r="NCN9" i="7"/>
  <c r="NCM9" i="7"/>
  <c r="NCL9" i="7"/>
  <c r="NCK9" i="7"/>
  <c r="NCJ9" i="7"/>
  <c r="NCI9" i="7"/>
  <c r="NCH9" i="7"/>
  <c r="NCG9" i="7"/>
  <c r="NCF9" i="7"/>
  <c r="NCE9" i="7"/>
  <c r="NCD9" i="7"/>
  <c r="NCC9" i="7"/>
  <c r="NCB9" i="7"/>
  <c r="NCA9" i="7"/>
  <c r="NBZ9" i="7"/>
  <c r="NBY9" i="7"/>
  <c r="NBX9" i="7"/>
  <c r="NBW9" i="7"/>
  <c r="NBV9" i="7"/>
  <c r="NBU9" i="7"/>
  <c r="NBT9" i="7"/>
  <c r="NBS9" i="7"/>
  <c r="NBR9" i="7"/>
  <c r="NBQ9" i="7"/>
  <c r="NBP9" i="7"/>
  <c r="NBO9" i="7"/>
  <c r="NBN9" i="7"/>
  <c r="NBM9" i="7"/>
  <c r="NBL9" i="7"/>
  <c r="NBK9" i="7"/>
  <c r="NBJ9" i="7"/>
  <c r="NBI9" i="7"/>
  <c r="NBH9" i="7"/>
  <c r="NBG9" i="7"/>
  <c r="NBF9" i="7"/>
  <c r="NBE9" i="7"/>
  <c r="NBD9" i="7"/>
  <c r="NBC9" i="7"/>
  <c r="NBB9" i="7"/>
  <c r="NBA9" i="7"/>
  <c r="NAZ9" i="7"/>
  <c r="NAY9" i="7"/>
  <c r="NAX9" i="7"/>
  <c r="NAW9" i="7"/>
  <c r="NAV9" i="7"/>
  <c r="NAU9" i="7"/>
  <c r="NAT9" i="7"/>
  <c r="NAS9" i="7"/>
  <c r="NAR9" i="7"/>
  <c r="NAQ9" i="7"/>
  <c r="NAP9" i="7"/>
  <c r="NAO9" i="7"/>
  <c r="NAN9" i="7"/>
  <c r="NAM9" i="7"/>
  <c r="NAL9" i="7"/>
  <c r="NAK9" i="7"/>
  <c r="NAJ9" i="7"/>
  <c r="NAI9" i="7"/>
  <c r="NAH9" i="7"/>
  <c r="NAG9" i="7"/>
  <c r="NAF9" i="7"/>
  <c r="NAE9" i="7"/>
  <c r="NAD9" i="7"/>
  <c r="NAC9" i="7"/>
  <c r="NAB9" i="7"/>
  <c r="NAA9" i="7"/>
  <c r="MZZ9" i="7"/>
  <c r="MZY9" i="7"/>
  <c r="MZX9" i="7"/>
  <c r="MZW9" i="7"/>
  <c r="MZV9" i="7"/>
  <c r="MZU9" i="7"/>
  <c r="MZT9" i="7"/>
  <c r="MZS9" i="7"/>
  <c r="MZR9" i="7"/>
  <c r="MZQ9" i="7"/>
  <c r="MZP9" i="7"/>
  <c r="MZO9" i="7"/>
  <c r="MZN9" i="7"/>
  <c r="MZM9" i="7"/>
  <c r="MZL9" i="7"/>
  <c r="MZK9" i="7"/>
  <c r="MZJ9" i="7"/>
  <c r="MZI9" i="7"/>
  <c r="MZH9" i="7"/>
  <c r="MZG9" i="7"/>
  <c r="MZF9" i="7"/>
  <c r="MZE9" i="7"/>
  <c r="MZD9" i="7"/>
  <c r="MZC9" i="7"/>
  <c r="MZB9" i="7"/>
  <c r="MZA9" i="7"/>
  <c r="MYZ9" i="7"/>
  <c r="MYY9" i="7"/>
  <c r="MYX9" i="7"/>
  <c r="MYW9" i="7"/>
  <c r="MYV9" i="7"/>
  <c r="MYU9" i="7"/>
  <c r="MYT9" i="7"/>
  <c r="MYS9" i="7"/>
  <c r="MYR9" i="7"/>
  <c r="MYQ9" i="7"/>
  <c r="MYP9" i="7"/>
  <c r="MYO9" i="7"/>
  <c r="MYN9" i="7"/>
  <c r="MYM9" i="7"/>
  <c r="MYL9" i="7"/>
  <c r="MYK9" i="7"/>
  <c r="MYJ9" i="7"/>
  <c r="MYI9" i="7"/>
  <c r="MYH9" i="7"/>
  <c r="MYG9" i="7"/>
  <c r="MYF9" i="7"/>
  <c r="MYE9" i="7"/>
  <c r="MYD9" i="7"/>
  <c r="MYC9" i="7"/>
  <c r="MYB9" i="7"/>
  <c r="MYA9" i="7"/>
  <c r="MXZ9" i="7"/>
  <c r="MXY9" i="7"/>
  <c r="MXX9" i="7"/>
  <c r="MXW9" i="7"/>
  <c r="MXV9" i="7"/>
  <c r="MXU9" i="7"/>
  <c r="MXT9" i="7"/>
  <c r="MXS9" i="7"/>
  <c r="MXR9" i="7"/>
  <c r="MXQ9" i="7"/>
  <c r="MXP9" i="7"/>
  <c r="MXO9" i="7"/>
  <c r="MXN9" i="7"/>
  <c r="MXM9" i="7"/>
  <c r="MXL9" i="7"/>
  <c r="MXK9" i="7"/>
  <c r="MXJ9" i="7"/>
  <c r="MXI9" i="7"/>
  <c r="MXH9" i="7"/>
  <c r="MXG9" i="7"/>
  <c r="MXF9" i="7"/>
  <c r="MXE9" i="7"/>
  <c r="MXD9" i="7"/>
  <c r="MXC9" i="7"/>
  <c r="MXB9" i="7"/>
  <c r="MXA9" i="7"/>
  <c r="MWZ9" i="7"/>
  <c r="MWY9" i="7"/>
  <c r="MWX9" i="7"/>
  <c r="MWW9" i="7"/>
  <c r="MWV9" i="7"/>
  <c r="MWU9" i="7"/>
  <c r="MWT9" i="7"/>
  <c r="MWS9" i="7"/>
  <c r="MWR9" i="7"/>
  <c r="MWQ9" i="7"/>
  <c r="MWP9" i="7"/>
  <c r="MWO9" i="7"/>
  <c r="MWN9" i="7"/>
  <c r="MWM9" i="7"/>
  <c r="MWL9" i="7"/>
  <c r="MWK9" i="7"/>
  <c r="MWJ9" i="7"/>
  <c r="MWI9" i="7"/>
  <c r="MWH9" i="7"/>
  <c r="MWG9" i="7"/>
  <c r="MWF9" i="7"/>
  <c r="MWE9" i="7"/>
  <c r="MWD9" i="7"/>
  <c r="MWC9" i="7"/>
  <c r="MWB9" i="7"/>
  <c r="MWA9" i="7"/>
  <c r="MVZ9" i="7"/>
  <c r="MVY9" i="7"/>
  <c r="MVX9" i="7"/>
  <c r="MVW9" i="7"/>
  <c r="MVV9" i="7"/>
  <c r="MVU9" i="7"/>
  <c r="MVT9" i="7"/>
  <c r="MVS9" i="7"/>
  <c r="MVR9" i="7"/>
  <c r="MVQ9" i="7"/>
  <c r="MVP9" i="7"/>
  <c r="MVO9" i="7"/>
  <c r="MVN9" i="7"/>
  <c r="MVM9" i="7"/>
  <c r="MVL9" i="7"/>
  <c r="MVK9" i="7"/>
  <c r="MVJ9" i="7"/>
  <c r="MVI9" i="7"/>
  <c r="MVH9" i="7"/>
  <c r="MVG9" i="7"/>
  <c r="MVF9" i="7"/>
  <c r="MVE9" i="7"/>
  <c r="MVD9" i="7"/>
  <c r="MVC9" i="7"/>
  <c r="MVB9" i="7"/>
  <c r="MVA9" i="7"/>
  <c r="MUZ9" i="7"/>
  <c r="MUY9" i="7"/>
  <c r="MUX9" i="7"/>
  <c r="MUW9" i="7"/>
  <c r="MUV9" i="7"/>
  <c r="MUU9" i="7"/>
  <c r="MUT9" i="7"/>
  <c r="MUS9" i="7"/>
  <c r="MUR9" i="7"/>
  <c r="MUQ9" i="7"/>
  <c r="MUP9" i="7"/>
  <c r="MUO9" i="7"/>
  <c r="MUN9" i="7"/>
  <c r="MUM9" i="7"/>
  <c r="MUL9" i="7"/>
  <c r="MUK9" i="7"/>
  <c r="MUJ9" i="7"/>
  <c r="MUI9" i="7"/>
  <c r="MUH9" i="7"/>
  <c r="MUG9" i="7"/>
  <c r="MUF9" i="7"/>
  <c r="MUE9" i="7"/>
  <c r="MUD9" i="7"/>
  <c r="MUC9" i="7"/>
  <c r="MUB9" i="7"/>
  <c r="MUA9" i="7"/>
  <c r="MTZ9" i="7"/>
  <c r="MTY9" i="7"/>
  <c r="MTX9" i="7"/>
  <c r="MTW9" i="7"/>
  <c r="MTV9" i="7"/>
  <c r="MTU9" i="7"/>
  <c r="MTT9" i="7"/>
  <c r="MTS9" i="7"/>
  <c r="MTR9" i="7"/>
  <c r="MTQ9" i="7"/>
  <c r="MTP9" i="7"/>
  <c r="MTO9" i="7"/>
  <c r="MTN9" i="7"/>
  <c r="MTM9" i="7"/>
  <c r="MTL9" i="7"/>
  <c r="MTK9" i="7"/>
  <c r="MTJ9" i="7"/>
  <c r="MTI9" i="7"/>
  <c r="MTH9" i="7"/>
  <c r="MTG9" i="7"/>
  <c r="MTF9" i="7"/>
  <c r="MTE9" i="7"/>
  <c r="MTD9" i="7"/>
  <c r="MTC9" i="7"/>
  <c r="MTB9" i="7"/>
  <c r="MTA9" i="7"/>
  <c r="MSZ9" i="7"/>
  <c r="MSY9" i="7"/>
  <c r="MSX9" i="7"/>
  <c r="MSW9" i="7"/>
  <c r="MSV9" i="7"/>
  <c r="MSU9" i="7"/>
  <c r="MST9" i="7"/>
  <c r="MSS9" i="7"/>
  <c r="MSR9" i="7"/>
  <c r="MSQ9" i="7"/>
  <c r="MSP9" i="7"/>
  <c r="MSO9" i="7"/>
  <c r="MSN9" i="7"/>
  <c r="MSM9" i="7"/>
  <c r="MSL9" i="7"/>
  <c r="MSK9" i="7"/>
  <c r="MSJ9" i="7"/>
  <c r="MSI9" i="7"/>
  <c r="MSH9" i="7"/>
  <c r="MSG9" i="7"/>
  <c r="MSF9" i="7"/>
  <c r="MSE9" i="7"/>
  <c r="MSD9" i="7"/>
  <c r="MSC9" i="7"/>
  <c r="MSB9" i="7"/>
  <c r="MSA9" i="7"/>
  <c r="MRZ9" i="7"/>
  <c r="MRY9" i="7"/>
  <c r="MRX9" i="7"/>
  <c r="MRW9" i="7"/>
  <c r="MRV9" i="7"/>
  <c r="MRU9" i="7"/>
  <c r="MRT9" i="7"/>
  <c r="MRS9" i="7"/>
  <c r="MRR9" i="7"/>
  <c r="MRQ9" i="7"/>
  <c r="MRP9" i="7"/>
  <c r="MRO9" i="7"/>
  <c r="MRN9" i="7"/>
  <c r="MRM9" i="7"/>
  <c r="MRL9" i="7"/>
  <c r="MRK9" i="7"/>
  <c r="MRJ9" i="7"/>
  <c r="MRI9" i="7"/>
  <c r="MRH9" i="7"/>
  <c r="MRG9" i="7"/>
  <c r="MRF9" i="7"/>
  <c r="MRE9" i="7"/>
  <c r="MRD9" i="7"/>
  <c r="MRC9" i="7"/>
  <c r="MRB9" i="7"/>
  <c r="MRA9" i="7"/>
  <c r="MQZ9" i="7"/>
  <c r="MQY9" i="7"/>
  <c r="MQX9" i="7"/>
  <c r="MQW9" i="7"/>
  <c r="MQV9" i="7"/>
  <c r="MQU9" i="7"/>
  <c r="MQT9" i="7"/>
  <c r="MQS9" i="7"/>
  <c r="MQR9" i="7"/>
  <c r="MQQ9" i="7"/>
  <c r="MQP9" i="7"/>
  <c r="MQO9" i="7"/>
  <c r="MQN9" i="7"/>
  <c r="MQM9" i="7"/>
  <c r="MQL9" i="7"/>
  <c r="MQK9" i="7"/>
  <c r="MQJ9" i="7"/>
  <c r="MQI9" i="7"/>
  <c r="MQH9" i="7"/>
  <c r="MQG9" i="7"/>
  <c r="MQF9" i="7"/>
  <c r="MQE9" i="7"/>
  <c r="MQD9" i="7"/>
  <c r="MQC9" i="7"/>
  <c r="MQB9" i="7"/>
  <c r="MQA9" i="7"/>
  <c r="MPZ9" i="7"/>
  <c r="MPY9" i="7"/>
  <c r="MPX9" i="7"/>
  <c r="MPW9" i="7"/>
  <c r="MPV9" i="7"/>
  <c r="MPU9" i="7"/>
  <c r="MPT9" i="7"/>
  <c r="MPS9" i="7"/>
  <c r="MPR9" i="7"/>
  <c r="MPQ9" i="7"/>
  <c r="MPP9" i="7"/>
  <c r="MPO9" i="7"/>
  <c r="MPN9" i="7"/>
  <c r="MPM9" i="7"/>
  <c r="MPL9" i="7"/>
  <c r="MPK9" i="7"/>
  <c r="MPJ9" i="7"/>
  <c r="MPI9" i="7"/>
  <c r="MPH9" i="7"/>
  <c r="MPG9" i="7"/>
  <c r="MPF9" i="7"/>
  <c r="MPE9" i="7"/>
  <c r="MPD9" i="7"/>
  <c r="MPC9" i="7"/>
  <c r="MPB9" i="7"/>
  <c r="MPA9" i="7"/>
  <c r="MOZ9" i="7"/>
  <c r="MOY9" i="7"/>
  <c r="MOX9" i="7"/>
  <c r="MOW9" i="7"/>
  <c r="MOV9" i="7"/>
  <c r="MOU9" i="7"/>
  <c r="MOT9" i="7"/>
  <c r="MOS9" i="7"/>
  <c r="MOR9" i="7"/>
  <c r="MOQ9" i="7"/>
  <c r="MOP9" i="7"/>
  <c r="MOO9" i="7"/>
  <c r="MON9" i="7"/>
  <c r="MOM9" i="7"/>
  <c r="MOL9" i="7"/>
  <c r="MOK9" i="7"/>
  <c r="MOJ9" i="7"/>
  <c r="MOI9" i="7"/>
  <c r="MOH9" i="7"/>
  <c r="MOG9" i="7"/>
  <c r="MOF9" i="7"/>
  <c r="MOE9" i="7"/>
  <c r="MOD9" i="7"/>
  <c r="MOC9" i="7"/>
  <c r="MOB9" i="7"/>
  <c r="MOA9" i="7"/>
  <c r="MNZ9" i="7"/>
  <c r="MNY9" i="7"/>
  <c r="MNX9" i="7"/>
  <c r="MNW9" i="7"/>
  <c r="MNV9" i="7"/>
  <c r="MNU9" i="7"/>
  <c r="MNT9" i="7"/>
  <c r="MNS9" i="7"/>
  <c r="MNR9" i="7"/>
  <c r="MNQ9" i="7"/>
  <c r="MNP9" i="7"/>
  <c r="MNO9" i="7"/>
  <c r="MNN9" i="7"/>
  <c r="MNM9" i="7"/>
  <c r="MNL9" i="7"/>
  <c r="MNK9" i="7"/>
  <c r="MNJ9" i="7"/>
  <c r="MNI9" i="7"/>
  <c r="MNH9" i="7"/>
  <c r="MNG9" i="7"/>
  <c r="MNF9" i="7"/>
  <c r="MNE9" i="7"/>
  <c r="MND9" i="7"/>
  <c r="MNC9" i="7"/>
  <c r="MNB9" i="7"/>
  <c r="MNA9" i="7"/>
  <c r="MMZ9" i="7"/>
  <c r="MMY9" i="7"/>
  <c r="MMX9" i="7"/>
  <c r="MMW9" i="7"/>
  <c r="MMV9" i="7"/>
  <c r="MMU9" i="7"/>
  <c r="MMT9" i="7"/>
  <c r="MMS9" i="7"/>
  <c r="MMR9" i="7"/>
  <c r="MMQ9" i="7"/>
  <c r="MMP9" i="7"/>
  <c r="MMO9" i="7"/>
  <c r="MMN9" i="7"/>
  <c r="MMM9" i="7"/>
  <c r="MML9" i="7"/>
  <c r="MMK9" i="7"/>
  <c r="MMJ9" i="7"/>
  <c r="MMI9" i="7"/>
  <c r="MMH9" i="7"/>
  <c r="MMG9" i="7"/>
  <c r="MMF9" i="7"/>
  <c r="MME9" i="7"/>
  <c r="MMD9" i="7"/>
  <c r="MMC9" i="7"/>
  <c r="MMB9" i="7"/>
  <c r="MMA9" i="7"/>
  <c r="MLZ9" i="7"/>
  <c r="MLY9" i="7"/>
  <c r="MLX9" i="7"/>
  <c r="MLW9" i="7"/>
  <c r="MLV9" i="7"/>
  <c r="MLU9" i="7"/>
  <c r="MLT9" i="7"/>
  <c r="MLS9" i="7"/>
  <c r="MLR9" i="7"/>
  <c r="MLQ9" i="7"/>
  <c r="MLP9" i="7"/>
  <c r="MLO9" i="7"/>
  <c r="MLN9" i="7"/>
  <c r="MLM9" i="7"/>
  <c r="MLL9" i="7"/>
  <c r="MLK9" i="7"/>
  <c r="MLJ9" i="7"/>
  <c r="MLI9" i="7"/>
  <c r="MLH9" i="7"/>
  <c r="MLG9" i="7"/>
  <c r="MLF9" i="7"/>
  <c r="MLE9" i="7"/>
  <c r="MLD9" i="7"/>
  <c r="MLC9" i="7"/>
  <c r="MLB9" i="7"/>
  <c r="MLA9" i="7"/>
  <c r="MKZ9" i="7"/>
  <c r="MKY9" i="7"/>
  <c r="MKX9" i="7"/>
  <c r="MKW9" i="7"/>
  <c r="MKV9" i="7"/>
  <c r="MKU9" i="7"/>
  <c r="MKT9" i="7"/>
  <c r="MKS9" i="7"/>
  <c r="MKR9" i="7"/>
  <c r="MKQ9" i="7"/>
  <c r="MKP9" i="7"/>
  <c r="MKO9" i="7"/>
  <c r="MKN9" i="7"/>
  <c r="MKM9" i="7"/>
  <c r="MKL9" i="7"/>
  <c r="MKK9" i="7"/>
  <c r="MKJ9" i="7"/>
  <c r="MKI9" i="7"/>
  <c r="MKH9" i="7"/>
  <c r="MKG9" i="7"/>
  <c r="MKF9" i="7"/>
  <c r="MKE9" i="7"/>
  <c r="MKD9" i="7"/>
  <c r="MKC9" i="7"/>
  <c r="MKB9" i="7"/>
  <c r="MKA9" i="7"/>
  <c r="MJZ9" i="7"/>
  <c r="MJY9" i="7"/>
  <c r="MJX9" i="7"/>
  <c r="MJW9" i="7"/>
  <c r="MJV9" i="7"/>
  <c r="MJU9" i="7"/>
  <c r="MJT9" i="7"/>
  <c r="MJS9" i="7"/>
  <c r="MJR9" i="7"/>
  <c r="MJQ9" i="7"/>
  <c r="MJP9" i="7"/>
  <c r="MJO9" i="7"/>
  <c r="MJN9" i="7"/>
  <c r="MJM9" i="7"/>
  <c r="MJL9" i="7"/>
  <c r="MJK9" i="7"/>
  <c r="MJJ9" i="7"/>
  <c r="MJI9" i="7"/>
  <c r="MJH9" i="7"/>
  <c r="MJG9" i="7"/>
  <c r="MJF9" i="7"/>
  <c r="MJE9" i="7"/>
  <c r="MJD9" i="7"/>
  <c r="MJC9" i="7"/>
  <c r="MJB9" i="7"/>
  <c r="MJA9" i="7"/>
  <c r="MIZ9" i="7"/>
  <c r="MIY9" i="7"/>
  <c r="MIX9" i="7"/>
  <c r="MIW9" i="7"/>
  <c r="MIV9" i="7"/>
  <c r="MIU9" i="7"/>
  <c r="MIT9" i="7"/>
  <c r="MIS9" i="7"/>
  <c r="MIR9" i="7"/>
  <c r="MIQ9" i="7"/>
  <c r="MIP9" i="7"/>
  <c r="MIO9" i="7"/>
  <c r="MIN9" i="7"/>
  <c r="MIM9" i="7"/>
  <c r="MIL9" i="7"/>
  <c r="MIK9" i="7"/>
  <c r="MIJ9" i="7"/>
  <c r="MII9" i="7"/>
  <c r="MIH9" i="7"/>
  <c r="MIG9" i="7"/>
  <c r="MIF9" i="7"/>
  <c r="MIE9" i="7"/>
  <c r="MID9" i="7"/>
  <c r="MIC9" i="7"/>
  <c r="MIB9" i="7"/>
  <c r="MIA9" i="7"/>
  <c r="MHZ9" i="7"/>
  <c r="MHY9" i="7"/>
  <c r="MHX9" i="7"/>
  <c r="MHW9" i="7"/>
  <c r="MHV9" i="7"/>
  <c r="MHU9" i="7"/>
  <c r="MHT9" i="7"/>
  <c r="MHS9" i="7"/>
  <c r="MHR9" i="7"/>
  <c r="MHQ9" i="7"/>
  <c r="MHP9" i="7"/>
  <c r="MHO9" i="7"/>
  <c r="MHN9" i="7"/>
  <c r="MHM9" i="7"/>
  <c r="MHL9" i="7"/>
  <c r="MHK9" i="7"/>
  <c r="MHJ9" i="7"/>
  <c r="MHI9" i="7"/>
  <c r="MHH9" i="7"/>
  <c r="MHG9" i="7"/>
  <c r="MHF9" i="7"/>
  <c r="MHE9" i="7"/>
  <c r="MHD9" i="7"/>
  <c r="MHC9" i="7"/>
  <c r="MHB9" i="7"/>
  <c r="MHA9" i="7"/>
  <c r="MGZ9" i="7"/>
  <c r="MGY9" i="7"/>
  <c r="MGX9" i="7"/>
  <c r="MGW9" i="7"/>
  <c r="MGV9" i="7"/>
  <c r="MGU9" i="7"/>
  <c r="MGT9" i="7"/>
  <c r="MGS9" i="7"/>
  <c r="MGR9" i="7"/>
  <c r="MGQ9" i="7"/>
  <c r="MGP9" i="7"/>
  <c r="MGO9" i="7"/>
  <c r="MGN9" i="7"/>
  <c r="MGM9" i="7"/>
  <c r="MGL9" i="7"/>
  <c r="MGK9" i="7"/>
  <c r="MGJ9" i="7"/>
  <c r="MGI9" i="7"/>
  <c r="MGH9" i="7"/>
  <c r="MGG9" i="7"/>
  <c r="MGF9" i="7"/>
  <c r="MGE9" i="7"/>
  <c r="MGD9" i="7"/>
  <c r="MGC9" i="7"/>
  <c r="MGB9" i="7"/>
  <c r="MGA9" i="7"/>
  <c r="MFZ9" i="7"/>
  <c r="MFY9" i="7"/>
  <c r="MFX9" i="7"/>
  <c r="MFW9" i="7"/>
  <c r="MFV9" i="7"/>
  <c r="MFU9" i="7"/>
  <c r="MFT9" i="7"/>
  <c r="MFS9" i="7"/>
  <c r="MFR9" i="7"/>
  <c r="MFQ9" i="7"/>
  <c r="MFP9" i="7"/>
  <c r="MFO9" i="7"/>
  <c r="MFN9" i="7"/>
  <c r="MFM9" i="7"/>
  <c r="MFL9" i="7"/>
  <c r="MFK9" i="7"/>
  <c r="MFJ9" i="7"/>
  <c r="MFI9" i="7"/>
  <c r="MFH9" i="7"/>
  <c r="MFG9" i="7"/>
  <c r="MFF9" i="7"/>
  <c r="MFE9" i="7"/>
  <c r="MFD9" i="7"/>
  <c r="MFC9" i="7"/>
  <c r="MFB9" i="7"/>
  <c r="MFA9" i="7"/>
  <c r="MEZ9" i="7"/>
  <c r="MEY9" i="7"/>
  <c r="MEX9" i="7"/>
  <c r="MEW9" i="7"/>
  <c r="MEV9" i="7"/>
  <c r="MEU9" i="7"/>
  <c r="MET9" i="7"/>
  <c r="MES9" i="7"/>
  <c r="MER9" i="7"/>
  <c r="MEQ9" i="7"/>
  <c r="MEP9" i="7"/>
  <c r="MEO9" i="7"/>
  <c r="MEN9" i="7"/>
  <c r="MEM9" i="7"/>
  <c r="MEL9" i="7"/>
  <c r="MEK9" i="7"/>
  <c r="MEJ9" i="7"/>
  <c r="MEI9" i="7"/>
  <c r="MEH9" i="7"/>
  <c r="MEG9" i="7"/>
  <c r="MEF9" i="7"/>
  <c r="MEE9" i="7"/>
  <c r="MED9" i="7"/>
  <c r="MEC9" i="7"/>
  <c r="MEB9" i="7"/>
  <c r="MEA9" i="7"/>
  <c r="MDZ9" i="7"/>
  <c r="MDY9" i="7"/>
  <c r="MDX9" i="7"/>
  <c r="MDW9" i="7"/>
  <c r="MDV9" i="7"/>
  <c r="MDU9" i="7"/>
  <c r="MDT9" i="7"/>
  <c r="MDS9" i="7"/>
  <c r="MDR9" i="7"/>
  <c r="MDQ9" i="7"/>
  <c r="MDP9" i="7"/>
  <c r="MDO9" i="7"/>
  <c r="MDN9" i="7"/>
  <c r="MDM9" i="7"/>
  <c r="MDL9" i="7"/>
  <c r="MDK9" i="7"/>
  <c r="MDJ9" i="7"/>
  <c r="MDI9" i="7"/>
  <c r="MDH9" i="7"/>
  <c r="MDG9" i="7"/>
  <c r="MDF9" i="7"/>
  <c r="MDE9" i="7"/>
  <c r="MDD9" i="7"/>
  <c r="MDC9" i="7"/>
  <c r="MDB9" i="7"/>
  <c r="MDA9" i="7"/>
  <c r="MCZ9" i="7"/>
  <c r="MCY9" i="7"/>
  <c r="MCX9" i="7"/>
  <c r="MCW9" i="7"/>
  <c r="MCV9" i="7"/>
  <c r="MCU9" i="7"/>
  <c r="MCT9" i="7"/>
  <c r="MCS9" i="7"/>
  <c r="MCR9" i="7"/>
  <c r="MCQ9" i="7"/>
  <c r="MCP9" i="7"/>
  <c r="MCO9" i="7"/>
  <c r="MCN9" i="7"/>
  <c r="MCM9" i="7"/>
  <c r="MCL9" i="7"/>
  <c r="MCK9" i="7"/>
  <c r="MCJ9" i="7"/>
  <c r="MCI9" i="7"/>
  <c r="MCH9" i="7"/>
  <c r="MCG9" i="7"/>
  <c r="MCF9" i="7"/>
  <c r="MCE9" i="7"/>
  <c r="MCD9" i="7"/>
  <c r="MCC9" i="7"/>
  <c r="MCB9" i="7"/>
  <c r="MCA9" i="7"/>
  <c r="MBZ9" i="7"/>
  <c r="MBY9" i="7"/>
  <c r="MBX9" i="7"/>
  <c r="MBW9" i="7"/>
  <c r="MBV9" i="7"/>
  <c r="MBU9" i="7"/>
  <c r="MBT9" i="7"/>
  <c r="MBS9" i="7"/>
  <c r="MBR9" i="7"/>
  <c r="MBQ9" i="7"/>
  <c r="MBP9" i="7"/>
  <c r="MBO9" i="7"/>
  <c r="MBN9" i="7"/>
  <c r="MBM9" i="7"/>
  <c r="MBL9" i="7"/>
  <c r="MBK9" i="7"/>
  <c r="MBJ9" i="7"/>
  <c r="MBI9" i="7"/>
  <c r="MBH9" i="7"/>
  <c r="MBG9" i="7"/>
  <c r="MBF9" i="7"/>
  <c r="MBE9" i="7"/>
  <c r="MBD9" i="7"/>
  <c r="MBC9" i="7"/>
  <c r="MBB9" i="7"/>
  <c r="MBA9" i="7"/>
  <c r="MAZ9" i="7"/>
  <c r="MAY9" i="7"/>
  <c r="MAX9" i="7"/>
  <c r="MAW9" i="7"/>
  <c r="MAV9" i="7"/>
  <c r="MAU9" i="7"/>
  <c r="MAT9" i="7"/>
  <c r="MAS9" i="7"/>
  <c r="MAR9" i="7"/>
  <c r="MAQ9" i="7"/>
  <c r="MAP9" i="7"/>
  <c r="MAO9" i="7"/>
  <c r="MAN9" i="7"/>
  <c r="MAM9" i="7"/>
  <c r="MAL9" i="7"/>
  <c r="MAK9" i="7"/>
  <c r="MAJ9" i="7"/>
  <c r="MAI9" i="7"/>
  <c r="MAH9" i="7"/>
  <c r="MAG9" i="7"/>
  <c r="MAF9" i="7"/>
  <c r="MAE9" i="7"/>
  <c r="MAD9" i="7"/>
  <c r="MAC9" i="7"/>
  <c r="MAB9" i="7"/>
  <c r="MAA9" i="7"/>
  <c r="LZZ9" i="7"/>
  <c r="LZY9" i="7"/>
  <c r="LZX9" i="7"/>
  <c r="LZW9" i="7"/>
  <c r="LZV9" i="7"/>
  <c r="LZU9" i="7"/>
  <c r="LZT9" i="7"/>
  <c r="LZS9" i="7"/>
  <c r="LZR9" i="7"/>
  <c r="LZQ9" i="7"/>
  <c r="LZP9" i="7"/>
  <c r="LZO9" i="7"/>
  <c r="LZN9" i="7"/>
  <c r="LZM9" i="7"/>
  <c r="LZL9" i="7"/>
  <c r="LZK9" i="7"/>
  <c r="LZJ9" i="7"/>
  <c r="LZI9" i="7"/>
  <c r="LZH9" i="7"/>
  <c r="LZG9" i="7"/>
  <c r="LZF9" i="7"/>
  <c r="LZE9" i="7"/>
  <c r="LZD9" i="7"/>
  <c r="LZC9" i="7"/>
  <c r="LZB9" i="7"/>
  <c r="LZA9" i="7"/>
  <c r="LYZ9" i="7"/>
  <c r="LYY9" i="7"/>
  <c r="LYX9" i="7"/>
  <c r="LYW9" i="7"/>
  <c r="LYV9" i="7"/>
  <c r="LYU9" i="7"/>
  <c r="LYT9" i="7"/>
  <c r="LYS9" i="7"/>
  <c r="LYR9" i="7"/>
  <c r="LYQ9" i="7"/>
  <c r="LYP9" i="7"/>
  <c r="LYO9" i="7"/>
  <c r="LYN9" i="7"/>
  <c r="LYM9" i="7"/>
  <c r="LYL9" i="7"/>
  <c r="LYK9" i="7"/>
  <c r="LYJ9" i="7"/>
  <c r="LYI9" i="7"/>
  <c r="LYH9" i="7"/>
  <c r="LYG9" i="7"/>
  <c r="LYF9" i="7"/>
  <c r="LYE9" i="7"/>
  <c r="LYD9" i="7"/>
  <c r="LYC9" i="7"/>
  <c r="LYB9" i="7"/>
  <c r="LYA9" i="7"/>
  <c r="LXZ9" i="7"/>
  <c r="LXY9" i="7"/>
  <c r="LXX9" i="7"/>
  <c r="LXW9" i="7"/>
  <c r="LXV9" i="7"/>
  <c r="LXU9" i="7"/>
  <c r="LXT9" i="7"/>
  <c r="LXS9" i="7"/>
  <c r="LXR9" i="7"/>
  <c r="LXQ9" i="7"/>
  <c r="LXP9" i="7"/>
  <c r="LXO9" i="7"/>
  <c r="LXN9" i="7"/>
  <c r="LXM9" i="7"/>
  <c r="LXL9" i="7"/>
  <c r="LXK9" i="7"/>
  <c r="LXJ9" i="7"/>
  <c r="LXI9" i="7"/>
  <c r="LXH9" i="7"/>
  <c r="LXG9" i="7"/>
  <c r="LXF9" i="7"/>
  <c r="LXE9" i="7"/>
  <c r="LXD9" i="7"/>
  <c r="LXC9" i="7"/>
  <c r="LXB9" i="7"/>
  <c r="LXA9" i="7"/>
  <c r="LWZ9" i="7"/>
  <c r="LWY9" i="7"/>
  <c r="LWX9" i="7"/>
  <c r="LWW9" i="7"/>
  <c r="LWV9" i="7"/>
  <c r="LWU9" i="7"/>
  <c r="LWT9" i="7"/>
  <c r="LWS9" i="7"/>
  <c r="LWR9" i="7"/>
  <c r="LWQ9" i="7"/>
  <c r="LWP9" i="7"/>
  <c r="LWO9" i="7"/>
  <c r="LWN9" i="7"/>
  <c r="LWM9" i="7"/>
  <c r="LWL9" i="7"/>
  <c r="LWK9" i="7"/>
  <c r="LWJ9" i="7"/>
  <c r="LWI9" i="7"/>
  <c r="LWH9" i="7"/>
  <c r="LWG9" i="7"/>
  <c r="LWF9" i="7"/>
  <c r="LWE9" i="7"/>
  <c r="LWD9" i="7"/>
  <c r="LWC9" i="7"/>
  <c r="LWB9" i="7"/>
  <c r="LWA9" i="7"/>
  <c r="LVZ9" i="7"/>
  <c r="LVY9" i="7"/>
  <c r="LVX9" i="7"/>
  <c r="LVW9" i="7"/>
  <c r="LVV9" i="7"/>
  <c r="LVU9" i="7"/>
  <c r="LVT9" i="7"/>
  <c r="LVS9" i="7"/>
  <c r="LVR9" i="7"/>
  <c r="LVQ9" i="7"/>
  <c r="LVP9" i="7"/>
  <c r="LVO9" i="7"/>
  <c r="LVN9" i="7"/>
  <c r="LVM9" i="7"/>
  <c r="LVL9" i="7"/>
  <c r="LVK9" i="7"/>
  <c r="LVJ9" i="7"/>
  <c r="LVI9" i="7"/>
  <c r="LVH9" i="7"/>
  <c r="LVG9" i="7"/>
  <c r="LVF9" i="7"/>
  <c r="LVE9" i="7"/>
  <c r="LVD9" i="7"/>
  <c r="LVC9" i="7"/>
  <c r="LVB9" i="7"/>
  <c r="LVA9" i="7"/>
  <c r="LUZ9" i="7"/>
  <c r="LUY9" i="7"/>
  <c r="LUX9" i="7"/>
  <c r="LUW9" i="7"/>
  <c r="LUV9" i="7"/>
  <c r="LUU9" i="7"/>
  <c r="LUT9" i="7"/>
  <c r="LUS9" i="7"/>
  <c r="LUR9" i="7"/>
  <c r="LUQ9" i="7"/>
  <c r="LUP9" i="7"/>
  <c r="LUO9" i="7"/>
  <c r="LUN9" i="7"/>
  <c r="LUM9" i="7"/>
  <c r="LUL9" i="7"/>
  <c r="LUK9" i="7"/>
  <c r="LUJ9" i="7"/>
  <c r="LUI9" i="7"/>
  <c r="LUH9" i="7"/>
  <c r="LUG9" i="7"/>
  <c r="LUF9" i="7"/>
  <c r="LUE9" i="7"/>
  <c r="LUD9" i="7"/>
  <c r="LUC9" i="7"/>
  <c r="LUB9" i="7"/>
  <c r="LUA9" i="7"/>
  <c r="LTZ9" i="7"/>
  <c r="LTY9" i="7"/>
  <c r="LTX9" i="7"/>
  <c r="LTW9" i="7"/>
  <c r="LTV9" i="7"/>
  <c r="LTU9" i="7"/>
  <c r="LTT9" i="7"/>
  <c r="LTS9" i="7"/>
  <c r="LTR9" i="7"/>
  <c r="LTQ9" i="7"/>
  <c r="LTP9" i="7"/>
  <c r="LTO9" i="7"/>
  <c r="LTN9" i="7"/>
  <c r="LTM9" i="7"/>
  <c r="LTL9" i="7"/>
  <c r="LTK9" i="7"/>
  <c r="LTJ9" i="7"/>
  <c r="LTI9" i="7"/>
  <c r="LTH9" i="7"/>
  <c r="LTG9" i="7"/>
  <c r="LTF9" i="7"/>
  <c r="LTE9" i="7"/>
  <c r="LTD9" i="7"/>
  <c r="LTC9" i="7"/>
  <c r="LTB9" i="7"/>
  <c r="LTA9" i="7"/>
  <c r="LSZ9" i="7"/>
  <c r="LSY9" i="7"/>
  <c r="LSX9" i="7"/>
  <c r="LSW9" i="7"/>
  <c r="LSV9" i="7"/>
  <c r="LSU9" i="7"/>
  <c r="LST9" i="7"/>
  <c r="LSS9" i="7"/>
  <c r="LSR9" i="7"/>
  <c r="LSQ9" i="7"/>
  <c r="LSP9" i="7"/>
  <c r="LSO9" i="7"/>
  <c r="LSN9" i="7"/>
  <c r="LSM9" i="7"/>
  <c r="LSL9" i="7"/>
  <c r="LSK9" i="7"/>
  <c r="LSJ9" i="7"/>
  <c r="LSI9" i="7"/>
  <c r="LSH9" i="7"/>
  <c r="LSG9" i="7"/>
  <c r="LSF9" i="7"/>
  <c r="LSE9" i="7"/>
  <c r="LSD9" i="7"/>
  <c r="LSC9" i="7"/>
  <c r="LSB9" i="7"/>
  <c r="LSA9" i="7"/>
  <c r="LRZ9" i="7"/>
  <c r="LRY9" i="7"/>
  <c r="LRX9" i="7"/>
  <c r="LRW9" i="7"/>
  <c r="LRV9" i="7"/>
  <c r="LRU9" i="7"/>
  <c r="LRT9" i="7"/>
  <c r="LRS9" i="7"/>
  <c r="LRR9" i="7"/>
  <c r="LRQ9" i="7"/>
  <c r="LRP9" i="7"/>
  <c r="LRO9" i="7"/>
  <c r="LRN9" i="7"/>
  <c r="LRM9" i="7"/>
  <c r="LRL9" i="7"/>
  <c r="LRK9" i="7"/>
  <c r="LRJ9" i="7"/>
  <c r="LRI9" i="7"/>
  <c r="LRH9" i="7"/>
  <c r="LRG9" i="7"/>
  <c r="LRF9" i="7"/>
  <c r="LRE9" i="7"/>
  <c r="LRD9" i="7"/>
  <c r="LRC9" i="7"/>
  <c r="LRB9" i="7"/>
  <c r="LRA9" i="7"/>
  <c r="LQZ9" i="7"/>
  <c r="LQY9" i="7"/>
  <c r="LQX9" i="7"/>
  <c r="LQW9" i="7"/>
  <c r="LQV9" i="7"/>
  <c r="LQU9" i="7"/>
  <c r="LQT9" i="7"/>
  <c r="LQS9" i="7"/>
  <c r="LQR9" i="7"/>
  <c r="LQQ9" i="7"/>
  <c r="LQP9" i="7"/>
  <c r="LQO9" i="7"/>
  <c r="LQN9" i="7"/>
  <c r="LQM9" i="7"/>
  <c r="LQL9" i="7"/>
  <c r="LQK9" i="7"/>
  <c r="LQJ9" i="7"/>
  <c r="LQI9" i="7"/>
  <c r="LQH9" i="7"/>
  <c r="LQG9" i="7"/>
  <c r="LQF9" i="7"/>
  <c r="LQE9" i="7"/>
  <c r="LQD9" i="7"/>
  <c r="LQC9" i="7"/>
  <c r="LQB9" i="7"/>
  <c r="LQA9" i="7"/>
  <c r="LPZ9" i="7"/>
  <c r="LPY9" i="7"/>
  <c r="LPX9" i="7"/>
  <c r="LPW9" i="7"/>
  <c r="LPV9" i="7"/>
  <c r="LPU9" i="7"/>
  <c r="LPT9" i="7"/>
  <c r="LPS9" i="7"/>
  <c r="LPR9" i="7"/>
  <c r="LPQ9" i="7"/>
  <c r="LPP9" i="7"/>
  <c r="LPO9" i="7"/>
  <c r="LPN9" i="7"/>
  <c r="LPM9" i="7"/>
  <c r="LPL9" i="7"/>
  <c r="LPK9" i="7"/>
  <c r="LPJ9" i="7"/>
  <c r="LPI9" i="7"/>
  <c r="LPH9" i="7"/>
  <c r="LPG9" i="7"/>
  <c r="LPF9" i="7"/>
  <c r="LPE9" i="7"/>
  <c r="LPD9" i="7"/>
  <c r="LPC9" i="7"/>
  <c r="LPB9" i="7"/>
  <c r="LPA9" i="7"/>
  <c r="LOZ9" i="7"/>
  <c r="LOY9" i="7"/>
  <c r="LOX9" i="7"/>
  <c r="LOW9" i="7"/>
  <c r="LOV9" i="7"/>
  <c r="LOU9" i="7"/>
  <c r="LOT9" i="7"/>
  <c r="LOS9" i="7"/>
  <c r="LOR9" i="7"/>
  <c r="LOQ9" i="7"/>
  <c r="LOP9" i="7"/>
  <c r="LOO9" i="7"/>
  <c r="LON9" i="7"/>
  <c r="LOM9" i="7"/>
  <c r="LOL9" i="7"/>
  <c r="LOK9" i="7"/>
  <c r="LOJ9" i="7"/>
  <c r="LOI9" i="7"/>
  <c r="LOH9" i="7"/>
  <c r="LOG9" i="7"/>
  <c r="LOF9" i="7"/>
  <c r="LOE9" i="7"/>
  <c r="LOD9" i="7"/>
  <c r="LOC9" i="7"/>
  <c r="LOB9" i="7"/>
  <c r="LOA9" i="7"/>
  <c r="LNZ9" i="7"/>
  <c r="LNY9" i="7"/>
  <c r="LNX9" i="7"/>
  <c r="LNW9" i="7"/>
  <c r="LNV9" i="7"/>
  <c r="LNU9" i="7"/>
  <c r="LNT9" i="7"/>
  <c r="LNS9" i="7"/>
  <c r="LNR9" i="7"/>
  <c r="LNQ9" i="7"/>
  <c r="LNP9" i="7"/>
  <c r="LNO9" i="7"/>
  <c r="LNN9" i="7"/>
  <c r="LNM9" i="7"/>
  <c r="LNL9" i="7"/>
  <c r="LNK9" i="7"/>
  <c r="LNJ9" i="7"/>
  <c r="LNI9" i="7"/>
  <c r="LNH9" i="7"/>
  <c r="LNG9" i="7"/>
  <c r="LNF9" i="7"/>
  <c r="LNE9" i="7"/>
  <c r="LND9" i="7"/>
  <c r="LNC9" i="7"/>
  <c r="LNB9" i="7"/>
  <c r="LNA9" i="7"/>
  <c r="LMZ9" i="7"/>
  <c r="LMY9" i="7"/>
  <c r="LMX9" i="7"/>
  <c r="LMW9" i="7"/>
  <c r="LMV9" i="7"/>
  <c r="LMU9" i="7"/>
  <c r="LMT9" i="7"/>
  <c r="LMS9" i="7"/>
  <c r="LMR9" i="7"/>
  <c r="LMQ9" i="7"/>
  <c r="LMP9" i="7"/>
  <c r="LMO9" i="7"/>
  <c r="LMN9" i="7"/>
  <c r="LMM9" i="7"/>
  <c r="LML9" i="7"/>
  <c r="LMK9" i="7"/>
  <c r="LMJ9" i="7"/>
  <c r="LMI9" i="7"/>
  <c r="LMH9" i="7"/>
  <c r="LMG9" i="7"/>
  <c r="LMF9" i="7"/>
  <c r="LME9" i="7"/>
  <c r="LMD9" i="7"/>
  <c r="LMC9" i="7"/>
  <c r="LMB9" i="7"/>
  <c r="LMA9" i="7"/>
  <c r="LLZ9" i="7"/>
  <c r="LLY9" i="7"/>
  <c r="LLX9" i="7"/>
  <c r="LLW9" i="7"/>
  <c r="LLV9" i="7"/>
  <c r="LLU9" i="7"/>
  <c r="LLT9" i="7"/>
  <c r="LLS9" i="7"/>
  <c r="LLR9" i="7"/>
  <c r="LLQ9" i="7"/>
  <c r="LLP9" i="7"/>
  <c r="LLO9" i="7"/>
  <c r="LLN9" i="7"/>
  <c r="LLM9" i="7"/>
  <c r="LLL9" i="7"/>
  <c r="LLK9" i="7"/>
  <c r="LLJ9" i="7"/>
  <c r="LLI9" i="7"/>
  <c r="LLH9" i="7"/>
  <c r="LLG9" i="7"/>
  <c r="LLF9" i="7"/>
  <c r="LLE9" i="7"/>
  <c r="LLD9" i="7"/>
  <c r="LLC9" i="7"/>
  <c r="LLB9" i="7"/>
  <c r="LLA9" i="7"/>
  <c r="LKZ9" i="7"/>
  <c r="LKY9" i="7"/>
  <c r="LKX9" i="7"/>
  <c r="LKW9" i="7"/>
  <c r="LKV9" i="7"/>
  <c r="LKU9" i="7"/>
  <c r="LKT9" i="7"/>
  <c r="LKS9" i="7"/>
  <c r="LKR9" i="7"/>
  <c r="LKQ9" i="7"/>
  <c r="LKP9" i="7"/>
  <c r="LKO9" i="7"/>
  <c r="LKN9" i="7"/>
  <c r="LKM9" i="7"/>
  <c r="LKL9" i="7"/>
  <c r="LKK9" i="7"/>
  <c r="LKJ9" i="7"/>
  <c r="LKI9" i="7"/>
  <c r="LKH9" i="7"/>
  <c r="LKG9" i="7"/>
  <c r="LKF9" i="7"/>
  <c r="LKE9" i="7"/>
  <c r="LKD9" i="7"/>
  <c r="LKC9" i="7"/>
  <c r="LKB9" i="7"/>
  <c r="LKA9" i="7"/>
  <c r="LJZ9" i="7"/>
  <c r="LJY9" i="7"/>
  <c r="LJX9" i="7"/>
  <c r="LJW9" i="7"/>
  <c r="LJV9" i="7"/>
  <c r="LJU9" i="7"/>
  <c r="LJT9" i="7"/>
  <c r="LJS9" i="7"/>
  <c r="LJR9" i="7"/>
  <c r="LJQ9" i="7"/>
  <c r="LJP9" i="7"/>
  <c r="LJO9" i="7"/>
  <c r="LJN9" i="7"/>
  <c r="LJM9" i="7"/>
  <c r="LJL9" i="7"/>
  <c r="LJK9" i="7"/>
  <c r="LJJ9" i="7"/>
  <c r="LJI9" i="7"/>
  <c r="LJH9" i="7"/>
  <c r="LJG9" i="7"/>
  <c r="LJF9" i="7"/>
  <c r="LJE9" i="7"/>
  <c r="LJD9" i="7"/>
  <c r="LJC9" i="7"/>
  <c r="LJB9" i="7"/>
  <c r="LJA9" i="7"/>
  <c r="LIZ9" i="7"/>
  <c r="LIY9" i="7"/>
  <c r="LIX9" i="7"/>
  <c r="LIW9" i="7"/>
  <c r="LIV9" i="7"/>
  <c r="LIU9" i="7"/>
  <c r="LIT9" i="7"/>
  <c r="LIS9" i="7"/>
  <c r="LIR9" i="7"/>
  <c r="LIQ9" i="7"/>
  <c r="LIP9" i="7"/>
  <c r="LIO9" i="7"/>
  <c r="LIN9" i="7"/>
  <c r="LIM9" i="7"/>
  <c r="LIL9" i="7"/>
  <c r="LIK9" i="7"/>
  <c r="LIJ9" i="7"/>
  <c r="LII9" i="7"/>
  <c r="LIH9" i="7"/>
  <c r="LIG9" i="7"/>
  <c r="LIF9" i="7"/>
  <c r="LIE9" i="7"/>
  <c r="LID9" i="7"/>
  <c r="LIC9" i="7"/>
  <c r="LIB9" i="7"/>
  <c r="LIA9" i="7"/>
  <c r="LHZ9" i="7"/>
  <c r="LHY9" i="7"/>
  <c r="LHX9" i="7"/>
  <c r="LHW9" i="7"/>
  <c r="LHV9" i="7"/>
  <c r="LHU9" i="7"/>
  <c r="LHT9" i="7"/>
  <c r="LHS9" i="7"/>
  <c r="LHR9" i="7"/>
  <c r="LHQ9" i="7"/>
  <c r="LHP9" i="7"/>
  <c r="LHO9" i="7"/>
  <c r="LHN9" i="7"/>
  <c r="LHM9" i="7"/>
  <c r="LHL9" i="7"/>
  <c r="LHK9" i="7"/>
  <c r="LHJ9" i="7"/>
  <c r="LHI9" i="7"/>
  <c r="LHH9" i="7"/>
  <c r="LHG9" i="7"/>
  <c r="LHF9" i="7"/>
  <c r="LHE9" i="7"/>
  <c r="LHD9" i="7"/>
  <c r="LHC9" i="7"/>
  <c r="LHB9" i="7"/>
  <c r="LHA9" i="7"/>
  <c r="LGZ9" i="7"/>
  <c r="LGY9" i="7"/>
  <c r="LGX9" i="7"/>
  <c r="LGW9" i="7"/>
  <c r="LGV9" i="7"/>
  <c r="LGU9" i="7"/>
  <c r="LGT9" i="7"/>
  <c r="LGS9" i="7"/>
  <c r="LGR9" i="7"/>
  <c r="LGQ9" i="7"/>
  <c r="LGP9" i="7"/>
  <c r="LGO9" i="7"/>
  <c r="LGN9" i="7"/>
  <c r="LGM9" i="7"/>
  <c r="LGL9" i="7"/>
  <c r="LGK9" i="7"/>
  <c r="LGJ9" i="7"/>
  <c r="LGI9" i="7"/>
  <c r="LGH9" i="7"/>
  <c r="LGG9" i="7"/>
  <c r="LGF9" i="7"/>
  <c r="LGE9" i="7"/>
  <c r="LGD9" i="7"/>
  <c r="LGC9" i="7"/>
  <c r="LGB9" i="7"/>
  <c r="LGA9" i="7"/>
  <c r="LFZ9" i="7"/>
  <c r="LFY9" i="7"/>
  <c r="LFX9" i="7"/>
  <c r="LFW9" i="7"/>
  <c r="LFV9" i="7"/>
  <c r="LFU9" i="7"/>
  <c r="LFT9" i="7"/>
  <c r="LFS9" i="7"/>
  <c r="LFR9" i="7"/>
  <c r="LFQ9" i="7"/>
  <c r="LFP9" i="7"/>
  <c r="LFO9" i="7"/>
  <c r="LFN9" i="7"/>
  <c r="LFM9" i="7"/>
  <c r="LFL9" i="7"/>
  <c r="LFK9" i="7"/>
  <c r="LFJ9" i="7"/>
  <c r="LFI9" i="7"/>
  <c r="LFH9" i="7"/>
  <c r="LFG9" i="7"/>
  <c r="LFF9" i="7"/>
  <c r="LFE9" i="7"/>
  <c r="LFD9" i="7"/>
  <c r="LFC9" i="7"/>
  <c r="LFB9" i="7"/>
  <c r="LFA9" i="7"/>
  <c r="LEZ9" i="7"/>
  <c r="LEY9" i="7"/>
  <c r="LEX9" i="7"/>
  <c r="LEW9" i="7"/>
  <c r="LEV9" i="7"/>
  <c r="LEU9" i="7"/>
  <c r="LET9" i="7"/>
  <c r="LES9" i="7"/>
  <c r="LER9" i="7"/>
  <c r="LEQ9" i="7"/>
  <c r="LEP9" i="7"/>
  <c r="LEO9" i="7"/>
  <c r="LEN9" i="7"/>
  <c r="LEM9" i="7"/>
  <c r="LEL9" i="7"/>
  <c r="LEK9" i="7"/>
  <c r="LEJ9" i="7"/>
  <c r="LEI9" i="7"/>
  <c r="LEH9" i="7"/>
  <c r="LEG9" i="7"/>
  <c r="LEF9" i="7"/>
  <c r="LEE9" i="7"/>
  <c r="LED9" i="7"/>
  <c r="LEC9" i="7"/>
  <c r="LEB9" i="7"/>
  <c r="LEA9" i="7"/>
  <c r="LDZ9" i="7"/>
  <c r="LDY9" i="7"/>
  <c r="LDX9" i="7"/>
  <c r="LDW9" i="7"/>
  <c r="LDV9" i="7"/>
  <c r="LDU9" i="7"/>
  <c r="LDT9" i="7"/>
  <c r="LDS9" i="7"/>
  <c r="LDR9" i="7"/>
  <c r="LDQ9" i="7"/>
  <c r="LDP9" i="7"/>
  <c r="LDO9" i="7"/>
  <c r="LDN9" i="7"/>
  <c r="LDM9" i="7"/>
  <c r="LDL9" i="7"/>
  <c r="LDK9" i="7"/>
  <c r="LDJ9" i="7"/>
  <c r="LDI9" i="7"/>
  <c r="LDH9" i="7"/>
  <c r="LDG9" i="7"/>
  <c r="LDF9" i="7"/>
  <c r="LDE9" i="7"/>
  <c r="LDD9" i="7"/>
  <c r="LDC9" i="7"/>
  <c r="LDB9" i="7"/>
  <c r="LDA9" i="7"/>
  <c r="LCZ9" i="7"/>
  <c r="LCY9" i="7"/>
  <c r="LCX9" i="7"/>
  <c r="LCW9" i="7"/>
  <c r="LCV9" i="7"/>
  <c r="LCU9" i="7"/>
  <c r="LCT9" i="7"/>
  <c r="LCS9" i="7"/>
  <c r="LCR9" i="7"/>
  <c r="LCQ9" i="7"/>
  <c r="LCP9" i="7"/>
  <c r="LCO9" i="7"/>
  <c r="LCN9" i="7"/>
  <c r="LCM9" i="7"/>
  <c r="LCL9" i="7"/>
  <c r="LCK9" i="7"/>
  <c r="LCJ9" i="7"/>
  <c r="LCI9" i="7"/>
  <c r="LCH9" i="7"/>
  <c r="LCG9" i="7"/>
  <c r="LCF9" i="7"/>
  <c r="LCE9" i="7"/>
  <c r="LCD9" i="7"/>
  <c r="LCC9" i="7"/>
  <c r="LCB9" i="7"/>
  <c r="LCA9" i="7"/>
  <c r="LBZ9" i="7"/>
  <c r="LBY9" i="7"/>
  <c r="LBX9" i="7"/>
  <c r="LBW9" i="7"/>
  <c r="LBV9" i="7"/>
  <c r="LBU9" i="7"/>
  <c r="LBT9" i="7"/>
  <c r="LBS9" i="7"/>
  <c r="LBR9" i="7"/>
  <c r="LBQ9" i="7"/>
  <c r="LBP9" i="7"/>
  <c r="LBO9" i="7"/>
  <c r="LBN9" i="7"/>
  <c r="LBM9" i="7"/>
  <c r="LBL9" i="7"/>
  <c r="LBK9" i="7"/>
  <c r="LBJ9" i="7"/>
  <c r="LBI9" i="7"/>
  <c r="LBH9" i="7"/>
  <c r="LBG9" i="7"/>
  <c r="LBF9" i="7"/>
  <c r="LBE9" i="7"/>
  <c r="LBD9" i="7"/>
  <c r="LBC9" i="7"/>
  <c r="LBB9" i="7"/>
  <c r="LBA9" i="7"/>
  <c r="LAZ9" i="7"/>
  <c r="LAY9" i="7"/>
  <c r="LAX9" i="7"/>
  <c r="LAW9" i="7"/>
  <c r="LAV9" i="7"/>
  <c r="LAU9" i="7"/>
  <c r="LAT9" i="7"/>
  <c r="LAS9" i="7"/>
  <c r="LAR9" i="7"/>
  <c r="LAQ9" i="7"/>
  <c r="LAP9" i="7"/>
  <c r="LAO9" i="7"/>
  <c r="LAN9" i="7"/>
  <c r="LAM9" i="7"/>
  <c r="LAL9" i="7"/>
  <c r="LAK9" i="7"/>
  <c r="LAJ9" i="7"/>
  <c r="LAI9" i="7"/>
  <c r="LAH9" i="7"/>
  <c r="LAG9" i="7"/>
  <c r="LAF9" i="7"/>
  <c r="LAE9" i="7"/>
  <c r="LAD9" i="7"/>
  <c r="LAC9" i="7"/>
  <c r="LAB9" i="7"/>
  <c r="LAA9" i="7"/>
  <c r="KZZ9" i="7"/>
  <c r="KZY9" i="7"/>
  <c r="KZX9" i="7"/>
  <c r="KZW9" i="7"/>
  <c r="KZV9" i="7"/>
  <c r="KZU9" i="7"/>
  <c r="KZT9" i="7"/>
  <c r="KZS9" i="7"/>
  <c r="KZR9" i="7"/>
  <c r="KZQ9" i="7"/>
  <c r="KZP9" i="7"/>
  <c r="KZO9" i="7"/>
  <c r="KZN9" i="7"/>
  <c r="KZM9" i="7"/>
  <c r="KZL9" i="7"/>
  <c r="KZK9" i="7"/>
  <c r="KZJ9" i="7"/>
  <c r="KZI9" i="7"/>
  <c r="KZH9" i="7"/>
  <c r="KZG9" i="7"/>
  <c r="KZF9" i="7"/>
  <c r="KZE9" i="7"/>
  <c r="KZD9" i="7"/>
  <c r="KZC9" i="7"/>
  <c r="KZB9" i="7"/>
  <c r="KZA9" i="7"/>
  <c r="KYZ9" i="7"/>
  <c r="KYY9" i="7"/>
  <c r="KYX9" i="7"/>
  <c r="KYW9" i="7"/>
  <c r="KYV9" i="7"/>
  <c r="KYU9" i="7"/>
  <c r="KYT9" i="7"/>
  <c r="KYS9" i="7"/>
  <c r="KYR9" i="7"/>
  <c r="KYQ9" i="7"/>
  <c r="KYP9" i="7"/>
  <c r="KYO9" i="7"/>
  <c r="KYN9" i="7"/>
  <c r="KYM9" i="7"/>
  <c r="KYL9" i="7"/>
  <c r="KYK9" i="7"/>
  <c r="KYJ9" i="7"/>
  <c r="KYI9" i="7"/>
  <c r="KYH9" i="7"/>
  <c r="KYG9" i="7"/>
  <c r="KYF9" i="7"/>
  <c r="KYE9" i="7"/>
  <c r="KYD9" i="7"/>
  <c r="KYC9" i="7"/>
  <c r="KYB9" i="7"/>
  <c r="KYA9" i="7"/>
  <c r="KXZ9" i="7"/>
  <c r="KXY9" i="7"/>
  <c r="KXX9" i="7"/>
  <c r="KXW9" i="7"/>
  <c r="KXV9" i="7"/>
  <c r="KXU9" i="7"/>
  <c r="KXT9" i="7"/>
  <c r="KXS9" i="7"/>
  <c r="KXR9" i="7"/>
  <c r="KXQ9" i="7"/>
  <c r="KXP9" i="7"/>
  <c r="KXO9" i="7"/>
  <c r="KXN9" i="7"/>
  <c r="KXM9" i="7"/>
  <c r="KXL9" i="7"/>
  <c r="KXK9" i="7"/>
  <c r="KXJ9" i="7"/>
  <c r="KXI9" i="7"/>
  <c r="KXH9" i="7"/>
  <c r="KXG9" i="7"/>
  <c r="KXF9" i="7"/>
  <c r="KXE9" i="7"/>
  <c r="KXD9" i="7"/>
  <c r="KXC9" i="7"/>
  <c r="KXB9" i="7"/>
  <c r="KXA9" i="7"/>
  <c r="KWZ9" i="7"/>
  <c r="KWY9" i="7"/>
  <c r="KWX9" i="7"/>
  <c r="KWW9" i="7"/>
  <c r="KWV9" i="7"/>
  <c r="KWU9" i="7"/>
  <c r="KWT9" i="7"/>
  <c r="KWS9" i="7"/>
  <c r="KWR9" i="7"/>
  <c r="KWQ9" i="7"/>
  <c r="KWP9" i="7"/>
  <c r="KWO9" i="7"/>
  <c r="KWN9" i="7"/>
  <c r="KWM9" i="7"/>
  <c r="KWL9" i="7"/>
  <c r="KWK9" i="7"/>
  <c r="KWJ9" i="7"/>
  <c r="KWI9" i="7"/>
  <c r="KWH9" i="7"/>
  <c r="KWG9" i="7"/>
  <c r="KWF9" i="7"/>
  <c r="KWE9" i="7"/>
  <c r="KWD9" i="7"/>
  <c r="KWC9" i="7"/>
  <c r="KWB9" i="7"/>
  <c r="KWA9" i="7"/>
  <c r="KVZ9" i="7"/>
  <c r="KVY9" i="7"/>
  <c r="KVX9" i="7"/>
  <c r="KVW9" i="7"/>
  <c r="KVV9" i="7"/>
  <c r="KVU9" i="7"/>
  <c r="KVT9" i="7"/>
  <c r="KVS9" i="7"/>
  <c r="KVR9" i="7"/>
  <c r="KVQ9" i="7"/>
  <c r="KVP9" i="7"/>
  <c r="KVO9" i="7"/>
  <c r="KVN9" i="7"/>
  <c r="KVM9" i="7"/>
  <c r="KVL9" i="7"/>
  <c r="KVK9" i="7"/>
  <c r="KVJ9" i="7"/>
  <c r="KVI9" i="7"/>
  <c r="KVH9" i="7"/>
  <c r="KVG9" i="7"/>
  <c r="KVF9" i="7"/>
  <c r="KVE9" i="7"/>
  <c r="KVD9" i="7"/>
  <c r="KVC9" i="7"/>
  <c r="KVB9" i="7"/>
  <c r="KVA9" i="7"/>
  <c r="KUZ9" i="7"/>
  <c r="KUY9" i="7"/>
  <c r="KUX9" i="7"/>
  <c r="KUW9" i="7"/>
  <c r="KUV9" i="7"/>
  <c r="KUU9" i="7"/>
  <c r="KUT9" i="7"/>
  <c r="KUS9" i="7"/>
  <c r="KUR9" i="7"/>
  <c r="KUQ9" i="7"/>
  <c r="KUP9" i="7"/>
  <c r="KUO9" i="7"/>
  <c r="KUN9" i="7"/>
  <c r="KUM9" i="7"/>
  <c r="KUL9" i="7"/>
  <c r="KUK9" i="7"/>
  <c r="KUJ9" i="7"/>
  <c r="KUI9" i="7"/>
  <c r="KUH9" i="7"/>
  <c r="KUG9" i="7"/>
  <c r="KUF9" i="7"/>
  <c r="KUE9" i="7"/>
  <c r="KUD9" i="7"/>
  <c r="KUC9" i="7"/>
  <c r="KUB9" i="7"/>
  <c r="KUA9" i="7"/>
  <c r="KTZ9" i="7"/>
  <c r="KTY9" i="7"/>
  <c r="KTX9" i="7"/>
  <c r="KTW9" i="7"/>
  <c r="KTV9" i="7"/>
  <c r="KTU9" i="7"/>
  <c r="KTT9" i="7"/>
  <c r="KTS9" i="7"/>
  <c r="KTR9" i="7"/>
  <c r="KTQ9" i="7"/>
  <c r="KTP9" i="7"/>
  <c r="KTO9" i="7"/>
  <c r="KTN9" i="7"/>
  <c r="KTM9" i="7"/>
  <c r="KTL9" i="7"/>
  <c r="KTK9" i="7"/>
  <c r="KTJ9" i="7"/>
  <c r="KTI9" i="7"/>
  <c r="KTH9" i="7"/>
  <c r="KTG9" i="7"/>
  <c r="KTF9" i="7"/>
  <c r="KTE9" i="7"/>
  <c r="KTD9" i="7"/>
  <c r="KTC9" i="7"/>
  <c r="KTB9" i="7"/>
  <c r="KTA9" i="7"/>
  <c r="KSZ9" i="7"/>
  <c r="KSY9" i="7"/>
  <c r="KSX9" i="7"/>
  <c r="KSW9" i="7"/>
  <c r="KSV9" i="7"/>
  <c r="KSU9" i="7"/>
  <c r="KST9" i="7"/>
  <c r="KSS9" i="7"/>
  <c r="KSR9" i="7"/>
  <c r="KSQ9" i="7"/>
  <c r="KSP9" i="7"/>
  <c r="KSO9" i="7"/>
  <c r="KSN9" i="7"/>
  <c r="KSM9" i="7"/>
  <c r="KSL9" i="7"/>
  <c r="KSK9" i="7"/>
  <c r="KSJ9" i="7"/>
  <c r="KSI9" i="7"/>
  <c r="KSH9" i="7"/>
  <c r="KSG9" i="7"/>
  <c r="KSF9" i="7"/>
  <c r="KSE9" i="7"/>
  <c r="KSD9" i="7"/>
  <c r="KSC9" i="7"/>
  <c r="KSB9" i="7"/>
  <c r="KSA9" i="7"/>
  <c r="KRZ9" i="7"/>
  <c r="KRY9" i="7"/>
  <c r="KRX9" i="7"/>
  <c r="KRW9" i="7"/>
  <c r="KRV9" i="7"/>
  <c r="KRU9" i="7"/>
  <c r="KRT9" i="7"/>
  <c r="KRS9" i="7"/>
  <c r="KRR9" i="7"/>
  <c r="KRQ9" i="7"/>
  <c r="KRP9" i="7"/>
  <c r="KRO9" i="7"/>
  <c r="KRN9" i="7"/>
  <c r="KRM9" i="7"/>
  <c r="KRL9" i="7"/>
  <c r="KRK9" i="7"/>
  <c r="KRJ9" i="7"/>
  <c r="KRI9" i="7"/>
  <c r="KRH9" i="7"/>
  <c r="KRG9" i="7"/>
  <c r="KRF9" i="7"/>
  <c r="KRE9" i="7"/>
  <c r="KRD9" i="7"/>
  <c r="KRC9" i="7"/>
  <c r="KRB9" i="7"/>
  <c r="KRA9" i="7"/>
  <c r="KQZ9" i="7"/>
  <c r="KQY9" i="7"/>
  <c r="KQX9" i="7"/>
  <c r="KQW9" i="7"/>
  <c r="KQV9" i="7"/>
  <c r="KQU9" i="7"/>
  <c r="KQT9" i="7"/>
  <c r="KQS9" i="7"/>
  <c r="KQR9" i="7"/>
  <c r="KQQ9" i="7"/>
  <c r="KQP9" i="7"/>
  <c r="KQO9" i="7"/>
  <c r="KQN9" i="7"/>
  <c r="KQM9" i="7"/>
  <c r="KQL9" i="7"/>
  <c r="KQK9" i="7"/>
  <c r="KQJ9" i="7"/>
  <c r="KQI9" i="7"/>
  <c r="KQH9" i="7"/>
  <c r="KQG9" i="7"/>
  <c r="KQF9" i="7"/>
  <c r="KQE9" i="7"/>
  <c r="KQD9" i="7"/>
  <c r="KQC9" i="7"/>
  <c r="KQB9" i="7"/>
  <c r="KQA9" i="7"/>
  <c r="KPZ9" i="7"/>
  <c r="KPY9" i="7"/>
  <c r="KPX9" i="7"/>
  <c r="KPW9" i="7"/>
  <c r="KPV9" i="7"/>
  <c r="KPU9" i="7"/>
  <c r="KPT9" i="7"/>
  <c r="KPS9" i="7"/>
  <c r="KPR9" i="7"/>
  <c r="KPQ9" i="7"/>
  <c r="KPP9" i="7"/>
  <c r="KPO9" i="7"/>
  <c r="KPN9" i="7"/>
  <c r="KPM9" i="7"/>
  <c r="KPL9" i="7"/>
  <c r="KPK9" i="7"/>
  <c r="KPJ9" i="7"/>
  <c r="KPI9" i="7"/>
  <c r="KPH9" i="7"/>
  <c r="KPG9" i="7"/>
  <c r="KPF9" i="7"/>
  <c r="KPE9" i="7"/>
  <c r="KPD9" i="7"/>
  <c r="KPC9" i="7"/>
  <c r="KPB9" i="7"/>
  <c r="KPA9" i="7"/>
  <c r="KOZ9" i="7"/>
  <c r="KOY9" i="7"/>
  <c r="KOX9" i="7"/>
  <c r="KOW9" i="7"/>
  <c r="KOV9" i="7"/>
  <c r="KOU9" i="7"/>
  <c r="KOT9" i="7"/>
  <c r="KOS9" i="7"/>
  <c r="KOR9" i="7"/>
  <c r="KOQ9" i="7"/>
  <c r="KOP9" i="7"/>
  <c r="KOO9" i="7"/>
  <c r="KON9" i="7"/>
  <c r="KOM9" i="7"/>
  <c r="KOL9" i="7"/>
  <c r="KOK9" i="7"/>
  <c r="KOJ9" i="7"/>
  <c r="KOI9" i="7"/>
  <c r="KOH9" i="7"/>
  <c r="KOG9" i="7"/>
  <c r="KOF9" i="7"/>
  <c r="KOE9" i="7"/>
  <c r="KOD9" i="7"/>
  <c r="KOC9" i="7"/>
  <c r="KOB9" i="7"/>
  <c r="KOA9" i="7"/>
  <c r="KNZ9" i="7"/>
  <c r="KNY9" i="7"/>
  <c r="KNX9" i="7"/>
  <c r="KNW9" i="7"/>
  <c r="KNV9" i="7"/>
  <c r="KNU9" i="7"/>
  <c r="KNT9" i="7"/>
  <c r="KNS9" i="7"/>
  <c r="KNR9" i="7"/>
  <c r="KNQ9" i="7"/>
  <c r="KNP9" i="7"/>
  <c r="KNO9" i="7"/>
  <c r="KNN9" i="7"/>
  <c r="KNM9" i="7"/>
  <c r="KNL9" i="7"/>
  <c r="KNK9" i="7"/>
  <c r="KNJ9" i="7"/>
  <c r="KNI9" i="7"/>
  <c r="KNH9" i="7"/>
  <c r="KNG9" i="7"/>
  <c r="KNF9" i="7"/>
  <c r="KNE9" i="7"/>
  <c r="KND9" i="7"/>
  <c r="KNC9" i="7"/>
  <c r="KNB9" i="7"/>
  <c r="KNA9" i="7"/>
  <c r="KMZ9" i="7"/>
  <c r="KMY9" i="7"/>
  <c r="KMX9" i="7"/>
  <c r="KMW9" i="7"/>
  <c r="KMV9" i="7"/>
  <c r="KMU9" i="7"/>
  <c r="KMT9" i="7"/>
  <c r="KMS9" i="7"/>
  <c r="KMR9" i="7"/>
  <c r="KMQ9" i="7"/>
  <c r="KMP9" i="7"/>
  <c r="KMO9" i="7"/>
  <c r="KMN9" i="7"/>
  <c r="KMM9" i="7"/>
  <c r="KML9" i="7"/>
  <c r="KMK9" i="7"/>
  <c r="KMJ9" i="7"/>
  <c r="KMI9" i="7"/>
  <c r="KMH9" i="7"/>
  <c r="KMG9" i="7"/>
  <c r="KMF9" i="7"/>
  <c r="KME9" i="7"/>
  <c r="KMD9" i="7"/>
  <c r="KMC9" i="7"/>
  <c r="KMB9" i="7"/>
  <c r="KMA9" i="7"/>
  <c r="KLZ9" i="7"/>
  <c r="KLY9" i="7"/>
  <c r="KLX9" i="7"/>
  <c r="KLW9" i="7"/>
  <c r="KLV9" i="7"/>
  <c r="KLU9" i="7"/>
  <c r="KLT9" i="7"/>
  <c r="KLS9" i="7"/>
  <c r="KLR9" i="7"/>
  <c r="KLQ9" i="7"/>
  <c r="KLP9" i="7"/>
  <c r="KLO9" i="7"/>
  <c r="KLN9" i="7"/>
  <c r="KLM9" i="7"/>
  <c r="KLL9" i="7"/>
  <c r="KLK9" i="7"/>
  <c r="KLJ9" i="7"/>
  <c r="KLI9" i="7"/>
  <c r="KLH9" i="7"/>
  <c r="KLG9" i="7"/>
  <c r="KLF9" i="7"/>
  <c r="KLE9" i="7"/>
  <c r="KLD9" i="7"/>
  <c r="KLC9" i="7"/>
  <c r="KLB9" i="7"/>
  <c r="KLA9" i="7"/>
  <c r="KKZ9" i="7"/>
  <c r="KKY9" i="7"/>
  <c r="KKX9" i="7"/>
  <c r="KKW9" i="7"/>
  <c r="KKV9" i="7"/>
  <c r="KKU9" i="7"/>
  <c r="KKT9" i="7"/>
  <c r="KKS9" i="7"/>
  <c r="KKR9" i="7"/>
  <c r="KKQ9" i="7"/>
  <c r="KKP9" i="7"/>
  <c r="KKO9" i="7"/>
  <c r="KKN9" i="7"/>
  <c r="KKM9" i="7"/>
  <c r="KKL9" i="7"/>
  <c r="KKK9" i="7"/>
  <c r="KKJ9" i="7"/>
  <c r="KKI9" i="7"/>
  <c r="KKH9" i="7"/>
  <c r="KKG9" i="7"/>
  <c r="KKF9" i="7"/>
  <c r="KKE9" i="7"/>
  <c r="KKD9" i="7"/>
  <c r="KKC9" i="7"/>
  <c r="KKB9" i="7"/>
  <c r="KKA9" i="7"/>
  <c r="KJZ9" i="7"/>
  <c r="KJY9" i="7"/>
  <c r="KJX9" i="7"/>
  <c r="KJW9" i="7"/>
  <c r="KJV9" i="7"/>
  <c r="KJU9" i="7"/>
  <c r="KJT9" i="7"/>
  <c r="KJS9" i="7"/>
  <c r="KJR9" i="7"/>
  <c r="KJQ9" i="7"/>
  <c r="KJP9" i="7"/>
  <c r="KJO9" i="7"/>
  <c r="KJN9" i="7"/>
  <c r="KJM9" i="7"/>
  <c r="KJL9" i="7"/>
  <c r="KJK9" i="7"/>
  <c r="KJJ9" i="7"/>
  <c r="KJI9" i="7"/>
  <c r="KJH9" i="7"/>
  <c r="KJG9" i="7"/>
  <c r="KJF9" i="7"/>
  <c r="KJE9" i="7"/>
  <c r="KJD9" i="7"/>
  <c r="KJC9" i="7"/>
  <c r="KJB9" i="7"/>
  <c r="KJA9" i="7"/>
  <c r="KIZ9" i="7"/>
  <c r="KIY9" i="7"/>
  <c r="KIX9" i="7"/>
  <c r="KIW9" i="7"/>
  <c r="KIV9" i="7"/>
  <c r="KIU9" i="7"/>
  <c r="KIT9" i="7"/>
  <c r="KIS9" i="7"/>
  <c r="KIR9" i="7"/>
  <c r="KIQ9" i="7"/>
  <c r="KIP9" i="7"/>
  <c r="KIO9" i="7"/>
  <c r="KIN9" i="7"/>
  <c r="KIM9" i="7"/>
  <c r="KIL9" i="7"/>
  <c r="KIK9" i="7"/>
  <c r="KIJ9" i="7"/>
  <c r="KII9" i="7"/>
  <c r="KIH9" i="7"/>
  <c r="KIG9" i="7"/>
  <c r="KIF9" i="7"/>
  <c r="KIE9" i="7"/>
  <c r="KID9" i="7"/>
  <c r="KIC9" i="7"/>
  <c r="KIB9" i="7"/>
  <c r="KIA9" i="7"/>
  <c r="KHZ9" i="7"/>
  <c r="KHY9" i="7"/>
  <c r="KHX9" i="7"/>
  <c r="KHW9" i="7"/>
  <c r="KHV9" i="7"/>
  <c r="KHU9" i="7"/>
  <c r="KHT9" i="7"/>
  <c r="KHS9" i="7"/>
  <c r="KHR9" i="7"/>
  <c r="KHQ9" i="7"/>
  <c r="KHP9" i="7"/>
  <c r="KHO9" i="7"/>
  <c r="KHN9" i="7"/>
  <c r="KHM9" i="7"/>
  <c r="KHL9" i="7"/>
  <c r="KHK9" i="7"/>
  <c r="KHJ9" i="7"/>
  <c r="KHI9" i="7"/>
  <c r="KHH9" i="7"/>
  <c r="KHG9" i="7"/>
  <c r="KHF9" i="7"/>
  <c r="KHE9" i="7"/>
  <c r="KHD9" i="7"/>
  <c r="KHC9" i="7"/>
  <c r="KHB9" i="7"/>
  <c r="KHA9" i="7"/>
  <c r="KGZ9" i="7"/>
  <c r="KGY9" i="7"/>
  <c r="KGX9" i="7"/>
  <c r="KGW9" i="7"/>
  <c r="KGV9" i="7"/>
  <c r="KGU9" i="7"/>
  <c r="KGT9" i="7"/>
  <c r="KGS9" i="7"/>
  <c r="KGR9" i="7"/>
  <c r="KGQ9" i="7"/>
  <c r="KGP9" i="7"/>
  <c r="KGO9" i="7"/>
  <c r="KGN9" i="7"/>
  <c r="KGM9" i="7"/>
  <c r="KGL9" i="7"/>
  <c r="KGK9" i="7"/>
  <c r="KGJ9" i="7"/>
  <c r="KGI9" i="7"/>
  <c r="KGH9" i="7"/>
  <c r="KGG9" i="7"/>
  <c r="KGF9" i="7"/>
  <c r="KGE9" i="7"/>
  <c r="KGD9" i="7"/>
  <c r="KGC9" i="7"/>
  <c r="KGB9" i="7"/>
  <c r="KGA9" i="7"/>
  <c r="KFZ9" i="7"/>
  <c r="KFY9" i="7"/>
  <c r="KFX9" i="7"/>
  <c r="KFW9" i="7"/>
  <c r="KFV9" i="7"/>
  <c r="KFU9" i="7"/>
  <c r="KFT9" i="7"/>
  <c r="KFS9" i="7"/>
  <c r="KFR9" i="7"/>
  <c r="KFQ9" i="7"/>
  <c r="KFP9" i="7"/>
  <c r="KFO9" i="7"/>
  <c r="KFN9" i="7"/>
  <c r="KFM9" i="7"/>
  <c r="KFL9" i="7"/>
  <c r="KFK9" i="7"/>
  <c r="KFJ9" i="7"/>
  <c r="KFI9" i="7"/>
  <c r="KFH9" i="7"/>
  <c r="KFG9" i="7"/>
  <c r="KFF9" i="7"/>
  <c r="KFE9" i="7"/>
  <c r="KFD9" i="7"/>
  <c r="KFC9" i="7"/>
  <c r="KFB9" i="7"/>
  <c r="KFA9" i="7"/>
  <c r="KEZ9" i="7"/>
  <c r="KEY9" i="7"/>
  <c r="KEX9" i="7"/>
  <c r="KEW9" i="7"/>
  <c r="KEV9" i="7"/>
  <c r="KEU9" i="7"/>
  <c r="KET9" i="7"/>
  <c r="KES9" i="7"/>
  <c r="KER9" i="7"/>
  <c r="KEQ9" i="7"/>
  <c r="KEP9" i="7"/>
  <c r="KEO9" i="7"/>
  <c r="KEN9" i="7"/>
  <c r="KEM9" i="7"/>
  <c r="KEL9" i="7"/>
  <c r="KEK9" i="7"/>
  <c r="KEJ9" i="7"/>
  <c r="KEI9" i="7"/>
  <c r="KEH9" i="7"/>
  <c r="KEG9" i="7"/>
  <c r="KEF9" i="7"/>
  <c r="KEE9" i="7"/>
  <c r="KED9" i="7"/>
  <c r="KEC9" i="7"/>
  <c r="KEB9" i="7"/>
  <c r="KEA9" i="7"/>
  <c r="KDZ9" i="7"/>
  <c r="KDY9" i="7"/>
  <c r="KDX9" i="7"/>
  <c r="KDW9" i="7"/>
  <c r="KDV9" i="7"/>
  <c r="KDU9" i="7"/>
  <c r="KDT9" i="7"/>
  <c r="KDS9" i="7"/>
  <c r="KDR9" i="7"/>
  <c r="KDQ9" i="7"/>
  <c r="KDP9" i="7"/>
  <c r="KDO9" i="7"/>
  <c r="KDN9" i="7"/>
  <c r="KDM9" i="7"/>
  <c r="KDL9" i="7"/>
  <c r="KDK9" i="7"/>
  <c r="KDJ9" i="7"/>
  <c r="KDI9" i="7"/>
  <c r="KDH9" i="7"/>
  <c r="KDG9" i="7"/>
  <c r="KDF9" i="7"/>
  <c r="KDE9" i="7"/>
  <c r="KDD9" i="7"/>
  <c r="KDC9" i="7"/>
  <c r="KDB9" i="7"/>
  <c r="KDA9" i="7"/>
  <c r="KCZ9" i="7"/>
  <c r="KCY9" i="7"/>
  <c r="KCX9" i="7"/>
  <c r="KCW9" i="7"/>
  <c r="KCV9" i="7"/>
  <c r="KCU9" i="7"/>
  <c r="KCT9" i="7"/>
  <c r="KCS9" i="7"/>
  <c r="KCR9" i="7"/>
  <c r="KCQ9" i="7"/>
  <c r="KCP9" i="7"/>
  <c r="KCO9" i="7"/>
  <c r="KCN9" i="7"/>
  <c r="KCM9" i="7"/>
  <c r="KCL9" i="7"/>
  <c r="KCK9" i="7"/>
  <c r="KCJ9" i="7"/>
  <c r="KCI9" i="7"/>
  <c r="KCH9" i="7"/>
  <c r="KCG9" i="7"/>
  <c r="KCF9" i="7"/>
  <c r="KCE9" i="7"/>
  <c r="KCD9" i="7"/>
  <c r="KCC9" i="7"/>
  <c r="KCB9" i="7"/>
  <c r="KCA9" i="7"/>
  <c r="KBZ9" i="7"/>
  <c r="KBY9" i="7"/>
  <c r="KBX9" i="7"/>
  <c r="KBW9" i="7"/>
  <c r="KBV9" i="7"/>
  <c r="KBU9" i="7"/>
  <c r="KBT9" i="7"/>
  <c r="KBS9" i="7"/>
  <c r="KBR9" i="7"/>
  <c r="KBQ9" i="7"/>
  <c r="KBP9" i="7"/>
  <c r="KBO9" i="7"/>
  <c r="KBN9" i="7"/>
  <c r="KBM9" i="7"/>
  <c r="KBL9" i="7"/>
  <c r="KBK9" i="7"/>
  <c r="KBJ9" i="7"/>
  <c r="KBI9" i="7"/>
  <c r="KBH9" i="7"/>
  <c r="KBG9" i="7"/>
  <c r="KBF9" i="7"/>
  <c r="KBE9" i="7"/>
  <c r="KBD9" i="7"/>
  <c r="KBC9" i="7"/>
  <c r="KBB9" i="7"/>
  <c r="KBA9" i="7"/>
  <c r="KAZ9" i="7"/>
  <c r="KAY9" i="7"/>
  <c r="KAX9" i="7"/>
  <c r="KAW9" i="7"/>
  <c r="KAV9" i="7"/>
  <c r="KAU9" i="7"/>
  <c r="KAT9" i="7"/>
  <c r="KAS9" i="7"/>
  <c r="KAR9" i="7"/>
  <c r="KAQ9" i="7"/>
  <c r="KAP9" i="7"/>
  <c r="KAO9" i="7"/>
  <c r="KAN9" i="7"/>
  <c r="KAM9" i="7"/>
  <c r="KAL9" i="7"/>
  <c r="KAK9" i="7"/>
  <c r="KAJ9" i="7"/>
  <c r="KAI9" i="7"/>
  <c r="KAH9" i="7"/>
  <c r="KAG9" i="7"/>
  <c r="KAF9" i="7"/>
  <c r="KAE9" i="7"/>
  <c r="KAD9" i="7"/>
  <c r="KAC9" i="7"/>
  <c r="KAB9" i="7"/>
  <c r="KAA9" i="7"/>
  <c r="JZZ9" i="7"/>
  <c r="JZY9" i="7"/>
  <c r="JZX9" i="7"/>
  <c r="JZW9" i="7"/>
  <c r="JZV9" i="7"/>
  <c r="JZU9" i="7"/>
  <c r="JZT9" i="7"/>
  <c r="JZS9" i="7"/>
  <c r="JZR9" i="7"/>
  <c r="JZQ9" i="7"/>
  <c r="JZP9" i="7"/>
  <c r="JZO9" i="7"/>
  <c r="JZN9" i="7"/>
  <c r="JZM9" i="7"/>
  <c r="JZL9" i="7"/>
  <c r="JZK9" i="7"/>
  <c r="JZJ9" i="7"/>
  <c r="JZI9" i="7"/>
  <c r="JZH9" i="7"/>
  <c r="JZG9" i="7"/>
  <c r="JZF9" i="7"/>
  <c r="JZE9" i="7"/>
  <c r="JZD9" i="7"/>
  <c r="JZC9" i="7"/>
  <c r="JZB9" i="7"/>
  <c r="JZA9" i="7"/>
  <c r="JYZ9" i="7"/>
  <c r="JYY9" i="7"/>
  <c r="JYX9" i="7"/>
  <c r="JYW9" i="7"/>
  <c r="JYV9" i="7"/>
  <c r="JYU9" i="7"/>
  <c r="JYT9" i="7"/>
  <c r="JYS9" i="7"/>
  <c r="JYR9" i="7"/>
  <c r="JYQ9" i="7"/>
  <c r="JYP9" i="7"/>
  <c r="JYO9" i="7"/>
  <c r="JYN9" i="7"/>
  <c r="JYM9" i="7"/>
  <c r="JYL9" i="7"/>
  <c r="JYK9" i="7"/>
  <c r="JYJ9" i="7"/>
  <c r="JYI9" i="7"/>
  <c r="JYH9" i="7"/>
  <c r="JYG9" i="7"/>
  <c r="JYF9" i="7"/>
  <c r="JYE9" i="7"/>
  <c r="JYD9" i="7"/>
  <c r="JYC9" i="7"/>
  <c r="JYB9" i="7"/>
  <c r="JYA9" i="7"/>
  <c r="JXZ9" i="7"/>
  <c r="JXY9" i="7"/>
  <c r="JXX9" i="7"/>
  <c r="JXW9" i="7"/>
  <c r="JXV9" i="7"/>
  <c r="JXU9" i="7"/>
  <c r="JXT9" i="7"/>
  <c r="JXS9" i="7"/>
  <c r="JXR9" i="7"/>
  <c r="JXQ9" i="7"/>
  <c r="JXP9" i="7"/>
  <c r="JXO9" i="7"/>
  <c r="JXN9" i="7"/>
  <c r="JXM9" i="7"/>
  <c r="JXL9" i="7"/>
  <c r="JXK9" i="7"/>
  <c r="JXJ9" i="7"/>
  <c r="JXI9" i="7"/>
  <c r="JXH9" i="7"/>
  <c r="JXG9" i="7"/>
  <c r="JXF9" i="7"/>
  <c r="JXE9" i="7"/>
  <c r="JXD9" i="7"/>
  <c r="JXC9" i="7"/>
  <c r="JXB9" i="7"/>
  <c r="JXA9" i="7"/>
  <c r="JWZ9" i="7"/>
  <c r="JWY9" i="7"/>
  <c r="JWX9" i="7"/>
  <c r="JWW9" i="7"/>
  <c r="JWV9" i="7"/>
  <c r="JWU9" i="7"/>
  <c r="JWT9" i="7"/>
  <c r="JWS9" i="7"/>
  <c r="JWR9" i="7"/>
  <c r="JWQ9" i="7"/>
  <c r="JWP9" i="7"/>
  <c r="JWO9" i="7"/>
  <c r="JWN9" i="7"/>
  <c r="JWM9" i="7"/>
  <c r="JWL9" i="7"/>
  <c r="JWK9" i="7"/>
  <c r="JWJ9" i="7"/>
  <c r="JWI9" i="7"/>
  <c r="JWH9" i="7"/>
  <c r="JWG9" i="7"/>
  <c r="JWF9" i="7"/>
  <c r="JWE9" i="7"/>
  <c r="JWD9" i="7"/>
  <c r="JWC9" i="7"/>
  <c r="JWB9" i="7"/>
  <c r="JWA9" i="7"/>
  <c r="JVZ9" i="7"/>
  <c r="JVY9" i="7"/>
  <c r="JVX9" i="7"/>
  <c r="JVW9" i="7"/>
  <c r="JVV9" i="7"/>
  <c r="JVU9" i="7"/>
  <c r="JVT9" i="7"/>
  <c r="JVS9" i="7"/>
  <c r="JVR9" i="7"/>
  <c r="JVQ9" i="7"/>
  <c r="JVP9" i="7"/>
  <c r="JVO9" i="7"/>
  <c r="JVN9" i="7"/>
  <c r="JVM9" i="7"/>
  <c r="JVL9" i="7"/>
  <c r="JVK9" i="7"/>
  <c r="JVJ9" i="7"/>
  <c r="JVI9" i="7"/>
  <c r="JVH9" i="7"/>
  <c r="JVG9" i="7"/>
  <c r="JVF9" i="7"/>
  <c r="JVE9" i="7"/>
  <c r="JVD9" i="7"/>
  <c r="JVC9" i="7"/>
  <c r="JVB9" i="7"/>
  <c r="JVA9" i="7"/>
  <c r="JUZ9" i="7"/>
  <c r="JUY9" i="7"/>
  <c r="JUX9" i="7"/>
  <c r="JUW9" i="7"/>
  <c r="JUV9" i="7"/>
  <c r="JUU9" i="7"/>
  <c r="JUT9" i="7"/>
  <c r="JUS9" i="7"/>
  <c r="JUR9" i="7"/>
  <c r="JUQ9" i="7"/>
  <c r="JUP9" i="7"/>
  <c r="JUO9" i="7"/>
  <c r="JUN9" i="7"/>
  <c r="JUM9" i="7"/>
  <c r="JUL9" i="7"/>
  <c r="JUK9" i="7"/>
  <c r="JUJ9" i="7"/>
  <c r="JUI9" i="7"/>
  <c r="JUH9" i="7"/>
  <c r="JUG9" i="7"/>
  <c r="JUF9" i="7"/>
  <c r="JUE9" i="7"/>
  <c r="JUD9" i="7"/>
  <c r="JUC9" i="7"/>
  <c r="JUB9" i="7"/>
  <c r="JUA9" i="7"/>
  <c r="JTZ9" i="7"/>
  <c r="JTY9" i="7"/>
  <c r="JTX9" i="7"/>
  <c r="JTW9" i="7"/>
  <c r="JTV9" i="7"/>
  <c r="JTU9" i="7"/>
  <c r="JTT9" i="7"/>
  <c r="JTS9" i="7"/>
  <c r="JTR9" i="7"/>
  <c r="JTQ9" i="7"/>
  <c r="JTP9" i="7"/>
  <c r="JTO9" i="7"/>
  <c r="JTN9" i="7"/>
  <c r="JTM9" i="7"/>
  <c r="JTL9" i="7"/>
  <c r="JTK9" i="7"/>
  <c r="JTJ9" i="7"/>
  <c r="JTI9" i="7"/>
  <c r="JTH9" i="7"/>
  <c r="JTG9" i="7"/>
  <c r="JTF9" i="7"/>
  <c r="JTE9" i="7"/>
  <c r="JTD9" i="7"/>
  <c r="JTC9" i="7"/>
  <c r="JTB9" i="7"/>
  <c r="JTA9" i="7"/>
  <c r="JSZ9" i="7"/>
  <c r="JSY9" i="7"/>
  <c r="JSX9" i="7"/>
  <c r="JSW9" i="7"/>
  <c r="JSV9" i="7"/>
  <c r="JSU9" i="7"/>
  <c r="JST9" i="7"/>
  <c r="JSS9" i="7"/>
  <c r="JSR9" i="7"/>
  <c r="JSQ9" i="7"/>
  <c r="JSP9" i="7"/>
  <c r="JSO9" i="7"/>
  <c r="JSN9" i="7"/>
  <c r="JSM9" i="7"/>
  <c r="JSL9" i="7"/>
  <c r="JSK9" i="7"/>
  <c r="JSJ9" i="7"/>
  <c r="JSI9" i="7"/>
  <c r="JSH9" i="7"/>
  <c r="JSG9" i="7"/>
  <c r="JSF9" i="7"/>
  <c r="JSE9" i="7"/>
  <c r="JSD9" i="7"/>
  <c r="JSC9" i="7"/>
  <c r="JSB9" i="7"/>
  <c r="JSA9" i="7"/>
  <c r="JRZ9" i="7"/>
  <c r="JRY9" i="7"/>
  <c r="JRX9" i="7"/>
  <c r="JRW9" i="7"/>
  <c r="JRV9" i="7"/>
  <c r="JRU9" i="7"/>
  <c r="JRT9" i="7"/>
  <c r="JRS9" i="7"/>
  <c r="JRR9" i="7"/>
  <c r="JRQ9" i="7"/>
  <c r="JRP9" i="7"/>
  <c r="JRO9" i="7"/>
  <c r="JRN9" i="7"/>
  <c r="JRM9" i="7"/>
  <c r="JRL9" i="7"/>
  <c r="JRK9" i="7"/>
  <c r="JRJ9" i="7"/>
  <c r="JRI9" i="7"/>
  <c r="JRH9" i="7"/>
  <c r="JRG9" i="7"/>
  <c r="JRF9" i="7"/>
  <c r="JRE9" i="7"/>
  <c r="JRD9" i="7"/>
  <c r="JRC9" i="7"/>
  <c r="JRB9" i="7"/>
  <c r="JRA9" i="7"/>
  <c r="JQZ9" i="7"/>
  <c r="JQY9" i="7"/>
  <c r="JQX9" i="7"/>
  <c r="JQW9" i="7"/>
  <c r="JQV9" i="7"/>
  <c r="JQU9" i="7"/>
  <c r="JQT9" i="7"/>
  <c r="JQS9" i="7"/>
  <c r="JQR9" i="7"/>
  <c r="JQQ9" i="7"/>
  <c r="JQP9" i="7"/>
  <c r="JQO9" i="7"/>
  <c r="JQN9" i="7"/>
  <c r="JQM9" i="7"/>
  <c r="JQL9" i="7"/>
  <c r="JQK9" i="7"/>
  <c r="JQJ9" i="7"/>
  <c r="JQI9" i="7"/>
  <c r="JQH9" i="7"/>
  <c r="JQG9" i="7"/>
  <c r="JQF9" i="7"/>
  <c r="JQE9" i="7"/>
  <c r="JQD9" i="7"/>
  <c r="JQC9" i="7"/>
  <c r="JQB9" i="7"/>
  <c r="JQA9" i="7"/>
  <c r="JPZ9" i="7"/>
  <c r="JPY9" i="7"/>
  <c r="JPX9" i="7"/>
  <c r="JPW9" i="7"/>
  <c r="JPV9" i="7"/>
  <c r="JPU9" i="7"/>
  <c r="JPT9" i="7"/>
  <c r="JPS9" i="7"/>
  <c r="JPR9" i="7"/>
  <c r="JPQ9" i="7"/>
  <c r="JPP9" i="7"/>
  <c r="JPO9" i="7"/>
  <c r="JPN9" i="7"/>
  <c r="JPM9" i="7"/>
  <c r="JPL9" i="7"/>
  <c r="JPK9" i="7"/>
  <c r="JPJ9" i="7"/>
  <c r="JPI9" i="7"/>
  <c r="JPH9" i="7"/>
  <c r="JPG9" i="7"/>
  <c r="JPF9" i="7"/>
  <c r="JPE9" i="7"/>
  <c r="JPD9" i="7"/>
  <c r="JPC9" i="7"/>
  <c r="JPB9" i="7"/>
  <c r="JPA9" i="7"/>
  <c r="JOZ9" i="7"/>
  <c r="JOY9" i="7"/>
  <c r="JOX9" i="7"/>
  <c r="JOW9" i="7"/>
  <c r="JOV9" i="7"/>
  <c r="JOU9" i="7"/>
  <c r="JOT9" i="7"/>
  <c r="JOS9" i="7"/>
  <c r="JOR9" i="7"/>
  <c r="JOQ9" i="7"/>
  <c r="JOP9" i="7"/>
  <c r="JOO9" i="7"/>
  <c r="JON9" i="7"/>
  <c r="JOM9" i="7"/>
  <c r="JOL9" i="7"/>
  <c r="JOK9" i="7"/>
  <c r="JOJ9" i="7"/>
  <c r="JOI9" i="7"/>
  <c r="JOH9" i="7"/>
  <c r="JOG9" i="7"/>
  <c r="JOF9" i="7"/>
  <c r="JOE9" i="7"/>
  <c r="JOD9" i="7"/>
  <c r="JOC9" i="7"/>
  <c r="JOB9" i="7"/>
  <c r="JOA9" i="7"/>
  <c r="JNZ9" i="7"/>
  <c r="JNY9" i="7"/>
  <c r="JNX9" i="7"/>
  <c r="JNW9" i="7"/>
  <c r="JNV9" i="7"/>
  <c r="JNU9" i="7"/>
  <c r="JNT9" i="7"/>
  <c r="JNS9" i="7"/>
  <c r="JNR9" i="7"/>
  <c r="JNQ9" i="7"/>
  <c r="JNP9" i="7"/>
  <c r="JNO9" i="7"/>
  <c r="JNN9" i="7"/>
  <c r="JNM9" i="7"/>
  <c r="JNL9" i="7"/>
  <c r="JNK9" i="7"/>
  <c r="JNJ9" i="7"/>
  <c r="JNI9" i="7"/>
  <c r="JNH9" i="7"/>
  <c r="JNG9" i="7"/>
  <c r="JNF9" i="7"/>
  <c r="JNE9" i="7"/>
  <c r="JND9" i="7"/>
  <c r="JNC9" i="7"/>
  <c r="JNB9" i="7"/>
  <c r="JNA9" i="7"/>
  <c r="JMZ9" i="7"/>
  <c r="JMY9" i="7"/>
  <c r="JMX9" i="7"/>
  <c r="JMW9" i="7"/>
  <c r="JMV9" i="7"/>
  <c r="JMU9" i="7"/>
  <c r="JMT9" i="7"/>
  <c r="JMS9" i="7"/>
  <c r="JMR9" i="7"/>
  <c r="JMQ9" i="7"/>
  <c r="JMP9" i="7"/>
  <c r="JMO9" i="7"/>
  <c r="JMN9" i="7"/>
  <c r="JMM9" i="7"/>
  <c r="JML9" i="7"/>
  <c r="JMK9" i="7"/>
  <c r="JMJ9" i="7"/>
  <c r="JMI9" i="7"/>
  <c r="JMH9" i="7"/>
  <c r="JMG9" i="7"/>
  <c r="JMF9" i="7"/>
  <c r="JME9" i="7"/>
  <c r="JMD9" i="7"/>
  <c r="JMC9" i="7"/>
  <c r="JMB9" i="7"/>
  <c r="JMA9" i="7"/>
  <c r="JLZ9" i="7"/>
  <c r="JLY9" i="7"/>
  <c r="JLX9" i="7"/>
  <c r="JLW9" i="7"/>
  <c r="JLV9" i="7"/>
  <c r="JLU9" i="7"/>
  <c r="JLT9" i="7"/>
  <c r="JLS9" i="7"/>
  <c r="JLR9" i="7"/>
  <c r="JLQ9" i="7"/>
  <c r="JLP9" i="7"/>
  <c r="JLO9" i="7"/>
  <c r="JLN9" i="7"/>
  <c r="JLM9" i="7"/>
  <c r="JLL9" i="7"/>
  <c r="JLK9" i="7"/>
  <c r="JLJ9" i="7"/>
  <c r="JLI9" i="7"/>
  <c r="JLH9" i="7"/>
  <c r="JLG9" i="7"/>
  <c r="JLF9" i="7"/>
  <c r="JLE9" i="7"/>
  <c r="JLD9" i="7"/>
  <c r="JLC9" i="7"/>
  <c r="JLB9" i="7"/>
  <c r="JLA9" i="7"/>
  <c r="JKZ9" i="7"/>
  <c r="JKY9" i="7"/>
  <c r="JKX9" i="7"/>
  <c r="JKW9" i="7"/>
  <c r="JKV9" i="7"/>
  <c r="JKU9" i="7"/>
  <c r="JKT9" i="7"/>
  <c r="JKS9" i="7"/>
  <c r="JKR9" i="7"/>
  <c r="JKQ9" i="7"/>
  <c r="JKP9" i="7"/>
  <c r="JKO9" i="7"/>
  <c r="JKN9" i="7"/>
  <c r="JKM9" i="7"/>
  <c r="JKL9" i="7"/>
  <c r="JKK9" i="7"/>
  <c r="JKJ9" i="7"/>
  <c r="JKI9" i="7"/>
  <c r="JKH9" i="7"/>
  <c r="JKG9" i="7"/>
  <c r="JKF9" i="7"/>
  <c r="JKE9" i="7"/>
  <c r="JKD9" i="7"/>
  <c r="JKC9" i="7"/>
  <c r="JKB9" i="7"/>
  <c r="JKA9" i="7"/>
  <c r="JJZ9" i="7"/>
  <c r="JJY9" i="7"/>
  <c r="JJX9" i="7"/>
  <c r="JJW9" i="7"/>
  <c r="JJV9" i="7"/>
  <c r="JJU9" i="7"/>
  <c r="JJT9" i="7"/>
  <c r="JJS9" i="7"/>
  <c r="JJR9" i="7"/>
  <c r="JJQ9" i="7"/>
  <c r="JJP9" i="7"/>
  <c r="JJO9" i="7"/>
  <c r="JJN9" i="7"/>
  <c r="JJM9" i="7"/>
  <c r="JJL9" i="7"/>
  <c r="JJK9" i="7"/>
  <c r="JJJ9" i="7"/>
  <c r="JJI9" i="7"/>
  <c r="JJH9" i="7"/>
  <c r="JJG9" i="7"/>
  <c r="JJF9" i="7"/>
  <c r="JJE9" i="7"/>
  <c r="JJD9" i="7"/>
  <c r="JJC9" i="7"/>
  <c r="JJB9" i="7"/>
  <c r="JJA9" i="7"/>
  <c r="JIZ9" i="7"/>
  <c r="JIY9" i="7"/>
  <c r="JIX9" i="7"/>
  <c r="JIW9" i="7"/>
  <c r="JIV9" i="7"/>
  <c r="JIU9" i="7"/>
  <c r="JIT9" i="7"/>
  <c r="JIS9" i="7"/>
  <c r="JIR9" i="7"/>
  <c r="JIQ9" i="7"/>
  <c r="JIP9" i="7"/>
  <c r="JIO9" i="7"/>
  <c r="JIN9" i="7"/>
  <c r="JIM9" i="7"/>
  <c r="JIL9" i="7"/>
  <c r="JIK9" i="7"/>
  <c r="JIJ9" i="7"/>
  <c r="JII9" i="7"/>
  <c r="JIH9" i="7"/>
  <c r="JIG9" i="7"/>
  <c r="JIF9" i="7"/>
  <c r="JIE9" i="7"/>
  <c r="JID9" i="7"/>
  <c r="JIC9" i="7"/>
  <c r="JIB9" i="7"/>
  <c r="JIA9" i="7"/>
  <c r="JHZ9" i="7"/>
  <c r="JHY9" i="7"/>
  <c r="JHX9" i="7"/>
  <c r="JHW9" i="7"/>
  <c r="JHV9" i="7"/>
  <c r="JHU9" i="7"/>
  <c r="JHT9" i="7"/>
  <c r="JHS9" i="7"/>
  <c r="JHR9" i="7"/>
  <c r="JHQ9" i="7"/>
  <c r="JHP9" i="7"/>
  <c r="JHO9" i="7"/>
  <c r="JHN9" i="7"/>
  <c r="JHM9" i="7"/>
  <c r="JHL9" i="7"/>
  <c r="JHK9" i="7"/>
  <c r="JHJ9" i="7"/>
  <c r="JHI9" i="7"/>
  <c r="JHH9" i="7"/>
  <c r="JHG9" i="7"/>
  <c r="JHF9" i="7"/>
  <c r="JHE9" i="7"/>
  <c r="JHD9" i="7"/>
  <c r="JHC9" i="7"/>
  <c r="JHB9" i="7"/>
  <c r="JHA9" i="7"/>
  <c r="JGZ9" i="7"/>
  <c r="JGY9" i="7"/>
  <c r="JGX9" i="7"/>
  <c r="JGW9" i="7"/>
  <c r="JGV9" i="7"/>
  <c r="JGU9" i="7"/>
  <c r="JGT9" i="7"/>
  <c r="JGS9" i="7"/>
  <c r="JGR9" i="7"/>
  <c r="JGQ9" i="7"/>
  <c r="JGP9" i="7"/>
  <c r="JGO9" i="7"/>
  <c r="JGN9" i="7"/>
  <c r="JGM9" i="7"/>
  <c r="JGL9" i="7"/>
  <c r="JGK9" i="7"/>
  <c r="JGJ9" i="7"/>
  <c r="JGI9" i="7"/>
  <c r="JGH9" i="7"/>
  <c r="JGG9" i="7"/>
  <c r="JGF9" i="7"/>
  <c r="JGE9" i="7"/>
  <c r="JGD9" i="7"/>
  <c r="JGC9" i="7"/>
  <c r="JGB9" i="7"/>
  <c r="JGA9" i="7"/>
  <c r="JFZ9" i="7"/>
  <c r="JFY9" i="7"/>
  <c r="JFX9" i="7"/>
  <c r="JFW9" i="7"/>
  <c r="JFV9" i="7"/>
  <c r="JFU9" i="7"/>
  <c r="JFT9" i="7"/>
  <c r="JFS9" i="7"/>
  <c r="JFR9" i="7"/>
  <c r="JFQ9" i="7"/>
  <c r="JFP9" i="7"/>
  <c r="JFO9" i="7"/>
  <c r="JFN9" i="7"/>
  <c r="JFM9" i="7"/>
  <c r="JFL9" i="7"/>
  <c r="JFK9" i="7"/>
  <c r="JFJ9" i="7"/>
  <c r="JFI9" i="7"/>
  <c r="JFH9" i="7"/>
  <c r="JFG9" i="7"/>
  <c r="JFF9" i="7"/>
  <c r="JFE9" i="7"/>
  <c r="JFD9" i="7"/>
  <c r="JFC9" i="7"/>
  <c r="JFB9" i="7"/>
  <c r="JFA9" i="7"/>
  <c r="JEZ9" i="7"/>
  <c r="JEY9" i="7"/>
  <c r="JEX9" i="7"/>
  <c r="JEW9" i="7"/>
  <c r="JEV9" i="7"/>
  <c r="JEU9" i="7"/>
  <c r="JET9" i="7"/>
  <c r="JES9" i="7"/>
  <c r="JER9" i="7"/>
  <c r="JEQ9" i="7"/>
  <c r="JEP9" i="7"/>
  <c r="JEO9" i="7"/>
  <c r="JEN9" i="7"/>
  <c r="JEM9" i="7"/>
  <c r="JEL9" i="7"/>
  <c r="JEK9" i="7"/>
  <c r="JEJ9" i="7"/>
  <c r="JEI9" i="7"/>
  <c r="JEH9" i="7"/>
  <c r="JEG9" i="7"/>
  <c r="JEF9" i="7"/>
  <c r="JEE9" i="7"/>
  <c r="JED9" i="7"/>
  <c r="JEC9" i="7"/>
  <c r="JEB9" i="7"/>
  <c r="JEA9" i="7"/>
  <c r="JDZ9" i="7"/>
  <c r="JDY9" i="7"/>
  <c r="JDX9" i="7"/>
  <c r="JDW9" i="7"/>
  <c r="JDV9" i="7"/>
  <c r="JDU9" i="7"/>
  <c r="JDT9" i="7"/>
  <c r="JDS9" i="7"/>
  <c r="JDR9" i="7"/>
  <c r="JDQ9" i="7"/>
  <c r="JDP9" i="7"/>
  <c r="JDO9" i="7"/>
  <c r="JDN9" i="7"/>
  <c r="JDM9" i="7"/>
  <c r="JDL9" i="7"/>
  <c r="JDK9" i="7"/>
  <c r="JDJ9" i="7"/>
  <c r="JDI9" i="7"/>
  <c r="JDH9" i="7"/>
  <c r="JDG9" i="7"/>
  <c r="JDF9" i="7"/>
  <c r="JDE9" i="7"/>
  <c r="JDD9" i="7"/>
  <c r="JDC9" i="7"/>
  <c r="JDB9" i="7"/>
  <c r="JDA9" i="7"/>
  <c r="JCZ9" i="7"/>
  <c r="JCY9" i="7"/>
  <c r="JCX9" i="7"/>
  <c r="JCW9" i="7"/>
  <c r="JCV9" i="7"/>
  <c r="JCU9" i="7"/>
  <c r="JCT9" i="7"/>
  <c r="JCS9" i="7"/>
  <c r="JCR9" i="7"/>
  <c r="JCQ9" i="7"/>
  <c r="JCP9" i="7"/>
  <c r="JCO9" i="7"/>
  <c r="JCN9" i="7"/>
  <c r="JCM9" i="7"/>
  <c r="JCL9" i="7"/>
  <c r="JCK9" i="7"/>
  <c r="JCJ9" i="7"/>
  <c r="JCI9" i="7"/>
  <c r="JCH9" i="7"/>
  <c r="JCG9" i="7"/>
  <c r="JCF9" i="7"/>
  <c r="JCE9" i="7"/>
  <c r="JCD9" i="7"/>
  <c r="JCC9" i="7"/>
  <c r="JCB9" i="7"/>
  <c r="JCA9" i="7"/>
  <c r="JBZ9" i="7"/>
  <c r="JBY9" i="7"/>
  <c r="JBX9" i="7"/>
  <c r="JBW9" i="7"/>
  <c r="JBV9" i="7"/>
  <c r="JBU9" i="7"/>
  <c r="JBT9" i="7"/>
  <c r="JBS9" i="7"/>
  <c r="JBR9" i="7"/>
  <c r="JBQ9" i="7"/>
  <c r="JBP9" i="7"/>
  <c r="JBO9" i="7"/>
  <c r="JBN9" i="7"/>
  <c r="JBM9" i="7"/>
  <c r="JBL9" i="7"/>
  <c r="JBK9" i="7"/>
  <c r="JBJ9" i="7"/>
  <c r="JBI9" i="7"/>
  <c r="JBH9" i="7"/>
  <c r="JBG9" i="7"/>
  <c r="JBF9" i="7"/>
  <c r="JBE9" i="7"/>
  <c r="JBD9" i="7"/>
  <c r="JBC9" i="7"/>
  <c r="JBB9" i="7"/>
  <c r="JBA9" i="7"/>
  <c r="JAZ9" i="7"/>
  <c r="JAY9" i="7"/>
  <c r="JAX9" i="7"/>
  <c r="JAW9" i="7"/>
  <c r="JAV9" i="7"/>
  <c r="JAU9" i="7"/>
  <c r="JAT9" i="7"/>
  <c r="JAS9" i="7"/>
  <c r="JAR9" i="7"/>
  <c r="JAQ9" i="7"/>
  <c r="JAP9" i="7"/>
  <c r="JAO9" i="7"/>
  <c r="JAN9" i="7"/>
  <c r="JAM9" i="7"/>
  <c r="JAL9" i="7"/>
  <c r="JAK9" i="7"/>
  <c r="JAJ9" i="7"/>
  <c r="JAI9" i="7"/>
  <c r="JAH9" i="7"/>
  <c r="JAG9" i="7"/>
  <c r="JAF9" i="7"/>
  <c r="JAE9" i="7"/>
  <c r="JAD9" i="7"/>
  <c r="JAC9" i="7"/>
  <c r="JAB9" i="7"/>
  <c r="JAA9" i="7"/>
  <c r="IZZ9" i="7"/>
  <c r="IZY9" i="7"/>
  <c r="IZX9" i="7"/>
  <c r="IZW9" i="7"/>
  <c r="IZV9" i="7"/>
  <c r="IZU9" i="7"/>
  <c r="IZT9" i="7"/>
  <c r="IZS9" i="7"/>
  <c r="IZR9" i="7"/>
  <c r="IZQ9" i="7"/>
  <c r="IZP9" i="7"/>
  <c r="IZO9" i="7"/>
  <c r="IZN9" i="7"/>
  <c r="IZM9" i="7"/>
  <c r="IZL9" i="7"/>
  <c r="IZK9" i="7"/>
  <c r="IZJ9" i="7"/>
  <c r="IZI9" i="7"/>
  <c r="IZH9" i="7"/>
  <c r="IZG9" i="7"/>
  <c r="IZF9" i="7"/>
  <c r="IZE9" i="7"/>
  <c r="IZD9" i="7"/>
  <c r="IZC9" i="7"/>
  <c r="IZB9" i="7"/>
  <c r="IZA9" i="7"/>
  <c r="IYZ9" i="7"/>
  <c r="IYY9" i="7"/>
  <c r="IYX9" i="7"/>
  <c r="IYW9" i="7"/>
  <c r="IYV9" i="7"/>
  <c r="IYU9" i="7"/>
  <c r="IYT9" i="7"/>
  <c r="IYS9" i="7"/>
  <c r="IYR9" i="7"/>
  <c r="IYQ9" i="7"/>
  <c r="IYP9" i="7"/>
  <c r="IYO9" i="7"/>
  <c r="IYN9" i="7"/>
  <c r="IYM9" i="7"/>
  <c r="IYL9" i="7"/>
  <c r="IYK9" i="7"/>
  <c r="IYJ9" i="7"/>
  <c r="IYI9" i="7"/>
  <c r="IYH9" i="7"/>
  <c r="IYG9" i="7"/>
  <c r="IYF9" i="7"/>
  <c r="IYE9" i="7"/>
  <c r="IYD9" i="7"/>
  <c r="IYC9" i="7"/>
  <c r="IYB9" i="7"/>
  <c r="IYA9" i="7"/>
  <c r="IXZ9" i="7"/>
  <c r="IXY9" i="7"/>
  <c r="IXX9" i="7"/>
  <c r="IXW9" i="7"/>
  <c r="IXV9" i="7"/>
  <c r="IXU9" i="7"/>
  <c r="IXT9" i="7"/>
  <c r="IXS9" i="7"/>
  <c r="IXR9" i="7"/>
  <c r="IXQ9" i="7"/>
  <c r="IXP9" i="7"/>
  <c r="IXO9" i="7"/>
  <c r="IXN9" i="7"/>
  <c r="IXM9" i="7"/>
  <c r="IXL9" i="7"/>
  <c r="IXK9" i="7"/>
  <c r="IXJ9" i="7"/>
  <c r="IXI9" i="7"/>
  <c r="IXH9" i="7"/>
  <c r="IXG9" i="7"/>
  <c r="IXF9" i="7"/>
  <c r="IXE9" i="7"/>
  <c r="IXD9" i="7"/>
  <c r="IXC9" i="7"/>
  <c r="IXB9" i="7"/>
  <c r="IXA9" i="7"/>
  <c r="IWZ9" i="7"/>
  <c r="IWY9" i="7"/>
  <c r="IWX9" i="7"/>
  <c r="IWW9" i="7"/>
  <c r="IWV9" i="7"/>
  <c r="IWU9" i="7"/>
  <c r="IWT9" i="7"/>
  <c r="IWS9" i="7"/>
  <c r="IWR9" i="7"/>
  <c r="IWQ9" i="7"/>
  <c r="IWP9" i="7"/>
  <c r="IWO9" i="7"/>
  <c r="IWN9" i="7"/>
  <c r="IWM9" i="7"/>
  <c r="IWL9" i="7"/>
  <c r="IWK9" i="7"/>
  <c r="IWJ9" i="7"/>
  <c r="IWI9" i="7"/>
  <c r="IWH9" i="7"/>
  <c r="IWG9" i="7"/>
  <c r="IWF9" i="7"/>
  <c r="IWE9" i="7"/>
  <c r="IWD9" i="7"/>
  <c r="IWC9" i="7"/>
  <c r="IWB9" i="7"/>
  <c r="IWA9" i="7"/>
  <c r="IVZ9" i="7"/>
  <c r="IVY9" i="7"/>
  <c r="IVX9" i="7"/>
  <c r="IVW9" i="7"/>
  <c r="IVV9" i="7"/>
  <c r="IVU9" i="7"/>
  <c r="IVT9" i="7"/>
  <c r="IVS9" i="7"/>
  <c r="IVR9" i="7"/>
  <c r="IVQ9" i="7"/>
  <c r="IVP9" i="7"/>
  <c r="IVO9" i="7"/>
  <c r="IVN9" i="7"/>
  <c r="IVM9" i="7"/>
  <c r="IVL9" i="7"/>
  <c r="IVK9" i="7"/>
  <c r="IVJ9" i="7"/>
  <c r="IVI9" i="7"/>
  <c r="IVH9" i="7"/>
  <c r="IVG9" i="7"/>
  <c r="IVF9" i="7"/>
  <c r="IVE9" i="7"/>
  <c r="IVD9" i="7"/>
  <c r="IVC9" i="7"/>
  <c r="IVB9" i="7"/>
  <c r="IVA9" i="7"/>
  <c r="IUZ9" i="7"/>
  <c r="IUY9" i="7"/>
  <c r="IUX9" i="7"/>
  <c r="IUW9" i="7"/>
  <c r="IUV9" i="7"/>
  <c r="IUU9" i="7"/>
  <c r="IUT9" i="7"/>
  <c r="IUS9" i="7"/>
  <c r="IUR9" i="7"/>
  <c r="IUQ9" i="7"/>
  <c r="IUP9" i="7"/>
  <c r="IUO9" i="7"/>
  <c r="IUN9" i="7"/>
  <c r="IUM9" i="7"/>
  <c r="IUL9" i="7"/>
  <c r="IUK9" i="7"/>
  <c r="IUJ9" i="7"/>
  <c r="IUI9" i="7"/>
  <c r="IUH9" i="7"/>
  <c r="IUG9" i="7"/>
  <c r="IUF9" i="7"/>
  <c r="IUE9" i="7"/>
  <c r="IUD9" i="7"/>
  <c r="IUC9" i="7"/>
  <c r="IUB9" i="7"/>
  <c r="IUA9" i="7"/>
  <c r="ITZ9" i="7"/>
  <c r="ITY9" i="7"/>
  <c r="ITX9" i="7"/>
  <c r="ITW9" i="7"/>
  <c r="ITV9" i="7"/>
  <c r="ITU9" i="7"/>
  <c r="ITT9" i="7"/>
  <c r="ITS9" i="7"/>
  <c r="ITR9" i="7"/>
  <c r="ITQ9" i="7"/>
  <c r="ITP9" i="7"/>
  <c r="ITO9" i="7"/>
  <c r="ITN9" i="7"/>
  <c r="ITM9" i="7"/>
  <c r="ITL9" i="7"/>
  <c r="ITK9" i="7"/>
  <c r="ITJ9" i="7"/>
  <c r="ITI9" i="7"/>
  <c r="ITH9" i="7"/>
  <c r="ITG9" i="7"/>
  <c r="ITF9" i="7"/>
  <c r="ITE9" i="7"/>
  <c r="ITD9" i="7"/>
  <c r="ITC9" i="7"/>
  <c r="ITB9" i="7"/>
  <c r="ITA9" i="7"/>
  <c r="ISZ9" i="7"/>
  <c r="ISY9" i="7"/>
  <c r="ISX9" i="7"/>
  <c r="ISW9" i="7"/>
  <c r="ISV9" i="7"/>
  <c r="ISU9" i="7"/>
  <c r="IST9" i="7"/>
  <c r="ISS9" i="7"/>
  <c r="ISR9" i="7"/>
  <c r="ISQ9" i="7"/>
  <c r="ISP9" i="7"/>
  <c r="ISO9" i="7"/>
  <c r="ISN9" i="7"/>
  <c r="ISM9" i="7"/>
  <c r="ISL9" i="7"/>
  <c r="ISK9" i="7"/>
  <c r="ISJ9" i="7"/>
  <c r="ISI9" i="7"/>
  <c r="ISH9" i="7"/>
  <c r="ISG9" i="7"/>
  <c r="ISF9" i="7"/>
  <c r="ISE9" i="7"/>
  <c r="ISD9" i="7"/>
  <c r="ISC9" i="7"/>
  <c r="ISB9" i="7"/>
  <c r="ISA9" i="7"/>
  <c r="IRZ9" i="7"/>
  <c r="IRY9" i="7"/>
  <c r="IRX9" i="7"/>
  <c r="IRW9" i="7"/>
  <c r="IRV9" i="7"/>
  <c r="IRU9" i="7"/>
  <c r="IRT9" i="7"/>
  <c r="IRS9" i="7"/>
  <c r="IRR9" i="7"/>
  <c r="IRQ9" i="7"/>
  <c r="IRP9" i="7"/>
  <c r="IRO9" i="7"/>
  <c r="IRN9" i="7"/>
  <c r="IRM9" i="7"/>
  <c r="IRL9" i="7"/>
  <c r="IRK9" i="7"/>
  <c r="IRJ9" i="7"/>
  <c r="IRI9" i="7"/>
  <c r="IRH9" i="7"/>
  <c r="IRG9" i="7"/>
  <c r="IRF9" i="7"/>
  <c r="IRE9" i="7"/>
  <c r="IRD9" i="7"/>
  <c r="IRC9" i="7"/>
  <c r="IRB9" i="7"/>
  <c r="IRA9" i="7"/>
  <c r="IQZ9" i="7"/>
  <c r="IQY9" i="7"/>
  <c r="IQX9" i="7"/>
  <c r="IQW9" i="7"/>
  <c r="IQV9" i="7"/>
  <c r="IQU9" i="7"/>
  <c r="IQT9" i="7"/>
  <c r="IQS9" i="7"/>
  <c r="IQR9" i="7"/>
  <c r="IQQ9" i="7"/>
  <c r="IQP9" i="7"/>
  <c r="IQO9" i="7"/>
  <c r="IQN9" i="7"/>
  <c r="IQM9" i="7"/>
  <c r="IQL9" i="7"/>
  <c r="IQK9" i="7"/>
  <c r="IQJ9" i="7"/>
  <c r="IQI9" i="7"/>
  <c r="IQH9" i="7"/>
  <c r="IQG9" i="7"/>
  <c r="IQF9" i="7"/>
  <c r="IQE9" i="7"/>
  <c r="IQD9" i="7"/>
  <c r="IQC9" i="7"/>
  <c r="IQB9" i="7"/>
  <c r="IQA9" i="7"/>
  <c r="IPZ9" i="7"/>
  <c r="IPY9" i="7"/>
  <c r="IPX9" i="7"/>
  <c r="IPW9" i="7"/>
  <c r="IPV9" i="7"/>
  <c r="IPU9" i="7"/>
  <c r="IPT9" i="7"/>
  <c r="IPS9" i="7"/>
  <c r="IPR9" i="7"/>
  <c r="IPQ9" i="7"/>
  <c r="IPP9" i="7"/>
  <c r="IPO9" i="7"/>
  <c r="IPN9" i="7"/>
  <c r="IPM9" i="7"/>
  <c r="IPL9" i="7"/>
  <c r="IPK9" i="7"/>
  <c r="IPJ9" i="7"/>
  <c r="IPI9" i="7"/>
  <c r="IPH9" i="7"/>
  <c r="IPG9" i="7"/>
  <c r="IPF9" i="7"/>
  <c r="IPE9" i="7"/>
  <c r="IPD9" i="7"/>
  <c r="IPC9" i="7"/>
  <c r="IPB9" i="7"/>
  <c r="IPA9" i="7"/>
  <c r="IOZ9" i="7"/>
  <c r="IOY9" i="7"/>
  <c r="IOX9" i="7"/>
  <c r="IOW9" i="7"/>
  <c r="IOV9" i="7"/>
  <c r="IOU9" i="7"/>
  <c r="IOT9" i="7"/>
  <c r="IOS9" i="7"/>
  <c r="IOR9" i="7"/>
  <c r="IOQ9" i="7"/>
  <c r="IOP9" i="7"/>
  <c r="IOO9" i="7"/>
  <c r="ION9" i="7"/>
  <c r="IOM9" i="7"/>
  <c r="IOL9" i="7"/>
  <c r="IOK9" i="7"/>
  <c r="IOJ9" i="7"/>
  <c r="IOI9" i="7"/>
  <c r="IOH9" i="7"/>
  <c r="IOG9" i="7"/>
  <c r="IOF9" i="7"/>
  <c r="IOE9" i="7"/>
  <c r="IOD9" i="7"/>
  <c r="IOC9" i="7"/>
  <c r="IOB9" i="7"/>
  <c r="IOA9" i="7"/>
  <c r="INZ9" i="7"/>
  <c r="INY9" i="7"/>
  <c r="INX9" i="7"/>
  <c r="INW9" i="7"/>
  <c r="INV9" i="7"/>
  <c r="INU9" i="7"/>
  <c r="INT9" i="7"/>
  <c r="INS9" i="7"/>
  <c r="INR9" i="7"/>
  <c r="INQ9" i="7"/>
  <c r="INP9" i="7"/>
  <c r="INO9" i="7"/>
  <c r="INN9" i="7"/>
  <c r="INM9" i="7"/>
  <c r="INL9" i="7"/>
  <c r="INK9" i="7"/>
  <c r="INJ9" i="7"/>
  <c r="INI9" i="7"/>
  <c r="INH9" i="7"/>
  <c r="ING9" i="7"/>
  <c r="INF9" i="7"/>
  <c r="INE9" i="7"/>
  <c r="IND9" i="7"/>
  <c r="INC9" i="7"/>
  <c r="INB9" i="7"/>
  <c r="INA9" i="7"/>
  <c r="IMZ9" i="7"/>
  <c r="IMY9" i="7"/>
  <c r="IMX9" i="7"/>
  <c r="IMW9" i="7"/>
  <c r="IMV9" i="7"/>
  <c r="IMU9" i="7"/>
  <c r="IMT9" i="7"/>
  <c r="IMS9" i="7"/>
  <c r="IMR9" i="7"/>
  <c r="IMQ9" i="7"/>
  <c r="IMP9" i="7"/>
  <c r="IMO9" i="7"/>
  <c r="IMN9" i="7"/>
  <c r="IMM9" i="7"/>
  <c r="IML9" i="7"/>
  <c r="IMK9" i="7"/>
  <c r="IMJ9" i="7"/>
  <c r="IMI9" i="7"/>
  <c r="IMH9" i="7"/>
  <c r="IMG9" i="7"/>
  <c r="IMF9" i="7"/>
  <c r="IME9" i="7"/>
  <c r="IMD9" i="7"/>
  <c r="IMC9" i="7"/>
  <c r="IMB9" i="7"/>
  <c r="IMA9" i="7"/>
  <c r="ILZ9" i="7"/>
  <c r="ILY9" i="7"/>
  <c r="ILX9" i="7"/>
  <c r="ILW9" i="7"/>
  <c r="ILV9" i="7"/>
  <c r="ILU9" i="7"/>
  <c r="ILT9" i="7"/>
  <c r="ILS9" i="7"/>
  <c r="ILR9" i="7"/>
  <c r="ILQ9" i="7"/>
  <c r="ILP9" i="7"/>
  <c r="ILO9" i="7"/>
  <c r="ILN9" i="7"/>
  <c r="ILM9" i="7"/>
  <c r="ILL9" i="7"/>
  <c r="ILK9" i="7"/>
  <c r="ILJ9" i="7"/>
  <c r="ILI9" i="7"/>
  <c r="ILH9" i="7"/>
  <c r="ILG9" i="7"/>
  <c r="ILF9" i="7"/>
  <c r="ILE9" i="7"/>
  <c r="ILD9" i="7"/>
  <c r="ILC9" i="7"/>
  <c r="ILB9" i="7"/>
  <c r="ILA9" i="7"/>
  <c r="IKZ9" i="7"/>
  <c r="IKY9" i="7"/>
  <c r="IKX9" i="7"/>
  <c r="IKW9" i="7"/>
  <c r="IKV9" i="7"/>
  <c r="IKU9" i="7"/>
  <c r="IKT9" i="7"/>
  <c r="IKS9" i="7"/>
  <c r="IKR9" i="7"/>
  <c r="IKQ9" i="7"/>
  <c r="IKP9" i="7"/>
  <c r="IKO9" i="7"/>
  <c r="IKN9" i="7"/>
  <c r="IKM9" i="7"/>
  <c r="IKL9" i="7"/>
  <c r="IKK9" i="7"/>
  <c r="IKJ9" i="7"/>
  <c r="IKI9" i="7"/>
  <c r="IKH9" i="7"/>
  <c r="IKG9" i="7"/>
  <c r="IKF9" i="7"/>
  <c r="IKE9" i="7"/>
  <c r="IKD9" i="7"/>
  <c r="IKC9" i="7"/>
  <c r="IKB9" i="7"/>
  <c r="IKA9" i="7"/>
  <c r="IJZ9" i="7"/>
  <c r="IJY9" i="7"/>
  <c r="IJX9" i="7"/>
  <c r="IJW9" i="7"/>
  <c r="IJV9" i="7"/>
  <c r="IJU9" i="7"/>
  <c r="IJT9" i="7"/>
  <c r="IJS9" i="7"/>
  <c r="IJR9" i="7"/>
  <c r="IJQ9" i="7"/>
  <c r="IJP9" i="7"/>
  <c r="IJO9" i="7"/>
  <c r="IJN9" i="7"/>
  <c r="IJM9" i="7"/>
  <c r="IJL9" i="7"/>
  <c r="IJK9" i="7"/>
  <c r="IJJ9" i="7"/>
  <c r="IJI9" i="7"/>
  <c r="IJH9" i="7"/>
  <c r="IJG9" i="7"/>
  <c r="IJF9" i="7"/>
  <c r="IJE9" i="7"/>
  <c r="IJD9" i="7"/>
  <c r="IJC9" i="7"/>
  <c r="IJB9" i="7"/>
  <c r="IJA9" i="7"/>
  <c r="IIZ9" i="7"/>
  <c r="IIY9" i="7"/>
  <c r="IIX9" i="7"/>
  <c r="IIW9" i="7"/>
  <c r="IIV9" i="7"/>
  <c r="IIU9" i="7"/>
  <c r="IIT9" i="7"/>
  <c r="IIS9" i="7"/>
  <c r="IIR9" i="7"/>
  <c r="IIQ9" i="7"/>
  <c r="IIP9" i="7"/>
  <c r="IIO9" i="7"/>
  <c r="IIN9" i="7"/>
  <c r="IIM9" i="7"/>
  <c r="IIL9" i="7"/>
  <c r="IIK9" i="7"/>
  <c r="IIJ9" i="7"/>
  <c r="III9" i="7"/>
  <c r="IIH9" i="7"/>
  <c r="IIG9" i="7"/>
  <c r="IIF9" i="7"/>
  <c r="IIE9" i="7"/>
  <c r="IID9" i="7"/>
  <c r="IIC9" i="7"/>
  <c r="IIB9" i="7"/>
  <c r="IIA9" i="7"/>
  <c r="IHZ9" i="7"/>
  <c r="IHY9" i="7"/>
  <c r="IHX9" i="7"/>
  <c r="IHW9" i="7"/>
  <c r="IHV9" i="7"/>
  <c r="IHU9" i="7"/>
  <c r="IHT9" i="7"/>
  <c r="IHS9" i="7"/>
  <c r="IHR9" i="7"/>
  <c r="IHQ9" i="7"/>
  <c r="IHP9" i="7"/>
  <c r="IHO9" i="7"/>
  <c r="IHN9" i="7"/>
  <c r="IHM9" i="7"/>
  <c r="IHL9" i="7"/>
  <c r="IHK9" i="7"/>
  <c r="IHJ9" i="7"/>
  <c r="IHI9" i="7"/>
  <c r="IHH9" i="7"/>
  <c r="IHG9" i="7"/>
  <c r="IHF9" i="7"/>
  <c r="IHE9" i="7"/>
  <c r="IHD9" i="7"/>
  <c r="IHC9" i="7"/>
  <c r="IHB9" i="7"/>
  <c r="IHA9" i="7"/>
  <c r="IGZ9" i="7"/>
  <c r="IGY9" i="7"/>
  <c r="IGX9" i="7"/>
  <c r="IGW9" i="7"/>
  <c r="IGV9" i="7"/>
  <c r="IGU9" i="7"/>
  <c r="IGT9" i="7"/>
  <c r="IGS9" i="7"/>
  <c r="IGR9" i="7"/>
  <c r="IGQ9" i="7"/>
  <c r="IGP9" i="7"/>
  <c r="IGO9" i="7"/>
  <c r="IGN9" i="7"/>
  <c r="IGM9" i="7"/>
  <c r="IGL9" i="7"/>
  <c r="IGK9" i="7"/>
  <c r="IGJ9" i="7"/>
  <c r="IGI9" i="7"/>
  <c r="IGH9" i="7"/>
  <c r="IGG9" i="7"/>
  <c r="IGF9" i="7"/>
  <c r="IGE9" i="7"/>
  <c r="IGD9" i="7"/>
  <c r="IGC9" i="7"/>
  <c r="IGB9" i="7"/>
  <c r="IGA9" i="7"/>
  <c r="IFZ9" i="7"/>
  <c r="IFY9" i="7"/>
  <c r="IFX9" i="7"/>
  <c r="IFW9" i="7"/>
  <c r="IFV9" i="7"/>
  <c r="IFU9" i="7"/>
  <c r="IFT9" i="7"/>
  <c r="IFS9" i="7"/>
  <c r="IFR9" i="7"/>
  <c r="IFQ9" i="7"/>
  <c r="IFP9" i="7"/>
  <c r="IFO9" i="7"/>
  <c r="IFN9" i="7"/>
  <c r="IFM9" i="7"/>
  <c r="IFL9" i="7"/>
  <c r="IFK9" i="7"/>
  <c r="IFJ9" i="7"/>
  <c r="IFI9" i="7"/>
  <c r="IFH9" i="7"/>
  <c r="IFG9" i="7"/>
  <c r="IFF9" i="7"/>
  <c r="IFE9" i="7"/>
  <c r="IFD9" i="7"/>
  <c r="IFC9" i="7"/>
  <c r="IFB9" i="7"/>
  <c r="IFA9" i="7"/>
  <c r="IEZ9" i="7"/>
  <c r="IEY9" i="7"/>
  <c r="IEX9" i="7"/>
  <c r="IEW9" i="7"/>
  <c r="IEV9" i="7"/>
  <c r="IEU9" i="7"/>
  <c r="IET9" i="7"/>
  <c r="IES9" i="7"/>
  <c r="IER9" i="7"/>
  <c r="IEQ9" i="7"/>
  <c r="IEP9" i="7"/>
  <c r="IEO9" i="7"/>
  <c r="IEN9" i="7"/>
  <c r="IEM9" i="7"/>
  <c r="IEL9" i="7"/>
  <c r="IEK9" i="7"/>
  <c r="IEJ9" i="7"/>
  <c r="IEI9" i="7"/>
  <c r="IEH9" i="7"/>
  <c r="IEG9" i="7"/>
  <c r="IEF9" i="7"/>
  <c r="IEE9" i="7"/>
  <c r="IED9" i="7"/>
  <c r="IEC9" i="7"/>
  <c r="IEB9" i="7"/>
  <c r="IEA9" i="7"/>
  <c r="IDZ9" i="7"/>
  <c r="IDY9" i="7"/>
  <c r="IDX9" i="7"/>
  <c r="IDW9" i="7"/>
  <c r="IDV9" i="7"/>
  <c r="IDU9" i="7"/>
  <c r="IDT9" i="7"/>
  <c r="IDS9" i="7"/>
  <c r="IDR9" i="7"/>
  <c r="IDQ9" i="7"/>
  <c r="IDP9" i="7"/>
  <c r="IDO9" i="7"/>
  <c r="IDN9" i="7"/>
  <c r="IDM9" i="7"/>
  <c r="IDL9" i="7"/>
  <c r="IDK9" i="7"/>
  <c r="IDJ9" i="7"/>
  <c r="IDI9" i="7"/>
  <c r="IDH9" i="7"/>
  <c r="IDG9" i="7"/>
  <c r="IDF9" i="7"/>
  <c r="IDE9" i="7"/>
  <c r="IDD9" i="7"/>
  <c r="IDC9" i="7"/>
  <c r="IDB9" i="7"/>
  <c r="IDA9" i="7"/>
  <c r="ICZ9" i="7"/>
  <c r="ICY9" i="7"/>
  <c r="ICX9" i="7"/>
  <c r="ICW9" i="7"/>
  <c r="ICV9" i="7"/>
  <c r="ICU9" i="7"/>
  <c r="ICT9" i="7"/>
  <c r="ICS9" i="7"/>
  <c r="ICR9" i="7"/>
  <c r="ICQ9" i="7"/>
  <c r="ICP9" i="7"/>
  <c r="ICO9" i="7"/>
  <c r="ICN9" i="7"/>
  <c r="ICM9" i="7"/>
  <c r="ICL9" i="7"/>
  <c r="ICK9" i="7"/>
  <c r="ICJ9" i="7"/>
  <c r="ICI9" i="7"/>
  <c r="ICH9" i="7"/>
  <c r="ICG9" i="7"/>
  <c r="ICF9" i="7"/>
  <c r="ICE9" i="7"/>
  <c r="ICD9" i="7"/>
  <c r="ICC9" i="7"/>
  <c r="ICB9" i="7"/>
  <c r="ICA9" i="7"/>
  <c r="IBZ9" i="7"/>
  <c r="IBY9" i="7"/>
  <c r="IBX9" i="7"/>
  <c r="IBW9" i="7"/>
  <c r="IBV9" i="7"/>
  <c r="IBU9" i="7"/>
  <c r="IBT9" i="7"/>
  <c r="IBS9" i="7"/>
  <c r="IBR9" i="7"/>
  <c r="IBQ9" i="7"/>
  <c r="IBP9" i="7"/>
  <c r="IBO9" i="7"/>
  <c r="IBN9" i="7"/>
  <c r="IBM9" i="7"/>
  <c r="IBL9" i="7"/>
  <c r="IBK9" i="7"/>
  <c r="IBJ9" i="7"/>
  <c r="IBI9" i="7"/>
  <c r="IBH9" i="7"/>
  <c r="IBG9" i="7"/>
  <c r="IBF9" i="7"/>
  <c r="IBE9" i="7"/>
  <c r="IBD9" i="7"/>
  <c r="IBC9" i="7"/>
  <c r="IBB9" i="7"/>
  <c r="IBA9" i="7"/>
  <c r="IAZ9" i="7"/>
  <c r="IAY9" i="7"/>
  <c r="IAX9" i="7"/>
  <c r="IAW9" i="7"/>
  <c r="IAV9" i="7"/>
  <c r="IAU9" i="7"/>
  <c r="IAT9" i="7"/>
  <c r="IAS9" i="7"/>
  <c r="IAR9" i="7"/>
  <c r="IAQ9" i="7"/>
  <c r="IAP9" i="7"/>
  <c r="IAO9" i="7"/>
  <c r="IAN9" i="7"/>
  <c r="IAM9" i="7"/>
  <c r="IAL9" i="7"/>
  <c r="IAK9" i="7"/>
  <c r="IAJ9" i="7"/>
  <c r="IAI9" i="7"/>
  <c r="IAH9" i="7"/>
  <c r="IAG9" i="7"/>
  <c r="IAF9" i="7"/>
  <c r="IAE9" i="7"/>
  <c r="IAD9" i="7"/>
  <c r="IAC9" i="7"/>
  <c r="IAB9" i="7"/>
  <c r="IAA9" i="7"/>
  <c r="HZZ9" i="7"/>
  <c r="HZY9" i="7"/>
  <c r="HZX9" i="7"/>
  <c r="HZW9" i="7"/>
  <c r="HZV9" i="7"/>
  <c r="HZU9" i="7"/>
  <c r="HZT9" i="7"/>
  <c r="HZS9" i="7"/>
  <c r="HZR9" i="7"/>
  <c r="HZQ9" i="7"/>
  <c r="HZP9" i="7"/>
  <c r="HZO9" i="7"/>
  <c r="HZN9" i="7"/>
  <c r="HZM9" i="7"/>
  <c r="HZL9" i="7"/>
  <c r="HZK9" i="7"/>
  <c r="HZJ9" i="7"/>
  <c r="HZI9" i="7"/>
  <c r="HZH9" i="7"/>
  <c r="HZG9" i="7"/>
  <c r="HZF9" i="7"/>
  <c r="HZE9" i="7"/>
  <c r="HZD9" i="7"/>
  <c r="HZC9" i="7"/>
  <c r="HZB9" i="7"/>
  <c r="HZA9" i="7"/>
  <c r="HYZ9" i="7"/>
  <c r="HYY9" i="7"/>
  <c r="HYX9" i="7"/>
  <c r="HYW9" i="7"/>
  <c r="HYV9" i="7"/>
  <c r="HYU9" i="7"/>
  <c r="HYT9" i="7"/>
  <c r="HYS9" i="7"/>
  <c r="HYR9" i="7"/>
  <c r="HYQ9" i="7"/>
  <c r="HYP9" i="7"/>
  <c r="HYO9" i="7"/>
  <c r="HYN9" i="7"/>
  <c r="HYM9" i="7"/>
  <c r="HYL9" i="7"/>
  <c r="HYK9" i="7"/>
  <c r="HYJ9" i="7"/>
  <c r="HYI9" i="7"/>
  <c r="HYH9" i="7"/>
  <c r="HYG9" i="7"/>
  <c r="HYF9" i="7"/>
  <c r="HYE9" i="7"/>
  <c r="HYD9" i="7"/>
  <c r="HYC9" i="7"/>
  <c r="HYB9" i="7"/>
  <c r="HYA9" i="7"/>
  <c r="HXZ9" i="7"/>
  <c r="HXY9" i="7"/>
  <c r="HXX9" i="7"/>
  <c r="HXW9" i="7"/>
  <c r="HXV9" i="7"/>
  <c r="HXU9" i="7"/>
  <c r="HXT9" i="7"/>
  <c r="HXS9" i="7"/>
  <c r="HXR9" i="7"/>
  <c r="HXQ9" i="7"/>
  <c r="HXP9" i="7"/>
  <c r="HXO9" i="7"/>
  <c r="HXN9" i="7"/>
  <c r="HXM9" i="7"/>
  <c r="HXL9" i="7"/>
  <c r="HXK9" i="7"/>
  <c r="HXJ9" i="7"/>
  <c r="HXI9" i="7"/>
  <c r="HXH9" i="7"/>
  <c r="HXG9" i="7"/>
  <c r="HXF9" i="7"/>
  <c r="HXE9" i="7"/>
  <c r="HXD9" i="7"/>
  <c r="HXC9" i="7"/>
  <c r="HXB9" i="7"/>
  <c r="HXA9" i="7"/>
  <c r="HWZ9" i="7"/>
  <c r="HWY9" i="7"/>
  <c r="HWX9" i="7"/>
  <c r="HWW9" i="7"/>
  <c r="HWV9" i="7"/>
  <c r="HWU9" i="7"/>
  <c r="HWT9" i="7"/>
  <c r="HWS9" i="7"/>
  <c r="HWR9" i="7"/>
  <c r="HWQ9" i="7"/>
  <c r="HWP9" i="7"/>
  <c r="HWO9" i="7"/>
  <c r="HWN9" i="7"/>
  <c r="HWM9" i="7"/>
  <c r="HWL9" i="7"/>
  <c r="HWK9" i="7"/>
  <c r="HWJ9" i="7"/>
  <c r="HWI9" i="7"/>
  <c r="HWH9" i="7"/>
  <c r="HWG9" i="7"/>
  <c r="HWF9" i="7"/>
  <c r="HWE9" i="7"/>
  <c r="HWD9" i="7"/>
  <c r="HWC9" i="7"/>
  <c r="HWB9" i="7"/>
  <c r="HWA9" i="7"/>
  <c r="HVZ9" i="7"/>
  <c r="HVY9" i="7"/>
  <c r="HVX9" i="7"/>
  <c r="HVW9" i="7"/>
  <c r="HVV9" i="7"/>
  <c r="HVU9" i="7"/>
  <c r="HVT9" i="7"/>
  <c r="HVS9" i="7"/>
  <c r="HVR9" i="7"/>
  <c r="HVQ9" i="7"/>
  <c r="HVP9" i="7"/>
  <c r="HVO9" i="7"/>
  <c r="HVN9" i="7"/>
  <c r="HVM9" i="7"/>
  <c r="HVL9" i="7"/>
  <c r="HVK9" i="7"/>
  <c r="HVJ9" i="7"/>
  <c r="HVI9" i="7"/>
  <c r="HVH9" i="7"/>
  <c r="HVG9" i="7"/>
  <c r="HVF9" i="7"/>
  <c r="HVE9" i="7"/>
  <c r="HVD9" i="7"/>
  <c r="HVC9" i="7"/>
  <c r="HVB9" i="7"/>
  <c r="HVA9" i="7"/>
  <c r="HUZ9" i="7"/>
  <c r="HUY9" i="7"/>
  <c r="HUX9" i="7"/>
  <c r="HUW9" i="7"/>
  <c r="HUV9" i="7"/>
  <c r="HUU9" i="7"/>
  <c r="HUT9" i="7"/>
  <c r="HUS9" i="7"/>
  <c r="HUR9" i="7"/>
  <c r="HUQ9" i="7"/>
  <c r="HUP9" i="7"/>
  <c r="HUO9" i="7"/>
  <c r="HUN9" i="7"/>
  <c r="HUM9" i="7"/>
  <c r="HUL9" i="7"/>
  <c r="HUK9" i="7"/>
  <c r="HUJ9" i="7"/>
  <c r="HUI9" i="7"/>
  <c r="HUH9" i="7"/>
  <c r="HUG9" i="7"/>
  <c r="HUF9" i="7"/>
  <c r="HUE9" i="7"/>
  <c r="HUD9" i="7"/>
  <c r="HUC9" i="7"/>
  <c r="HUB9" i="7"/>
  <c r="HUA9" i="7"/>
  <c r="HTZ9" i="7"/>
  <c r="HTY9" i="7"/>
  <c r="HTX9" i="7"/>
  <c r="HTW9" i="7"/>
  <c r="HTV9" i="7"/>
  <c r="HTU9" i="7"/>
  <c r="HTT9" i="7"/>
  <c r="HTS9" i="7"/>
  <c r="HTR9" i="7"/>
  <c r="HTQ9" i="7"/>
  <c r="HTP9" i="7"/>
  <c r="HTO9" i="7"/>
  <c r="HTN9" i="7"/>
  <c r="HTM9" i="7"/>
  <c r="HTL9" i="7"/>
  <c r="HTK9" i="7"/>
  <c r="HTJ9" i="7"/>
  <c r="HTI9" i="7"/>
  <c r="HTH9" i="7"/>
  <c r="HTG9" i="7"/>
  <c r="HTF9" i="7"/>
  <c r="HTE9" i="7"/>
  <c r="HTD9" i="7"/>
  <c r="HTC9" i="7"/>
  <c r="HTB9" i="7"/>
  <c r="HTA9" i="7"/>
  <c r="HSZ9" i="7"/>
  <c r="HSY9" i="7"/>
  <c r="HSX9" i="7"/>
  <c r="HSW9" i="7"/>
  <c r="HSV9" i="7"/>
  <c r="HSU9" i="7"/>
  <c r="HST9" i="7"/>
  <c r="HSS9" i="7"/>
  <c r="HSR9" i="7"/>
  <c r="HSQ9" i="7"/>
  <c r="HSP9" i="7"/>
  <c r="HSO9" i="7"/>
  <c r="HSN9" i="7"/>
  <c r="HSM9" i="7"/>
  <c r="HSL9" i="7"/>
  <c r="HSK9" i="7"/>
  <c r="HSJ9" i="7"/>
  <c r="HSI9" i="7"/>
  <c r="HSH9" i="7"/>
  <c r="HSG9" i="7"/>
  <c r="HSF9" i="7"/>
  <c r="HSE9" i="7"/>
  <c r="HSD9" i="7"/>
  <c r="HSC9" i="7"/>
  <c r="HSB9" i="7"/>
  <c r="HSA9" i="7"/>
  <c r="HRZ9" i="7"/>
  <c r="HRY9" i="7"/>
  <c r="HRX9" i="7"/>
  <c r="HRW9" i="7"/>
  <c r="HRV9" i="7"/>
  <c r="HRU9" i="7"/>
  <c r="HRT9" i="7"/>
  <c r="HRS9" i="7"/>
  <c r="HRR9" i="7"/>
  <c r="HRQ9" i="7"/>
  <c r="HRP9" i="7"/>
  <c r="HRO9" i="7"/>
  <c r="HRN9" i="7"/>
  <c r="HRM9" i="7"/>
  <c r="HRL9" i="7"/>
  <c r="HRK9" i="7"/>
  <c r="HRJ9" i="7"/>
  <c r="HRI9" i="7"/>
  <c r="HRH9" i="7"/>
  <c r="HRG9" i="7"/>
  <c r="HRF9" i="7"/>
  <c r="HRE9" i="7"/>
  <c r="HRD9" i="7"/>
  <c r="HRC9" i="7"/>
  <c r="HRB9" i="7"/>
  <c r="HRA9" i="7"/>
  <c r="HQZ9" i="7"/>
  <c r="HQY9" i="7"/>
  <c r="HQX9" i="7"/>
  <c r="HQW9" i="7"/>
  <c r="HQV9" i="7"/>
  <c r="HQU9" i="7"/>
  <c r="HQT9" i="7"/>
  <c r="HQS9" i="7"/>
  <c r="HQR9" i="7"/>
  <c r="HQQ9" i="7"/>
  <c r="HQP9" i="7"/>
  <c r="HQO9" i="7"/>
  <c r="HQN9" i="7"/>
  <c r="HQM9" i="7"/>
  <c r="HQL9" i="7"/>
  <c r="HQK9" i="7"/>
  <c r="HQJ9" i="7"/>
  <c r="HQI9" i="7"/>
  <c r="HQH9" i="7"/>
  <c r="HQG9" i="7"/>
  <c r="HQF9" i="7"/>
  <c r="HQE9" i="7"/>
  <c r="HQD9" i="7"/>
  <c r="HQC9" i="7"/>
  <c r="HQB9" i="7"/>
  <c r="HQA9" i="7"/>
  <c r="HPZ9" i="7"/>
  <c r="HPY9" i="7"/>
  <c r="HPX9" i="7"/>
  <c r="HPW9" i="7"/>
  <c r="HPV9" i="7"/>
  <c r="HPU9" i="7"/>
  <c r="HPT9" i="7"/>
  <c r="HPS9" i="7"/>
  <c r="HPR9" i="7"/>
  <c r="HPQ9" i="7"/>
  <c r="HPP9" i="7"/>
  <c r="HPO9" i="7"/>
  <c r="HPN9" i="7"/>
  <c r="HPM9" i="7"/>
  <c r="HPL9" i="7"/>
  <c r="HPK9" i="7"/>
  <c r="HPJ9" i="7"/>
  <c r="HPI9" i="7"/>
  <c r="HPH9" i="7"/>
  <c r="HPG9" i="7"/>
  <c r="HPF9" i="7"/>
  <c r="HPE9" i="7"/>
  <c r="HPD9" i="7"/>
  <c r="HPC9" i="7"/>
  <c r="HPB9" i="7"/>
  <c r="HPA9" i="7"/>
  <c r="HOZ9" i="7"/>
  <c r="HOY9" i="7"/>
  <c r="HOX9" i="7"/>
  <c r="HOW9" i="7"/>
  <c r="HOV9" i="7"/>
  <c r="HOU9" i="7"/>
  <c r="HOT9" i="7"/>
  <c r="HOS9" i="7"/>
  <c r="HOR9" i="7"/>
  <c r="HOQ9" i="7"/>
  <c r="HOP9" i="7"/>
  <c r="HOO9" i="7"/>
  <c r="HON9" i="7"/>
  <c r="HOM9" i="7"/>
  <c r="HOL9" i="7"/>
  <c r="HOK9" i="7"/>
  <c r="HOJ9" i="7"/>
  <c r="HOI9" i="7"/>
  <c r="HOH9" i="7"/>
  <c r="HOG9" i="7"/>
  <c r="HOF9" i="7"/>
  <c r="HOE9" i="7"/>
  <c r="HOD9" i="7"/>
  <c r="HOC9" i="7"/>
  <c r="HOB9" i="7"/>
  <c r="HOA9" i="7"/>
  <c r="HNZ9" i="7"/>
  <c r="HNY9" i="7"/>
  <c r="HNX9" i="7"/>
  <c r="HNW9" i="7"/>
  <c r="HNV9" i="7"/>
  <c r="HNU9" i="7"/>
  <c r="HNT9" i="7"/>
  <c r="HNS9" i="7"/>
  <c r="HNR9" i="7"/>
  <c r="HNQ9" i="7"/>
  <c r="HNP9" i="7"/>
  <c r="HNO9" i="7"/>
  <c r="HNN9" i="7"/>
  <c r="HNM9" i="7"/>
  <c r="HNL9" i="7"/>
  <c r="HNK9" i="7"/>
  <c r="HNJ9" i="7"/>
  <c r="HNI9" i="7"/>
  <c r="HNH9" i="7"/>
  <c r="HNG9" i="7"/>
  <c r="HNF9" i="7"/>
  <c r="HNE9" i="7"/>
  <c r="HND9" i="7"/>
  <c r="HNC9" i="7"/>
  <c r="HNB9" i="7"/>
  <c r="HNA9" i="7"/>
  <c r="HMZ9" i="7"/>
  <c r="HMY9" i="7"/>
  <c r="HMX9" i="7"/>
  <c r="HMW9" i="7"/>
  <c r="HMV9" i="7"/>
  <c r="HMU9" i="7"/>
  <c r="HMT9" i="7"/>
  <c r="HMS9" i="7"/>
  <c r="HMR9" i="7"/>
  <c r="HMQ9" i="7"/>
  <c r="HMP9" i="7"/>
  <c r="HMO9" i="7"/>
  <c r="HMN9" i="7"/>
  <c r="HMM9" i="7"/>
  <c r="HML9" i="7"/>
  <c r="HMK9" i="7"/>
  <c r="HMJ9" i="7"/>
  <c r="HMI9" i="7"/>
  <c r="HMH9" i="7"/>
  <c r="HMG9" i="7"/>
  <c r="HMF9" i="7"/>
  <c r="HME9" i="7"/>
  <c r="HMD9" i="7"/>
  <c r="HMC9" i="7"/>
  <c r="HMB9" i="7"/>
  <c r="HMA9" i="7"/>
  <c r="HLZ9" i="7"/>
  <c r="HLY9" i="7"/>
  <c r="HLX9" i="7"/>
  <c r="HLW9" i="7"/>
  <c r="HLV9" i="7"/>
  <c r="HLU9" i="7"/>
  <c r="HLT9" i="7"/>
  <c r="HLS9" i="7"/>
  <c r="HLR9" i="7"/>
  <c r="HLQ9" i="7"/>
  <c r="HLP9" i="7"/>
  <c r="HLO9" i="7"/>
  <c r="HLN9" i="7"/>
  <c r="HLM9" i="7"/>
  <c r="HLL9" i="7"/>
  <c r="HLK9" i="7"/>
  <c r="HLJ9" i="7"/>
  <c r="HLI9" i="7"/>
  <c r="HLH9" i="7"/>
  <c r="HLG9" i="7"/>
  <c r="HLF9" i="7"/>
  <c r="HLE9" i="7"/>
  <c r="HLD9" i="7"/>
  <c r="HLC9" i="7"/>
  <c r="HLB9" i="7"/>
  <c r="HLA9" i="7"/>
  <c r="HKZ9" i="7"/>
  <c r="HKY9" i="7"/>
  <c r="HKX9" i="7"/>
  <c r="HKW9" i="7"/>
  <c r="HKV9" i="7"/>
  <c r="HKU9" i="7"/>
  <c r="HKT9" i="7"/>
  <c r="HKS9" i="7"/>
  <c r="HKR9" i="7"/>
  <c r="HKQ9" i="7"/>
  <c r="HKP9" i="7"/>
  <c r="HKO9" i="7"/>
  <c r="HKN9" i="7"/>
  <c r="HKM9" i="7"/>
  <c r="HKL9" i="7"/>
  <c r="HKK9" i="7"/>
  <c r="HKJ9" i="7"/>
  <c r="HKI9" i="7"/>
  <c r="HKH9" i="7"/>
  <c r="HKG9" i="7"/>
  <c r="HKF9" i="7"/>
  <c r="HKE9" i="7"/>
  <c r="HKD9" i="7"/>
  <c r="HKC9" i="7"/>
  <c r="HKB9" i="7"/>
  <c r="HKA9" i="7"/>
  <c r="HJZ9" i="7"/>
  <c r="HJY9" i="7"/>
  <c r="HJX9" i="7"/>
  <c r="HJW9" i="7"/>
  <c r="HJV9" i="7"/>
  <c r="HJU9" i="7"/>
  <c r="HJT9" i="7"/>
  <c r="HJS9" i="7"/>
  <c r="HJR9" i="7"/>
  <c r="HJQ9" i="7"/>
  <c r="HJP9" i="7"/>
  <c r="HJO9" i="7"/>
  <c r="HJN9" i="7"/>
  <c r="HJM9" i="7"/>
  <c r="HJL9" i="7"/>
  <c r="HJK9" i="7"/>
  <c r="HJJ9" i="7"/>
  <c r="HJI9" i="7"/>
  <c r="HJH9" i="7"/>
  <c r="HJG9" i="7"/>
  <c r="HJF9" i="7"/>
  <c r="HJE9" i="7"/>
  <c r="HJD9" i="7"/>
  <c r="HJC9" i="7"/>
  <c r="HJB9" i="7"/>
  <c r="HJA9" i="7"/>
  <c r="HIZ9" i="7"/>
  <c r="HIY9" i="7"/>
  <c r="HIX9" i="7"/>
  <c r="HIW9" i="7"/>
  <c r="HIV9" i="7"/>
  <c r="HIU9" i="7"/>
  <c r="HIT9" i="7"/>
  <c r="HIS9" i="7"/>
  <c r="HIR9" i="7"/>
  <c r="HIQ9" i="7"/>
  <c r="HIP9" i="7"/>
  <c r="HIO9" i="7"/>
  <c r="HIN9" i="7"/>
  <c r="HIM9" i="7"/>
  <c r="HIL9" i="7"/>
  <c r="HIK9" i="7"/>
  <c r="HIJ9" i="7"/>
  <c r="HII9" i="7"/>
  <c r="HIH9" i="7"/>
  <c r="HIG9" i="7"/>
  <c r="HIF9" i="7"/>
  <c r="HIE9" i="7"/>
  <c r="HID9" i="7"/>
  <c r="HIC9" i="7"/>
  <c r="HIB9" i="7"/>
  <c r="HIA9" i="7"/>
  <c r="HHZ9" i="7"/>
  <c r="HHY9" i="7"/>
  <c r="HHX9" i="7"/>
  <c r="HHW9" i="7"/>
  <c r="HHV9" i="7"/>
  <c r="HHU9" i="7"/>
  <c r="HHT9" i="7"/>
  <c r="HHS9" i="7"/>
  <c r="HHR9" i="7"/>
  <c r="HHQ9" i="7"/>
  <c r="HHP9" i="7"/>
  <c r="HHO9" i="7"/>
  <c r="HHN9" i="7"/>
  <c r="HHM9" i="7"/>
  <c r="HHL9" i="7"/>
  <c r="HHK9" i="7"/>
  <c r="HHJ9" i="7"/>
  <c r="HHI9" i="7"/>
  <c r="HHH9" i="7"/>
  <c r="HHG9" i="7"/>
  <c r="HHF9" i="7"/>
  <c r="HHE9" i="7"/>
  <c r="HHD9" i="7"/>
  <c r="HHC9" i="7"/>
  <c r="HHB9" i="7"/>
  <c r="HHA9" i="7"/>
  <c r="HGZ9" i="7"/>
  <c r="HGY9" i="7"/>
  <c r="HGX9" i="7"/>
  <c r="HGW9" i="7"/>
  <c r="HGV9" i="7"/>
  <c r="HGU9" i="7"/>
  <c r="HGT9" i="7"/>
  <c r="HGS9" i="7"/>
  <c r="HGR9" i="7"/>
  <c r="HGQ9" i="7"/>
  <c r="HGP9" i="7"/>
  <c r="HGO9" i="7"/>
  <c r="HGN9" i="7"/>
  <c r="HGM9" i="7"/>
  <c r="HGL9" i="7"/>
  <c r="HGK9" i="7"/>
  <c r="HGJ9" i="7"/>
  <c r="HGI9" i="7"/>
  <c r="HGH9" i="7"/>
  <c r="HGG9" i="7"/>
  <c r="HGF9" i="7"/>
  <c r="HGE9" i="7"/>
  <c r="HGD9" i="7"/>
  <c r="HGC9" i="7"/>
  <c r="HGB9" i="7"/>
  <c r="HGA9" i="7"/>
  <c r="HFZ9" i="7"/>
  <c r="HFY9" i="7"/>
  <c r="HFX9" i="7"/>
  <c r="HFW9" i="7"/>
  <c r="HFV9" i="7"/>
  <c r="HFU9" i="7"/>
  <c r="HFT9" i="7"/>
  <c r="HFS9" i="7"/>
  <c r="HFR9" i="7"/>
  <c r="HFQ9" i="7"/>
  <c r="HFP9" i="7"/>
  <c r="HFO9" i="7"/>
  <c r="HFN9" i="7"/>
  <c r="HFM9" i="7"/>
  <c r="HFL9" i="7"/>
  <c r="HFK9" i="7"/>
  <c r="HFJ9" i="7"/>
  <c r="HFI9" i="7"/>
  <c r="HFH9" i="7"/>
  <c r="HFG9" i="7"/>
  <c r="HFF9" i="7"/>
  <c r="HFE9" i="7"/>
  <c r="HFD9" i="7"/>
  <c r="HFC9" i="7"/>
  <c r="HFB9" i="7"/>
  <c r="HFA9" i="7"/>
  <c r="HEZ9" i="7"/>
  <c r="HEY9" i="7"/>
  <c r="HEX9" i="7"/>
  <c r="HEW9" i="7"/>
  <c r="HEV9" i="7"/>
  <c r="HEU9" i="7"/>
  <c r="HET9" i="7"/>
  <c r="HES9" i="7"/>
  <c r="HER9" i="7"/>
  <c r="HEQ9" i="7"/>
  <c r="HEP9" i="7"/>
  <c r="HEO9" i="7"/>
  <c r="HEN9" i="7"/>
  <c r="HEM9" i="7"/>
  <c r="HEL9" i="7"/>
  <c r="HEK9" i="7"/>
  <c r="HEJ9" i="7"/>
  <c r="HEI9" i="7"/>
  <c r="HEH9" i="7"/>
  <c r="HEG9" i="7"/>
  <c r="HEF9" i="7"/>
  <c r="HEE9" i="7"/>
  <c r="HED9" i="7"/>
  <c r="HEC9" i="7"/>
  <c r="HEB9" i="7"/>
  <c r="HEA9" i="7"/>
  <c r="HDZ9" i="7"/>
  <c r="HDY9" i="7"/>
  <c r="HDX9" i="7"/>
  <c r="HDW9" i="7"/>
  <c r="HDV9" i="7"/>
  <c r="HDU9" i="7"/>
  <c r="HDT9" i="7"/>
  <c r="HDS9" i="7"/>
  <c r="HDR9" i="7"/>
  <c r="HDQ9" i="7"/>
  <c r="HDP9" i="7"/>
  <c r="HDO9" i="7"/>
  <c r="HDN9" i="7"/>
  <c r="HDM9" i="7"/>
  <c r="HDL9" i="7"/>
  <c r="HDK9" i="7"/>
  <c r="HDJ9" i="7"/>
  <c r="HDI9" i="7"/>
  <c r="HDH9" i="7"/>
  <c r="HDG9" i="7"/>
  <c r="HDF9" i="7"/>
  <c r="HDE9" i="7"/>
  <c r="HDD9" i="7"/>
  <c r="HDC9" i="7"/>
  <c r="HDB9" i="7"/>
  <c r="HDA9" i="7"/>
  <c r="HCZ9" i="7"/>
  <c r="HCY9" i="7"/>
  <c r="HCX9" i="7"/>
  <c r="HCW9" i="7"/>
  <c r="HCV9" i="7"/>
  <c r="HCU9" i="7"/>
  <c r="HCT9" i="7"/>
  <c r="HCS9" i="7"/>
  <c r="HCR9" i="7"/>
  <c r="HCQ9" i="7"/>
  <c r="HCP9" i="7"/>
  <c r="HCO9" i="7"/>
  <c r="HCN9" i="7"/>
  <c r="HCM9" i="7"/>
  <c r="HCL9" i="7"/>
  <c r="HCK9" i="7"/>
  <c r="HCJ9" i="7"/>
  <c r="HCI9" i="7"/>
  <c r="HCH9" i="7"/>
  <c r="HCG9" i="7"/>
  <c r="HCF9" i="7"/>
  <c r="HCE9" i="7"/>
  <c r="HCD9" i="7"/>
  <c r="HCC9" i="7"/>
  <c r="HCB9" i="7"/>
  <c r="HCA9" i="7"/>
  <c r="HBZ9" i="7"/>
  <c r="HBY9" i="7"/>
  <c r="HBX9" i="7"/>
  <c r="HBW9" i="7"/>
  <c r="HBV9" i="7"/>
  <c r="HBU9" i="7"/>
  <c r="HBT9" i="7"/>
  <c r="HBS9" i="7"/>
  <c r="HBR9" i="7"/>
  <c r="HBQ9" i="7"/>
  <c r="HBP9" i="7"/>
  <c r="HBO9" i="7"/>
  <c r="HBN9" i="7"/>
  <c r="HBM9" i="7"/>
  <c r="HBL9" i="7"/>
  <c r="HBK9" i="7"/>
  <c r="HBJ9" i="7"/>
  <c r="HBI9" i="7"/>
  <c r="HBH9" i="7"/>
  <c r="HBG9" i="7"/>
  <c r="HBF9" i="7"/>
  <c r="HBE9" i="7"/>
  <c r="HBD9" i="7"/>
  <c r="HBC9" i="7"/>
  <c r="HBB9" i="7"/>
  <c r="HBA9" i="7"/>
  <c r="HAZ9" i="7"/>
  <c r="HAY9" i="7"/>
  <c r="HAX9" i="7"/>
  <c r="HAW9" i="7"/>
  <c r="HAV9" i="7"/>
  <c r="HAU9" i="7"/>
  <c r="HAT9" i="7"/>
  <c r="HAS9" i="7"/>
  <c r="HAR9" i="7"/>
  <c r="HAQ9" i="7"/>
  <c r="HAP9" i="7"/>
  <c r="HAO9" i="7"/>
  <c r="HAN9" i="7"/>
  <c r="HAM9" i="7"/>
  <c r="HAL9" i="7"/>
  <c r="HAK9" i="7"/>
  <c r="HAJ9" i="7"/>
  <c r="HAI9" i="7"/>
  <c r="HAH9" i="7"/>
  <c r="HAG9" i="7"/>
  <c r="HAF9" i="7"/>
  <c r="HAE9" i="7"/>
  <c r="HAD9" i="7"/>
  <c r="HAC9" i="7"/>
  <c r="HAB9" i="7"/>
  <c r="HAA9" i="7"/>
  <c r="GZZ9" i="7"/>
  <c r="GZY9" i="7"/>
  <c r="GZX9" i="7"/>
  <c r="GZW9" i="7"/>
  <c r="GZV9" i="7"/>
  <c r="GZU9" i="7"/>
  <c r="GZT9" i="7"/>
  <c r="GZS9" i="7"/>
  <c r="GZR9" i="7"/>
  <c r="GZQ9" i="7"/>
  <c r="GZP9" i="7"/>
  <c r="GZO9" i="7"/>
  <c r="GZN9" i="7"/>
  <c r="GZM9" i="7"/>
  <c r="GZL9" i="7"/>
  <c r="GZK9" i="7"/>
  <c r="GZJ9" i="7"/>
  <c r="GZI9" i="7"/>
  <c r="GZH9" i="7"/>
  <c r="GZG9" i="7"/>
  <c r="GZF9" i="7"/>
  <c r="GZE9" i="7"/>
  <c r="GZD9" i="7"/>
  <c r="GZC9" i="7"/>
  <c r="GZB9" i="7"/>
  <c r="GZA9" i="7"/>
  <c r="GYZ9" i="7"/>
  <c r="GYY9" i="7"/>
  <c r="GYX9" i="7"/>
  <c r="GYW9" i="7"/>
  <c r="GYV9" i="7"/>
  <c r="GYU9" i="7"/>
  <c r="GYT9" i="7"/>
  <c r="GYS9" i="7"/>
  <c r="GYR9" i="7"/>
  <c r="GYQ9" i="7"/>
  <c r="GYP9" i="7"/>
  <c r="GYO9" i="7"/>
  <c r="GYN9" i="7"/>
  <c r="GYM9" i="7"/>
  <c r="GYL9" i="7"/>
  <c r="GYK9" i="7"/>
  <c r="GYJ9" i="7"/>
  <c r="GYI9" i="7"/>
  <c r="GYH9" i="7"/>
  <c r="GYG9" i="7"/>
  <c r="GYF9" i="7"/>
  <c r="GYE9" i="7"/>
  <c r="GYD9" i="7"/>
  <c r="GYC9" i="7"/>
  <c r="GYB9" i="7"/>
  <c r="GYA9" i="7"/>
  <c r="GXZ9" i="7"/>
  <c r="GXY9" i="7"/>
  <c r="GXX9" i="7"/>
  <c r="GXW9" i="7"/>
  <c r="GXV9" i="7"/>
  <c r="GXU9" i="7"/>
  <c r="GXT9" i="7"/>
  <c r="GXS9" i="7"/>
  <c r="GXR9" i="7"/>
  <c r="GXQ9" i="7"/>
  <c r="GXP9" i="7"/>
  <c r="GXO9" i="7"/>
  <c r="GXN9" i="7"/>
  <c r="GXM9" i="7"/>
  <c r="GXL9" i="7"/>
  <c r="GXK9" i="7"/>
  <c r="GXJ9" i="7"/>
  <c r="GXI9" i="7"/>
  <c r="GXH9" i="7"/>
  <c r="GXG9" i="7"/>
  <c r="GXF9" i="7"/>
  <c r="GXE9" i="7"/>
  <c r="GXD9" i="7"/>
  <c r="GXC9" i="7"/>
  <c r="GXB9" i="7"/>
  <c r="GXA9" i="7"/>
  <c r="GWZ9" i="7"/>
  <c r="GWY9" i="7"/>
  <c r="GWX9" i="7"/>
  <c r="GWW9" i="7"/>
  <c r="GWV9" i="7"/>
  <c r="GWU9" i="7"/>
  <c r="GWT9" i="7"/>
  <c r="GWS9" i="7"/>
  <c r="GWR9" i="7"/>
  <c r="GWQ9" i="7"/>
  <c r="GWP9" i="7"/>
  <c r="GWO9" i="7"/>
  <c r="GWN9" i="7"/>
  <c r="GWM9" i="7"/>
  <c r="GWL9" i="7"/>
  <c r="GWK9" i="7"/>
  <c r="GWJ9" i="7"/>
  <c r="GWI9" i="7"/>
  <c r="GWH9" i="7"/>
  <c r="GWG9" i="7"/>
  <c r="GWF9" i="7"/>
  <c r="GWE9" i="7"/>
  <c r="GWD9" i="7"/>
  <c r="GWC9" i="7"/>
  <c r="GWB9" i="7"/>
  <c r="GWA9" i="7"/>
  <c r="GVZ9" i="7"/>
  <c r="GVY9" i="7"/>
  <c r="GVX9" i="7"/>
  <c r="GVW9" i="7"/>
  <c r="GVV9" i="7"/>
  <c r="GVU9" i="7"/>
  <c r="GVT9" i="7"/>
  <c r="GVS9" i="7"/>
  <c r="GVR9" i="7"/>
  <c r="GVQ9" i="7"/>
  <c r="GVP9" i="7"/>
  <c r="GVO9" i="7"/>
  <c r="GVN9" i="7"/>
  <c r="GVM9" i="7"/>
  <c r="GVL9" i="7"/>
  <c r="GVK9" i="7"/>
  <c r="GVJ9" i="7"/>
  <c r="GVI9" i="7"/>
  <c r="GVH9" i="7"/>
  <c r="GVG9" i="7"/>
  <c r="GVF9" i="7"/>
  <c r="GVE9" i="7"/>
  <c r="GVD9" i="7"/>
  <c r="GVC9" i="7"/>
  <c r="GVB9" i="7"/>
  <c r="GVA9" i="7"/>
  <c r="GUZ9" i="7"/>
  <c r="GUY9" i="7"/>
  <c r="GUX9" i="7"/>
  <c r="GUW9" i="7"/>
  <c r="GUV9" i="7"/>
  <c r="GUU9" i="7"/>
  <c r="GUT9" i="7"/>
  <c r="GUS9" i="7"/>
  <c r="GUR9" i="7"/>
  <c r="GUQ9" i="7"/>
  <c r="GUP9" i="7"/>
  <c r="GUO9" i="7"/>
  <c r="GUN9" i="7"/>
  <c r="GUM9" i="7"/>
  <c r="GUL9" i="7"/>
  <c r="GUK9" i="7"/>
  <c r="GUJ9" i="7"/>
  <c r="GUI9" i="7"/>
  <c r="GUH9" i="7"/>
  <c r="GUG9" i="7"/>
  <c r="GUF9" i="7"/>
  <c r="GUE9" i="7"/>
  <c r="GUD9" i="7"/>
  <c r="GUC9" i="7"/>
  <c r="GUB9" i="7"/>
  <c r="GUA9" i="7"/>
  <c r="GTZ9" i="7"/>
  <c r="GTY9" i="7"/>
  <c r="GTX9" i="7"/>
  <c r="GTW9" i="7"/>
  <c r="GTV9" i="7"/>
  <c r="GTU9" i="7"/>
  <c r="GTT9" i="7"/>
  <c r="GTS9" i="7"/>
  <c r="GTR9" i="7"/>
  <c r="GTQ9" i="7"/>
  <c r="GTP9" i="7"/>
  <c r="GTO9" i="7"/>
  <c r="GTN9" i="7"/>
  <c r="GTM9" i="7"/>
  <c r="GTL9" i="7"/>
  <c r="GTK9" i="7"/>
  <c r="GTJ9" i="7"/>
  <c r="GTI9" i="7"/>
  <c r="GTH9" i="7"/>
  <c r="GTG9" i="7"/>
  <c r="GTF9" i="7"/>
  <c r="GTE9" i="7"/>
  <c r="GTD9" i="7"/>
  <c r="GTC9" i="7"/>
  <c r="GTB9" i="7"/>
  <c r="GTA9" i="7"/>
  <c r="GSZ9" i="7"/>
  <c r="GSY9" i="7"/>
  <c r="GSX9" i="7"/>
  <c r="GSW9" i="7"/>
  <c r="GSV9" i="7"/>
  <c r="GSU9" i="7"/>
  <c r="GST9" i="7"/>
  <c r="GSS9" i="7"/>
  <c r="GSR9" i="7"/>
  <c r="GSQ9" i="7"/>
  <c r="GSP9" i="7"/>
  <c r="GSO9" i="7"/>
  <c r="GSN9" i="7"/>
  <c r="GSM9" i="7"/>
  <c r="GSL9" i="7"/>
  <c r="GSK9" i="7"/>
  <c r="GSJ9" i="7"/>
  <c r="GSI9" i="7"/>
  <c r="GSH9" i="7"/>
  <c r="GSG9" i="7"/>
  <c r="GSF9" i="7"/>
  <c r="GSE9" i="7"/>
  <c r="GSD9" i="7"/>
  <c r="GSC9" i="7"/>
  <c r="GSB9" i="7"/>
  <c r="GSA9" i="7"/>
  <c r="GRZ9" i="7"/>
  <c r="GRY9" i="7"/>
  <c r="GRX9" i="7"/>
  <c r="GRW9" i="7"/>
  <c r="GRV9" i="7"/>
  <c r="GRU9" i="7"/>
  <c r="GRT9" i="7"/>
  <c r="GRS9" i="7"/>
  <c r="GRR9" i="7"/>
  <c r="GRQ9" i="7"/>
  <c r="GRP9" i="7"/>
  <c r="GRO9" i="7"/>
  <c r="GRN9" i="7"/>
  <c r="GRM9" i="7"/>
  <c r="GRL9" i="7"/>
  <c r="GRK9" i="7"/>
  <c r="GRJ9" i="7"/>
  <c r="GRI9" i="7"/>
  <c r="GRH9" i="7"/>
  <c r="GRG9" i="7"/>
  <c r="GRF9" i="7"/>
  <c r="GRE9" i="7"/>
  <c r="GRD9" i="7"/>
  <c r="GRC9" i="7"/>
  <c r="GRB9" i="7"/>
  <c r="GRA9" i="7"/>
  <c r="GQZ9" i="7"/>
  <c r="GQY9" i="7"/>
  <c r="GQX9" i="7"/>
  <c r="GQW9" i="7"/>
  <c r="GQV9" i="7"/>
  <c r="GQU9" i="7"/>
  <c r="GQT9" i="7"/>
  <c r="GQS9" i="7"/>
  <c r="GQR9" i="7"/>
  <c r="GQQ9" i="7"/>
  <c r="GQP9" i="7"/>
  <c r="GQO9" i="7"/>
  <c r="GQN9" i="7"/>
  <c r="GQM9" i="7"/>
  <c r="GQL9" i="7"/>
  <c r="GQK9" i="7"/>
  <c r="GQJ9" i="7"/>
  <c r="GQI9" i="7"/>
  <c r="GQH9" i="7"/>
  <c r="GQG9" i="7"/>
  <c r="GQF9" i="7"/>
  <c r="GQE9" i="7"/>
  <c r="GQD9" i="7"/>
  <c r="GQC9" i="7"/>
  <c r="GQB9" i="7"/>
  <c r="GQA9" i="7"/>
  <c r="GPZ9" i="7"/>
  <c r="GPY9" i="7"/>
  <c r="GPX9" i="7"/>
  <c r="GPW9" i="7"/>
  <c r="GPV9" i="7"/>
  <c r="GPU9" i="7"/>
  <c r="GPT9" i="7"/>
  <c r="GPS9" i="7"/>
  <c r="GPR9" i="7"/>
  <c r="GPQ9" i="7"/>
  <c r="GPP9" i="7"/>
  <c r="GPO9" i="7"/>
  <c r="GPN9" i="7"/>
  <c r="GPM9" i="7"/>
  <c r="GPL9" i="7"/>
  <c r="GPK9" i="7"/>
  <c r="GPJ9" i="7"/>
  <c r="GPI9" i="7"/>
  <c r="GPH9" i="7"/>
  <c r="GPG9" i="7"/>
  <c r="GPF9" i="7"/>
  <c r="GPE9" i="7"/>
  <c r="GPD9" i="7"/>
  <c r="GPC9" i="7"/>
  <c r="GPB9" i="7"/>
  <c r="GPA9" i="7"/>
  <c r="GOZ9" i="7"/>
  <c r="GOY9" i="7"/>
  <c r="GOX9" i="7"/>
  <c r="GOW9" i="7"/>
  <c r="GOV9" i="7"/>
  <c r="GOU9" i="7"/>
  <c r="GOT9" i="7"/>
  <c r="GOS9" i="7"/>
  <c r="GOR9" i="7"/>
  <c r="GOQ9" i="7"/>
  <c r="GOP9" i="7"/>
  <c r="GOO9" i="7"/>
  <c r="GON9" i="7"/>
  <c r="GOM9" i="7"/>
  <c r="GOL9" i="7"/>
  <c r="GOK9" i="7"/>
  <c r="GOJ9" i="7"/>
  <c r="GOI9" i="7"/>
  <c r="GOH9" i="7"/>
  <c r="GOG9" i="7"/>
  <c r="GOF9" i="7"/>
  <c r="GOE9" i="7"/>
  <c r="GOD9" i="7"/>
  <c r="GOC9" i="7"/>
  <c r="GOB9" i="7"/>
  <c r="GOA9" i="7"/>
  <c r="GNZ9" i="7"/>
  <c r="GNY9" i="7"/>
  <c r="GNX9" i="7"/>
  <c r="GNW9" i="7"/>
  <c r="GNV9" i="7"/>
  <c r="GNU9" i="7"/>
  <c r="GNT9" i="7"/>
  <c r="GNS9" i="7"/>
  <c r="GNR9" i="7"/>
  <c r="GNQ9" i="7"/>
  <c r="GNP9" i="7"/>
  <c r="GNO9" i="7"/>
  <c r="GNN9" i="7"/>
  <c r="GNM9" i="7"/>
  <c r="GNL9" i="7"/>
  <c r="GNK9" i="7"/>
  <c r="GNJ9" i="7"/>
  <c r="GNI9" i="7"/>
  <c r="GNH9" i="7"/>
  <c r="GNG9" i="7"/>
  <c r="GNF9" i="7"/>
  <c r="GNE9" i="7"/>
  <c r="GND9" i="7"/>
  <c r="GNC9" i="7"/>
  <c r="GNB9" i="7"/>
  <c r="GNA9" i="7"/>
  <c r="GMZ9" i="7"/>
  <c r="GMY9" i="7"/>
  <c r="GMX9" i="7"/>
  <c r="GMW9" i="7"/>
  <c r="GMV9" i="7"/>
  <c r="GMU9" i="7"/>
  <c r="GMT9" i="7"/>
  <c r="GMS9" i="7"/>
  <c r="GMR9" i="7"/>
  <c r="GMQ9" i="7"/>
  <c r="GMP9" i="7"/>
  <c r="GMO9" i="7"/>
  <c r="GMN9" i="7"/>
  <c r="GMM9" i="7"/>
  <c r="GML9" i="7"/>
  <c r="GMK9" i="7"/>
  <c r="GMJ9" i="7"/>
  <c r="GMI9" i="7"/>
  <c r="GMH9" i="7"/>
  <c r="GMG9" i="7"/>
  <c r="GMF9" i="7"/>
  <c r="GME9" i="7"/>
  <c r="GMD9" i="7"/>
  <c r="GMC9" i="7"/>
  <c r="GMB9" i="7"/>
  <c r="GMA9" i="7"/>
  <c r="GLZ9" i="7"/>
  <c r="GLY9" i="7"/>
  <c r="GLX9" i="7"/>
  <c r="GLW9" i="7"/>
  <c r="GLV9" i="7"/>
  <c r="GLU9" i="7"/>
  <c r="GLT9" i="7"/>
  <c r="GLS9" i="7"/>
  <c r="GLR9" i="7"/>
  <c r="GLQ9" i="7"/>
  <c r="GLP9" i="7"/>
  <c r="GLO9" i="7"/>
  <c r="GLN9" i="7"/>
  <c r="GLM9" i="7"/>
  <c r="GLL9" i="7"/>
  <c r="GLK9" i="7"/>
  <c r="GLJ9" i="7"/>
  <c r="GLI9" i="7"/>
  <c r="GLH9" i="7"/>
  <c r="GLG9" i="7"/>
  <c r="GLF9" i="7"/>
  <c r="GLE9" i="7"/>
  <c r="GLD9" i="7"/>
  <c r="GLC9" i="7"/>
  <c r="GLB9" i="7"/>
  <c r="GLA9" i="7"/>
  <c r="GKZ9" i="7"/>
  <c r="GKY9" i="7"/>
  <c r="GKX9" i="7"/>
  <c r="GKW9" i="7"/>
  <c r="GKV9" i="7"/>
  <c r="GKU9" i="7"/>
  <c r="GKT9" i="7"/>
  <c r="GKS9" i="7"/>
  <c r="GKR9" i="7"/>
  <c r="GKQ9" i="7"/>
  <c r="GKP9" i="7"/>
  <c r="GKO9" i="7"/>
  <c r="GKN9" i="7"/>
  <c r="GKM9" i="7"/>
  <c r="GKL9" i="7"/>
  <c r="GKK9" i="7"/>
  <c r="GKJ9" i="7"/>
  <c r="GKI9" i="7"/>
  <c r="GKH9" i="7"/>
  <c r="GKG9" i="7"/>
  <c r="GKF9" i="7"/>
  <c r="GKE9" i="7"/>
  <c r="GKD9" i="7"/>
  <c r="GKC9" i="7"/>
  <c r="GKB9" i="7"/>
  <c r="GKA9" i="7"/>
  <c r="GJZ9" i="7"/>
  <c r="GJY9" i="7"/>
  <c r="GJX9" i="7"/>
  <c r="GJW9" i="7"/>
  <c r="GJV9" i="7"/>
  <c r="GJU9" i="7"/>
  <c r="GJT9" i="7"/>
  <c r="GJS9" i="7"/>
  <c r="GJR9" i="7"/>
  <c r="GJQ9" i="7"/>
  <c r="GJP9" i="7"/>
  <c r="GJO9" i="7"/>
  <c r="GJN9" i="7"/>
  <c r="GJM9" i="7"/>
  <c r="GJL9" i="7"/>
  <c r="GJK9" i="7"/>
  <c r="GJJ9" i="7"/>
  <c r="GJI9" i="7"/>
  <c r="GJH9" i="7"/>
  <c r="GJG9" i="7"/>
  <c r="GJF9" i="7"/>
  <c r="GJE9" i="7"/>
  <c r="GJD9" i="7"/>
  <c r="GJC9" i="7"/>
  <c r="GJB9" i="7"/>
  <c r="GJA9" i="7"/>
  <c r="GIZ9" i="7"/>
  <c r="GIY9" i="7"/>
  <c r="GIX9" i="7"/>
  <c r="GIW9" i="7"/>
  <c r="GIV9" i="7"/>
  <c r="GIU9" i="7"/>
  <c r="GIT9" i="7"/>
  <c r="GIS9" i="7"/>
  <c r="GIR9" i="7"/>
  <c r="GIQ9" i="7"/>
  <c r="GIP9" i="7"/>
  <c r="GIO9" i="7"/>
  <c r="GIN9" i="7"/>
  <c r="GIM9" i="7"/>
  <c r="GIL9" i="7"/>
  <c r="GIK9" i="7"/>
  <c r="GIJ9" i="7"/>
  <c r="GII9" i="7"/>
  <c r="GIH9" i="7"/>
  <c r="GIG9" i="7"/>
  <c r="GIF9" i="7"/>
  <c r="GIE9" i="7"/>
  <c r="GID9" i="7"/>
  <c r="GIC9" i="7"/>
  <c r="GIB9" i="7"/>
  <c r="GIA9" i="7"/>
  <c r="GHZ9" i="7"/>
  <c r="GHY9" i="7"/>
  <c r="GHX9" i="7"/>
  <c r="GHW9" i="7"/>
  <c r="GHV9" i="7"/>
  <c r="GHU9" i="7"/>
  <c r="GHR9" i="7"/>
  <c r="GHQ9" i="7"/>
  <c r="GHP9" i="7"/>
  <c r="GHO9" i="7"/>
  <c r="GHN9" i="7"/>
  <c r="GHM9" i="7"/>
  <c r="GHL9" i="7"/>
  <c r="GHK9" i="7"/>
  <c r="GHJ9" i="7"/>
  <c r="GHI9" i="7"/>
  <c r="GHH9" i="7"/>
  <c r="GHG9" i="7"/>
  <c r="GHF9" i="7"/>
  <c r="GHE9" i="7"/>
  <c r="GHD9" i="7"/>
  <c r="GHC9" i="7"/>
  <c r="GHB9" i="7"/>
  <c r="GHA9" i="7"/>
  <c r="GGZ9" i="7"/>
  <c r="GGY9" i="7"/>
  <c r="GGX9" i="7"/>
  <c r="GGW9" i="7"/>
  <c r="GGV9" i="7"/>
  <c r="GGU9" i="7"/>
  <c r="GGT9" i="7"/>
  <c r="GGS9" i="7"/>
  <c r="GGR9" i="7"/>
  <c r="GGQ9" i="7"/>
  <c r="GGP9" i="7"/>
  <c r="GGO9" i="7"/>
  <c r="GGN9" i="7"/>
  <c r="GGM9" i="7"/>
  <c r="GGL9" i="7"/>
  <c r="GGK9" i="7"/>
  <c r="GGJ9" i="7"/>
  <c r="GGI9" i="7"/>
  <c r="GGH9" i="7"/>
  <c r="GGG9" i="7"/>
  <c r="GGF9" i="7"/>
  <c r="GGE9" i="7"/>
  <c r="GGD9" i="7"/>
  <c r="GGC9" i="7"/>
  <c r="GGB9" i="7"/>
  <c r="GGA9" i="7"/>
  <c r="GFZ9" i="7"/>
  <c r="GFY9" i="7"/>
  <c r="GFX9" i="7"/>
  <c r="GFW9" i="7"/>
  <c r="GFV9" i="7"/>
  <c r="GFU9" i="7"/>
  <c r="GFT9" i="7"/>
  <c r="GFS9" i="7"/>
  <c r="GFR9" i="7"/>
  <c r="GFQ9" i="7"/>
  <c r="GFP9" i="7"/>
  <c r="GFO9" i="7"/>
  <c r="GFN9" i="7"/>
  <c r="GFM9" i="7"/>
  <c r="GFL9" i="7"/>
  <c r="GFK9" i="7"/>
  <c r="GFJ9" i="7"/>
  <c r="GFI9" i="7"/>
  <c r="GFH9" i="7"/>
  <c r="GFG9" i="7"/>
  <c r="GFF9" i="7"/>
  <c r="GFE9" i="7"/>
  <c r="GFD9" i="7"/>
  <c r="GFC9" i="7"/>
  <c r="GFB9" i="7"/>
  <c r="GFA9" i="7"/>
  <c r="GEZ9" i="7"/>
  <c r="GEY9" i="7"/>
  <c r="GEX9" i="7"/>
  <c r="GEW9" i="7"/>
  <c r="GEV9" i="7"/>
  <c r="GEU9" i="7"/>
  <c r="GET9" i="7"/>
  <c r="GES9" i="7"/>
  <c r="GER9" i="7"/>
  <c r="GEQ9" i="7"/>
  <c r="GEP9" i="7"/>
  <c r="GEO9" i="7"/>
  <c r="GEN9" i="7"/>
  <c r="GEM9" i="7"/>
  <c r="GEL9" i="7"/>
  <c r="GEK9" i="7"/>
  <c r="GEJ9" i="7"/>
  <c r="GEI9" i="7"/>
  <c r="GEH9" i="7"/>
  <c r="GEG9" i="7"/>
  <c r="GEF9" i="7"/>
  <c r="GEE9" i="7"/>
  <c r="GED9" i="7"/>
  <c r="GEC9" i="7"/>
  <c r="GEB9" i="7"/>
  <c r="GEA9" i="7"/>
  <c r="GDZ9" i="7"/>
  <c r="GDY9" i="7"/>
  <c r="GDX9" i="7"/>
  <c r="GDW9" i="7"/>
  <c r="GDV9" i="7"/>
  <c r="GDU9" i="7"/>
  <c r="GDT9" i="7"/>
  <c r="GDS9" i="7"/>
  <c r="GDR9" i="7"/>
  <c r="GDQ9" i="7"/>
  <c r="GDP9" i="7"/>
  <c r="GDO9" i="7"/>
  <c r="GDN9" i="7"/>
  <c r="GDM9" i="7"/>
  <c r="GDL9" i="7"/>
  <c r="GDK9" i="7"/>
  <c r="GDJ9" i="7"/>
  <c r="GDI9" i="7"/>
  <c r="GDH9" i="7"/>
  <c r="GDG9" i="7"/>
  <c r="GDF9" i="7"/>
  <c r="GDE9" i="7"/>
  <c r="GDD9" i="7"/>
  <c r="GDC9" i="7"/>
  <c r="GDB9" i="7"/>
  <c r="GDA9" i="7"/>
  <c r="GCZ9" i="7"/>
  <c r="GCY9" i="7"/>
  <c r="GCX9" i="7"/>
  <c r="GCW9" i="7"/>
  <c r="GCV9" i="7"/>
  <c r="GCU9" i="7"/>
  <c r="GCT9" i="7"/>
  <c r="GCS9" i="7"/>
  <c r="GCR9" i="7"/>
  <c r="GCQ9" i="7"/>
  <c r="GCP9" i="7"/>
  <c r="GCO9" i="7"/>
  <c r="GCN9" i="7"/>
  <c r="GCM9" i="7"/>
  <c r="GCL9" i="7"/>
  <c r="GCK9" i="7"/>
  <c r="GCJ9" i="7"/>
  <c r="GCI9" i="7"/>
  <c r="GCH9" i="7"/>
  <c r="GCG9" i="7"/>
  <c r="GCF9" i="7"/>
  <c r="GCE9" i="7"/>
  <c r="GCD9" i="7"/>
  <c r="GCC9" i="7"/>
  <c r="GCB9" i="7"/>
  <c r="GCA9" i="7"/>
  <c r="GBZ9" i="7"/>
  <c r="GBY9" i="7"/>
  <c r="GBX9" i="7"/>
  <c r="GBW9" i="7"/>
  <c r="GBV9" i="7"/>
  <c r="GBU9" i="7"/>
  <c r="GBT9" i="7"/>
  <c r="GBS9" i="7"/>
  <c r="GBR9" i="7"/>
  <c r="GBQ9" i="7"/>
  <c r="GBP9" i="7"/>
  <c r="GBO9" i="7"/>
  <c r="GBN9" i="7"/>
  <c r="GBM9" i="7"/>
  <c r="GBL9" i="7"/>
  <c r="GBK9" i="7"/>
  <c r="GBJ9" i="7"/>
  <c r="GBI9" i="7"/>
  <c r="GBH9" i="7"/>
  <c r="GBG9" i="7"/>
  <c r="GBF9" i="7"/>
  <c r="GBE9" i="7"/>
  <c r="GBD9" i="7"/>
  <c r="GBC9" i="7"/>
  <c r="GBB9" i="7"/>
  <c r="GBA9" i="7"/>
  <c r="GAZ9" i="7"/>
  <c r="GAY9" i="7"/>
  <c r="GAX9" i="7"/>
  <c r="GAW9" i="7"/>
  <c r="GAV9" i="7"/>
  <c r="GAU9" i="7"/>
  <c r="GAT9" i="7"/>
  <c r="GAS9" i="7"/>
  <c r="GAR9" i="7"/>
  <c r="GAQ9" i="7"/>
  <c r="GAP9" i="7"/>
  <c r="GAO9" i="7"/>
  <c r="GAN9" i="7"/>
  <c r="GAM9" i="7"/>
  <c r="GAL9" i="7"/>
  <c r="GAK9" i="7"/>
  <c r="GAJ9" i="7"/>
  <c r="GAI9" i="7"/>
  <c r="GAH9" i="7"/>
  <c r="GAG9" i="7"/>
  <c r="GAF9" i="7"/>
  <c r="GAE9" i="7"/>
  <c r="GAD9" i="7"/>
  <c r="GAC9" i="7"/>
  <c r="GAB9" i="7"/>
  <c r="GAA9" i="7"/>
  <c r="FZZ9" i="7"/>
  <c r="FZY9" i="7"/>
  <c r="FZX9" i="7"/>
  <c r="FZW9" i="7"/>
  <c r="FZV9" i="7"/>
  <c r="FZU9" i="7"/>
  <c r="FZT9" i="7"/>
  <c r="FZS9" i="7"/>
  <c r="FZR9" i="7"/>
  <c r="FZQ9" i="7"/>
  <c r="FZP9" i="7"/>
  <c r="FZO9" i="7"/>
  <c r="FZN9" i="7"/>
  <c r="FZM9" i="7"/>
  <c r="FZL9" i="7"/>
  <c r="FZK9" i="7"/>
  <c r="FZJ9" i="7"/>
  <c r="FZI9" i="7"/>
  <c r="FZH9" i="7"/>
  <c r="FZG9" i="7"/>
  <c r="FZF9" i="7"/>
  <c r="FZE9" i="7"/>
  <c r="FZD9" i="7"/>
  <c r="FZC9" i="7"/>
  <c r="FZB9" i="7"/>
  <c r="FZA9" i="7"/>
  <c r="FYZ9" i="7"/>
  <c r="FYY9" i="7"/>
  <c r="FYX9" i="7"/>
  <c r="FYW9" i="7"/>
  <c r="FYV9" i="7"/>
  <c r="FYU9" i="7"/>
  <c r="FYT9" i="7"/>
  <c r="FYS9" i="7"/>
  <c r="FYR9" i="7"/>
  <c r="FYQ9" i="7"/>
  <c r="FYP9" i="7"/>
  <c r="FYO9" i="7"/>
  <c r="FYN9" i="7"/>
  <c r="FYM9" i="7"/>
  <c r="FYL9" i="7"/>
  <c r="FYK9" i="7"/>
  <c r="FYJ9" i="7"/>
  <c r="FYI9" i="7"/>
  <c r="FYH9" i="7"/>
  <c r="FYG9" i="7"/>
  <c r="FYF9" i="7"/>
  <c r="FYE9" i="7"/>
  <c r="FYD9" i="7"/>
  <c r="FYC9" i="7"/>
  <c r="FYB9" i="7"/>
  <c r="FYA9" i="7"/>
  <c r="FXZ9" i="7"/>
  <c r="FXY9" i="7"/>
  <c r="FXX9" i="7"/>
  <c r="FXW9" i="7"/>
  <c r="FXV9" i="7"/>
  <c r="FXU9" i="7"/>
  <c r="FXT9" i="7"/>
  <c r="FXS9" i="7"/>
  <c r="FXR9" i="7"/>
  <c r="FXQ9" i="7"/>
  <c r="FXP9" i="7"/>
  <c r="FXO9" i="7"/>
  <c r="FXN9" i="7"/>
  <c r="FXM9" i="7"/>
  <c r="FXL9" i="7"/>
  <c r="FXK9" i="7"/>
  <c r="FXJ9" i="7"/>
  <c r="FXI9" i="7"/>
  <c r="FXH9" i="7"/>
  <c r="FXG9" i="7"/>
  <c r="FXF9" i="7"/>
  <c r="FXE9" i="7"/>
  <c r="FXD9" i="7"/>
  <c r="FXC9" i="7"/>
  <c r="FXB9" i="7"/>
  <c r="FXA9" i="7"/>
  <c r="FWZ9" i="7"/>
  <c r="FWY9" i="7"/>
  <c r="FWX9" i="7"/>
  <c r="FWW9" i="7"/>
  <c r="FWV9" i="7"/>
  <c r="FWU9" i="7"/>
  <c r="FWT9" i="7"/>
  <c r="FWS9" i="7"/>
  <c r="FWR9" i="7"/>
  <c r="FWQ9" i="7"/>
  <c r="FWP9" i="7"/>
  <c r="FWO9" i="7"/>
  <c r="FWN9" i="7"/>
  <c r="FWM9" i="7"/>
  <c r="FWL9" i="7"/>
  <c r="FWK9" i="7"/>
  <c r="FWJ9" i="7"/>
  <c r="FWI9" i="7"/>
  <c r="FWH9" i="7"/>
  <c r="FWG9" i="7"/>
  <c r="FWF9" i="7"/>
  <c r="FWE9" i="7"/>
  <c r="FWD9" i="7"/>
  <c r="FWC9" i="7"/>
  <c r="FWB9" i="7"/>
  <c r="FWA9" i="7"/>
  <c r="FVZ9" i="7"/>
  <c r="FVY9" i="7"/>
  <c r="FVX9" i="7"/>
  <c r="FVW9" i="7"/>
  <c r="FVV9" i="7"/>
  <c r="FVU9" i="7"/>
  <c r="FVT9" i="7"/>
  <c r="FVS9" i="7"/>
  <c r="FVR9" i="7"/>
  <c r="FVQ9" i="7"/>
  <c r="FVP9" i="7"/>
  <c r="FVO9" i="7"/>
  <c r="FVN9" i="7"/>
  <c r="FVM9" i="7"/>
  <c r="FVL9" i="7"/>
  <c r="FVK9" i="7"/>
  <c r="FVJ9" i="7"/>
  <c r="FVI9" i="7"/>
  <c r="FVH9" i="7"/>
  <c r="FVG9" i="7"/>
  <c r="FVF9" i="7"/>
  <c r="FVE9" i="7"/>
  <c r="FVD9" i="7"/>
  <c r="FVC9" i="7"/>
  <c r="FVB9" i="7"/>
  <c r="FVA9" i="7"/>
  <c r="FUZ9" i="7"/>
  <c r="FUY9" i="7"/>
  <c r="FUX9" i="7"/>
  <c r="FUW9" i="7"/>
  <c r="FUV9" i="7"/>
  <c r="FUU9" i="7"/>
  <c r="FUT9" i="7"/>
  <c r="FUS9" i="7"/>
  <c r="FUR9" i="7"/>
  <c r="FUQ9" i="7"/>
  <c r="FUP9" i="7"/>
  <c r="FUO9" i="7"/>
  <c r="FUN9" i="7"/>
  <c r="FUM9" i="7"/>
  <c r="FUL9" i="7"/>
  <c r="FUK9" i="7"/>
  <c r="FUJ9" i="7"/>
  <c r="FUI9" i="7"/>
  <c r="FUH9" i="7"/>
  <c r="FUG9" i="7"/>
  <c r="FUF9" i="7"/>
  <c r="FUE9" i="7"/>
  <c r="FUD9" i="7"/>
  <c r="FUC9" i="7"/>
  <c r="FUB9" i="7"/>
  <c r="FUA9" i="7"/>
  <c r="FTZ9" i="7"/>
  <c r="FTY9" i="7"/>
  <c r="FTX9" i="7"/>
  <c r="FTW9" i="7"/>
  <c r="FTV9" i="7"/>
  <c r="FTU9" i="7"/>
  <c r="FTT9" i="7"/>
  <c r="FTS9" i="7"/>
  <c r="FTR9" i="7"/>
  <c r="FTQ9" i="7"/>
  <c r="FTP9" i="7"/>
  <c r="FTO9" i="7"/>
  <c r="FTN9" i="7"/>
  <c r="FTM9" i="7"/>
  <c r="FTL9" i="7"/>
  <c r="FTK9" i="7"/>
  <c r="FTJ9" i="7"/>
  <c r="FTI9" i="7"/>
  <c r="FTH9" i="7"/>
  <c r="FTG9" i="7"/>
  <c r="FTF9" i="7"/>
  <c r="FTE9" i="7"/>
  <c r="FTD9" i="7"/>
  <c r="FTC9" i="7"/>
  <c r="FTB9" i="7"/>
  <c r="FTA9" i="7"/>
  <c r="FSZ9" i="7"/>
  <c r="FSY9" i="7"/>
  <c r="FSX9" i="7"/>
  <c r="FSW9" i="7"/>
  <c r="FSV9" i="7"/>
  <c r="FSU9" i="7"/>
  <c r="FST9" i="7"/>
  <c r="FSS9" i="7"/>
  <c r="FSR9" i="7"/>
  <c r="FSQ9" i="7"/>
  <c r="FSP9" i="7"/>
  <c r="FSO9" i="7"/>
  <c r="FSN9" i="7"/>
  <c r="FSM9" i="7"/>
  <c r="FSL9" i="7"/>
  <c r="FSK9" i="7"/>
  <c r="FSJ9" i="7"/>
  <c r="FSI9" i="7"/>
  <c r="FSH9" i="7"/>
  <c r="FSG9" i="7"/>
  <c r="FSF9" i="7"/>
  <c r="FSE9" i="7"/>
  <c r="FSD9" i="7"/>
  <c r="FSC9" i="7"/>
  <c r="FSB9" i="7"/>
  <c r="FSA9" i="7"/>
  <c r="FRZ9" i="7"/>
  <c r="FRY9" i="7"/>
  <c r="FRX9" i="7"/>
  <c r="FRW9" i="7"/>
  <c r="FRV9" i="7"/>
  <c r="FRU9" i="7"/>
  <c r="FRT9" i="7"/>
  <c r="FRS9" i="7"/>
  <c r="FRR9" i="7"/>
  <c r="FRQ9" i="7"/>
  <c r="FRP9" i="7"/>
  <c r="FRO9" i="7"/>
  <c r="FRN9" i="7"/>
  <c r="FRM9" i="7"/>
  <c r="FRL9" i="7"/>
  <c r="FRK9" i="7"/>
  <c r="FRJ9" i="7"/>
  <c r="FRI9" i="7"/>
  <c r="FRH9" i="7"/>
  <c r="FRG9" i="7"/>
  <c r="FRF9" i="7"/>
  <c r="FRE9" i="7"/>
  <c r="FRD9" i="7"/>
  <c r="FRC9" i="7"/>
  <c r="FRB9" i="7"/>
  <c r="FRA9" i="7"/>
  <c r="FQZ9" i="7"/>
  <c r="FQY9" i="7"/>
  <c r="FQX9" i="7"/>
  <c r="FQW9" i="7"/>
  <c r="FQV9" i="7"/>
  <c r="FQU9" i="7"/>
  <c r="FQT9" i="7"/>
  <c r="FQS9" i="7"/>
  <c r="FQR9" i="7"/>
  <c r="FQQ9" i="7"/>
  <c r="FQP9" i="7"/>
  <c r="FQO9" i="7"/>
  <c r="FQN9" i="7"/>
  <c r="FQM9" i="7"/>
  <c r="FQL9" i="7"/>
  <c r="FQK9" i="7"/>
  <c r="FQJ9" i="7"/>
  <c r="FQI9" i="7"/>
  <c r="FQH9" i="7"/>
  <c r="FQG9" i="7"/>
  <c r="FQF9" i="7"/>
  <c r="FQE9" i="7"/>
  <c r="FQD9" i="7"/>
  <c r="FQC9" i="7"/>
  <c r="FQB9" i="7"/>
  <c r="FQA9" i="7"/>
  <c r="FPZ9" i="7"/>
  <c r="FPY9" i="7"/>
  <c r="FPX9" i="7"/>
  <c r="FPW9" i="7"/>
  <c r="FPV9" i="7"/>
  <c r="FPU9" i="7"/>
  <c r="FPT9" i="7"/>
  <c r="FPS9" i="7"/>
  <c r="FPR9" i="7"/>
  <c r="FPQ9" i="7"/>
  <c r="FPP9" i="7"/>
  <c r="FPO9" i="7"/>
  <c r="FPN9" i="7"/>
  <c r="FPM9" i="7"/>
  <c r="FPL9" i="7"/>
  <c r="FPK9" i="7"/>
  <c r="FPJ9" i="7"/>
  <c r="FPI9" i="7"/>
  <c r="FPH9" i="7"/>
  <c r="FPG9" i="7"/>
  <c r="FPF9" i="7"/>
  <c r="FPE9" i="7"/>
  <c r="FPD9" i="7"/>
  <c r="FPC9" i="7"/>
  <c r="FPB9" i="7"/>
  <c r="FPA9" i="7"/>
  <c r="FOZ9" i="7"/>
  <c r="FOY9" i="7"/>
  <c r="FOX9" i="7"/>
  <c r="FOW9" i="7"/>
  <c r="FOV9" i="7"/>
  <c r="FOU9" i="7"/>
  <c r="FOT9" i="7"/>
  <c r="FOS9" i="7"/>
  <c r="FOR9" i="7"/>
  <c r="FOQ9" i="7"/>
  <c r="FOP9" i="7"/>
  <c r="FOO9" i="7"/>
  <c r="FON9" i="7"/>
  <c r="FOM9" i="7"/>
  <c r="FOL9" i="7"/>
  <c r="FOK9" i="7"/>
  <c r="FOJ9" i="7"/>
  <c r="FOI9" i="7"/>
  <c r="FOH9" i="7"/>
  <c r="FOG9" i="7"/>
  <c r="FOF9" i="7"/>
  <c r="FOE9" i="7"/>
  <c r="FOD9" i="7"/>
  <c r="FOC9" i="7"/>
  <c r="FOB9" i="7"/>
  <c r="FOA9" i="7"/>
  <c r="FNZ9" i="7"/>
  <c r="FNY9" i="7"/>
  <c r="FNX9" i="7"/>
  <c r="FNW9" i="7"/>
  <c r="FNV9" i="7"/>
  <c r="FNU9" i="7"/>
  <c r="FNT9" i="7"/>
  <c r="FNS9" i="7"/>
  <c r="FNR9" i="7"/>
  <c r="FNQ9" i="7"/>
  <c r="FNP9" i="7"/>
  <c r="FNO9" i="7"/>
  <c r="FNN9" i="7"/>
  <c r="FNM9" i="7"/>
  <c r="FNL9" i="7"/>
  <c r="FNK9" i="7"/>
  <c r="FNJ9" i="7"/>
  <c r="FNI9" i="7"/>
  <c r="FNH9" i="7"/>
  <c r="FNG9" i="7"/>
  <c r="FNF9" i="7"/>
  <c r="FNE9" i="7"/>
  <c r="FND9" i="7"/>
  <c r="FNC9" i="7"/>
  <c r="FNB9" i="7"/>
  <c r="FNA9" i="7"/>
  <c r="FMZ9" i="7"/>
  <c r="FMY9" i="7"/>
  <c r="FMX9" i="7"/>
  <c r="FMW9" i="7"/>
  <c r="FMV9" i="7"/>
  <c r="FMU9" i="7"/>
  <c r="FMT9" i="7"/>
  <c r="FMS9" i="7"/>
  <c r="FMR9" i="7"/>
  <c r="FMQ9" i="7"/>
  <c r="FMP9" i="7"/>
  <c r="FMO9" i="7"/>
  <c r="FMN9" i="7"/>
  <c r="FMM9" i="7"/>
  <c r="FML9" i="7"/>
  <c r="FMK9" i="7"/>
  <c r="FMJ9" i="7"/>
  <c r="FMI9" i="7"/>
  <c r="FMH9" i="7"/>
  <c r="FMG9" i="7"/>
  <c r="FMF9" i="7"/>
  <c r="FME9" i="7"/>
  <c r="FMD9" i="7"/>
  <c r="FMC9" i="7"/>
  <c r="FMB9" i="7"/>
  <c r="FMA9" i="7"/>
  <c r="FLZ9" i="7"/>
  <c r="FLY9" i="7"/>
  <c r="FLX9" i="7"/>
  <c r="FLW9" i="7"/>
  <c r="FLV9" i="7"/>
  <c r="FLU9" i="7"/>
  <c r="FLT9" i="7"/>
  <c r="FLS9" i="7"/>
  <c r="FLR9" i="7"/>
  <c r="FLQ9" i="7"/>
  <c r="FLP9" i="7"/>
  <c r="FLO9" i="7"/>
  <c r="FLN9" i="7"/>
  <c r="FLM9" i="7"/>
  <c r="FLL9" i="7"/>
  <c r="FLK9" i="7"/>
  <c r="FLJ9" i="7"/>
  <c r="FLI9" i="7"/>
  <c r="FLH9" i="7"/>
  <c r="FLG9" i="7"/>
  <c r="FLF9" i="7"/>
  <c r="FLE9" i="7"/>
  <c r="FLD9" i="7"/>
  <c r="FLC9" i="7"/>
  <c r="FLB9" i="7"/>
  <c r="FLA9" i="7"/>
  <c r="FKZ9" i="7"/>
  <c r="FKY9" i="7"/>
  <c r="FKX9" i="7"/>
  <c r="FKW9" i="7"/>
  <c r="FKV9" i="7"/>
  <c r="FKU9" i="7"/>
  <c r="FKT9" i="7"/>
  <c r="FKS9" i="7"/>
  <c r="FKR9" i="7"/>
  <c r="FKQ9" i="7"/>
  <c r="FKP9" i="7"/>
  <c r="FKO9" i="7"/>
  <c r="FKN9" i="7"/>
  <c r="FKM9" i="7"/>
  <c r="FKL9" i="7"/>
  <c r="FKK9" i="7"/>
  <c r="FKJ9" i="7"/>
  <c r="FKI9" i="7"/>
  <c r="FKH9" i="7"/>
  <c r="FKG9" i="7"/>
  <c r="FKF9" i="7"/>
  <c r="FKE9" i="7"/>
  <c r="FKD9" i="7"/>
  <c r="FKC9" i="7"/>
  <c r="FKB9" i="7"/>
  <c r="FKA9" i="7"/>
  <c r="FJZ9" i="7"/>
  <c r="FJY9" i="7"/>
  <c r="FJX9" i="7"/>
  <c r="FJW9" i="7"/>
  <c r="FJV9" i="7"/>
  <c r="FJU9" i="7"/>
  <c r="FJT9" i="7"/>
  <c r="FJS9" i="7"/>
  <c r="FJR9" i="7"/>
  <c r="FJQ9" i="7"/>
  <c r="FJP9" i="7"/>
  <c r="FJO9" i="7"/>
  <c r="FJN9" i="7"/>
  <c r="FJM9" i="7"/>
  <c r="FJL9" i="7"/>
  <c r="FJK9" i="7"/>
  <c r="FJJ9" i="7"/>
  <c r="FJI9" i="7"/>
  <c r="FJH9" i="7"/>
  <c r="FJG9" i="7"/>
  <c r="FJF9" i="7"/>
  <c r="FJE9" i="7"/>
  <c r="FJD9" i="7"/>
  <c r="FJC9" i="7"/>
  <c r="FJB9" i="7"/>
  <c r="FJA9" i="7"/>
  <c r="FIZ9" i="7"/>
  <c r="FIY9" i="7"/>
  <c r="FIX9" i="7"/>
  <c r="FIW9" i="7"/>
  <c r="FIV9" i="7"/>
  <c r="FIU9" i="7"/>
  <c r="FIT9" i="7"/>
  <c r="FIS9" i="7"/>
  <c r="FIR9" i="7"/>
  <c r="FIQ9" i="7"/>
  <c r="FIP9" i="7"/>
  <c r="FIO9" i="7"/>
  <c r="FIN9" i="7"/>
  <c r="FIM9" i="7"/>
  <c r="FIL9" i="7"/>
  <c r="FIK9" i="7"/>
  <c r="FIJ9" i="7"/>
  <c r="FII9" i="7"/>
  <c r="FIH9" i="7"/>
  <c r="FIG9" i="7"/>
  <c r="FIF9" i="7"/>
  <c r="FIE9" i="7"/>
  <c r="FID9" i="7"/>
  <c r="FIC9" i="7"/>
  <c r="FIB9" i="7"/>
  <c r="FIA9" i="7"/>
  <c r="FHZ9" i="7"/>
  <c r="FHY9" i="7"/>
  <c r="FHX9" i="7"/>
  <c r="FHW9" i="7"/>
  <c r="FHV9" i="7"/>
  <c r="FHU9" i="7"/>
  <c r="FHT9" i="7"/>
  <c r="FHS9" i="7"/>
  <c r="FHR9" i="7"/>
  <c r="FHQ9" i="7"/>
  <c r="FHP9" i="7"/>
  <c r="FHO9" i="7"/>
  <c r="FHN9" i="7"/>
  <c r="FHM9" i="7"/>
  <c r="FHL9" i="7"/>
  <c r="FHK9" i="7"/>
  <c r="FHJ9" i="7"/>
  <c r="FHI9" i="7"/>
  <c r="FHH9" i="7"/>
  <c r="FHG9" i="7"/>
  <c r="FHF9" i="7"/>
  <c r="FHE9" i="7"/>
  <c r="FHD9" i="7"/>
  <c r="FHC9" i="7"/>
  <c r="FHB9" i="7"/>
  <c r="FHA9" i="7"/>
  <c r="FGZ9" i="7"/>
  <c r="FGY9" i="7"/>
  <c r="FGX9" i="7"/>
  <c r="FGW9" i="7"/>
  <c r="FGV9" i="7"/>
  <c r="FGU9" i="7"/>
  <c r="FGT9" i="7"/>
  <c r="FGS9" i="7"/>
  <c r="FGR9" i="7"/>
  <c r="FGQ9" i="7"/>
  <c r="FGP9" i="7"/>
  <c r="FGO9" i="7"/>
  <c r="FGN9" i="7"/>
  <c r="FGM9" i="7"/>
  <c r="FGL9" i="7"/>
  <c r="FGK9" i="7"/>
  <c r="FGJ9" i="7"/>
  <c r="FGI9" i="7"/>
  <c r="FGH9" i="7"/>
  <c r="FGG9" i="7"/>
  <c r="FGF9" i="7"/>
  <c r="FGE9" i="7"/>
  <c r="FGD9" i="7"/>
  <c r="FGC9" i="7"/>
  <c r="FGB9" i="7"/>
  <c r="FGA9" i="7"/>
  <c r="FFZ9" i="7"/>
  <c r="FFY9" i="7"/>
  <c r="FFX9" i="7"/>
  <c r="FFW9" i="7"/>
  <c r="FFV9" i="7"/>
  <c r="FFU9" i="7"/>
  <c r="FFT9" i="7"/>
  <c r="FFS9" i="7"/>
  <c r="FFR9" i="7"/>
  <c r="FFQ9" i="7"/>
  <c r="FFP9" i="7"/>
  <c r="FFO9" i="7"/>
  <c r="FFN9" i="7"/>
  <c r="FFM9" i="7"/>
  <c r="FFL9" i="7"/>
  <c r="FFK9" i="7"/>
  <c r="FFJ9" i="7"/>
  <c r="FFI9" i="7"/>
  <c r="FFH9" i="7"/>
  <c r="FFG9" i="7"/>
  <c r="FFF9" i="7"/>
  <c r="FFE9" i="7"/>
  <c r="FFD9" i="7"/>
  <c r="FFC9" i="7"/>
  <c r="FFB9" i="7"/>
  <c r="FFA9" i="7"/>
  <c r="FEZ9" i="7"/>
  <c r="FEY9" i="7"/>
  <c r="FEX9" i="7"/>
  <c r="FEW9" i="7"/>
  <c r="FEV9" i="7"/>
  <c r="FEU9" i="7"/>
  <c r="FET9" i="7"/>
  <c r="FES9" i="7"/>
  <c r="FER9" i="7"/>
  <c r="FEQ9" i="7"/>
  <c r="FEP9" i="7"/>
  <c r="FEO9" i="7"/>
  <c r="FEN9" i="7"/>
  <c r="FEM9" i="7"/>
  <c r="FEL9" i="7"/>
  <c r="FEK9" i="7"/>
  <c r="FEJ9" i="7"/>
  <c r="FEI9" i="7"/>
  <c r="FEH9" i="7"/>
  <c r="FEG9" i="7"/>
  <c r="FEF9" i="7"/>
  <c r="FEE9" i="7"/>
  <c r="FED9" i="7"/>
  <c r="FEC9" i="7"/>
  <c r="FEB9" i="7"/>
  <c r="FEA9" i="7"/>
  <c r="FDZ9" i="7"/>
  <c r="FDY9" i="7"/>
  <c r="FDX9" i="7"/>
  <c r="FDW9" i="7"/>
  <c r="FDV9" i="7"/>
  <c r="FDU9" i="7"/>
  <c r="FDT9" i="7"/>
  <c r="FDS9" i="7"/>
  <c r="FDR9" i="7"/>
  <c r="FDQ9" i="7"/>
  <c r="FDP9" i="7"/>
  <c r="FDO9" i="7"/>
  <c r="FDN9" i="7"/>
  <c r="FDM9" i="7"/>
  <c r="FDL9" i="7"/>
  <c r="FDK9" i="7"/>
  <c r="FDJ9" i="7"/>
  <c r="FDI9" i="7"/>
  <c r="FDH9" i="7"/>
  <c r="FDG9" i="7"/>
  <c r="FDF9" i="7"/>
  <c r="FDE9" i="7"/>
  <c r="FDD9" i="7"/>
  <c r="FDC9" i="7"/>
  <c r="FDB9" i="7"/>
  <c r="FDA9" i="7"/>
  <c r="FCZ9" i="7"/>
  <c r="FCY9" i="7"/>
  <c r="FCX9" i="7"/>
  <c r="FCW9" i="7"/>
  <c r="FCV9" i="7"/>
  <c r="FCU9" i="7"/>
  <c r="FCT9" i="7"/>
  <c r="FCS9" i="7"/>
  <c r="FCR9" i="7"/>
  <c r="FCQ9" i="7"/>
  <c r="FCP9" i="7"/>
  <c r="FCO9" i="7"/>
  <c r="FCN9" i="7"/>
  <c r="FCM9" i="7"/>
  <c r="FCL9" i="7"/>
  <c r="FCK9" i="7"/>
  <c r="FCJ9" i="7"/>
  <c r="FCI9" i="7"/>
  <c r="FCH9" i="7"/>
  <c r="FCG9" i="7"/>
  <c r="FCF9" i="7"/>
  <c r="FCE9" i="7"/>
  <c r="FCD9" i="7"/>
  <c r="FCC9" i="7"/>
  <c r="FCB9" i="7"/>
  <c r="FCA9" i="7"/>
  <c r="FBZ9" i="7"/>
  <c r="FBY9" i="7"/>
  <c r="FBX9" i="7"/>
  <c r="FBW9" i="7"/>
  <c r="FBV9" i="7"/>
  <c r="FBU9" i="7"/>
  <c r="FBT9" i="7"/>
  <c r="FBS9" i="7"/>
  <c r="FBR9" i="7"/>
  <c r="FBQ9" i="7"/>
  <c r="FBP9" i="7"/>
  <c r="FBO9" i="7"/>
  <c r="FBN9" i="7"/>
  <c r="FBM9" i="7"/>
  <c r="FBL9" i="7"/>
  <c r="FBK9" i="7"/>
  <c r="FBJ9" i="7"/>
  <c r="FBI9" i="7"/>
  <c r="FBH9" i="7"/>
  <c r="FBG9" i="7"/>
  <c r="FBF9" i="7"/>
  <c r="FBE9" i="7"/>
  <c r="FBD9" i="7"/>
  <c r="FBC9" i="7"/>
  <c r="FBB9" i="7"/>
  <c r="FBA9" i="7"/>
  <c r="FAZ9" i="7"/>
  <c r="FAY9" i="7"/>
  <c r="FAX9" i="7"/>
  <c r="FAW9" i="7"/>
  <c r="FAV9" i="7"/>
  <c r="FAU9" i="7"/>
  <c r="FAT9" i="7"/>
  <c r="FAS9" i="7"/>
  <c r="FAR9" i="7"/>
  <c r="FAQ9" i="7"/>
  <c r="FAP9" i="7"/>
  <c r="FAO9" i="7"/>
  <c r="FAN9" i="7"/>
  <c r="FAM9" i="7"/>
  <c r="FAL9" i="7"/>
  <c r="FAK9" i="7"/>
  <c r="FAJ9" i="7"/>
  <c r="FAI9" i="7"/>
  <c r="FAH9" i="7"/>
  <c r="FAG9" i="7"/>
  <c r="FAF9" i="7"/>
  <c r="FAE9" i="7"/>
  <c r="FAD9" i="7"/>
  <c r="FAC9" i="7"/>
  <c r="FAB9" i="7"/>
  <c r="FAA9" i="7"/>
  <c r="EZZ9" i="7"/>
  <c r="EZY9" i="7"/>
  <c r="EZX9" i="7"/>
  <c r="EZW9" i="7"/>
  <c r="EZV9" i="7"/>
  <c r="EZU9" i="7"/>
  <c r="EZT9" i="7"/>
  <c r="EZS9" i="7"/>
  <c r="EZR9" i="7"/>
  <c r="EZQ9" i="7"/>
  <c r="EZP9" i="7"/>
  <c r="EZO9" i="7"/>
  <c r="EZN9" i="7"/>
  <c r="EZM9" i="7"/>
  <c r="EZL9" i="7"/>
  <c r="EZK9" i="7"/>
  <c r="EZJ9" i="7"/>
  <c r="EZI9" i="7"/>
  <c r="EZH9" i="7"/>
  <c r="EZG9" i="7"/>
  <c r="EZF9" i="7"/>
  <c r="EZE9" i="7"/>
  <c r="EZD9" i="7"/>
  <c r="EZC9" i="7"/>
  <c r="EZB9" i="7"/>
  <c r="EZA9" i="7"/>
  <c r="EYZ9" i="7"/>
  <c r="EYY9" i="7"/>
  <c r="EYX9" i="7"/>
  <c r="EYW9" i="7"/>
  <c r="EYV9" i="7"/>
  <c r="EYU9" i="7"/>
  <c r="EYT9" i="7"/>
  <c r="EYS9" i="7"/>
  <c r="EYR9" i="7"/>
  <c r="EYQ9" i="7"/>
  <c r="EYP9" i="7"/>
  <c r="EYO9" i="7"/>
  <c r="EYN9" i="7"/>
  <c r="EYM9" i="7"/>
  <c r="EYL9" i="7"/>
  <c r="EYK9" i="7"/>
  <c r="EYJ9" i="7"/>
  <c r="EYI9" i="7"/>
  <c r="EYH9" i="7"/>
  <c r="EYG9" i="7"/>
  <c r="EYF9" i="7"/>
  <c r="EYE9" i="7"/>
  <c r="EYD9" i="7"/>
  <c r="EYC9" i="7"/>
  <c r="EYB9" i="7"/>
  <c r="EYA9" i="7"/>
  <c r="EXZ9" i="7"/>
  <c r="EXY9" i="7"/>
  <c r="EXX9" i="7"/>
  <c r="EXW9" i="7"/>
  <c r="EXV9" i="7"/>
  <c r="EXU9" i="7"/>
  <c r="EXT9" i="7"/>
  <c r="EXS9" i="7"/>
  <c r="EXR9" i="7"/>
  <c r="EXQ9" i="7"/>
  <c r="EXP9" i="7"/>
  <c r="EXO9" i="7"/>
  <c r="EXN9" i="7"/>
  <c r="EXM9" i="7"/>
  <c r="EXL9" i="7"/>
  <c r="EXK9" i="7"/>
  <c r="EXJ9" i="7"/>
  <c r="EXI9" i="7"/>
  <c r="EXH9" i="7"/>
  <c r="EXG9" i="7"/>
  <c r="EXF9" i="7"/>
  <c r="EXE9" i="7"/>
  <c r="EXD9" i="7"/>
  <c r="EXC9" i="7"/>
  <c r="EXB9" i="7"/>
  <c r="EXA9" i="7"/>
  <c r="EWZ9" i="7"/>
  <c r="EWY9" i="7"/>
  <c r="EWX9" i="7"/>
  <c r="EWW9" i="7"/>
  <c r="EWV9" i="7"/>
  <c r="EWU9" i="7"/>
  <c r="EWT9" i="7"/>
  <c r="EWS9" i="7"/>
  <c r="EWR9" i="7"/>
  <c r="EWQ9" i="7"/>
  <c r="EWP9" i="7"/>
  <c r="EWO9" i="7"/>
  <c r="EWN9" i="7"/>
  <c r="EWM9" i="7"/>
  <c r="EWL9" i="7"/>
  <c r="EWK9" i="7"/>
  <c r="EWJ9" i="7"/>
  <c r="EWI9" i="7"/>
  <c r="EWH9" i="7"/>
  <c r="EWG9" i="7"/>
  <c r="EWF9" i="7"/>
  <c r="EWE9" i="7"/>
  <c r="EWD9" i="7"/>
  <c r="EWC9" i="7"/>
  <c r="EWB9" i="7"/>
  <c r="EWA9" i="7"/>
  <c r="EVZ9" i="7"/>
  <c r="EVY9" i="7"/>
  <c r="EVX9" i="7"/>
  <c r="EVW9" i="7"/>
  <c r="EVV9" i="7"/>
  <c r="EVU9" i="7"/>
  <c r="EVT9" i="7"/>
  <c r="EVS9" i="7"/>
  <c r="EVR9" i="7"/>
  <c r="EVQ9" i="7"/>
  <c r="EVP9" i="7"/>
  <c r="EVO9" i="7"/>
  <c r="EVN9" i="7"/>
  <c r="EVM9" i="7"/>
  <c r="EVL9" i="7"/>
  <c r="EVK9" i="7"/>
  <c r="EVJ9" i="7"/>
  <c r="EVI9" i="7"/>
  <c r="EVH9" i="7"/>
  <c r="EVG9" i="7"/>
  <c r="EVF9" i="7"/>
  <c r="EVE9" i="7"/>
  <c r="EVD9" i="7"/>
  <c r="EVC9" i="7"/>
  <c r="EVB9" i="7"/>
  <c r="EVA9" i="7"/>
  <c r="EUZ9" i="7"/>
  <c r="EUY9" i="7"/>
  <c r="EUX9" i="7"/>
  <c r="EUW9" i="7"/>
  <c r="EUV9" i="7"/>
  <c r="EUU9" i="7"/>
  <c r="EUT9" i="7"/>
  <c r="EUS9" i="7"/>
  <c r="EUR9" i="7"/>
  <c r="EUQ9" i="7"/>
  <c r="EUP9" i="7"/>
  <c r="EUO9" i="7"/>
  <c r="EUN9" i="7"/>
  <c r="EUM9" i="7"/>
  <c r="EUL9" i="7"/>
  <c r="EUK9" i="7"/>
  <c r="EUJ9" i="7"/>
  <c r="EUI9" i="7"/>
  <c r="EUH9" i="7"/>
  <c r="EUG9" i="7"/>
  <c r="EUF9" i="7"/>
  <c r="EUE9" i="7"/>
  <c r="EUD9" i="7"/>
  <c r="EUC9" i="7"/>
  <c r="EUB9" i="7"/>
  <c r="EUA9" i="7"/>
  <c r="ETZ9" i="7"/>
  <c r="ETY9" i="7"/>
  <c r="ETX9" i="7"/>
  <c r="ETW9" i="7"/>
  <c r="ETV9" i="7"/>
  <c r="ETU9" i="7"/>
  <c r="ETT9" i="7"/>
  <c r="ETS9" i="7"/>
  <c r="ETR9" i="7"/>
  <c r="ETQ9" i="7"/>
  <c r="ETP9" i="7"/>
  <c r="ETO9" i="7"/>
  <c r="ETN9" i="7"/>
  <c r="ETM9" i="7"/>
  <c r="ETL9" i="7"/>
  <c r="ETK9" i="7"/>
  <c r="ETJ9" i="7"/>
  <c r="ETI9" i="7"/>
  <c r="ETH9" i="7"/>
  <c r="ETG9" i="7"/>
  <c r="ETF9" i="7"/>
  <c r="ETE9" i="7"/>
  <c r="ETD9" i="7"/>
  <c r="ETC9" i="7"/>
  <c r="ETB9" i="7"/>
  <c r="ETA9" i="7"/>
  <c r="ESZ9" i="7"/>
  <c r="ESY9" i="7"/>
  <c r="ESX9" i="7"/>
  <c r="ESW9" i="7"/>
  <c r="ESV9" i="7"/>
  <c r="ESU9" i="7"/>
  <c r="EST9" i="7"/>
  <c r="ESS9" i="7"/>
  <c r="ESR9" i="7"/>
  <c r="ESQ9" i="7"/>
  <c r="ESP9" i="7"/>
  <c r="ESO9" i="7"/>
  <c r="ESN9" i="7"/>
  <c r="ESM9" i="7"/>
  <c r="ESL9" i="7"/>
  <c r="ESK9" i="7"/>
  <c r="ESJ9" i="7"/>
  <c r="ESI9" i="7"/>
  <c r="ESH9" i="7"/>
  <c r="ESG9" i="7"/>
  <c r="ESF9" i="7"/>
  <c r="ESE9" i="7"/>
  <c r="ESD9" i="7"/>
  <c r="ESC9" i="7"/>
  <c r="ESB9" i="7"/>
  <c r="ESA9" i="7"/>
  <c r="ERZ9" i="7"/>
  <c r="ERY9" i="7"/>
  <c r="ERX9" i="7"/>
  <c r="ERW9" i="7"/>
  <c r="ERV9" i="7"/>
  <c r="ERU9" i="7"/>
  <c r="ERT9" i="7"/>
  <c r="ERS9" i="7"/>
  <c r="ERR9" i="7"/>
  <c r="ERQ9" i="7"/>
  <c r="ERP9" i="7"/>
  <c r="ERO9" i="7"/>
  <c r="ERN9" i="7"/>
  <c r="ERM9" i="7"/>
  <c r="ERL9" i="7"/>
  <c r="ERK9" i="7"/>
  <c r="ERJ9" i="7"/>
  <c r="ERI9" i="7"/>
  <c r="ERH9" i="7"/>
  <c r="ERG9" i="7"/>
  <c r="ERF9" i="7"/>
  <c r="ERE9" i="7"/>
  <c r="ERD9" i="7"/>
  <c r="ERC9" i="7"/>
  <c r="ERB9" i="7"/>
  <c r="ERA9" i="7"/>
  <c r="EQZ9" i="7"/>
  <c r="EQY9" i="7"/>
  <c r="EQX9" i="7"/>
  <c r="EQW9" i="7"/>
  <c r="EQV9" i="7"/>
  <c r="EQU9" i="7"/>
  <c r="EQT9" i="7"/>
  <c r="EQS9" i="7"/>
  <c r="EQR9" i="7"/>
  <c r="EQQ9" i="7"/>
  <c r="EQP9" i="7"/>
  <c r="EQO9" i="7"/>
  <c r="EQN9" i="7"/>
  <c r="EQM9" i="7"/>
  <c r="EQL9" i="7"/>
  <c r="EQK9" i="7"/>
  <c r="EQJ9" i="7"/>
  <c r="EQI9" i="7"/>
  <c r="EQH9" i="7"/>
  <c r="EQG9" i="7"/>
  <c r="EQF9" i="7"/>
  <c r="EQE9" i="7"/>
  <c r="EQD9" i="7"/>
  <c r="EQC9" i="7"/>
  <c r="EQB9" i="7"/>
  <c r="EQA9" i="7"/>
  <c r="EPZ9" i="7"/>
  <c r="EPY9" i="7"/>
  <c r="EPX9" i="7"/>
  <c r="EPW9" i="7"/>
  <c r="EPV9" i="7"/>
  <c r="EPU9" i="7"/>
  <c r="EPT9" i="7"/>
  <c r="EPS9" i="7"/>
  <c r="EPR9" i="7"/>
  <c r="EPQ9" i="7"/>
  <c r="EPP9" i="7"/>
  <c r="EPO9" i="7"/>
  <c r="EPN9" i="7"/>
  <c r="EPM9" i="7"/>
  <c r="EPL9" i="7"/>
  <c r="EPK9" i="7"/>
  <c r="EPJ9" i="7"/>
  <c r="EPI9" i="7"/>
  <c r="EPH9" i="7"/>
  <c r="EPG9" i="7"/>
  <c r="EPF9" i="7"/>
  <c r="EPE9" i="7"/>
  <c r="EPD9" i="7"/>
  <c r="EPC9" i="7"/>
  <c r="EPB9" i="7"/>
  <c r="EPA9" i="7"/>
  <c r="EOZ9" i="7"/>
  <c r="EOY9" i="7"/>
  <c r="EOX9" i="7"/>
  <c r="EOW9" i="7"/>
  <c r="EOV9" i="7"/>
  <c r="EOU9" i="7"/>
  <c r="EOT9" i="7"/>
  <c r="EOS9" i="7"/>
  <c r="EOR9" i="7"/>
  <c r="EOQ9" i="7"/>
  <c r="EOP9" i="7"/>
  <c r="EOO9" i="7"/>
  <c r="EON9" i="7"/>
  <c r="EOM9" i="7"/>
  <c r="EOL9" i="7"/>
  <c r="EOK9" i="7"/>
  <c r="EOJ9" i="7"/>
  <c r="EOI9" i="7"/>
  <c r="EOH9" i="7"/>
  <c r="EOG9" i="7"/>
  <c r="EOF9" i="7"/>
  <c r="EOE9" i="7"/>
  <c r="EOD9" i="7"/>
  <c r="EOC9" i="7"/>
  <c r="EOB9" i="7"/>
  <c r="EOA9" i="7"/>
  <c r="ENZ9" i="7"/>
  <c r="ENY9" i="7"/>
  <c r="ENX9" i="7"/>
  <c r="ENW9" i="7"/>
  <c r="ENV9" i="7"/>
  <c r="ENU9" i="7"/>
  <c r="ENT9" i="7"/>
  <c r="ENS9" i="7"/>
  <c r="ENR9" i="7"/>
  <c r="ENQ9" i="7"/>
  <c r="ENP9" i="7"/>
  <c r="ENO9" i="7"/>
  <c r="ENN9" i="7"/>
  <c r="ENM9" i="7"/>
  <c r="ENL9" i="7"/>
  <c r="ENK9" i="7"/>
  <c r="ENJ9" i="7"/>
  <c r="ENI9" i="7"/>
  <c r="ENH9" i="7"/>
  <c r="ENG9" i="7"/>
  <c r="ENF9" i="7"/>
  <c r="ENE9" i="7"/>
  <c r="END9" i="7"/>
  <c r="ENC9" i="7"/>
  <c r="ENB9" i="7"/>
  <c r="ENA9" i="7"/>
  <c r="EMZ9" i="7"/>
  <c r="EMY9" i="7"/>
  <c r="EMX9" i="7"/>
  <c r="EMW9" i="7"/>
  <c r="EMV9" i="7"/>
  <c r="EMU9" i="7"/>
  <c r="EMT9" i="7"/>
  <c r="EMS9" i="7"/>
  <c r="EMR9" i="7"/>
  <c r="EMQ9" i="7"/>
  <c r="EMP9" i="7"/>
  <c r="EMO9" i="7"/>
  <c r="EMN9" i="7"/>
  <c r="EMM9" i="7"/>
  <c r="EML9" i="7"/>
  <c r="EMK9" i="7"/>
  <c r="EMJ9" i="7"/>
  <c r="EMI9" i="7"/>
  <c r="EMH9" i="7"/>
  <c r="EMG9" i="7"/>
  <c r="EMF9" i="7"/>
  <c r="EME9" i="7"/>
  <c r="EMD9" i="7"/>
  <c r="EMC9" i="7"/>
  <c r="EMB9" i="7"/>
  <c r="EMA9" i="7"/>
  <c r="ELZ9" i="7"/>
  <c r="ELY9" i="7"/>
  <c r="ELX9" i="7"/>
  <c r="ELW9" i="7"/>
  <c r="ELV9" i="7"/>
  <c r="ELU9" i="7"/>
  <c r="ELT9" i="7"/>
  <c r="ELS9" i="7"/>
  <c r="ELR9" i="7"/>
  <c r="ELQ9" i="7"/>
  <c r="ELP9" i="7"/>
  <c r="ELO9" i="7"/>
  <c r="ELN9" i="7"/>
  <c r="ELM9" i="7"/>
  <c r="ELL9" i="7"/>
  <c r="ELK9" i="7"/>
  <c r="ELJ9" i="7"/>
  <c r="ELI9" i="7"/>
  <c r="ELH9" i="7"/>
  <c r="ELG9" i="7"/>
  <c r="ELF9" i="7"/>
  <c r="ELE9" i="7"/>
  <c r="ELD9" i="7"/>
  <c r="ELC9" i="7"/>
  <c r="ELB9" i="7"/>
  <c r="ELA9" i="7"/>
  <c r="EKZ9" i="7"/>
  <c r="EKY9" i="7"/>
  <c r="EKX9" i="7"/>
  <c r="EKW9" i="7"/>
  <c r="EKV9" i="7"/>
  <c r="EKU9" i="7"/>
  <c r="EKT9" i="7"/>
  <c r="EKS9" i="7"/>
  <c r="EKR9" i="7"/>
  <c r="EKQ9" i="7"/>
  <c r="EKP9" i="7"/>
  <c r="EKO9" i="7"/>
  <c r="EKN9" i="7"/>
  <c r="EKM9" i="7"/>
  <c r="EKL9" i="7"/>
  <c r="EKK9" i="7"/>
  <c r="EKJ9" i="7"/>
  <c r="EKI9" i="7"/>
  <c r="EKH9" i="7"/>
  <c r="EKG9" i="7"/>
  <c r="EKF9" i="7"/>
  <c r="EKE9" i="7"/>
  <c r="EKD9" i="7"/>
  <c r="EKC9" i="7"/>
  <c r="EKB9" i="7"/>
  <c r="EKA9" i="7"/>
  <c r="EJZ9" i="7"/>
  <c r="EJY9" i="7"/>
  <c r="EJX9" i="7"/>
  <c r="EJW9" i="7"/>
  <c r="EJV9" i="7"/>
  <c r="EJU9" i="7"/>
  <c r="EJT9" i="7"/>
  <c r="EJS9" i="7"/>
  <c r="EJR9" i="7"/>
  <c r="EJQ9" i="7"/>
  <c r="EJP9" i="7"/>
  <c r="EJO9" i="7"/>
  <c r="EJN9" i="7"/>
  <c r="EJM9" i="7"/>
  <c r="EJL9" i="7"/>
  <c r="EJK9" i="7"/>
  <c r="EJJ9" i="7"/>
  <c r="EJI9" i="7"/>
  <c r="EJH9" i="7"/>
  <c r="EJG9" i="7"/>
  <c r="EJF9" i="7"/>
  <c r="EJE9" i="7"/>
  <c r="EJD9" i="7"/>
  <c r="EJC9" i="7"/>
  <c r="EJB9" i="7"/>
  <c r="EJA9" i="7"/>
  <c r="EIZ9" i="7"/>
  <c r="EIY9" i="7"/>
  <c r="EIX9" i="7"/>
  <c r="EIW9" i="7"/>
  <c r="EIV9" i="7"/>
  <c r="EIU9" i="7"/>
  <c r="EIT9" i="7"/>
  <c r="EIS9" i="7"/>
  <c r="EIR9" i="7"/>
  <c r="EIQ9" i="7"/>
  <c r="EIP9" i="7"/>
  <c r="EIO9" i="7"/>
  <c r="EIN9" i="7"/>
  <c r="EIM9" i="7"/>
  <c r="EIL9" i="7"/>
  <c r="EIK9" i="7"/>
  <c r="EIJ9" i="7"/>
  <c r="EII9" i="7"/>
  <c r="EIH9" i="7"/>
  <c r="EIG9" i="7"/>
  <c r="EIF9" i="7"/>
  <c r="EIE9" i="7"/>
  <c r="EID9" i="7"/>
  <c r="EIC9" i="7"/>
  <c r="EIB9" i="7"/>
  <c r="EIA9" i="7"/>
  <c r="EHZ9" i="7"/>
  <c r="EHY9" i="7"/>
  <c r="EHX9" i="7"/>
  <c r="EHW9" i="7"/>
  <c r="EHV9" i="7"/>
  <c r="EHU9" i="7"/>
  <c r="EHT9" i="7"/>
  <c r="EHS9" i="7"/>
  <c r="EHR9" i="7"/>
  <c r="EHQ9" i="7"/>
  <c r="EHP9" i="7"/>
  <c r="EHO9" i="7"/>
  <c r="EHN9" i="7"/>
  <c r="EHM9" i="7"/>
  <c r="EHL9" i="7"/>
  <c r="EHK9" i="7"/>
  <c r="EHJ9" i="7"/>
  <c r="EHI9" i="7"/>
  <c r="EHH9" i="7"/>
  <c r="EHG9" i="7"/>
  <c r="EHF9" i="7"/>
  <c r="EHE9" i="7"/>
  <c r="EHD9" i="7"/>
  <c r="EHC9" i="7"/>
  <c r="EHB9" i="7"/>
  <c r="EHA9" i="7"/>
  <c r="EGZ9" i="7"/>
  <c r="EGY9" i="7"/>
  <c r="EGX9" i="7"/>
  <c r="EGW9" i="7"/>
  <c r="EGV9" i="7"/>
  <c r="EGU9" i="7"/>
  <c r="EGT9" i="7"/>
  <c r="EGS9" i="7"/>
  <c r="EGR9" i="7"/>
  <c r="EGQ9" i="7"/>
  <c r="EGP9" i="7"/>
  <c r="EGO9" i="7"/>
  <c r="EGN9" i="7"/>
  <c r="EGM9" i="7"/>
  <c r="EGL9" i="7"/>
  <c r="EGK9" i="7"/>
  <c r="EGJ9" i="7"/>
  <c r="EGI9" i="7"/>
  <c r="EGH9" i="7"/>
  <c r="EGG9" i="7"/>
  <c r="EGF9" i="7"/>
  <c r="EGE9" i="7"/>
  <c r="EGD9" i="7"/>
  <c r="EGC9" i="7"/>
  <c r="EGB9" i="7"/>
  <c r="EGA9" i="7"/>
  <c r="EFZ9" i="7"/>
  <c r="EFY9" i="7"/>
  <c r="EFX9" i="7"/>
  <c r="EFW9" i="7"/>
  <c r="EFV9" i="7"/>
  <c r="EFU9" i="7"/>
  <c r="EFT9" i="7"/>
  <c r="EFS9" i="7"/>
  <c r="EFR9" i="7"/>
  <c r="EFQ9" i="7"/>
  <c r="EFP9" i="7"/>
  <c r="EFO9" i="7"/>
  <c r="EFN9" i="7"/>
  <c r="EFM9" i="7"/>
  <c r="EFL9" i="7"/>
  <c r="EFK9" i="7"/>
  <c r="EFJ9" i="7"/>
  <c r="EFI9" i="7"/>
  <c r="EFH9" i="7"/>
  <c r="EFG9" i="7"/>
  <c r="EFF9" i="7"/>
  <c r="EFE9" i="7"/>
  <c r="EFD9" i="7"/>
  <c r="EFC9" i="7"/>
  <c r="EFB9" i="7"/>
  <c r="EFA9" i="7"/>
  <c r="EEZ9" i="7"/>
  <c r="EEY9" i="7"/>
  <c r="EEX9" i="7"/>
  <c r="EEW9" i="7"/>
  <c r="EEV9" i="7"/>
  <c r="EEU9" i="7"/>
  <c r="EET9" i="7"/>
  <c r="EES9" i="7"/>
  <c r="EER9" i="7"/>
  <c r="EEQ9" i="7"/>
  <c r="EEP9" i="7"/>
  <c r="EEO9" i="7"/>
  <c r="EEN9" i="7"/>
  <c r="EEM9" i="7"/>
  <c r="EEL9" i="7"/>
  <c r="EEK9" i="7"/>
  <c r="EEJ9" i="7"/>
  <c r="EEI9" i="7"/>
  <c r="EEH9" i="7"/>
  <c r="EEG9" i="7"/>
  <c r="EEF9" i="7"/>
  <c r="EEE9" i="7"/>
  <c r="EED9" i="7"/>
  <c r="EEC9" i="7"/>
  <c r="EEB9" i="7"/>
  <c r="EEA9" i="7"/>
  <c r="EDZ9" i="7"/>
  <c r="EDY9" i="7"/>
  <c r="EDX9" i="7"/>
  <c r="EDW9" i="7"/>
  <c r="EDV9" i="7"/>
  <c r="EDU9" i="7"/>
  <c r="EDT9" i="7"/>
  <c r="EDS9" i="7"/>
  <c r="EDR9" i="7"/>
  <c r="EDQ9" i="7"/>
  <c r="EDP9" i="7"/>
  <c r="EDO9" i="7"/>
  <c r="EDN9" i="7"/>
  <c r="EDM9" i="7"/>
  <c r="EDL9" i="7"/>
  <c r="EDK9" i="7"/>
  <c r="EDJ9" i="7"/>
  <c r="EDI9" i="7"/>
  <c r="EDH9" i="7"/>
  <c r="EDG9" i="7"/>
  <c r="EDF9" i="7"/>
  <c r="EDE9" i="7"/>
  <c r="EDD9" i="7"/>
  <c r="EDC9" i="7"/>
  <c r="EDB9" i="7"/>
  <c r="EDA9" i="7"/>
  <c r="ECZ9" i="7"/>
  <c r="ECY9" i="7"/>
  <c r="ECX9" i="7"/>
  <c r="ECW9" i="7"/>
  <c r="ECV9" i="7"/>
  <c r="ECU9" i="7"/>
  <c r="ECT9" i="7"/>
  <c r="ECS9" i="7"/>
  <c r="ECR9" i="7"/>
  <c r="ECQ9" i="7"/>
  <c r="ECP9" i="7"/>
  <c r="ECO9" i="7"/>
  <c r="ECN9" i="7"/>
  <c r="ECM9" i="7"/>
  <c r="ECL9" i="7"/>
  <c r="ECK9" i="7"/>
  <c r="ECJ9" i="7"/>
  <c r="ECI9" i="7"/>
  <c r="ECH9" i="7"/>
  <c r="ECG9" i="7"/>
  <c r="ECF9" i="7"/>
  <c r="ECE9" i="7"/>
  <c r="ECD9" i="7"/>
  <c r="ECC9" i="7"/>
  <c r="ECB9" i="7"/>
  <c r="ECA9" i="7"/>
  <c r="EBZ9" i="7"/>
  <c r="EBY9" i="7"/>
  <c r="EBX9" i="7"/>
  <c r="EBW9" i="7"/>
  <c r="EBV9" i="7"/>
  <c r="EBU9" i="7"/>
  <c r="EBT9" i="7"/>
  <c r="EBS9" i="7"/>
  <c r="EBR9" i="7"/>
  <c r="EBQ9" i="7"/>
  <c r="EBP9" i="7"/>
  <c r="EBO9" i="7"/>
  <c r="EBN9" i="7"/>
  <c r="EBM9" i="7"/>
  <c r="EBL9" i="7"/>
  <c r="EBK9" i="7"/>
  <c r="EBJ9" i="7"/>
  <c r="EBI9" i="7"/>
  <c r="EBH9" i="7"/>
  <c r="EBG9" i="7"/>
  <c r="EBF9" i="7"/>
  <c r="EBE9" i="7"/>
  <c r="EBD9" i="7"/>
  <c r="EBC9" i="7"/>
  <c r="EBB9" i="7"/>
  <c r="EBA9" i="7"/>
  <c r="EAZ9" i="7"/>
  <c r="EAY9" i="7"/>
  <c r="EAX9" i="7"/>
  <c r="EAW9" i="7"/>
  <c r="EAV9" i="7"/>
  <c r="EAU9" i="7"/>
  <c r="EAT9" i="7"/>
  <c r="EAS9" i="7"/>
  <c r="EAR9" i="7"/>
  <c r="EAQ9" i="7"/>
  <c r="EAP9" i="7"/>
  <c r="EAO9" i="7"/>
  <c r="EAN9" i="7"/>
  <c r="EAM9" i="7"/>
  <c r="EAL9" i="7"/>
  <c r="EAK9" i="7"/>
  <c r="EAJ9" i="7"/>
  <c r="EAI9" i="7"/>
  <c r="EAH9" i="7"/>
  <c r="EAG9" i="7"/>
  <c r="EAF9" i="7"/>
  <c r="EAE9" i="7"/>
  <c r="EAD9" i="7"/>
  <c r="EAC9" i="7"/>
  <c r="EAB9" i="7"/>
  <c r="EAA9" i="7"/>
  <c r="DZZ9" i="7"/>
  <c r="DZY9" i="7"/>
  <c r="DZX9" i="7"/>
  <c r="DZW9" i="7"/>
  <c r="DZV9" i="7"/>
  <c r="DZU9" i="7"/>
  <c r="DZT9" i="7"/>
  <c r="DZS9" i="7"/>
  <c r="DZR9" i="7"/>
  <c r="DZQ9" i="7"/>
  <c r="DZP9" i="7"/>
  <c r="DZO9" i="7"/>
  <c r="DZN9" i="7"/>
  <c r="DZM9" i="7"/>
  <c r="DZL9" i="7"/>
  <c r="DZK9" i="7"/>
  <c r="DZJ9" i="7"/>
  <c r="DZI9" i="7"/>
  <c r="DZH9" i="7"/>
  <c r="DZG9" i="7"/>
  <c r="DZF9" i="7"/>
  <c r="DZE9" i="7"/>
  <c r="DZD9" i="7"/>
  <c r="DZC9" i="7"/>
  <c r="DZB9" i="7"/>
  <c r="DZA9" i="7"/>
  <c r="DYZ9" i="7"/>
  <c r="DYY9" i="7"/>
  <c r="DYX9" i="7"/>
  <c r="DYW9" i="7"/>
  <c r="DYV9" i="7"/>
  <c r="DYU9" i="7"/>
  <c r="DYT9" i="7"/>
  <c r="DYS9" i="7"/>
  <c r="DYR9" i="7"/>
  <c r="DYQ9" i="7"/>
  <c r="DYP9" i="7"/>
  <c r="DYO9" i="7"/>
  <c r="DYN9" i="7"/>
  <c r="DYM9" i="7"/>
  <c r="DYL9" i="7"/>
  <c r="DYK9" i="7"/>
  <c r="DYJ9" i="7"/>
  <c r="DYI9" i="7"/>
  <c r="DYH9" i="7"/>
  <c r="DYG9" i="7"/>
  <c r="DYF9" i="7"/>
  <c r="DYE9" i="7"/>
  <c r="DYD9" i="7"/>
  <c r="DYC9" i="7"/>
  <c r="DYB9" i="7"/>
  <c r="DYA9" i="7"/>
  <c r="DXZ9" i="7"/>
  <c r="DXY9" i="7"/>
  <c r="DXX9" i="7"/>
  <c r="DXW9" i="7"/>
  <c r="DXV9" i="7"/>
  <c r="DXU9" i="7"/>
  <c r="DXT9" i="7"/>
  <c r="DXS9" i="7"/>
  <c r="DXR9" i="7"/>
  <c r="DXQ9" i="7"/>
  <c r="DXP9" i="7"/>
  <c r="DXO9" i="7"/>
  <c r="DXN9" i="7"/>
  <c r="DXM9" i="7"/>
  <c r="DXL9" i="7"/>
  <c r="DXK9" i="7"/>
  <c r="DXJ9" i="7"/>
  <c r="DXI9" i="7"/>
  <c r="DXH9" i="7"/>
  <c r="DXG9" i="7"/>
  <c r="DXF9" i="7"/>
  <c r="DXE9" i="7"/>
  <c r="DXD9" i="7"/>
  <c r="DXC9" i="7"/>
  <c r="DXB9" i="7"/>
  <c r="DXA9" i="7"/>
  <c r="DWZ9" i="7"/>
  <c r="DWY9" i="7"/>
  <c r="DWX9" i="7"/>
  <c r="DWW9" i="7"/>
  <c r="DWV9" i="7"/>
  <c r="DWU9" i="7"/>
  <c r="DWT9" i="7"/>
  <c r="DWS9" i="7"/>
  <c r="DWR9" i="7"/>
  <c r="DWQ9" i="7"/>
  <c r="DWP9" i="7"/>
  <c r="DWO9" i="7"/>
  <c r="DWN9" i="7"/>
  <c r="DWM9" i="7"/>
  <c r="DWL9" i="7"/>
  <c r="DWK9" i="7"/>
  <c r="DWJ9" i="7"/>
  <c r="DWI9" i="7"/>
  <c r="DWH9" i="7"/>
  <c r="DWG9" i="7"/>
  <c r="DWF9" i="7"/>
  <c r="DWE9" i="7"/>
  <c r="DWD9" i="7"/>
  <c r="DWC9" i="7"/>
  <c r="DWB9" i="7"/>
  <c r="DWA9" i="7"/>
  <c r="DVZ9" i="7"/>
  <c r="DVY9" i="7"/>
  <c r="DVX9" i="7"/>
  <c r="DVW9" i="7"/>
  <c r="DVV9" i="7"/>
  <c r="DVU9" i="7"/>
  <c r="DVT9" i="7"/>
  <c r="DVS9" i="7"/>
  <c r="DVR9" i="7"/>
  <c r="DVQ9" i="7"/>
  <c r="DVP9" i="7"/>
  <c r="DVO9" i="7"/>
  <c r="DVN9" i="7"/>
  <c r="DVM9" i="7"/>
  <c r="DVL9" i="7"/>
  <c r="DVK9" i="7"/>
  <c r="DVJ9" i="7"/>
  <c r="DVI9" i="7"/>
  <c r="DVH9" i="7"/>
  <c r="DVG9" i="7"/>
  <c r="DVF9" i="7"/>
  <c r="DVE9" i="7"/>
  <c r="DVD9" i="7"/>
  <c r="DVC9" i="7"/>
  <c r="DVB9" i="7"/>
  <c r="DVA9" i="7"/>
  <c r="DUZ9" i="7"/>
  <c r="DUY9" i="7"/>
  <c r="DUX9" i="7"/>
  <c r="DUW9" i="7"/>
  <c r="DUV9" i="7"/>
  <c r="DUU9" i="7"/>
  <c r="DUT9" i="7"/>
  <c r="DUS9" i="7"/>
  <c r="DUR9" i="7"/>
  <c r="DUQ9" i="7"/>
  <c r="DUP9" i="7"/>
  <c r="DUO9" i="7"/>
  <c r="DUN9" i="7"/>
  <c r="DUM9" i="7"/>
  <c r="DUL9" i="7"/>
  <c r="DUK9" i="7"/>
  <c r="DUJ9" i="7"/>
  <c r="DUI9" i="7"/>
  <c r="DUH9" i="7"/>
  <c r="DUG9" i="7"/>
  <c r="DUF9" i="7"/>
  <c r="DUE9" i="7"/>
  <c r="DUD9" i="7"/>
  <c r="DUC9" i="7"/>
  <c r="DUB9" i="7"/>
  <c r="DUA9" i="7"/>
  <c r="DTZ9" i="7"/>
  <c r="DTY9" i="7"/>
  <c r="DTX9" i="7"/>
  <c r="DTW9" i="7"/>
  <c r="DTV9" i="7"/>
  <c r="DTU9" i="7"/>
  <c r="DTT9" i="7"/>
  <c r="DTS9" i="7"/>
  <c r="DTR9" i="7"/>
  <c r="DTQ9" i="7"/>
  <c r="DTP9" i="7"/>
  <c r="DTO9" i="7"/>
  <c r="DTN9" i="7"/>
  <c r="DTM9" i="7"/>
  <c r="DTL9" i="7"/>
  <c r="DTK9" i="7"/>
  <c r="DTJ9" i="7"/>
  <c r="DTI9" i="7"/>
  <c r="DTH9" i="7"/>
  <c r="DTG9" i="7"/>
  <c r="DTF9" i="7"/>
  <c r="DTE9" i="7"/>
  <c r="DTD9" i="7"/>
  <c r="DTC9" i="7"/>
  <c r="DTB9" i="7"/>
  <c r="DTA9" i="7"/>
  <c r="DSZ9" i="7"/>
  <c r="DSY9" i="7"/>
  <c r="DSX9" i="7"/>
  <c r="DSW9" i="7"/>
  <c r="DSV9" i="7"/>
  <c r="DSU9" i="7"/>
  <c r="DST9" i="7"/>
  <c r="DSS9" i="7"/>
  <c r="DSR9" i="7"/>
  <c r="DSQ9" i="7"/>
  <c r="DSP9" i="7"/>
  <c r="DSO9" i="7"/>
  <c r="DSN9" i="7"/>
  <c r="DSM9" i="7"/>
  <c r="DSL9" i="7"/>
  <c r="DSK9" i="7"/>
  <c r="DSJ9" i="7"/>
  <c r="DSI9" i="7"/>
  <c r="DSH9" i="7"/>
  <c r="DSG9" i="7"/>
  <c r="DSF9" i="7"/>
  <c r="DSE9" i="7"/>
  <c r="DSD9" i="7"/>
  <c r="DSC9" i="7"/>
  <c r="DSB9" i="7"/>
  <c r="DSA9" i="7"/>
  <c r="DRZ9" i="7"/>
  <c r="DRY9" i="7"/>
  <c r="DRX9" i="7"/>
  <c r="DRW9" i="7"/>
  <c r="DRV9" i="7"/>
  <c r="DRU9" i="7"/>
  <c r="DRT9" i="7"/>
  <c r="DRS9" i="7"/>
  <c r="DRR9" i="7"/>
  <c r="DRQ9" i="7"/>
  <c r="DRP9" i="7"/>
  <c r="DRO9" i="7"/>
  <c r="DRN9" i="7"/>
  <c r="DRM9" i="7"/>
  <c r="DRL9" i="7"/>
  <c r="DRK9" i="7"/>
  <c r="DRJ9" i="7"/>
  <c r="DRI9" i="7"/>
  <c r="DRH9" i="7"/>
  <c r="DRG9" i="7"/>
  <c r="DRF9" i="7"/>
  <c r="DRE9" i="7"/>
  <c r="DRD9" i="7"/>
  <c r="DRC9" i="7"/>
  <c r="DRB9" i="7"/>
  <c r="DRA9" i="7"/>
  <c r="DQZ9" i="7"/>
  <c r="DQY9" i="7"/>
  <c r="DQX9" i="7"/>
  <c r="DQW9" i="7"/>
  <c r="DQV9" i="7"/>
  <c r="DQU9" i="7"/>
  <c r="DQT9" i="7"/>
  <c r="DQS9" i="7"/>
  <c r="DQR9" i="7"/>
  <c r="DQQ9" i="7"/>
  <c r="DQP9" i="7"/>
  <c r="DQO9" i="7"/>
  <c r="DQN9" i="7"/>
  <c r="DQM9" i="7"/>
  <c r="DQL9" i="7"/>
  <c r="DQK9" i="7"/>
  <c r="DQJ9" i="7"/>
  <c r="DQI9" i="7"/>
  <c r="DQH9" i="7"/>
  <c r="DQG9" i="7"/>
  <c r="DQF9" i="7"/>
  <c r="DQE9" i="7"/>
  <c r="DQD9" i="7"/>
  <c r="DQC9" i="7"/>
  <c r="DQB9" i="7"/>
  <c r="DQA9" i="7"/>
  <c r="DPZ9" i="7"/>
  <c r="DPY9" i="7"/>
  <c r="DPX9" i="7"/>
  <c r="DPW9" i="7"/>
  <c r="DPV9" i="7"/>
  <c r="DPU9" i="7"/>
  <c r="DPT9" i="7"/>
  <c r="DPS9" i="7"/>
  <c r="DPR9" i="7"/>
  <c r="DPQ9" i="7"/>
  <c r="DPP9" i="7"/>
  <c r="DPO9" i="7"/>
  <c r="DPN9" i="7"/>
  <c r="DPM9" i="7"/>
  <c r="DPL9" i="7"/>
  <c r="DPK9" i="7"/>
  <c r="DPJ9" i="7"/>
  <c r="DPI9" i="7"/>
  <c r="DPH9" i="7"/>
  <c r="DPG9" i="7"/>
  <c r="DPF9" i="7"/>
  <c r="DPE9" i="7"/>
  <c r="DPD9" i="7"/>
  <c r="DPC9" i="7"/>
  <c r="DPB9" i="7"/>
  <c r="DPA9" i="7"/>
  <c r="DOZ9" i="7"/>
  <c r="DOY9" i="7"/>
  <c r="DOX9" i="7"/>
  <c r="DOW9" i="7"/>
  <c r="DOV9" i="7"/>
  <c r="DOU9" i="7"/>
  <c r="DOT9" i="7"/>
  <c r="DOS9" i="7"/>
  <c r="DOR9" i="7"/>
  <c r="DOQ9" i="7"/>
  <c r="DOP9" i="7"/>
  <c r="DOO9" i="7"/>
  <c r="DON9" i="7"/>
  <c r="DOM9" i="7"/>
  <c r="DOL9" i="7"/>
  <c r="DOK9" i="7"/>
  <c r="DOJ9" i="7"/>
  <c r="DOI9" i="7"/>
  <c r="DOH9" i="7"/>
  <c r="DOG9" i="7"/>
  <c r="DOF9" i="7"/>
  <c r="DOE9" i="7"/>
  <c r="DOD9" i="7"/>
  <c r="DOC9" i="7"/>
  <c r="DOB9" i="7"/>
  <c r="DOA9" i="7"/>
  <c r="DNZ9" i="7"/>
  <c r="DNY9" i="7"/>
  <c r="DNX9" i="7"/>
  <c r="DNW9" i="7"/>
  <c r="DNV9" i="7"/>
  <c r="DNU9" i="7"/>
  <c r="DNT9" i="7"/>
  <c r="DNS9" i="7"/>
  <c r="DNR9" i="7"/>
  <c r="DNQ9" i="7"/>
  <c r="DNP9" i="7"/>
  <c r="DNO9" i="7"/>
  <c r="DNN9" i="7"/>
  <c r="DNM9" i="7"/>
  <c r="DNL9" i="7"/>
  <c r="DNK9" i="7"/>
  <c r="DNJ9" i="7"/>
  <c r="DNI9" i="7"/>
  <c r="DNH9" i="7"/>
  <c r="DNG9" i="7"/>
  <c r="DNF9" i="7"/>
  <c r="DNE9" i="7"/>
  <c r="DND9" i="7"/>
  <c r="DNC9" i="7"/>
  <c r="DNB9" i="7"/>
  <c r="DNA9" i="7"/>
  <c r="DMZ9" i="7"/>
  <c r="DMY9" i="7"/>
  <c r="DMX9" i="7"/>
  <c r="DMW9" i="7"/>
  <c r="DMV9" i="7"/>
  <c r="DMU9" i="7"/>
  <c r="DMT9" i="7"/>
  <c r="DMS9" i="7"/>
  <c r="DMR9" i="7"/>
  <c r="DMQ9" i="7"/>
  <c r="DMP9" i="7"/>
  <c r="DMO9" i="7"/>
  <c r="DMN9" i="7"/>
  <c r="DMM9" i="7"/>
  <c r="DML9" i="7"/>
  <c r="DMK9" i="7"/>
  <c r="DMJ9" i="7"/>
  <c r="DMI9" i="7"/>
  <c r="DMH9" i="7"/>
  <c r="DMG9" i="7"/>
  <c r="DMF9" i="7"/>
  <c r="DME9" i="7"/>
  <c r="DMD9" i="7"/>
  <c r="DMC9" i="7"/>
  <c r="DMB9" i="7"/>
  <c r="DMA9" i="7"/>
  <c r="DLZ9" i="7"/>
  <c r="DLY9" i="7"/>
  <c r="DLX9" i="7"/>
  <c r="DLW9" i="7"/>
  <c r="DLV9" i="7"/>
  <c r="DLU9" i="7"/>
  <c r="DLT9" i="7"/>
  <c r="DLS9" i="7"/>
  <c r="DLR9" i="7"/>
  <c r="DLQ9" i="7"/>
  <c r="DLP9" i="7"/>
  <c r="DLO9" i="7"/>
  <c r="DLN9" i="7"/>
  <c r="DLM9" i="7"/>
  <c r="DLL9" i="7"/>
  <c r="DLK9" i="7"/>
  <c r="DLJ9" i="7"/>
  <c r="DLI9" i="7"/>
  <c r="DLH9" i="7"/>
  <c r="DLG9" i="7"/>
  <c r="DLF9" i="7"/>
  <c r="DLE9" i="7"/>
  <c r="DLD9" i="7"/>
  <c r="DLC9" i="7"/>
  <c r="DLB9" i="7"/>
  <c r="DLA9" i="7"/>
  <c r="DKZ9" i="7"/>
  <c r="DKY9" i="7"/>
  <c r="DKX9" i="7"/>
  <c r="DKW9" i="7"/>
  <c r="DKV9" i="7"/>
  <c r="DKU9" i="7"/>
  <c r="DKT9" i="7"/>
  <c r="DKS9" i="7"/>
  <c r="DKR9" i="7"/>
  <c r="DKQ9" i="7"/>
  <c r="DKP9" i="7"/>
  <c r="DKO9" i="7"/>
  <c r="DKN9" i="7"/>
  <c r="DKM9" i="7"/>
  <c r="DKL9" i="7"/>
  <c r="DKK9" i="7"/>
  <c r="DKJ9" i="7"/>
  <c r="DKI9" i="7"/>
  <c r="DKH9" i="7"/>
  <c r="DKG9" i="7"/>
  <c r="DKF9" i="7"/>
  <c r="DKE9" i="7"/>
  <c r="DKD9" i="7"/>
  <c r="DKC9" i="7"/>
  <c r="DKB9" i="7"/>
  <c r="DKA9" i="7"/>
  <c r="DJZ9" i="7"/>
  <c r="DJY9" i="7"/>
  <c r="DJX9" i="7"/>
  <c r="DJW9" i="7"/>
  <c r="DJV9" i="7"/>
  <c r="DJU9" i="7"/>
  <c r="DJT9" i="7"/>
  <c r="DJS9" i="7"/>
  <c r="DJR9" i="7"/>
  <c r="DJQ9" i="7"/>
  <c r="DJP9" i="7"/>
  <c r="DJO9" i="7"/>
  <c r="DJN9" i="7"/>
  <c r="DJM9" i="7"/>
  <c r="DJL9" i="7"/>
  <c r="DJK9" i="7"/>
  <c r="DJJ9" i="7"/>
  <c r="DJI9" i="7"/>
  <c r="DJH9" i="7"/>
  <c r="DJG9" i="7"/>
  <c r="DJF9" i="7"/>
  <c r="DJE9" i="7"/>
  <c r="DJD9" i="7"/>
  <c r="DJC9" i="7"/>
  <c r="DJB9" i="7"/>
  <c r="DJA9" i="7"/>
  <c r="DIZ9" i="7"/>
  <c r="DIY9" i="7"/>
  <c r="DIX9" i="7"/>
  <c r="DIW9" i="7"/>
  <c r="DIV9" i="7"/>
  <c r="DIU9" i="7"/>
  <c r="DIT9" i="7"/>
  <c r="DIS9" i="7"/>
  <c r="DIR9" i="7"/>
  <c r="DIQ9" i="7"/>
  <c r="DIP9" i="7"/>
  <c r="DIO9" i="7"/>
  <c r="DIN9" i="7"/>
  <c r="DIM9" i="7"/>
  <c r="DIL9" i="7"/>
  <c r="DIK9" i="7"/>
  <c r="DIJ9" i="7"/>
  <c r="DII9" i="7"/>
  <c r="DIH9" i="7"/>
  <c r="DIG9" i="7"/>
  <c r="DIF9" i="7"/>
  <c r="DIE9" i="7"/>
  <c r="DID9" i="7"/>
  <c r="DIC9" i="7"/>
  <c r="DIB9" i="7"/>
  <c r="DIA9" i="7"/>
  <c r="DHZ9" i="7"/>
  <c r="DHY9" i="7"/>
  <c r="DHX9" i="7"/>
  <c r="DHW9" i="7"/>
  <c r="DHV9" i="7"/>
  <c r="DHU9" i="7"/>
  <c r="DHT9" i="7"/>
  <c r="DHS9" i="7"/>
  <c r="DHR9" i="7"/>
  <c r="DHQ9" i="7"/>
  <c r="DHP9" i="7"/>
  <c r="DHO9" i="7"/>
  <c r="DHN9" i="7"/>
  <c r="DHM9" i="7"/>
  <c r="DHL9" i="7"/>
  <c r="DHK9" i="7"/>
  <c r="DHJ9" i="7"/>
  <c r="DHI9" i="7"/>
  <c r="DHH9" i="7"/>
  <c r="DHG9" i="7"/>
  <c r="DHF9" i="7"/>
  <c r="DHE9" i="7"/>
  <c r="DHD9" i="7"/>
  <c r="DHC9" i="7"/>
  <c r="DHB9" i="7"/>
  <c r="DHA9" i="7"/>
  <c r="DGZ9" i="7"/>
  <c r="DGY9" i="7"/>
  <c r="DGX9" i="7"/>
  <c r="DGW9" i="7"/>
  <c r="DGV9" i="7"/>
  <c r="DGU9" i="7"/>
  <c r="DGT9" i="7"/>
  <c r="DGS9" i="7"/>
  <c r="DGR9" i="7"/>
  <c r="DGQ9" i="7"/>
  <c r="DGP9" i="7"/>
  <c r="DGO9" i="7"/>
  <c r="DGN9" i="7"/>
  <c r="DGM9" i="7"/>
  <c r="DGL9" i="7"/>
  <c r="DGK9" i="7"/>
  <c r="DGJ9" i="7"/>
  <c r="DGI9" i="7"/>
  <c r="DGH9" i="7"/>
  <c r="DGG9" i="7"/>
  <c r="DGF9" i="7"/>
  <c r="DGE9" i="7"/>
  <c r="DGD9" i="7"/>
  <c r="DGC9" i="7"/>
  <c r="DGB9" i="7"/>
  <c r="DGA9" i="7"/>
  <c r="DFZ9" i="7"/>
  <c r="DFY9" i="7"/>
  <c r="DFX9" i="7"/>
  <c r="DFW9" i="7"/>
  <c r="DFV9" i="7"/>
  <c r="DFU9" i="7"/>
  <c r="DFT9" i="7"/>
  <c r="DFS9" i="7"/>
  <c r="DFR9" i="7"/>
  <c r="DFQ9" i="7"/>
  <c r="DFP9" i="7"/>
  <c r="DFO9" i="7"/>
  <c r="DFN9" i="7"/>
  <c r="DFM9" i="7"/>
  <c r="DFL9" i="7"/>
  <c r="DFK9" i="7"/>
  <c r="DFJ9" i="7"/>
  <c r="DFI9" i="7"/>
  <c r="DFH9" i="7"/>
  <c r="DFG9" i="7"/>
  <c r="DFF9" i="7"/>
  <c r="DFE9" i="7"/>
  <c r="DFD9" i="7"/>
  <c r="DFC9" i="7"/>
  <c r="DFB9" i="7"/>
  <c r="DFA9" i="7"/>
  <c r="DEZ9" i="7"/>
  <c r="DEY9" i="7"/>
  <c r="DEX9" i="7"/>
  <c r="DEW9" i="7"/>
  <c r="DEV9" i="7"/>
  <c r="DEU9" i="7"/>
  <c r="DET9" i="7"/>
  <c r="DES9" i="7"/>
  <c r="DER9" i="7"/>
  <c r="DEQ9" i="7"/>
  <c r="DEP9" i="7"/>
  <c r="DEO9" i="7"/>
  <c r="DEN9" i="7"/>
  <c r="DEM9" i="7"/>
  <c r="DEL9" i="7"/>
  <c r="DEK9" i="7"/>
  <c r="DEJ9" i="7"/>
  <c r="DEI9" i="7"/>
  <c r="DEH9" i="7"/>
  <c r="DEG9" i="7"/>
  <c r="DEF9" i="7"/>
  <c r="DEE9" i="7"/>
  <c r="DED9" i="7"/>
  <c r="DEC9" i="7"/>
  <c r="DEB9" i="7"/>
  <c r="DEA9" i="7"/>
  <c r="DDZ9" i="7"/>
  <c r="DDY9" i="7"/>
  <c r="DDX9" i="7"/>
  <c r="DDW9" i="7"/>
  <c r="DDV9" i="7"/>
  <c r="DDU9" i="7"/>
  <c r="DDT9" i="7"/>
  <c r="DDS9" i="7"/>
  <c r="DDR9" i="7"/>
  <c r="DDQ9" i="7"/>
  <c r="DDP9" i="7"/>
  <c r="DDO9" i="7"/>
  <c r="DDN9" i="7"/>
  <c r="DDM9" i="7"/>
  <c r="DDL9" i="7"/>
  <c r="DDK9" i="7"/>
  <c r="DDJ9" i="7"/>
  <c r="DDI9" i="7"/>
  <c r="DDH9" i="7"/>
  <c r="DDG9" i="7"/>
  <c r="DDF9" i="7"/>
  <c r="DDE9" i="7"/>
  <c r="DDD9" i="7"/>
  <c r="DDC9" i="7"/>
  <c r="DDB9" i="7"/>
  <c r="DDA9" i="7"/>
  <c r="DCZ9" i="7"/>
  <c r="DCY9" i="7"/>
  <c r="DCX9" i="7"/>
  <c r="DCW9" i="7"/>
  <c r="DCV9" i="7"/>
  <c r="DCU9" i="7"/>
  <c r="DCT9" i="7"/>
  <c r="DCS9" i="7"/>
  <c r="DCR9" i="7"/>
  <c r="DCQ9" i="7"/>
  <c r="DCP9" i="7"/>
  <c r="DCO9" i="7"/>
  <c r="DCN9" i="7"/>
  <c r="DCM9" i="7"/>
  <c r="DCL9" i="7"/>
  <c r="DCK9" i="7"/>
  <c r="DCJ9" i="7"/>
  <c r="DCI9" i="7"/>
  <c r="DCH9" i="7"/>
  <c r="DCG9" i="7"/>
  <c r="DCF9" i="7"/>
  <c r="DCE9" i="7"/>
  <c r="DCD9" i="7"/>
  <c r="DCC9" i="7"/>
  <c r="DCB9" i="7"/>
  <c r="DCA9" i="7"/>
  <c r="DBZ9" i="7"/>
  <c r="DBY9" i="7"/>
  <c r="DBX9" i="7"/>
  <c r="DBW9" i="7"/>
  <c r="DBV9" i="7"/>
  <c r="DBU9" i="7"/>
  <c r="DBT9" i="7"/>
  <c r="DBS9" i="7"/>
  <c r="DBR9" i="7"/>
  <c r="DBQ9" i="7"/>
  <c r="DBP9" i="7"/>
  <c r="DBO9" i="7"/>
  <c r="DBN9" i="7"/>
  <c r="DBM9" i="7"/>
  <c r="DBL9" i="7"/>
  <c r="DBK9" i="7"/>
  <c r="DBJ9" i="7"/>
  <c r="DBI9" i="7"/>
  <c r="DBH9" i="7"/>
  <c r="DBG9" i="7"/>
  <c r="DBF9" i="7"/>
  <c r="DBE9" i="7"/>
  <c r="DBD9" i="7"/>
  <c r="DBC9" i="7"/>
  <c r="DBB9" i="7"/>
  <c r="DBA9" i="7"/>
  <c r="DAZ9" i="7"/>
  <c r="DAY9" i="7"/>
  <c r="DAX9" i="7"/>
  <c r="DAW9" i="7"/>
  <c r="DAV9" i="7"/>
  <c r="DAU9" i="7"/>
  <c r="DAT9" i="7"/>
  <c r="DAS9" i="7"/>
  <c r="DAR9" i="7"/>
  <c r="DAQ9" i="7"/>
  <c r="DAP9" i="7"/>
  <c r="DAO9" i="7"/>
  <c r="DAN9" i="7"/>
  <c r="DAM9" i="7"/>
  <c r="DAL9" i="7"/>
  <c r="DAK9" i="7"/>
  <c r="DAJ9" i="7"/>
  <c r="DAI9" i="7"/>
  <c r="DAH9" i="7"/>
  <c r="DAG9" i="7"/>
  <c r="DAF9" i="7"/>
  <c r="DAE9" i="7"/>
  <c r="DAD9" i="7"/>
  <c r="DAC9" i="7"/>
  <c r="DAB9" i="7"/>
  <c r="DAA9" i="7"/>
  <c r="CZZ9" i="7"/>
  <c r="CZY9" i="7"/>
  <c r="CZX9" i="7"/>
  <c r="CZW9" i="7"/>
  <c r="CZV9" i="7"/>
  <c r="CZU9" i="7"/>
  <c r="CZT9" i="7"/>
  <c r="CZS9" i="7"/>
  <c r="CZR9" i="7"/>
  <c r="CZQ9" i="7"/>
  <c r="CZP9" i="7"/>
  <c r="CZO9" i="7"/>
  <c r="CZN9" i="7"/>
  <c r="CZM9" i="7"/>
  <c r="CZL9" i="7"/>
  <c r="CZK9" i="7"/>
  <c r="CZJ9" i="7"/>
  <c r="CZI9" i="7"/>
  <c r="CZH9" i="7"/>
  <c r="CZG9" i="7"/>
  <c r="CZF9" i="7"/>
  <c r="CZE9" i="7"/>
  <c r="CZD9" i="7"/>
  <c r="CZC9" i="7"/>
  <c r="CZB9" i="7"/>
  <c r="CZA9" i="7"/>
  <c r="CYZ9" i="7"/>
  <c r="CYY9" i="7"/>
  <c r="CYX9" i="7"/>
  <c r="CYW9" i="7"/>
  <c r="CYV9" i="7"/>
  <c r="CYU9" i="7"/>
  <c r="CYT9" i="7"/>
  <c r="CYS9" i="7"/>
  <c r="CYR9" i="7"/>
  <c r="CYQ9" i="7"/>
  <c r="CYP9" i="7"/>
  <c r="CYO9" i="7"/>
  <c r="CYN9" i="7"/>
  <c r="CYM9" i="7"/>
  <c r="CYL9" i="7"/>
  <c r="CYK9" i="7"/>
  <c r="CYJ9" i="7"/>
  <c r="CYI9" i="7"/>
  <c r="CYH9" i="7"/>
  <c r="CYG9" i="7"/>
  <c r="CYF9" i="7"/>
  <c r="CYE9" i="7"/>
  <c r="CYD9" i="7"/>
  <c r="CYC9" i="7"/>
  <c r="CYB9" i="7"/>
  <c r="CYA9" i="7"/>
  <c r="CXZ9" i="7"/>
  <c r="CXY9" i="7"/>
  <c r="CXX9" i="7"/>
  <c r="CXW9" i="7"/>
  <c r="CXV9" i="7"/>
  <c r="CXU9" i="7"/>
  <c r="CXT9" i="7"/>
  <c r="CXS9" i="7"/>
  <c r="CXR9" i="7"/>
  <c r="CXQ9" i="7"/>
  <c r="CXP9" i="7"/>
  <c r="CXO9" i="7"/>
  <c r="CXN9" i="7"/>
  <c r="CXM9" i="7"/>
  <c r="CXL9" i="7"/>
  <c r="CXK9" i="7"/>
  <c r="CXJ9" i="7"/>
  <c r="CXI9" i="7"/>
  <c r="CXH9" i="7"/>
  <c r="CXG9" i="7"/>
  <c r="CXF9" i="7"/>
  <c r="CXE9" i="7"/>
  <c r="CXD9" i="7"/>
  <c r="CXC9" i="7"/>
  <c r="CXB9" i="7"/>
  <c r="CXA9" i="7"/>
  <c r="CWZ9" i="7"/>
  <c r="CWY9" i="7"/>
  <c r="CWX9" i="7"/>
  <c r="CWW9" i="7"/>
  <c r="CWV9" i="7"/>
  <c r="CWU9" i="7"/>
  <c r="CWT9" i="7"/>
  <c r="CWS9" i="7"/>
  <c r="CWR9" i="7"/>
  <c r="CWQ9" i="7"/>
  <c r="CWP9" i="7"/>
  <c r="CWO9" i="7"/>
  <c r="CWN9" i="7"/>
  <c r="CWM9" i="7"/>
  <c r="CWL9" i="7"/>
  <c r="CWK9" i="7"/>
  <c r="CWJ9" i="7"/>
  <c r="CWI9" i="7"/>
  <c r="CWH9" i="7"/>
  <c r="CWG9" i="7"/>
  <c r="CWF9" i="7"/>
  <c r="CWE9" i="7"/>
  <c r="CWD9" i="7"/>
  <c r="CWC9" i="7"/>
  <c r="CWB9" i="7"/>
  <c r="CWA9" i="7"/>
  <c r="CVZ9" i="7"/>
  <c r="CVY9" i="7"/>
  <c r="CVX9" i="7"/>
  <c r="CVW9" i="7"/>
  <c r="CVV9" i="7"/>
  <c r="CVU9" i="7"/>
  <c r="CVT9" i="7"/>
  <c r="CVS9" i="7"/>
  <c r="CVR9" i="7"/>
  <c r="CVQ9" i="7"/>
  <c r="CVP9" i="7"/>
  <c r="CVO9" i="7"/>
  <c r="CVN9" i="7"/>
  <c r="CVM9" i="7"/>
  <c r="CVL9" i="7"/>
  <c r="CVK9" i="7"/>
  <c r="CVJ9" i="7"/>
  <c r="CVI9" i="7"/>
  <c r="CVH9" i="7"/>
  <c r="CVG9" i="7"/>
  <c r="CVF9" i="7"/>
  <c r="CVE9" i="7"/>
  <c r="CVD9" i="7"/>
  <c r="CVC9" i="7"/>
  <c r="CVB9" i="7"/>
  <c r="CVA9" i="7"/>
  <c r="CUZ9" i="7"/>
  <c r="CUY9" i="7"/>
  <c r="CUX9" i="7"/>
  <c r="CUW9" i="7"/>
  <c r="CUV9" i="7"/>
  <c r="CUU9" i="7"/>
  <c r="CUT9" i="7"/>
  <c r="CUS9" i="7"/>
  <c r="CUR9" i="7"/>
  <c r="CUQ9" i="7"/>
  <c r="CUP9" i="7"/>
  <c r="CUO9" i="7"/>
  <c r="CUN9" i="7"/>
  <c r="CUM9" i="7"/>
  <c r="CUL9" i="7"/>
  <c r="CUK9" i="7"/>
  <c r="CUJ9" i="7"/>
  <c r="CUI9" i="7"/>
  <c r="CUH9" i="7"/>
  <c r="CUG9" i="7"/>
  <c r="CUF9" i="7"/>
  <c r="CUE9" i="7"/>
  <c r="CUD9" i="7"/>
  <c r="CUC9" i="7"/>
  <c r="CUB9" i="7"/>
  <c r="CUA9" i="7"/>
  <c r="CTZ9" i="7"/>
  <c r="CTY9" i="7"/>
  <c r="CTX9" i="7"/>
  <c r="CTW9" i="7"/>
  <c r="CTV9" i="7"/>
  <c r="CTU9" i="7"/>
  <c r="CTT9" i="7"/>
  <c r="CTS9" i="7"/>
  <c r="CTR9" i="7"/>
  <c r="CTQ9" i="7"/>
  <c r="CTP9" i="7"/>
  <c r="CTO9" i="7"/>
  <c r="CTN9" i="7"/>
  <c r="CTM9" i="7"/>
  <c r="CTL9" i="7"/>
  <c r="CTK9" i="7"/>
  <c r="CTJ9" i="7"/>
  <c r="CTI9" i="7"/>
  <c r="CTH9" i="7"/>
  <c r="CTG9" i="7"/>
  <c r="CTF9" i="7"/>
  <c r="CTE9" i="7"/>
  <c r="CTD9" i="7"/>
  <c r="CTC9" i="7"/>
  <c r="CTB9" i="7"/>
  <c r="CTA9" i="7"/>
  <c r="CSZ9" i="7"/>
  <c r="CSY9" i="7"/>
  <c r="CSX9" i="7"/>
  <c r="CSW9" i="7"/>
  <c r="CSV9" i="7"/>
  <c r="CSU9" i="7"/>
  <c r="CST9" i="7"/>
  <c r="CSS9" i="7"/>
  <c r="CSR9" i="7"/>
  <c r="CSQ9" i="7"/>
  <c r="CSP9" i="7"/>
  <c r="CSO9" i="7"/>
  <c r="CSN9" i="7"/>
  <c r="CSM9" i="7"/>
  <c r="CSL9" i="7"/>
  <c r="CSK9" i="7"/>
  <c r="CSJ9" i="7"/>
  <c r="CSI9" i="7"/>
  <c r="CSH9" i="7"/>
  <c r="CSG9" i="7"/>
  <c r="CSF9" i="7"/>
  <c r="CSE9" i="7"/>
  <c r="CSD9" i="7"/>
  <c r="CSC9" i="7"/>
  <c r="CSB9" i="7"/>
  <c r="CSA9" i="7"/>
  <c r="CRZ9" i="7"/>
  <c r="CRY9" i="7"/>
  <c r="CRX9" i="7"/>
  <c r="CRW9" i="7"/>
  <c r="CRV9" i="7"/>
  <c r="CRU9" i="7"/>
  <c r="CRT9" i="7"/>
  <c r="CRS9" i="7"/>
  <c r="CRR9" i="7"/>
  <c r="CRQ9" i="7"/>
  <c r="CRP9" i="7"/>
  <c r="CRO9" i="7"/>
  <c r="CRN9" i="7"/>
  <c r="CRM9" i="7"/>
  <c r="CRL9" i="7"/>
  <c r="CRK9" i="7"/>
  <c r="CRJ9" i="7"/>
  <c r="CRI9" i="7"/>
  <c r="CRH9" i="7"/>
  <c r="CRG9" i="7"/>
  <c r="CRF9" i="7"/>
  <c r="CRE9" i="7"/>
  <c r="CRD9" i="7"/>
  <c r="CRC9" i="7"/>
  <c r="CRB9" i="7"/>
  <c r="CRA9" i="7"/>
  <c r="CQZ9" i="7"/>
  <c r="CQY9" i="7"/>
  <c r="CQX9" i="7"/>
  <c r="CQW9" i="7"/>
  <c r="CQV9" i="7"/>
  <c r="CQU9" i="7"/>
  <c r="CQT9" i="7"/>
  <c r="CQS9" i="7"/>
  <c r="CQR9" i="7"/>
  <c r="CQQ9" i="7"/>
  <c r="CQP9" i="7"/>
  <c r="CQO9" i="7"/>
  <c r="CQN9" i="7"/>
  <c r="CQM9" i="7"/>
  <c r="CQL9" i="7"/>
  <c r="CQK9" i="7"/>
  <c r="CQJ9" i="7"/>
  <c r="CQI9" i="7"/>
  <c r="CQH9" i="7"/>
  <c r="CQG9" i="7"/>
  <c r="CQF9" i="7"/>
  <c r="CQE9" i="7"/>
  <c r="CQD9" i="7"/>
  <c r="CQC9" i="7"/>
  <c r="CQB9" i="7"/>
  <c r="CQA9" i="7"/>
  <c r="CPZ9" i="7"/>
  <c r="CPY9" i="7"/>
  <c r="CPX9" i="7"/>
  <c r="CPW9" i="7"/>
  <c r="CPV9" i="7"/>
  <c r="CPU9" i="7"/>
  <c r="CPR9" i="7"/>
  <c r="CPQ9" i="7"/>
  <c r="CPP9" i="7"/>
  <c r="CPO9" i="7"/>
  <c r="CPN9" i="7"/>
  <c r="CPM9" i="7"/>
  <c r="CPL9" i="7"/>
  <c r="CPK9" i="7"/>
  <c r="CPJ9" i="7"/>
  <c r="CPI9" i="7"/>
  <c r="CPH9" i="7"/>
  <c r="CPG9" i="7"/>
  <c r="CPF9" i="7"/>
  <c r="CPE9" i="7"/>
  <c r="CPD9" i="7"/>
  <c r="CPC9" i="7"/>
  <c r="CPB9" i="7"/>
  <c r="CPA9" i="7"/>
  <c r="COZ9" i="7"/>
  <c r="COY9" i="7"/>
  <c r="COX9" i="7"/>
  <c r="COW9" i="7"/>
  <c r="COV9" i="7"/>
  <c r="COU9" i="7"/>
  <c r="COT9" i="7"/>
  <c r="COS9" i="7"/>
  <c r="COR9" i="7"/>
  <c r="COQ9" i="7"/>
  <c r="COP9" i="7"/>
  <c r="COO9" i="7"/>
  <c r="CON9" i="7"/>
  <c r="COM9" i="7"/>
  <c r="COL9" i="7"/>
  <c r="COK9" i="7"/>
  <c r="COJ9" i="7"/>
  <c r="COI9" i="7"/>
  <c r="COH9" i="7"/>
  <c r="COG9" i="7"/>
  <c r="COF9" i="7"/>
  <c r="COE9" i="7"/>
  <c r="COD9" i="7"/>
  <c r="COC9" i="7"/>
  <c r="COB9" i="7"/>
  <c r="COA9" i="7"/>
  <c r="CNZ9" i="7"/>
  <c r="CNY9" i="7"/>
  <c r="CNX9" i="7"/>
  <c r="CNW9" i="7"/>
  <c r="CNV9" i="7"/>
  <c r="CNU9" i="7"/>
  <c r="CNT9" i="7"/>
  <c r="CNS9" i="7"/>
  <c r="CNR9" i="7"/>
  <c r="CNQ9" i="7"/>
  <c r="CNP9" i="7"/>
  <c r="CNO9" i="7"/>
  <c r="CNN9" i="7"/>
  <c r="CNM9" i="7"/>
  <c r="CNL9" i="7"/>
  <c r="CNK9" i="7"/>
  <c r="CNJ9" i="7"/>
  <c r="CNI9" i="7"/>
  <c r="CNH9" i="7"/>
  <c r="CNG9" i="7"/>
  <c r="CNF9" i="7"/>
  <c r="CNE9" i="7"/>
  <c r="CND9" i="7"/>
  <c r="CNC9" i="7"/>
  <c r="CNB9" i="7"/>
  <c r="CNA9" i="7"/>
  <c r="CMZ9" i="7"/>
  <c r="CMY9" i="7"/>
  <c r="CMX9" i="7"/>
  <c r="CMW9" i="7"/>
  <c r="CMV9" i="7"/>
  <c r="CMU9" i="7"/>
  <c r="CMT9" i="7"/>
  <c r="CMS9" i="7"/>
  <c r="CMR9" i="7"/>
  <c r="CMQ9" i="7"/>
  <c r="CMP9" i="7"/>
  <c r="CMO9" i="7"/>
  <c r="CMN9" i="7"/>
  <c r="CMM9" i="7"/>
  <c r="CML9" i="7"/>
  <c r="CMK9" i="7"/>
  <c r="CMJ9" i="7"/>
  <c r="CMI9" i="7"/>
  <c r="CMH9" i="7"/>
  <c r="CMG9" i="7"/>
  <c r="CMF9" i="7"/>
  <c r="CME9" i="7"/>
  <c r="CMD9" i="7"/>
  <c r="CMC9" i="7"/>
  <c r="CMB9" i="7"/>
  <c r="CMA9" i="7"/>
  <c r="CLZ9" i="7"/>
  <c r="CLY9" i="7"/>
  <c r="CLX9" i="7"/>
  <c r="CLW9" i="7"/>
  <c r="CLV9" i="7"/>
  <c r="CLU9" i="7"/>
  <c r="CLT9" i="7"/>
  <c r="CLS9" i="7"/>
  <c r="CLR9" i="7"/>
  <c r="CLO9" i="7"/>
  <c r="CLN9" i="7"/>
  <c r="CLM9" i="7"/>
  <c r="CLL9" i="7"/>
  <c r="CLK9" i="7"/>
  <c r="CLJ9" i="7"/>
  <c r="CLI9" i="7"/>
  <c r="CLH9" i="7"/>
  <c r="CLG9" i="7"/>
  <c r="CLF9" i="7"/>
  <c r="CLE9" i="7"/>
  <c r="CLD9" i="7"/>
  <c r="CLC9" i="7"/>
  <c r="CLB9" i="7"/>
  <c r="CLA9" i="7"/>
  <c r="CKZ9" i="7"/>
  <c r="CKY9" i="7"/>
  <c r="CKX9" i="7"/>
  <c r="CKW9" i="7"/>
  <c r="CKV9" i="7"/>
  <c r="CKU9" i="7"/>
  <c r="CKT9" i="7"/>
  <c r="CKS9" i="7"/>
  <c r="CKR9" i="7"/>
  <c r="CKQ9" i="7"/>
  <c r="CKP9" i="7"/>
  <c r="CKO9" i="7"/>
  <c r="CKN9" i="7"/>
  <c r="CKM9" i="7"/>
  <c r="CKL9" i="7"/>
  <c r="CKK9" i="7"/>
  <c r="CKJ9" i="7"/>
  <c r="CKI9" i="7"/>
  <c r="CKH9" i="7"/>
  <c r="CKG9" i="7"/>
  <c r="CKF9" i="7"/>
  <c r="CKE9" i="7"/>
  <c r="CKD9" i="7"/>
  <c r="CKC9" i="7"/>
  <c r="CKB9" i="7"/>
  <c r="CKA9" i="7"/>
  <c r="CJZ9" i="7"/>
  <c r="CJY9" i="7"/>
  <c r="CJX9" i="7"/>
  <c r="CJW9" i="7"/>
  <c r="CJV9" i="7"/>
  <c r="CJU9" i="7"/>
  <c r="CJT9" i="7"/>
  <c r="CJS9" i="7"/>
  <c r="CJR9" i="7"/>
  <c r="CJQ9" i="7"/>
  <c r="CJP9" i="7"/>
  <c r="CJO9" i="7"/>
  <c r="CJN9" i="7"/>
  <c r="CJM9" i="7"/>
  <c r="CJL9" i="7"/>
  <c r="CJK9" i="7"/>
  <c r="CJJ9" i="7"/>
  <c r="CJI9" i="7"/>
  <c r="CJH9" i="7"/>
  <c r="CJG9" i="7"/>
  <c r="CJF9" i="7"/>
  <c r="CJE9" i="7"/>
  <c r="CJD9" i="7"/>
  <c r="CJC9" i="7"/>
  <c r="CJB9" i="7"/>
  <c r="CJA9" i="7"/>
  <c r="CIZ9" i="7"/>
  <c r="CIY9" i="7"/>
  <c r="CIX9" i="7"/>
  <c r="CIW9" i="7"/>
  <c r="CIV9" i="7"/>
  <c r="CIU9" i="7"/>
  <c r="CIT9" i="7"/>
  <c r="CIS9" i="7"/>
  <c r="CIR9" i="7"/>
  <c r="CIQ9" i="7"/>
  <c r="CIP9" i="7"/>
  <c r="CIO9" i="7"/>
  <c r="CIN9" i="7"/>
  <c r="CIM9" i="7"/>
  <c r="CIL9" i="7"/>
  <c r="CIK9" i="7"/>
  <c r="CIJ9" i="7"/>
  <c r="CII9" i="7"/>
  <c r="CIH9" i="7"/>
  <c r="CIG9" i="7"/>
  <c r="CIF9" i="7"/>
  <c r="CIE9" i="7"/>
  <c r="CID9" i="7"/>
  <c r="CIC9" i="7"/>
  <c r="CIB9" i="7"/>
  <c r="CIA9" i="7"/>
  <c r="CHZ9" i="7"/>
  <c r="CHY9" i="7"/>
  <c r="CHX9" i="7"/>
  <c r="CHW9" i="7"/>
  <c r="CHV9" i="7"/>
  <c r="CHU9" i="7"/>
  <c r="CHT9" i="7"/>
  <c r="CHS9" i="7"/>
  <c r="CHR9" i="7"/>
  <c r="CHQ9" i="7"/>
  <c r="CHP9" i="7"/>
  <c r="CHO9" i="7"/>
  <c r="CHN9" i="7"/>
  <c r="CHM9" i="7"/>
  <c r="CHL9" i="7"/>
  <c r="CHK9" i="7"/>
  <c r="CHJ9" i="7"/>
  <c r="CHI9" i="7"/>
  <c r="CHH9" i="7"/>
  <c r="CHG9" i="7"/>
  <c r="CHF9" i="7"/>
  <c r="CHE9" i="7"/>
  <c r="CHD9" i="7"/>
  <c r="CHC9" i="7"/>
  <c r="CHB9" i="7"/>
  <c r="CHA9" i="7"/>
  <c r="CGZ9" i="7"/>
  <c r="CGY9" i="7"/>
  <c r="CGX9" i="7"/>
  <c r="CGW9" i="7"/>
  <c r="CGV9" i="7"/>
  <c r="CGU9" i="7"/>
  <c r="CGT9" i="7"/>
  <c r="CGS9" i="7"/>
  <c r="CGR9" i="7"/>
  <c r="CGQ9" i="7"/>
  <c r="CGP9" i="7"/>
  <c r="CGO9" i="7"/>
  <c r="CGN9" i="7"/>
  <c r="CGM9" i="7"/>
  <c r="CGL9" i="7"/>
  <c r="CGK9" i="7"/>
  <c r="CGJ9" i="7"/>
  <c r="CGI9" i="7"/>
  <c r="CGH9" i="7"/>
  <c r="CGG9" i="7"/>
  <c r="CGF9" i="7"/>
  <c r="CGE9" i="7"/>
  <c r="CGD9" i="7"/>
  <c r="CGC9" i="7"/>
  <c r="CGB9" i="7"/>
  <c r="CGA9" i="7"/>
  <c r="CFZ9" i="7"/>
  <c r="CFY9" i="7"/>
  <c r="CFX9" i="7"/>
  <c r="CFW9" i="7"/>
  <c r="CFV9" i="7"/>
  <c r="CFU9" i="7"/>
  <c r="CFT9" i="7"/>
  <c r="CFS9" i="7"/>
  <c r="CFR9" i="7"/>
  <c r="CFQ9" i="7"/>
  <c r="CFP9" i="7"/>
  <c r="CFO9" i="7"/>
  <c r="CFN9" i="7"/>
  <c r="CFM9" i="7"/>
  <c r="CFL9" i="7"/>
  <c r="CFK9" i="7"/>
  <c r="CFJ9" i="7"/>
  <c r="CFI9" i="7"/>
  <c r="CFH9" i="7"/>
  <c r="CFG9" i="7"/>
  <c r="CFF9" i="7"/>
  <c r="CFE9" i="7"/>
  <c r="CFD9" i="7"/>
  <c r="CFC9" i="7"/>
  <c r="CFB9" i="7"/>
  <c r="CFA9" i="7"/>
  <c r="CEZ9" i="7"/>
  <c r="CEY9" i="7"/>
  <c r="CEX9" i="7"/>
  <c r="CEW9" i="7"/>
  <c r="CEV9" i="7"/>
  <c r="CEU9" i="7"/>
  <c r="CET9" i="7"/>
  <c r="CES9" i="7"/>
  <c r="CER9" i="7"/>
  <c r="CEQ9" i="7"/>
  <c r="CEP9" i="7"/>
  <c r="CEO9" i="7"/>
  <c r="CEN9" i="7"/>
  <c r="CEM9" i="7"/>
  <c r="CEL9" i="7"/>
  <c r="CEK9" i="7"/>
  <c r="CEJ9" i="7"/>
  <c r="CEI9" i="7"/>
  <c r="CEH9" i="7"/>
  <c r="CEG9" i="7"/>
  <c r="CEF9" i="7"/>
  <c r="CEE9" i="7"/>
  <c r="CED9" i="7"/>
  <c r="CEC9" i="7"/>
  <c r="CEB9" i="7"/>
  <c r="CEA9" i="7"/>
  <c r="CDZ9" i="7"/>
  <c r="CDY9" i="7"/>
  <c r="CDX9" i="7"/>
  <c r="CDW9" i="7"/>
  <c r="CDV9" i="7"/>
  <c r="CDU9" i="7"/>
  <c r="CDT9" i="7"/>
  <c r="CDS9" i="7"/>
  <c r="CDR9" i="7"/>
  <c r="CDQ9" i="7"/>
  <c r="CDP9" i="7"/>
  <c r="CDO9" i="7"/>
  <c r="CDN9" i="7"/>
  <c r="CDM9" i="7"/>
  <c r="CDL9" i="7"/>
  <c r="CDK9" i="7"/>
  <c r="CDJ9" i="7"/>
  <c r="CDI9" i="7"/>
  <c r="CDH9" i="7"/>
  <c r="CDG9" i="7"/>
  <c r="CDF9" i="7"/>
  <c r="CDE9" i="7"/>
  <c r="CDD9" i="7"/>
  <c r="CDC9" i="7"/>
  <c r="CDB9" i="7"/>
  <c r="CDA9" i="7"/>
  <c r="CCZ9" i="7"/>
  <c r="CCY9" i="7"/>
  <c r="CCX9" i="7"/>
  <c r="CCW9" i="7"/>
  <c r="CCV9" i="7"/>
  <c r="CCU9" i="7"/>
  <c r="CCT9" i="7"/>
  <c r="CCS9" i="7"/>
  <c r="CCR9" i="7"/>
  <c r="CCQ9" i="7"/>
  <c r="CCP9" i="7"/>
  <c r="CCO9" i="7"/>
  <c r="CCN9" i="7"/>
  <c r="CCM9" i="7"/>
  <c r="CCL9" i="7"/>
  <c r="CCK9" i="7"/>
  <c r="CCJ9" i="7"/>
  <c r="CCI9" i="7"/>
  <c r="CCH9" i="7"/>
  <c r="CCG9" i="7"/>
  <c r="CCF9" i="7"/>
  <c r="CCE9" i="7"/>
  <c r="CCD9" i="7"/>
  <c r="CCC9" i="7"/>
  <c r="CCB9" i="7"/>
  <c r="CCA9" i="7"/>
  <c r="CBZ9" i="7"/>
  <c r="CBY9" i="7"/>
  <c r="CBX9" i="7"/>
  <c r="CBW9" i="7"/>
  <c r="CBV9" i="7"/>
  <c r="CBU9" i="7"/>
  <c r="CBT9" i="7"/>
  <c r="CBS9" i="7"/>
  <c r="CBR9" i="7"/>
  <c r="CBQ9" i="7"/>
  <c r="CBP9" i="7"/>
  <c r="CBO9" i="7"/>
  <c r="CBN9" i="7"/>
  <c r="CBM9" i="7"/>
  <c r="CBL9" i="7"/>
  <c r="CBK9" i="7"/>
  <c r="CBJ9" i="7"/>
  <c r="CBI9" i="7"/>
  <c r="CBH9" i="7"/>
  <c r="CBG9" i="7"/>
  <c r="CBF9" i="7"/>
  <c r="CBE9" i="7"/>
  <c r="CBD9" i="7"/>
  <c r="CBC9" i="7"/>
  <c r="CBB9" i="7"/>
  <c r="CBA9" i="7"/>
  <c r="CAZ9" i="7"/>
  <c r="CAY9" i="7"/>
  <c r="CAX9" i="7"/>
  <c r="CAW9" i="7"/>
  <c r="CAV9" i="7"/>
  <c r="CAU9" i="7"/>
  <c r="CAT9" i="7"/>
  <c r="CAS9" i="7"/>
  <c r="CAR9" i="7"/>
  <c r="CAQ9" i="7"/>
  <c r="CAP9" i="7"/>
  <c r="CAO9" i="7"/>
  <c r="CAN9" i="7"/>
  <c r="CAM9" i="7"/>
  <c r="CAL9" i="7"/>
  <c r="CAK9" i="7"/>
  <c r="CAJ9" i="7"/>
  <c r="CAI9" i="7"/>
  <c r="CAH9" i="7"/>
  <c r="CAG9" i="7"/>
  <c r="CAF9" i="7"/>
  <c r="CAE9" i="7"/>
  <c r="CAD9" i="7"/>
  <c r="CAC9" i="7"/>
  <c r="CAB9" i="7"/>
  <c r="CAA9" i="7"/>
  <c r="BZZ9" i="7"/>
  <c r="BZY9" i="7"/>
  <c r="BZX9" i="7"/>
  <c r="BZW9" i="7"/>
  <c r="BZV9" i="7"/>
  <c r="BZU9" i="7"/>
  <c r="BZT9" i="7"/>
  <c r="BZS9" i="7"/>
  <c r="BZR9" i="7"/>
  <c r="BZQ9" i="7"/>
  <c r="BZP9" i="7"/>
  <c r="BZO9" i="7"/>
  <c r="BZN9" i="7"/>
  <c r="BZM9" i="7"/>
  <c r="BZL9" i="7"/>
  <c r="BZK9" i="7"/>
  <c r="BZJ9" i="7"/>
  <c r="BZI9" i="7"/>
  <c r="BZH9" i="7"/>
  <c r="BZG9" i="7"/>
  <c r="BZF9" i="7"/>
  <c r="BZE9" i="7"/>
  <c r="BZD9" i="7"/>
  <c r="BZC9" i="7"/>
  <c r="BZB9" i="7"/>
  <c r="BZA9" i="7"/>
  <c r="BYZ9" i="7"/>
  <c r="BYY9" i="7"/>
  <c r="BYX9" i="7"/>
  <c r="BYW9" i="7"/>
  <c r="BYV9" i="7"/>
  <c r="BYU9" i="7"/>
  <c r="BYT9" i="7"/>
  <c r="BYS9" i="7"/>
  <c r="BYR9" i="7"/>
  <c r="BYQ9" i="7"/>
  <c r="BYP9" i="7"/>
  <c r="BYO9" i="7"/>
  <c r="BYN9" i="7"/>
  <c r="BYM9" i="7"/>
  <c r="BYL9" i="7"/>
  <c r="BYK9" i="7"/>
  <c r="BYJ9" i="7"/>
  <c r="BYI9" i="7"/>
  <c r="BYH9" i="7"/>
  <c r="BYG9" i="7"/>
  <c r="BYF9" i="7"/>
  <c r="BYE9" i="7"/>
  <c r="BYD9" i="7"/>
  <c r="BYC9" i="7"/>
  <c r="BYB9" i="7"/>
  <c r="BYA9" i="7"/>
  <c r="BXZ9" i="7"/>
  <c r="BXY9" i="7"/>
  <c r="BXX9" i="7"/>
  <c r="BXW9" i="7"/>
  <c r="BXV9" i="7"/>
  <c r="BXU9" i="7"/>
  <c r="BXT9" i="7"/>
  <c r="BXS9" i="7"/>
  <c r="BXR9" i="7"/>
  <c r="BXQ9" i="7"/>
  <c r="BXP9" i="7"/>
  <c r="BXO9" i="7"/>
  <c r="BXN9" i="7"/>
  <c r="BXM9" i="7"/>
  <c r="BXL9" i="7"/>
  <c r="BXK9" i="7"/>
  <c r="BXJ9" i="7"/>
  <c r="BXI9" i="7"/>
  <c r="BXH9" i="7"/>
  <c r="BXG9" i="7"/>
  <c r="BXF9" i="7"/>
  <c r="BXE9" i="7"/>
  <c r="BXD9" i="7"/>
  <c r="BXC9" i="7"/>
  <c r="BXB9" i="7"/>
  <c r="BXA9" i="7"/>
  <c r="BWZ9" i="7"/>
  <c r="BWY9" i="7"/>
  <c r="BWX9" i="7"/>
  <c r="BWW9" i="7"/>
  <c r="BWV9" i="7"/>
  <c r="BWU9" i="7"/>
  <c r="BWT9" i="7"/>
  <c r="BWS9" i="7"/>
  <c r="BWR9" i="7"/>
  <c r="BWQ9" i="7"/>
  <c r="BWP9" i="7"/>
  <c r="BWO9" i="7"/>
  <c r="BWN9" i="7"/>
  <c r="BWM9" i="7"/>
  <c r="BWL9" i="7"/>
  <c r="BWK9" i="7"/>
  <c r="BWJ9" i="7"/>
  <c r="BWI9" i="7"/>
  <c r="BWH9" i="7"/>
  <c r="BWG9" i="7"/>
  <c r="BWF9" i="7"/>
  <c r="BWE9" i="7"/>
  <c r="BWD9" i="7"/>
  <c r="BWC9" i="7"/>
  <c r="BWB9" i="7"/>
  <c r="BWA9" i="7"/>
  <c r="BVZ9" i="7"/>
  <c r="BVY9" i="7"/>
  <c r="BVX9" i="7"/>
  <c r="BVW9" i="7"/>
  <c r="BVV9" i="7"/>
  <c r="BVU9" i="7"/>
  <c r="BVT9" i="7"/>
  <c r="BVS9" i="7"/>
  <c r="BVR9" i="7"/>
  <c r="BVQ9" i="7"/>
  <c r="BVP9" i="7"/>
  <c r="BVO9" i="7"/>
  <c r="BVN9" i="7"/>
  <c r="BVM9" i="7"/>
  <c r="BVL9" i="7"/>
  <c r="BVK9" i="7"/>
  <c r="BVJ9" i="7"/>
  <c r="BVI9" i="7"/>
  <c r="BVH9" i="7"/>
  <c r="BVG9" i="7"/>
  <c r="BVF9" i="7"/>
  <c r="BVE9" i="7"/>
  <c r="BVD9" i="7"/>
  <c r="BVC9" i="7"/>
  <c r="BVB9" i="7"/>
  <c r="BVA9" i="7"/>
  <c r="BUZ9" i="7"/>
  <c r="BUY9" i="7"/>
  <c r="BUX9" i="7"/>
  <c r="BUW9" i="7"/>
  <c r="BUV9" i="7"/>
  <c r="BUU9" i="7"/>
  <c r="BUT9" i="7"/>
  <c r="BUS9" i="7"/>
  <c r="BUR9" i="7"/>
  <c r="BUQ9" i="7"/>
  <c r="BUP9" i="7"/>
  <c r="BUO9" i="7"/>
  <c r="BUN9" i="7"/>
  <c r="BUM9" i="7"/>
  <c r="BUL9" i="7"/>
  <c r="BUK9" i="7"/>
  <c r="BUJ9" i="7"/>
  <c r="BUI9" i="7"/>
  <c r="BUH9" i="7"/>
  <c r="BUG9" i="7"/>
  <c r="BUF9" i="7"/>
  <c r="BUE9" i="7"/>
  <c r="BUD9" i="7"/>
  <c r="BUC9" i="7"/>
  <c r="BUB9" i="7"/>
  <c r="BUA9" i="7"/>
  <c r="BTZ9" i="7"/>
  <c r="BTY9" i="7"/>
  <c r="BTX9" i="7"/>
  <c r="BTW9" i="7"/>
  <c r="BTV9" i="7"/>
  <c r="BTU9" i="7"/>
  <c r="BTT9" i="7"/>
  <c r="BTS9" i="7"/>
  <c r="BTR9" i="7"/>
  <c r="BTQ9" i="7"/>
  <c r="BTP9" i="7"/>
  <c r="BTO9" i="7"/>
  <c r="BTN9" i="7"/>
  <c r="BTM9" i="7"/>
  <c r="BTL9" i="7"/>
  <c r="BTK9" i="7"/>
  <c r="BTJ9" i="7"/>
  <c r="BTI9" i="7"/>
  <c r="BTH9" i="7"/>
  <c r="BTG9" i="7"/>
  <c r="BTF9" i="7"/>
  <c r="BTE9" i="7"/>
  <c r="BTD9" i="7"/>
  <c r="BTC9" i="7"/>
  <c r="BTB9" i="7"/>
  <c r="BTA9" i="7"/>
  <c r="BSZ9" i="7"/>
  <c r="BSY9" i="7"/>
  <c r="BSX9" i="7"/>
  <c r="BSW9" i="7"/>
  <c r="BSV9" i="7"/>
  <c r="BSU9" i="7"/>
  <c r="BST9" i="7"/>
  <c r="BSS9" i="7"/>
  <c r="BSR9" i="7"/>
  <c r="BSQ9" i="7"/>
  <c r="BSP9" i="7"/>
  <c r="BSO9" i="7"/>
  <c r="BSN9" i="7"/>
  <c r="BSM9" i="7"/>
  <c r="BSL9" i="7"/>
  <c r="BSK9" i="7"/>
  <c r="BSJ9" i="7"/>
  <c r="BSI9" i="7"/>
  <c r="BSH9" i="7"/>
  <c r="BSG9" i="7"/>
  <c r="BSF9" i="7"/>
  <c r="BSE9" i="7"/>
  <c r="BSD9" i="7"/>
  <c r="BSC9" i="7"/>
  <c r="BSB9" i="7"/>
  <c r="BSA9" i="7"/>
  <c r="BRZ9" i="7"/>
  <c r="BRY9" i="7"/>
  <c r="BRX9" i="7"/>
  <c r="BRW9" i="7"/>
  <c r="BRV9" i="7"/>
  <c r="BRU9" i="7"/>
  <c r="BRT9" i="7"/>
  <c r="BRS9" i="7"/>
  <c r="BRR9" i="7"/>
  <c r="BRQ9" i="7"/>
  <c r="BRP9" i="7"/>
  <c r="BRO9" i="7"/>
  <c r="BRN9" i="7"/>
  <c r="BRM9" i="7"/>
  <c r="BRL9" i="7"/>
  <c r="BRK9" i="7"/>
  <c r="BRJ9" i="7"/>
  <c r="BRI9" i="7"/>
  <c r="BRH9" i="7"/>
  <c r="BRG9" i="7"/>
  <c r="BRF9" i="7"/>
  <c r="BRE9" i="7"/>
  <c r="BRD9" i="7"/>
  <c r="BRC9" i="7"/>
  <c r="BRB9" i="7"/>
  <c r="BRA9" i="7"/>
  <c r="BQZ9" i="7"/>
  <c r="BQY9" i="7"/>
  <c r="BQX9" i="7"/>
  <c r="BQW9" i="7"/>
  <c r="BQV9" i="7"/>
  <c r="BQU9" i="7"/>
  <c r="BQT9" i="7"/>
  <c r="BQS9" i="7"/>
  <c r="BQR9" i="7"/>
  <c r="BQQ9" i="7"/>
  <c r="BQP9" i="7"/>
  <c r="BQO9" i="7"/>
  <c r="BQN9" i="7"/>
  <c r="BQM9" i="7"/>
  <c r="BQL9" i="7"/>
  <c r="BQK9" i="7"/>
  <c r="BQJ9" i="7"/>
  <c r="BQI9" i="7"/>
  <c r="BQH9" i="7"/>
  <c r="BQG9" i="7"/>
  <c r="BQF9" i="7"/>
  <c r="BQE9" i="7"/>
  <c r="BQD9" i="7"/>
  <c r="BQC9" i="7"/>
  <c r="BQB9" i="7"/>
  <c r="BQA9" i="7"/>
  <c r="BPZ9" i="7"/>
  <c r="BPY9" i="7"/>
  <c r="BPX9" i="7"/>
  <c r="BPW9" i="7"/>
  <c r="BPV9" i="7"/>
  <c r="BPU9" i="7"/>
  <c r="BPT9" i="7"/>
  <c r="BPS9" i="7"/>
  <c r="BPR9" i="7"/>
  <c r="BPQ9" i="7"/>
  <c r="BPP9" i="7"/>
  <c r="BPO9" i="7"/>
  <c r="BPN9" i="7"/>
  <c r="BPM9" i="7"/>
  <c r="BPL9" i="7"/>
  <c r="BPK9" i="7"/>
  <c r="BPJ9" i="7"/>
  <c r="BPI9" i="7"/>
  <c r="BPH9" i="7"/>
  <c r="BPG9" i="7"/>
  <c r="BPF9" i="7"/>
  <c r="BPE9" i="7"/>
  <c r="BPD9" i="7"/>
  <c r="BPC9" i="7"/>
  <c r="BPB9" i="7"/>
  <c r="BPA9" i="7"/>
  <c r="BOZ9" i="7"/>
  <c r="BOY9" i="7"/>
  <c r="BOX9" i="7"/>
  <c r="BOW9" i="7"/>
  <c r="BOV9" i="7"/>
  <c r="BOU9" i="7"/>
  <c r="BOT9" i="7"/>
  <c r="BOS9" i="7"/>
  <c r="BOR9" i="7"/>
  <c r="BOQ9" i="7"/>
  <c r="BOP9" i="7"/>
  <c r="BOO9" i="7"/>
  <c r="BON9" i="7"/>
  <c r="BOM9" i="7"/>
  <c r="BOL9" i="7"/>
  <c r="BOK9" i="7"/>
  <c r="BOJ9" i="7"/>
  <c r="BOI9" i="7"/>
  <c r="BOH9" i="7"/>
  <c r="BOG9" i="7"/>
  <c r="BOF9" i="7"/>
  <c r="BOE9" i="7"/>
  <c r="BOD9" i="7"/>
  <c r="BOC9" i="7"/>
  <c r="BOB9" i="7"/>
  <c r="BOA9" i="7"/>
  <c r="BNZ9" i="7"/>
  <c r="BNY9" i="7"/>
  <c r="BNX9" i="7"/>
  <c r="BNW9" i="7"/>
  <c r="BNV9" i="7"/>
  <c r="BNU9" i="7"/>
  <c r="BNT9" i="7"/>
  <c r="BNS9" i="7"/>
  <c r="BNR9" i="7"/>
  <c r="BNQ9" i="7"/>
  <c r="BNP9" i="7"/>
  <c r="BNO9" i="7"/>
  <c r="BNN9" i="7"/>
  <c r="BNM9" i="7"/>
  <c r="BNL9" i="7"/>
  <c r="BNK9" i="7"/>
  <c r="BNJ9" i="7"/>
  <c r="BNI9" i="7"/>
  <c r="BNH9" i="7"/>
  <c r="BNG9" i="7"/>
  <c r="BNF9" i="7"/>
  <c r="BNE9" i="7"/>
  <c r="BND9" i="7"/>
  <c r="BNC9" i="7"/>
  <c r="BNB9" i="7"/>
  <c r="BNA9" i="7"/>
  <c r="BMZ9" i="7"/>
  <c r="BMY9" i="7"/>
  <c r="BMX9" i="7"/>
  <c r="BMW9" i="7"/>
  <c r="BMV9" i="7"/>
  <c r="BMU9" i="7"/>
  <c r="BMT9" i="7"/>
  <c r="BMS9" i="7"/>
  <c r="BMR9" i="7"/>
  <c r="BMQ9" i="7"/>
  <c r="BMP9" i="7"/>
  <c r="BMO9" i="7"/>
  <c r="BMN9" i="7"/>
  <c r="BMM9" i="7"/>
  <c r="BML9" i="7"/>
  <c r="BMK9" i="7"/>
  <c r="BMJ9" i="7"/>
  <c r="BMI9" i="7"/>
  <c r="BMH9" i="7"/>
  <c r="BMG9" i="7"/>
  <c r="BMF9" i="7"/>
  <c r="BME9" i="7"/>
  <c r="BMD9" i="7"/>
  <c r="BMC9" i="7"/>
  <c r="BMB9" i="7"/>
  <c r="BMA9" i="7"/>
  <c r="BLZ9" i="7"/>
  <c r="BLY9" i="7"/>
  <c r="BLX9" i="7"/>
  <c r="BLW9" i="7"/>
  <c r="BLV9" i="7"/>
  <c r="BLU9" i="7"/>
  <c r="BLT9" i="7"/>
  <c r="BLS9" i="7"/>
  <c r="BLR9" i="7"/>
  <c r="BLQ9" i="7"/>
  <c r="BLP9" i="7"/>
  <c r="BLO9" i="7"/>
  <c r="BLN9" i="7"/>
  <c r="BLM9" i="7"/>
  <c r="BLL9" i="7"/>
  <c r="BLK9" i="7"/>
  <c r="BLJ9" i="7"/>
  <c r="BLI9" i="7"/>
  <c r="BLH9" i="7"/>
  <c r="BLG9" i="7"/>
  <c r="BLF9" i="7"/>
  <c r="BLE9" i="7"/>
  <c r="BLD9" i="7"/>
  <c r="BLC9" i="7"/>
  <c r="BLB9" i="7"/>
  <c r="BLA9" i="7"/>
  <c r="BKZ9" i="7"/>
  <c r="BKY9" i="7"/>
  <c r="BKX9" i="7"/>
  <c r="BKW9" i="7"/>
  <c r="BKV9" i="7"/>
  <c r="BKU9" i="7"/>
  <c r="BKT9" i="7"/>
  <c r="BKS9" i="7"/>
  <c r="BKR9" i="7"/>
  <c r="BKQ9" i="7"/>
  <c r="BKP9" i="7"/>
  <c r="BKO9" i="7"/>
  <c r="BKN9" i="7"/>
  <c r="BKM9" i="7"/>
  <c r="BKL9" i="7"/>
  <c r="BKK9" i="7"/>
  <c r="BKJ9" i="7"/>
  <c r="BKI9" i="7"/>
  <c r="BKH9" i="7"/>
  <c r="BKG9" i="7"/>
  <c r="BKF9" i="7"/>
  <c r="BKE9" i="7"/>
  <c r="BKD9" i="7"/>
  <c r="BKC9" i="7"/>
  <c r="BKB9" i="7"/>
  <c r="BKA9" i="7"/>
  <c r="BJZ9" i="7"/>
  <c r="BJY9" i="7"/>
  <c r="BJX9" i="7"/>
  <c r="BJW9" i="7"/>
  <c r="BJV9" i="7"/>
  <c r="BJU9" i="7"/>
  <c r="BJT9" i="7"/>
  <c r="BJS9" i="7"/>
  <c r="BJR9" i="7"/>
  <c r="BJQ9" i="7"/>
  <c r="BJP9" i="7"/>
  <c r="BJO9" i="7"/>
  <c r="BJN9" i="7"/>
  <c r="BJM9" i="7"/>
  <c r="BJL9" i="7"/>
  <c r="BJK9" i="7"/>
  <c r="BJJ9" i="7"/>
  <c r="BJI9" i="7"/>
  <c r="BJH9" i="7"/>
  <c r="BJG9" i="7"/>
  <c r="BJF9" i="7"/>
  <c r="BJE9" i="7"/>
  <c r="BJD9" i="7"/>
  <c r="BJC9" i="7"/>
  <c r="BJB9" i="7"/>
  <c r="BJA9" i="7"/>
  <c r="BIZ9" i="7"/>
  <c r="BIY9" i="7"/>
  <c r="BIX9" i="7"/>
  <c r="BIW9" i="7"/>
  <c r="BIV9" i="7"/>
  <c r="BIU9" i="7"/>
  <c r="BIT9" i="7"/>
  <c r="BIS9" i="7"/>
  <c r="BIR9" i="7"/>
  <c r="BIQ9" i="7"/>
  <c r="BIP9" i="7"/>
  <c r="BIO9" i="7"/>
  <c r="BIN9" i="7"/>
  <c r="BIM9" i="7"/>
  <c r="BIL9" i="7"/>
  <c r="BIK9" i="7"/>
  <c r="BIJ9" i="7"/>
  <c r="BII9" i="7"/>
  <c r="BIH9" i="7"/>
  <c r="BIG9" i="7"/>
  <c r="BIF9" i="7"/>
  <c r="BIE9" i="7"/>
  <c r="BID9" i="7"/>
  <c r="BIC9" i="7"/>
  <c r="BIB9" i="7"/>
  <c r="BIA9" i="7"/>
  <c r="BHZ9" i="7"/>
  <c r="BHY9" i="7"/>
  <c r="BHX9" i="7"/>
  <c r="BHW9" i="7"/>
  <c r="BHV9" i="7"/>
  <c r="BHU9" i="7"/>
  <c r="BHT9" i="7"/>
  <c r="BHS9" i="7"/>
  <c r="BHR9" i="7"/>
  <c r="BHQ9" i="7"/>
  <c r="BHP9" i="7"/>
  <c r="BHO9" i="7"/>
  <c r="BHN9" i="7"/>
  <c r="BHM9" i="7"/>
  <c r="BHL9" i="7"/>
  <c r="BHK9" i="7"/>
  <c r="BHJ9" i="7"/>
  <c r="BHI9" i="7"/>
  <c r="BHH9" i="7"/>
  <c r="BHG9" i="7"/>
  <c r="BHF9" i="7"/>
  <c r="BHE9" i="7"/>
  <c r="BHD9" i="7"/>
  <c r="BHC9" i="7"/>
  <c r="BHB9" i="7"/>
  <c r="BHA9" i="7"/>
  <c r="BGZ9" i="7"/>
  <c r="BGY9" i="7"/>
  <c r="BGX9" i="7"/>
  <c r="BGW9" i="7"/>
  <c r="BGV9" i="7"/>
  <c r="BGU9" i="7"/>
  <c r="BGT9" i="7"/>
  <c r="BGS9" i="7"/>
  <c r="BGR9" i="7"/>
  <c r="BGQ9" i="7"/>
  <c r="BGP9" i="7"/>
  <c r="BGO9" i="7"/>
  <c r="BGN9" i="7"/>
  <c r="BGM9" i="7"/>
  <c r="BGL9" i="7"/>
  <c r="BGK9" i="7"/>
  <c r="BGJ9" i="7"/>
  <c r="BGI9" i="7"/>
  <c r="BGH9" i="7"/>
  <c r="BGG9" i="7"/>
  <c r="BGF9" i="7"/>
  <c r="BGE9" i="7"/>
  <c r="BGD9" i="7"/>
  <c r="BGC9" i="7"/>
  <c r="BGB9" i="7"/>
  <c r="BGA9" i="7"/>
  <c r="BFZ9" i="7"/>
  <c r="BFY9" i="7"/>
  <c r="BFX9" i="7"/>
  <c r="BFW9" i="7"/>
  <c r="BFV9" i="7"/>
  <c r="BFU9" i="7"/>
  <c r="BFT9" i="7"/>
  <c r="BFS9" i="7"/>
  <c r="BFR9" i="7"/>
  <c r="BFQ9" i="7"/>
  <c r="BFP9" i="7"/>
  <c r="BFO9" i="7"/>
  <c r="BFN9" i="7"/>
  <c r="BFM9" i="7"/>
  <c r="BFL9" i="7"/>
  <c r="BFK9" i="7"/>
  <c r="BFJ9" i="7"/>
  <c r="BFI9" i="7"/>
  <c r="BFH9" i="7"/>
  <c r="BFG9" i="7"/>
  <c r="BFF9" i="7"/>
  <c r="BFE9" i="7"/>
  <c r="BFD9" i="7"/>
  <c r="BFC9" i="7"/>
  <c r="BFB9" i="7"/>
  <c r="BFA9" i="7"/>
  <c r="BEZ9" i="7"/>
  <c r="BEY9" i="7"/>
  <c r="BEX9" i="7"/>
  <c r="BEW9" i="7"/>
  <c r="BEV9" i="7"/>
  <c r="BEU9" i="7"/>
  <c r="BET9" i="7"/>
  <c r="BES9" i="7"/>
  <c r="BER9" i="7"/>
  <c r="BEQ9" i="7"/>
  <c r="BEP9" i="7"/>
  <c r="BEO9" i="7"/>
  <c r="BEN9" i="7"/>
  <c r="BEM9" i="7"/>
  <c r="BEL9" i="7"/>
  <c r="BEK9" i="7"/>
  <c r="BEJ9" i="7"/>
  <c r="BEI9" i="7"/>
  <c r="BEH9" i="7"/>
  <c r="BEG9" i="7"/>
  <c r="BEF9" i="7"/>
  <c r="BEE9" i="7"/>
  <c r="BED9" i="7"/>
  <c r="BEC9" i="7"/>
  <c r="BEB9" i="7"/>
  <c r="BEA9" i="7"/>
  <c r="BDZ9" i="7"/>
  <c r="BDY9" i="7"/>
  <c r="BDX9" i="7"/>
  <c r="BDW9" i="7"/>
  <c r="BDV9" i="7"/>
  <c r="BDU9" i="7"/>
  <c r="BDT9" i="7"/>
  <c r="BDS9" i="7"/>
  <c r="BDR9" i="7"/>
  <c r="BDQ9" i="7"/>
  <c r="BDP9" i="7"/>
  <c r="BDO9" i="7"/>
  <c r="BDN9" i="7"/>
  <c r="BDM9" i="7"/>
  <c r="BDL9" i="7"/>
  <c r="BDK9" i="7"/>
  <c r="BDJ9" i="7"/>
  <c r="BDI9" i="7"/>
  <c r="BDH9" i="7"/>
  <c r="BDG9" i="7"/>
  <c r="BDF9" i="7"/>
  <c r="BDE9" i="7"/>
  <c r="BDD9" i="7"/>
  <c r="BDC9" i="7"/>
  <c r="BDB9" i="7"/>
  <c r="BDA9" i="7"/>
  <c r="BCZ9" i="7"/>
  <c r="BCY9" i="7"/>
  <c r="BCX9" i="7"/>
  <c r="BCW9" i="7"/>
  <c r="BCV9" i="7"/>
  <c r="BCU9" i="7"/>
  <c r="BCT9" i="7"/>
  <c r="BCS9" i="7"/>
  <c r="BCR9" i="7"/>
  <c r="BCQ9" i="7"/>
  <c r="BCP9" i="7"/>
  <c r="BCO9" i="7"/>
  <c r="BCN9" i="7"/>
  <c r="BCM9" i="7"/>
  <c r="BCL9" i="7"/>
  <c r="BCK9" i="7"/>
  <c r="BCJ9" i="7"/>
  <c r="BCI9" i="7"/>
  <c r="BCH9" i="7"/>
  <c r="BCG9" i="7"/>
  <c r="BCF9" i="7"/>
  <c r="BCE9" i="7"/>
  <c r="BCD9" i="7"/>
  <c r="BCC9" i="7"/>
  <c r="BCB9" i="7"/>
  <c r="BCA9" i="7"/>
  <c r="BBZ9" i="7"/>
  <c r="BBY9" i="7"/>
  <c r="BBX9" i="7"/>
  <c r="BBW9" i="7"/>
  <c r="BBV9" i="7"/>
  <c r="BBU9" i="7"/>
  <c r="BBT9" i="7"/>
  <c r="BBS9" i="7"/>
  <c r="BBR9" i="7"/>
  <c r="BBQ9" i="7"/>
  <c r="BBP9" i="7"/>
  <c r="BBO9" i="7"/>
  <c r="BBN9" i="7"/>
  <c r="BBM9" i="7"/>
  <c r="BBL9" i="7"/>
  <c r="BBK9" i="7"/>
  <c r="BBJ9" i="7"/>
  <c r="BBI9" i="7"/>
  <c r="BBH9" i="7"/>
  <c r="BBG9" i="7"/>
  <c r="BBF9" i="7"/>
  <c r="BBE9" i="7"/>
  <c r="BBD9" i="7"/>
  <c r="BBC9" i="7"/>
  <c r="BBB9" i="7"/>
  <c r="BBA9" i="7"/>
  <c r="BAZ9" i="7"/>
  <c r="BAY9" i="7"/>
  <c r="BAX9" i="7"/>
  <c r="BAW9" i="7"/>
  <c r="BAV9" i="7"/>
  <c r="BAU9" i="7"/>
  <c r="BAT9" i="7"/>
  <c r="BAS9" i="7"/>
  <c r="BAR9" i="7"/>
  <c r="BAQ9" i="7"/>
  <c r="BAP9" i="7"/>
  <c r="BAO9" i="7"/>
  <c r="BAN9" i="7"/>
  <c r="BAM9" i="7"/>
  <c r="BAL9" i="7"/>
  <c r="BAK9" i="7"/>
  <c r="BAJ9" i="7"/>
  <c r="BAI9" i="7"/>
  <c r="BAH9" i="7"/>
  <c r="BAG9" i="7"/>
  <c r="BAF9" i="7"/>
  <c r="BAE9" i="7"/>
  <c r="BAD9" i="7"/>
  <c r="BAC9" i="7"/>
  <c r="BAB9" i="7"/>
  <c r="BAA9" i="7"/>
  <c r="AZZ9" i="7"/>
  <c r="AZY9" i="7"/>
  <c r="AZX9" i="7"/>
  <c r="AZW9" i="7"/>
  <c r="AZV9" i="7"/>
  <c r="AZU9" i="7"/>
  <c r="AZT9" i="7"/>
  <c r="AZS9" i="7"/>
  <c r="AZR9" i="7"/>
  <c r="AZQ9" i="7"/>
  <c r="AZP9" i="7"/>
  <c r="AZO9" i="7"/>
  <c r="AZN9" i="7"/>
  <c r="AZM9" i="7"/>
  <c r="AZL9" i="7"/>
  <c r="AZK9" i="7"/>
  <c r="AZJ9" i="7"/>
  <c r="AZI9" i="7"/>
  <c r="AZH9" i="7"/>
  <c r="AZG9" i="7"/>
  <c r="AZF9" i="7"/>
  <c r="AZE9" i="7"/>
  <c r="AZD9" i="7"/>
  <c r="AZC9" i="7"/>
  <c r="AZB9" i="7"/>
  <c r="AZA9" i="7"/>
  <c r="AYZ9" i="7"/>
  <c r="AYY9" i="7"/>
  <c r="AYX9" i="7"/>
  <c r="AYW9" i="7"/>
  <c r="AYV9" i="7"/>
  <c r="AYU9" i="7"/>
  <c r="AYT9" i="7"/>
  <c r="AYS9" i="7"/>
  <c r="AYR9" i="7"/>
  <c r="AYQ9" i="7"/>
  <c r="AYP9" i="7"/>
  <c r="AYO9" i="7"/>
  <c r="AYN9" i="7"/>
  <c r="AYM9" i="7"/>
  <c r="AYL9" i="7"/>
  <c r="AYK9" i="7"/>
  <c r="AYJ9" i="7"/>
  <c r="AYI9" i="7"/>
  <c r="AYH9" i="7"/>
  <c r="AYG9" i="7"/>
  <c r="AYF9" i="7"/>
  <c r="AYE9" i="7"/>
  <c r="AYD9" i="7"/>
  <c r="AYC9" i="7"/>
  <c r="AYB9" i="7"/>
  <c r="AYA9" i="7"/>
  <c r="AXZ9" i="7"/>
  <c r="AXY9" i="7"/>
  <c r="AXX9" i="7"/>
  <c r="AXW9" i="7"/>
  <c r="AXV9" i="7"/>
  <c r="AXU9" i="7"/>
  <c r="AXT9" i="7"/>
  <c r="AXS9" i="7"/>
  <c r="AXR9" i="7"/>
  <c r="AXQ9" i="7"/>
  <c r="AXP9" i="7"/>
  <c r="AXO9" i="7"/>
  <c r="AXN9" i="7"/>
  <c r="AXM9" i="7"/>
  <c r="AXL9" i="7"/>
  <c r="AXK9" i="7"/>
  <c r="AXJ9" i="7"/>
  <c r="AXI9" i="7"/>
  <c r="AXH9" i="7"/>
  <c r="AXG9" i="7"/>
  <c r="AXF9" i="7"/>
  <c r="AXE9" i="7"/>
  <c r="AXD9" i="7"/>
  <c r="AXC9" i="7"/>
  <c r="AXB9" i="7"/>
  <c r="AXA9" i="7"/>
  <c r="AWZ9" i="7"/>
  <c r="AWY9" i="7"/>
  <c r="AWX9" i="7"/>
  <c r="AWW9" i="7"/>
  <c r="AWV9" i="7"/>
  <c r="AWU9" i="7"/>
  <c r="AWT9" i="7"/>
  <c r="AWS9" i="7"/>
  <c r="AWR9" i="7"/>
  <c r="AWQ9" i="7"/>
  <c r="AWP9" i="7"/>
  <c r="AWO9" i="7"/>
  <c r="AWN9" i="7"/>
  <c r="AWM9" i="7"/>
  <c r="AWL9" i="7"/>
  <c r="AWK9" i="7"/>
  <c r="AWJ9" i="7"/>
  <c r="AWI9" i="7"/>
  <c r="AWH9" i="7"/>
  <c r="AWG9" i="7"/>
  <c r="AWF9" i="7"/>
  <c r="AWE9" i="7"/>
  <c r="AWD9" i="7"/>
  <c r="AWC9" i="7"/>
  <c r="AWB9" i="7"/>
  <c r="AWA9" i="7"/>
  <c r="AVZ9" i="7"/>
  <c r="AVY9" i="7"/>
  <c r="AVX9" i="7"/>
  <c r="AVW9" i="7"/>
  <c r="AVV9" i="7"/>
  <c r="AVU9" i="7"/>
  <c r="AVT9" i="7"/>
  <c r="AVS9" i="7"/>
  <c r="AVR9" i="7"/>
  <c r="AVQ9" i="7"/>
  <c r="AVP9" i="7"/>
  <c r="AVO9" i="7"/>
  <c r="AVN9" i="7"/>
  <c r="AVM9" i="7"/>
  <c r="AVL9" i="7"/>
  <c r="AVK9" i="7"/>
  <c r="AVJ9" i="7"/>
  <c r="AVI9" i="7"/>
  <c r="AVH9" i="7"/>
  <c r="AVG9" i="7"/>
  <c r="AVF9" i="7"/>
  <c r="AVE9" i="7"/>
  <c r="AVD9" i="7"/>
  <c r="AVC9" i="7"/>
  <c r="AVB9" i="7"/>
  <c r="AVA9" i="7"/>
  <c r="AUZ9" i="7"/>
  <c r="AUY9" i="7"/>
  <c r="AUX9" i="7"/>
  <c r="AUW9" i="7"/>
  <c r="AUV9" i="7"/>
  <c r="AUU9" i="7"/>
  <c r="AUT9" i="7"/>
  <c r="AUS9" i="7"/>
  <c r="AUR9" i="7"/>
  <c r="AUQ9" i="7"/>
  <c r="AUP9" i="7"/>
  <c r="AUO9" i="7"/>
  <c r="AUN9" i="7"/>
  <c r="AUM9" i="7"/>
  <c r="AUL9" i="7"/>
  <c r="AUK9" i="7"/>
  <c r="AUJ9" i="7"/>
  <c r="AUI9" i="7"/>
  <c r="AUH9" i="7"/>
  <c r="AUG9" i="7"/>
  <c r="AUF9" i="7"/>
  <c r="AUE9" i="7"/>
  <c r="AUD9" i="7"/>
  <c r="AUC9" i="7"/>
  <c r="AUB9" i="7"/>
  <c r="AUA9" i="7"/>
  <c r="ATZ9" i="7"/>
  <c r="ATY9" i="7"/>
  <c r="ATX9" i="7"/>
  <c r="ATW9" i="7"/>
  <c r="ATV9" i="7"/>
  <c r="ATU9" i="7"/>
  <c r="ATT9" i="7"/>
  <c r="ATS9" i="7"/>
  <c r="ATR9" i="7"/>
  <c r="ATQ9" i="7"/>
  <c r="ATP9" i="7"/>
  <c r="ATO9" i="7"/>
  <c r="ATN9" i="7"/>
  <c r="ATM9" i="7"/>
  <c r="ATL9" i="7"/>
  <c r="ATK9" i="7"/>
  <c r="ATJ9" i="7"/>
  <c r="ATI9" i="7"/>
  <c r="ATH9" i="7"/>
  <c r="ATG9" i="7"/>
  <c r="ATF9" i="7"/>
  <c r="ATE9" i="7"/>
  <c r="ATD9" i="7"/>
  <c r="ATC9" i="7"/>
  <c r="ATB9" i="7"/>
  <c r="ATA9" i="7"/>
  <c r="ASZ9" i="7"/>
  <c r="ASY9" i="7"/>
  <c r="ASX9" i="7"/>
  <c r="ASW9" i="7"/>
  <c r="ASV9" i="7"/>
  <c r="ASU9" i="7"/>
  <c r="AST9" i="7"/>
  <c r="ASS9" i="7"/>
  <c r="ASR9" i="7"/>
  <c r="ASQ9" i="7"/>
  <c r="ASP9" i="7"/>
  <c r="ASO9" i="7"/>
  <c r="ASN9" i="7"/>
  <c r="ASM9" i="7"/>
  <c r="ASL9" i="7"/>
  <c r="ASK9" i="7"/>
  <c r="ASJ9" i="7"/>
  <c r="ASI9" i="7"/>
  <c r="ASH9" i="7"/>
  <c r="ASG9" i="7"/>
  <c r="ASF9" i="7"/>
  <c r="ASE9" i="7"/>
  <c r="ASD9" i="7"/>
  <c r="ASC9" i="7"/>
  <c r="ASB9" i="7"/>
  <c r="ASA9" i="7"/>
  <c r="ARZ9" i="7"/>
  <c r="ARY9" i="7"/>
  <c r="ARX9" i="7"/>
  <c r="ARW9" i="7"/>
  <c r="ARV9" i="7"/>
  <c r="ARU9" i="7"/>
  <c r="ART9" i="7"/>
  <c r="ARS9" i="7"/>
  <c r="ARR9" i="7"/>
  <c r="ARQ9" i="7"/>
  <c r="ARP9" i="7"/>
  <c r="ARO9" i="7"/>
  <c r="ARN9" i="7"/>
  <c r="ARM9" i="7"/>
  <c r="ARL9" i="7"/>
  <c r="ARK9" i="7"/>
  <c r="ARJ9" i="7"/>
  <c r="ARI9" i="7"/>
  <c r="ARH9" i="7"/>
  <c r="ARG9" i="7"/>
  <c r="ARF9" i="7"/>
  <c r="ARE9" i="7"/>
  <c r="ARD9" i="7"/>
  <c r="ARC9" i="7"/>
  <c r="ARB9" i="7"/>
  <c r="ARA9" i="7"/>
  <c r="AQZ9" i="7"/>
  <c r="AQY9" i="7"/>
  <c r="AQX9" i="7"/>
  <c r="AQW9" i="7"/>
  <c r="AQV9" i="7"/>
  <c r="AQU9" i="7"/>
  <c r="AQT9" i="7"/>
  <c r="AQS9" i="7"/>
  <c r="AQR9" i="7"/>
  <c r="AQQ9" i="7"/>
  <c r="AQP9" i="7"/>
  <c r="AQO9" i="7"/>
  <c r="AQN9" i="7"/>
  <c r="AQM9" i="7"/>
  <c r="AQL9" i="7"/>
  <c r="AQK9" i="7"/>
  <c r="AQJ9" i="7"/>
  <c r="AQI9" i="7"/>
  <c r="AQH9" i="7"/>
  <c r="AQG9" i="7"/>
  <c r="AQF9" i="7"/>
  <c r="AQE9" i="7"/>
  <c r="AQD9" i="7"/>
  <c r="AQC9" i="7"/>
  <c r="AQB9" i="7"/>
  <c r="AQA9" i="7"/>
  <c r="APZ9" i="7"/>
  <c r="APY9" i="7"/>
  <c r="APX9" i="7"/>
  <c r="APW9" i="7"/>
  <c r="APV9" i="7"/>
  <c r="APU9" i="7"/>
  <c r="APT9" i="7"/>
  <c r="APS9" i="7"/>
  <c r="APR9" i="7"/>
  <c r="APQ9" i="7"/>
  <c r="APP9" i="7"/>
  <c r="APO9" i="7"/>
  <c r="APN9" i="7"/>
  <c r="APM9" i="7"/>
  <c r="APL9" i="7"/>
  <c r="APK9" i="7"/>
  <c r="APJ9" i="7"/>
  <c r="API9" i="7"/>
  <c r="APH9" i="7"/>
  <c r="APG9" i="7"/>
  <c r="APF9" i="7"/>
  <c r="APE9" i="7"/>
  <c r="APD9" i="7"/>
  <c r="APC9" i="7"/>
  <c r="APB9" i="7"/>
  <c r="APA9" i="7"/>
  <c r="AOZ9" i="7"/>
  <c r="AOY9" i="7"/>
  <c r="AOX9" i="7"/>
  <c r="AOW9" i="7"/>
  <c r="AOV9" i="7"/>
  <c r="AOU9" i="7"/>
  <c r="AOT9" i="7"/>
  <c r="AOS9" i="7"/>
  <c r="AOR9" i="7"/>
  <c r="AOQ9" i="7"/>
  <c r="AOP9" i="7"/>
  <c r="AOO9" i="7"/>
  <c r="AON9" i="7"/>
  <c r="AOM9" i="7"/>
  <c r="AOL9" i="7"/>
  <c r="AOK9" i="7"/>
  <c r="AOJ9" i="7"/>
  <c r="AOI9" i="7"/>
  <c r="AOH9" i="7"/>
  <c r="AOG9" i="7"/>
  <c r="AOF9" i="7"/>
  <c r="AOE9" i="7"/>
  <c r="AOD9" i="7"/>
  <c r="AOC9" i="7"/>
  <c r="AOB9" i="7"/>
  <c r="AOA9" i="7"/>
  <c r="ANZ9" i="7"/>
  <c r="ANY9" i="7"/>
  <c r="ANX9" i="7"/>
  <c r="ANW9" i="7"/>
  <c r="ANV9" i="7"/>
  <c r="ANU9" i="7"/>
  <c r="ANT9" i="7"/>
  <c r="ANS9" i="7"/>
  <c r="ANR9" i="7"/>
  <c r="ANQ9" i="7"/>
  <c r="ANP9" i="7"/>
  <c r="ANO9" i="7"/>
  <c r="ANN9" i="7"/>
  <c r="ANM9" i="7"/>
  <c r="ANL9" i="7"/>
  <c r="ANK9" i="7"/>
  <c r="ANJ9" i="7"/>
  <c r="ANI9" i="7"/>
  <c r="ANH9" i="7"/>
  <c r="ANG9" i="7"/>
  <c r="ANF9" i="7"/>
  <c r="ANE9" i="7"/>
  <c r="AND9" i="7"/>
  <c r="ANC9" i="7"/>
  <c r="ANB9" i="7"/>
  <c r="ANA9" i="7"/>
  <c r="AMZ9" i="7"/>
  <c r="AMY9" i="7"/>
  <c r="AMX9" i="7"/>
  <c r="AMW9" i="7"/>
  <c r="AMV9" i="7"/>
  <c r="AMU9" i="7"/>
  <c r="AMT9" i="7"/>
  <c r="AMS9" i="7"/>
  <c r="AMR9" i="7"/>
  <c r="AMQ9" i="7"/>
  <c r="AMP9" i="7"/>
  <c r="AMO9" i="7"/>
  <c r="AMN9" i="7"/>
  <c r="AMM9" i="7"/>
  <c r="AML9" i="7"/>
  <c r="AMK9" i="7"/>
  <c r="AMJ9" i="7"/>
  <c r="AMI9" i="7"/>
  <c r="AMH9" i="7"/>
  <c r="AMG9" i="7"/>
  <c r="AMF9" i="7"/>
  <c r="AME9" i="7"/>
  <c r="AMD9" i="7"/>
  <c r="AMC9" i="7"/>
  <c r="AMB9" i="7"/>
  <c r="AMA9" i="7"/>
  <c r="ALZ9" i="7"/>
  <c r="ALY9" i="7"/>
  <c r="ALX9" i="7"/>
  <c r="ALW9" i="7"/>
  <c r="ALV9" i="7"/>
  <c r="ALU9" i="7"/>
  <c r="ALT9" i="7"/>
  <c r="ALS9" i="7"/>
  <c r="ALR9" i="7"/>
  <c r="ALQ9" i="7"/>
  <c r="ALP9" i="7"/>
  <c r="ALO9" i="7"/>
  <c r="ALN9" i="7"/>
  <c r="ALM9" i="7"/>
  <c r="ALL9" i="7"/>
  <c r="ALK9" i="7"/>
  <c r="ALJ9" i="7"/>
  <c r="ALI9" i="7"/>
  <c r="ALH9" i="7"/>
  <c r="ALG9" i="7"/>
  <c r="ALF9" i="7"/>
  <c r="ALE9" i="7"/>
  <c r="ALD9" i="7"/>
  <c r="ALC9" i="7"/>
  <c r="ALB9" i="7"/>
  <c r="ALA9" i="7"/>
  <c r="AKZ9" i="7"/>
  <c r="AKY9" i="7"/>
  <c r="AKX9" i="7"/>
  <c r="AKW9" i="7"/>
  <c r="AKV9" i="7"/>
  <c r="AKU9" i="7"/>
  <c r="AKT9" i="7"/>
  <c r="AKS9" i="7"/>
  <c r="AKR9" i="7"/>
  <c r="AKQ9" i="7"/>
  <c r="AKP9" i="7"/>
  <c r="AKO9" i="7"/>
  <c r="AKN9" i="7"/>
  <c r="AKM9" i="7"/>
  <c r="AKL9" i="7"/>
  <c r="AKK9" i="7"/>
  <c r="AKJ9" i="7"/>
  <c r="AKI9" i="7"/>
  <c r="AKH9" i="7"/>
  <c r="AKG9" i="7"/>
  <c r="AKF9" i="7"/>
  <c r="AKE9" i="7"/>
  <c r="AKD9" i="7"/>
  <c r="AKC9" i="7"/>
  <c r="AKB9" i="7"/>
  <c r="AKA9" i="7"/>
  <c r="AJZ9" i="7"/>
  <c r="AJY9" i="7"/>
  <c r="AJX9" i="7"/>
  <c r="AJW9" i="7"/>
  <c r="AJV9" i="7"/>
  <c r="AJU9" i="7"/>
  <c r="AJT9" i="7"/>
  <c r="AJS9" i="7"/>
  <c r="AJR9" i="7"/>
  <c r="AJQ9" i="7"/>
  <c r="AJP9" i="7"/>
  <c r="AJO9" i="7"/>
  <c r="AJN9" i="7"/>
  <c r="AJM9" i="7"/>
  <c r="AJL9" i="7"/>
  <c r="AJK9" i="7"/>
  <c r="AJJ9" i="7"/>
  <c r="AJI9" i="7"/>
  <c r="AJH9" i="7"/>
  <c r="AJG9" i="7"/>
  <c r="AJF9" i="7"/>
  <c r="AJE9" i="7"/>
  <c r="AJD9" i="7"/>
  <c r="AJC9" i="7"/>
  <c r="AJB9" i="7"/>
  <c r="AJA9" i="7"/>
  <c r="AIZ9" i="7"/>
  <c r="AIY9" i="7"/>
  <c r="AIX9" i="7"/>
  <c r="AIW9" i="7"/>
  <c r="AIV9" i="7"/>
  <c r="AIU9" i="7"/>
  <c r="AIT9" i="7"/>
  <c r="AIS9" i="7"/>
  <c r="AIR9" i="7"/>
  <c r="AIQ9" i="7"/>
  <c r="AIP9" i="7"/>
  <c r="AIO9" i="7"/>
  <c r="AIN9" i="7"/>
  <c r="AIM9" i="7"/>
  <c r="AIL9" i="7"/>
  <c r="AIK9" i="7"/>
  <c r="AIJ9" i="7"/>
  <c r="AII9" i="7"/>
  <c r="AIH9" i="7"/>
  <c r="AIG9" i="7"/>
  <c r="AIF9" i="7"/>
  <c r="AIE9" i="7"/>
  <c r="AID9" i="7"/>
  <c r="AIC9" i="7"/>
  <c r="AIB9" i="7"/>
  <c r="AIA9" i="7"/>
  <c r="AHZ9" i="7"/>
  <c r="AHY9" i="7"/>
  <c r="AHX9" i="7"/>
  <c r="AHW9" i="7"/>
  <c r="AHV9" i="7"/>
  <c r="AHU9" i="7"/>
  <c r="AHT9" i="7"/>
  <c r="AHS9" i="7"/>
  <c r="AHR9" i="7"/>
  <c r="AHQ9" i="7"/>
  <c r="AHP9" i="7"/>
  <c r="AHO9" i="7"/>
  <c r="AHN9" i="7"/>
  <c r="AHM9" i="7"/>
  <c r="AHL9" i="7"/>
  <c r="AHK9" i="7"/>
  <c r="AHJ9" i="7"/>
  <c r="AHI9" i="7"/>
  <c r="AHH9" i="7"/>
  <c r="AHG9" i="7"/>
  <c r="AHF9" i="7"/>
  <c r="AHE9" i="7"/>
  <c r="AHD9" i="7"/>
  <c r="AHC9" i="7"/>
  <c r="AHB9" i="7"/>
  <c r="AHA9" i="7"/>
  <c r="AGZ9" i="7"/>
  <c r="AGY9" i="7"/>
  <c r="AGX9" i="7"/>
  <c r="AGW9" i="7"/>
  <c r="AGV9" i="7"/>
  <c r="AGU9" i="7"/>
  <c r="AGT9" i="7"/>
  <c r="AGS9" i="7"/>
  <c r="AGR9" i="7"/>
  <c r="AGQ9" i="7"/>
  <c r="AGP9" i="7"/>
  <c r="AGO9" i="7"/>
  <c r="AGN9" i="7"/>
  <c r="AGM9" i="7"/>
  <c r="AGL9" i="7"/>
  <c r="AGK9" i="7"/>
  <c r="AGJ9" i="7"/>
  <c r="AGI9" i="7"/>
  <c r="AGH9" i="7"/>
  <c r="AGG9" i="7"/>
  <c r="AGF9" i="7"/>
  <c r="AGE9" i="7"/>
  <c r="AGD9" i="7"/>
  <c r="AGC9" i="7"/>
  <c r="AGB9" i="7"/>
  <c r="AGA9" i="7"/>
  <c r="AFZ9" i="7"/>
  <c r="AFY9" i="7"/>
  <c r="AFX9" i="7"/>
  <c r="AFW9" i="7"/>
  <c r="AFV9" i="7"/>
  <c r="AFU9" i="7"/>
  <c r="AFT9" i="7"/>
  <c r="AFS9" i="7"/>
  <c r="AFR9" i="7"/>
  <c r="AFQ9" i="7"/>
  <c r="AFP9" i="7"/>
  <c r="AFO9" i="7"/>
  <c r="AFN9" i="7"/>
  <c r="AFM9" i="7"/>
  <c r="AFL9" i="7"/>
  <c r="AFK9" i="7"/>
  <c r="AFJ9" i="7"/>
  <c r="AFI9" i="7"/>
  <c r="AFH9" i="7"/>
  <c r="AFG9" i="7"/>
  <c r="AFF9" i="7"/>
  <c r="AFE9" i="7"/>
  <c r="AFD9" i="7"/>
  <c r="AFC9" i="7"/>
  <c r="AFB9" i="7"/>
  <c r="AFA9" i="7"/>
  <c r="AEZ9" i="7"/>
  <c r="AEY9" i="7"/>
  <c r="AEX9" i="7"/>
  <c r="AEW9" i="7"/>
  <c r="AEV9" i="7"/>
  <c r="AEU9" i="7"/>
  <c r="AET9" i="7"/>
  <c r="AES9" i="7"/>
  <c r="AER9" i="7"/>
  <c r="AEQ9" i="7"/>
  <c r="AEP9" i="7"/>
  <c r="AEO9" i="7"/>
  <c r="AEN9" i="7"/>
  <c r="AEM9" i="7"/>
  <c r="AEL9" i="7"/>
  <c r="AEK9" i="7"/>
  <c r="AEJ9" i="7"/>
  <c r="AEI9" i="7"/>
  <c r="AEH9" i="7"/>
  <c r="AEG9" i="7"/>
  <c r="AEF9" i="7"/>
  <c r="AEE9" i="7"/>
  <c r="AED9" i="7"/>
  <c r="AEC9" i="7"/>
  <c r="AEB9" i="7"/>
  <c r="AEA9" i="7"/>
  <c r="ADZ9" i="7"/>
  <c r="ADY9" i="7"/>
  <c r="ADX9" i="7"/>
  <c r="ADW9" i="7"/>
  <c r="ADV9" i="7"/>
  <c r="ADU9" i="7"/>
  <c r="ADT9" i="7"/>
  <c r="ADS9" i="7"/>
  <c r="ADR9" i="7"/>
  <c r="ADQ9" i="7"/>
  <c r="ADP9" i="7"/>
  <c r="ADO9" i="7"/>
  <c r="ADN9" i="7"/>
  <c r="ADM9" i="7"/>
  <c r="ADL9" i="7"/>
  <c r="ADK9" i="7"/>
  <c r="ADJ9" i="7"/>
  <c r="ADI9" i="7"/>
  <c r="ADH9" i="7"/>
  <c r="ADG9" i="7"/>
  <c r="ADF9" i="7"/>
  <c r="ADE9" i="7"/>
  <c r="ADD9" i="7"/>
  <c r="ADC9" i="7"/>
  <c r="ADB9" i="7"/>
  <c r="ADA9" i="7"/>
  <c r="ACZ9" i="7"/>
  <c r="ACY9" i="7"/>
  <c r="ACX9" i="7"/>
  <c r="ACW9" i="7"/>
  <c r="ACV9" i="7"/>
  <c r="ACU9" i="7"/>
  <c r="ACT9" i="7"/>
  <c r="ACS9" i="7"/>
  <c r="ACR9" i="7"/>
  <c r="ACQ9" i="7"/>
  <c r="ACP9" i="7"/>
  <c r="ACO9" i="7"/>
  <c r="ACN9" i="7"/>
  <c r="ACM9" i="7"/>
  <c r="ACL9" i="7"/>
  <c r="ACK9" i="7"/>
  <c r="ACJ9" i="7"/>
  <c r="ACI9" i="7"/>
  <c r="ACH9" i="7"/>
  <c r="ACG9" i="7"/>
  <c r="ACF9" i="7"/>
  <c r="ACE9" i="7"/>
  <c r="ACD9" i="7"/>
  <c r="ACC9" i="7"/>
  <c r="ACB9" i="7"/>
  <c r="ACA9" i="7"/>
  <c r="ABZ9" i="7"/>
  <c r="ABY9" i="7"/>
  <c r="ABX9" i="7"/>
  <c r="ABW9" i="7"/>
  <c r="ABV9" i="7"/>
  <c r="ABU9" i="7"/>
  <c r="ABT9" i="7"/>
  <c r="ABS9" i="7"/>
  <c r="ABR9" i="7"/>
  <c r="ABQ9" i="7"/>
  <c r="ABP9" i="7"/>
  <c r="ABO9" i="7"/>
  <c r="ABN9" i="7"/>
  <c r="ABM9" i="7"/>
  <c r="ABL9" i="7"/>
  <c r="ABK9" i="7"/>
  <c r="ABJ9" i="7"/>
  <c r="ABI9" i="7"/>
  <c r="ABH9" i="7"/>
  <c r="ABG9" i="7"/>
  <c r="ABF9" i="7"/>
  <c r="ABE9" i="7"/>
  <c r="ABD9" i="7"/>
  <c r="ABC9" i="7"/>
  <c r="ABB9" i="7"/>
  <c r="ABA9" i="7"/>
  <c r="AAZ9" i="7"/>
  <c r="AAY9" i="7"/>
  <c r="AAX9" i="7"/>
  <c r="AAW9" i="7"/>
  <c r="AAV9" i="7"/>
  <c r="AAU9" i="7"/>
  <c r="AAT9" i="7"/>
  <c r="AAS9" i="7"/>
  <c r="AAR9" i="7"/>
  <c r="AAQ9" i="7"/>
  <c r="AAP9" i="7"/>
  <c r="AAO9" i="7"/>
  <c r="AAN9" i="7"/>
  <c r="AAM9" i="7"/>
  <c r="AAL9" i="7"/>
  <c r="AAK9" i="7"/>
  <c r="AAJ9" i="7"/>
  <c r="AAI9" i="7"/>
  <c r="AAH9" i="7"/>
  <c r="AAG9" i="7"/>
  <c r="AAF9" i="7"/>
  <c r="AAE9" i="7"/>
  <c r="AAD9" i="7"/>
  <c r="AAC9" i="7"/>
  <c r="AAB9" i="7"/>
  <c r="AAA9" i="7"/>
  <c r="ZZ9" i="7"/>
  <c r="ZY9" i="7"/>
  <c r="ZX9" i="7"/>
  <c r="ZW9" i="7"/>
  <c r="ZV9" i="7"/>
  <c r="ZU9" i="7"/>
  <c r="ZT9" i="7"/>
  <c r="ZS9" i="7"/>
  <c r="ZR9" i="7"/>
  <c r="ZQ9" i="7"/>
  <c r="ZP9" i="7"/>
  <c r="ZO9" i="7"/>
  <c r="ZN9" i="7"/>
  <c r="ZM9" i="7"/>
  <c r="ZL9" i="7"/>
  <c r="ZK9" i="7"/>
  <c r="ZJ9" i="7"/>
  <c r="ZI9" i="7"/>
  <c r="ZH9" i="7"/>
  <c r="ZG9" i="7"/>
  <c r="ZF9" i="7"/>
  <c r="ZE9" i="7"/>
  <c r="ZD9" i="7"/>
  <c r="ZC9" i="7"/>
  <c r="ZB9" i="7"/>
  <c r="ZA9" i="7"/>
  <c r="YZ9" i="7"/>
  <c r="YY9" i="7"/>
  <c r="YX9" i="7"/>
  <c r="YW9" i="7"/>
  <c r="YV9" i="7"/>
  <c r="YU9" i="7"/>
  <c r="YT9" i="7"/>
  <c r="YS9" i="7"/>
  <c r="YR9" i="7"/>
  <c r="YQ9" i="7"/>
  <c r="YP9" i="7"/>
  <c r="YO9" i="7"/>
  <c r="YN9" i="7"/>
  <c r="YM9" i="7"/>
  <c r="YL9" i="7"/>
  <c r="YK9" i="7"/>
  <c r="YJ9" i="7"/>
  <c r="YI9" i="7"/>
  <c r="YH9" i="7"/>
  <c r="YG9" i="7"/>
  <c r="YF9" i="7"/>
  <c r="YE9" i="7"/>
  <c r="YD9" i="7"/>
  <c r="YC9" i="7"/>
  <c r="YB9" i="7"/>
  <c r="YA9" i="7"/>
  <c r="XZ9" i="7"/>
  <c r="XY9" i="7"/>
  <c r="XX9" i="7"/>
  <c r="XW9" i="7"/>
  <c r="XV9" i="7"/>
  <c r="XU9" i="7"/>
  <c r="XT9" i="7"/>
  <c r="XS9" i="7"/>
  <c r="XR9" i="7"/>
  <c r="XQ9" i="7"/>
  <c r="XP9" i="7"/>
  <c r="XO9" i="7"/>
  <c r="XN9" i="7"/>
  <c r="XM9" i="7"/>
  <c r="XL9" i="7"/>
  <c r="XK9" i="7"/>
  <c r="XJ9" i="7"/>
  <c r="XI9" i="7"/>
  <c r="XH9" i="7"/>
  <c r="XG9" i="7"/>
  <c r="XF9" i="7"/>
  <c r="XE9" i="7"/>
  <c r="XD9" i="7"/>
  <c r="XC9" i="7"/>
  <c r="XB9" i="7"/>
  <c r="XA9" i="7"/>
  <c r="WZ9" i="7"/>
  <c r="WY9" i="7"/>
  <c r="WX9" i="7"/>
  <c r="WW9" i="7"/>
  <c r="WV9" i="7"/>
  <c r="WU9" i="7"/>
  <c r="WT9" i="7"/>
  <c r="WS9" i="7"/>
  <c r="WR9" i="7"/>
  <c r="WQ9" i="7"/>
  <c r="WP9" i="7"/>
  <c r="WO9" i="7"/>
  <c r="WN9" i="7"/>
  <c r="WM9" i="7"/>
  <c r="WL9" i="7"/>
  <c r="WK9" i="7"/>
  <c r="WJ9" i="7"/>
  <c r="WI9" i="7"/>
  <c r="WH9" i="7"/>
  <c r="WG9" i="7"/>
  <c r="WF9" i="7"/>
  <c r="WE9" i="7"/>
  <c r="WD9" i="7"/>
  <c r="WC9" i="7"/>
  <c r="WB9" i="7"/>
  <c r="WA9" i="7"/>
  <c r="VZ9" i="7"/>
  <c r="VY9" i="7"/>
  <c r="VX9" i="7"/>
  <c r="VW9" i="7"/>
  <c r="VV9" i="7"/>
  <c r="VU9" i="7"/>
  <c r="VT9" i="7"/>
  <c r="VS9" i="7"/>
  <c r="VR9" i="7"/>
  <c r="VQ9" i="7"/>
  <c r="VP9" i="7"/>
  <c r="VO9" i="7"/>
  <c r="VN9" i="7"/>
  <c r="VM9" i="7"/>
  <c r="VL9" i="7"/>
  <c r="VK9" i="7"/>
  <c r="VJ9" i="7"/>
  <c r="VI9" i="7"/>
  <c r="VH9" i="7"/>
  <c r="VG9" i="7"/>
  <c r="VF9" i="7"/>
  <c r="VE9" i="7"/>
  <c r="VD9" i="7"/>
  <c r="VC9" i="7"/>
  <c r="VB9" i="7"/>
  <c r="VA9" i="7"/>
  <c r="UZ9" i="7"/>
  <c r="UY9" i="7"/>
  <c r="UX9" i="7"/>
  <c r="UW9" i="7"/>
  <c r="UV9" i="7"/>
  <c r="UU9" i="7"/>
  <c r="UT9" i="7"/>
  <c r="US9" i="7"/>
  <c r="UR9" i="7"/>
  <c r="UQ9" i="7"/>
  <c r="UP9" i="7"/>
  <c r="UO9" i="7"/>
  <c r="UN9" i="7"/>
  <c r="UM9" i="7"/>
  <c r="UL9" i="7"/>
  <c r="UK9" i="7"/>
  <c r="UJ9" i="7"/>
  <c r="UI9" i="7"/>
  <c r="UH9" i="7"/>
  <c r="UG9" i="7"/>
  <c r="UF9" i="7"/>
  <c r="UE9" i="7"/>
  <c r="UD9" i="7"/>
  <c r="UC9" i="7"/>
  <c r="UB9" i="7"/>
  <c r="UA9" i="7"/>
  <c r="TZ9" i="7"/>
  <c r="TY9" i="7"/>
  <c r="TX9" i="7"/>
  <c r="TW9" i="7"/>
  <c r="TV9" i="7"/>
  <c r="TU9" i="7"/>
  <c r="TT9" i="7"/>
  <c r="TS9" i="7"/>
  <c r="TR9" i="7"/>
  <c r="TQ9" i="7"/>
  <c r="TP9" i="7"/>
  <c r="TO9" i="7"/>
  <c r="TN9" i="7"/>
  <c r="TM9" i="7"/>
  <c r="TL9" i="7"/>
  <c r="TK9" i="7"/>
  <c r="TJ9" i="7"/>
  <c r="TI9" i="7"/>
  <c r="TH9" i="7"/>
  <c r="TG9" i="7"/>
  <c r="TF9" i="7"/>
  <c r="TE9" i="7"/>
  <c r="TD9" i="7"/>
  <c r="TC9" i="7"/>
  <c r="TB9" i="7"/>
  <c r="TA9" i="7"/>
  <c r="SZ9" i="7"/>
  <c r="SY9" i="7"/>
  <c r="SX9" i="7"/>
  <c r="SW9" i="7"/>
  <c r="SV9" i="7"/>
  <c r="SU9" i="7"/>
  <c r="ST9" i="7"/>
  <c r="SS9" i="7"/>
  <c r="SR9" i="7"/>
  <c r="SQ9" i="7"/>
  <c r="SP9" i="7"/>
  <c r="SO9" i="7"/>
  <c r="SN9" i="7"/>
  <c r="SM9" i="7"/>
  <c r="SL9" i="7"/>
  <c r="SK9" i="7"/>
  <c r="SJ9" i="7"/>
  <c r="SI9" i="7"/>
  <c r="SH9" i="7"/>
  <c r="SG9" i="7"/>
  <c r="SF9" i="7"/>
  <c r="SE9" i="7"/>
  <c r="SD9" i="7"/>
  <c r="SC9" i="7"/>
  <c r="SB9" i="7"/>
  <c r="SA9" i="7"/>
  <c r="RZ9" i="7"/>
  <c r="RY9" i="7"/>
  <c r="RX9" i="7"/>
  <c r="RW9" i="7"/>
  <c r="RV9" i="7"/>
  <c r="RU9" i="7"/>
  <c r="RT9" i="7"/>
  <c r="RS9" i="7"/>
  <c r="RR9" i="7"/>
  <c r="RQ9" i="7"/>
  <c r="RP9" i="7"/>
  <c r="RO9" i="7"/>
  <c r="RN9" i="7"/>
  <c r="RM9" i="7"/>
  <c r="RL9" i="7"/>
  <c r="RK9" i="7"/>
  <c r="RJ9" i="7"/>
  <c r="RI9" i="7"/>
  <c r="RH9" i="7"/>
  <c r="RG9" i="7"/>
  <c r="RF9" i="7"/>
  <c r="RE9" i="7"/>
  <c r="RD9" i="7"/>
  <c r="RC9" i="7"/>
  <c r="RB9" i="7"/>
  <c r="RA9" i="7"/>
  <c r="QZ9" i="7"/>
  <c r="QY9" i="7"/>
  <c r="QX9" i="7"/>
  <c r="QW9" i="7"/>
  <c r="QV9" i="7"/>
  <c r="QU9" i="7"/>
  <c r="QT9" i="7"/>
  <c r="QS9" i="7"/>
  <c r="QR9" i="7"/>
  <c r="QQ9" i="7"/>
  <c r="QP9" i="7"/>
  <c r="QO9" i="7"/>
  <c r="QN9" i="7"/>
  <c r="QM9" i="7"/>
  <c r="QL9" i="7"/>
  <c r="QK9" i="7"/>
  <c r="QJ9" i="7"/>
  <c r="QI9" i="7"/>
  <c r="QH9" i="7"/>
  <c r="QG9" i="7"/>
  <c r="QF9" i="7"/>
  <c r="QE9" i="7"/>
  <c r="QD9" i="7"/>
  <c r="QC9" i="7"/>
  <c r="QB9" i="7"/>
  <c r="QA9" i="7"/>
  <c r="PZ9" i="7"/>
  <c r="PY9" i="7"/>
  <c r="PX9" i="7"/>
  <c r="PW9" i="7"/>
  <c r="PV9" i="7"/>
  <c r="PU9" i="7"/>
  <c r="PT9" i="7"/>
  <c r="PS9" i="7"/>
  <c r="PR9" i="7"/>
  <c r="PQ9" i="7"/>
  <c r="PP9" i="7"/>
  <c r="PO9" i="7"/>
  <c r="PN9" i="7"/>
  <c r="PM9" i="7"/>
  <c r="PL9" i="7"/>
  <c r="PK9" i="7"/>
  <c r="PJ9" i="7"/>
  <c r="PI9" i="7"/>
  <c r="PH9" i="7"/>
  <c r="PG9" i="7"/>
  <c r="PF9" i="7"/>
  <c r="PE9" i="7"/>
  <c r="PD9" i="7"/>
  <c r="PC9" i="7"/>
  <c r="PB9" i="7"/>
  <c r="PA9" i="7"/>
  <c r="OZ9" i="7"/>
  <c r="OY9" i="7"/>
  <c r="OX9" i="7"/>
  <c r="OW9" i="7"/>
  <c r="OV9" i="7"/>
  <c r="OU9" i="7"/>
  <c r="OT9" i="7"/>
  <c r="OS9" i="7"/>
  <c r="OR9" i="7"/>
  <c r="OQ9" i="7"/>
  <c r="OP9" i="7"/>
  <c r="OO9" i="7"/>
  <c r="ON9" i="7"/>
  <c r="OM9" i="7"/>
  <c r="OL9" i="7"/>
  <c r="OK9" i="7"/>
  <c r="OJ9" i="7"/>
  <c r="OI9" i="7"/>
  <c r="OH9" i="7"/>
  <c r="OG9" i="7"/>
  <c r="OF9" i="7"/>
  <c r="OE9" i="7"/>
  <c r="OD9" i="7"/>
  <c r="OC9" i="7"/>
  <c r="OB9" i="7"/>
  <c r="OA9" i="7"/>
  <c r="NZ9" i="7"/>
  <c r="NY9" i="7"/>
  <c r="NX9" i="7"/>
  <c r="NW9" i="7"/>
  <c r="NV9" i="7"/>
  <c r="NU9" i="7"/>
  <c r="NT9" i="7"/>
  <c r="NS9" i="7"/>
  <c r="NR9" i="7"/>
  <c r="NQ9" i="7"/>
  <c r="NP9" i="7"/>
  <c r="NO9" i="7"/>
  <c r="NN9" i="7"/>
  <c r="NM9" i="7"/>
  <c r="NL9" i="7"/>
  <c r="NK9" i="7"/>
  <c r="NJ9" i="7"/>
  <c r="NI9" i="7"/>
  <c r="NH9" i="7"/>
  <c r="NG9" i="7"/>
  <c r="NF9" i="7"/>
  <c r="NE9" i="7"/>
  <c r="ND9" i="7"/>
  <c r="NC9" i="7"/>
  <c r="NB9" i="7"/>
  <c r="NA9" i="7"/>
  <c r="MZ9" i="7"/>
  <c r="MY9" i="7"/>
  <c r="MX9" i="7"/>
  <c r="MW9" i="7"/>
  <c r="MV9" i="7"/>
  <c r="MU9" i="7"/>
  <c r="MT9" i="7"/>
  <c r="MS9" i="7"/>
  <c r="MR9" i="7"/>
  <c r="MQ9" i="7"/>
  <c r="MP9" i="7"/>
  <c r="MO9" i="7"/>
  <c r="MN9" i="7"/>
  <c r="MM9" i="7"/>
  <c r="ML9" i="7"/>
  <c r="MK9" i="7"/>
  <c r="MJ9" i="7"/>
  <c r="MI9" i="7"/>
  <c r="MH9" i="7"/>
  <c r="MG9" i="7"/>
  <c r="MF9" i="7"/>
  <c r="ME9" i="7"/>
  <c r="MD9" i="7"/>
  <c r="MC9" i="7"/>
  <c r="MB9" i="7"/>
  <c r="MA9" i="7"/>
  <c r="LZ9" i="7"/>
  <c r="LY9" i="7"/>
  <c r="LX9" i="7"/>
  <c r="LW9" i="7"/>
  <c r="LV9" i="7"/>
  <c r="LU9" i="7"/>
  <c r="LT9" i="7"/>
  <c r="LS9" i="7"/>
  <c r="LR9" i="7"/>
  <c r="LQ9" i="7"/>
  <c r="LP9" i="7"/>
  <c r="LO9" i="7"/>
  <c r="LN9" i="7"/>
  <c r="LM9" i="7"/>
  <c r="LL9" i="7"/>
  <c r="LK9" i="7"/>
  <c r="LJ9" i="7"/>
  <c r="LI9" i="7"/>
  <c r="LH9" i="7"/>
  <c r="LG9" i="7"/>
  <c r="LF9" i="7"/>
  <c r="LE9" i="7"/>
  <c r="LD9" i="7"/>
  <c r="LC9" i="7"/>
  <c r="LB9" i="7"/>
  <c r="LA9" i="7"/>
  <c r="KZ9" i="7"/>
  <c r="KY9" i="7"/>
  <c r="KX9" i="7"/>
  <c r="KW9" i="7"/>
  <c r="KV9" i="7"/>
  <c r="KU9" i="7"/>
  <c r="KT9" i="7"/>
  <c r="KS9" i="7"/>
  <c r="KR9" i="7"/>
  <c r="KQ9" i="7"/>
  <c r="KP9" i="7"/>
  <c r="KO9" i="7"/>
  <c r="KN9" i="7"/>
  <c r="KM9" i="7"/>
  <c r="KL9" i="7"/>
  <c r="KK9" i="7"/>
  <c r="KJ9" i="7"/>
  <c r="KI9" i="7"/>
  <c r="KH9" i="7"/>
  <c r="KG9" i="7"/>
  <c r="KF9" i="7"/>
  <c r="KE9" i="7"/>
  <c r="KD9" i="7"/>
  <c r="KC9" i="7"/>
  <c r="KB9" i="7"/>
  <c r="KA9" i="7"/>
  <c r="JZ9" i="7"/>
  <c r="JY9" i="7"/>
  <c r="JX9" i="7"/>
  <c r="JW9" i="7"/>
  <c r="JV9" i="7"/>
  <c r="JU9" i="7"/>
  <c r="JT9" i="7"/>
  <c r="JS9" i="7"/>
  <c r="JR9" i="7"/>
  <c r="JQ9" i="7"/>
  <c r="JP9" i="7"/>
  <c r="JO9" i="7"/>
  <c r="JN9" i="7"/>
  <c r="JM9" i="7"/>
  <c r="JL9" i="7"/>
  <c r="JK9" i="7"/>
  <c r="JJ9" i="7"/>
  <c r="JI9" i="7"/>
  <c r="JH9" i="7"/>
  <c r="JG9" i="7"/>
  <c r="JF9" i="7"/>
  <c r="JE9" i="7"/>
  <c r="JD9" i="7"/>
  <c r="JC9" i="7"/>
  <c r="JB9" i="7"/>
  <c r="JA9" i="7"/>
  <c r="IZ9" i="7"/>
  <c r="IY9" i="7"/>
  <c r="IX9" i="7"/>
  <c r="IW9" i="7"/>
  <c r="IV9" i="7"/>
  <c r="IU9" i="7"/>
  <c r="IT9" i="7"/>
  <c r="IS9" i="7"/>
  <c r="IR9" i="7"/>
  <c r="IQ9" i="7"/>
  <c r="IP9" i="7"/>
  <c r="IO9" i="7"/>
  <c r="IN9" i="7"/>
  <c r="IM9" i="7"/>
  <c r="IL9" i="7"/>
  <c r="IK9" i="7"/>
  <c r="IJ9" i="7"/>
  <c r="II9" i="7"/>
  <c r="IH9" i="7"/>
  <c r="IG9" i="7"/>
  <c r="IF9" i="7"/>
  <c r="IE9" i="7"/>
  <c r="ID9" i="7"/>
  <c r="IC9" i="7"/>
  <c r="IB9" i="7"/>
  <c r="IA9" i="7"/>
  <c r="HZ9" i="7"/>
  <c r="HY9" i="7"/>
  <c r="HX9" i="7"/>
  <c r="HW9" i="7"/>
  <c r="HV9" i="7"/>
  <c r="HU9" i="7"/>
  <c r="HT9" i="7"/>
  <c r="HS9" i="7"/>
  <c r="HR9" i="7"/>
  <c r="HQ9" i="7"/>
  <c r="HP9" i="7"/>
  <c r="HO9" i="7"/>
  <c r="HN9" i="7"/>
  <c r="HM9" i="7"/>
  <c r="HL9" i="7"/>
  <c r="HK9" i="7"/>
  <c r="HJ9" i="7"/>
  <c r="HI9" i="7"/>
  <c r="HH9" i="7"/>
  <c r="HG9" i="7"/>
  <c r="HF9" i="7"/>
  <c r="HE9" i="7"/>
  <c r="HD9" i="7"/>
  <c r="HC9" i="7"/>
  <c r="HB9" i="7"/>
  <c r="HA9" i="7"/>
  <c r="GZ9" i="7"/>
  <c r="GY9" i="7"/>
  <c r="GX9" i="7"/>
  <c r="GW9" i="7"/>
  <c r="GV9" i="7"/>
  <c r="GU9" i="7"/>
  <c r="GT9" i="7"/>
  <c r="GS9" i="7"/>
  <c r="GR9" i="7"/>
  <c r="GQ9" i="7"/>
  <c r="GP9" i="7"/>
  <c r="GO9" i="7"/>
  <c r="GN9" i="7"/>
  <c r="GM9" i="7"/>
  <c r="GL9" i="7"/>
  <c r="GK9" i="7"/>
  <c r="GJ9" i="7"/>
  <c r="GI9" i="7"/>
  <c r="GH9" i="7"/>
  <c r="GG9" i="7"/>
  <c r="GF9" i="7"/>
  <c r="GE9" i="7"/>
  <c r="GD9" i="7"/>
  <c r="GC9" i="7"/>
  <c r="GB9" i="7"/>
  <c r="GA9" i="7"/>
  <c r="FZ9" i="7"/>
  <c r="FY9" i="7"/>
  <c r="FX9" i="7"/>
  <c r="FW9" i="7"/>
  <c r="FV9" i="7"/>
  <c r="FU9" i="7"/>
  <c r="FT9" i="7"/>
  <c r="FS9" i="7"/>
  <c r="FR9" i="7"/>
  <c r="FQ9" i="7"/>
  <c r="FP9" i="7"/>
  <c r="FO9" i="7"/>
  <c r="FN9" i="7"/>
  <c r="FM9" i="7"/>
  <c r="FL9" i="7"/>
  <c r="FK9" i="7"/>
  <c r="FJ9" i="7"/>
  <c r="FI9" i="7"/>
  <c r="FH9" i="7"/>
  <c r="FG9" i="7"/>
  <c r="FF9" i="7"/>
  <c r="FE9" i="7"/>
  <c r="FD9" i="7"/>
  <c r="FC9" i="7"/>
  <c r="FB9" i="7"/>
  <c r="FA9" i="7"/>
  <c r="EZ9" i="7"/>
  <c r="EY9" i="7"/>
  <c r="EX9" i="7"/>
  <c r="EW9" i="7"/>
  <c r="EV9" i="7"/>
  <c r="EU9" i="7"/>
  <c r="ET9" i="7"/>
  <c r="ES9" i="7"/>
  <c r="ER9" i="7"/>
  <c r="EQ9" i="7"/>
  <c r="EP9" i="7"/>
  <c r="EO9" i="7"/>
  <c r="EN9" i="7"/>
  <c r="EM9" i="7"/>
  <c r="EL9" i="7"/>
  <c r="EK9" i="7"/>
  <c r="EJ9" i="7"/>
  <c r="EI9" i="7"/>
  <c r="EH9" i="7"/>
  <c r="EG9" i="7"/>
  <c r="EF9" i="7"/>
  <c r="EE9" i="7"/>
  <c r="ED9" i="7"/>
  <c r="EC9" i="7"/>
  <c r="EB9" i="7"/>
  <c r="EA9" i="7"/>
  <c r="DZ9" i="7"/>
  <c r="DY9" i="7"/>
  <c r="DX9" i="7"/>
  <c r="DW9" i="7"/>
  <c r="DV9" i="7"/>
  <c r="DU9" i="7"/>
  <c r="DT9" i="7"/>
  <c r="DS9" i="7"/>
  <c r="DR9" i="7"/>
  <c r="DQ9" i="7"/>
  <c r="DP9" i="7"/>
  <c r="DO9" i="7"/>
  <c r="DN9" i="7"/>
  <c r="DM9" i="7"/>
  <c r="DL9" i="7"/>
  <c r="DK9" i="7"/>
  <c r="DJ9" i="7"/>
  <c r="DI9" i="7"/>
  <c r="DH9" i="7"/>
  <c r="DG9" i="7"/>
  <c r="DF9" i="7"/>
  <c r="DE9" i="7"/>
  <c r="DD9" i="7"/>
  <c r="DC9" i="7"/>
  <c r="DB9" i="7"/>
  <c r="DA9" i="7"/>
  <c r="CZ9" i="7"/>
  <c r="CY9" i="7"/>
  <c r="CX9" i="7"/>
  <c r="CW9" i="7"/>
  <c r="CV9" i="7"/>
  <c r="CU9" i="7"/>
  <c r="CT9" i="7"/>
  <c r="CS9" i="7"/>
  <c r="CR9" i="7"/>
  <c r="CQ9" i="7"/>
  <c r="CP9" i="7"/>
  <c r="CO9" i="7"/>
  <c r="CN9" i="7"/>
  <c r="CM9" i="7"/>
  <c r="CL9" i="7"/>
  <c r="CK9" i="7"/>
  <c r="CJ9" i="7"/>
  <c r="CI9" i="7"/>
  <c r="CH9" i="7"/>
  <c r="CG9" i="7"/>
  <c r="CF9" i="7"/>
  <c r="CE9" i="7"/>
  <c r="CD9" i="7"/>
  <c r="CC9" i="7"/>
  <c r="CB9" i="7"/>
  <c r="CA9" i="7"/>
  <c r="BZ9" i="7"/>
  <c r="BY9" i="7"/>
  <c r="BX9" i="7"/>
  <c r="BW9" i="7"/>
  <c r="BV9" i="7"/>
  <c r="BU9" i="7"/>
  <c r="BT9" i="7"/>
  <c r="BS9" i="7"/>
  <c r="BR9" i="7"/>
  <c r="BQ9" i="7"/>
  <c r="BP9" i="7"/>
  <c r="BO9" i="7"/>
  <c r="BN9" i="7"/>
  <c r="BM9" i="7"/>
  <c r="BL9" i="7"/>
  <c r="BK9" i="7"/>
  <c r="C94" i="3"/>
  <c r="C93" i="3"/>
  <c r="C92" i="3"/>
  <c r="C90" i="3"/>
  <c r="C89" i="3"/>
  <c r="C88" i="3"/>
  <c r="B101" i="23"/>
  <c r="B108" i="23"/>
  <c r="B95" i="23"/>
  <c r="B75" i="23"/>
  <c r="B76" i="23"/>
  <c r="B77" i="23"/>
  <c r="B78" i="23"/>
  <c r="B79" i="23"/>
  <c r="B80" i="23"/>
  <c r="C68" i="23"/>
  <c r="C67" i="23"/>
  <c r="C66" i="23"/>
  <c r="B96" i="23"/>
  <c r="B102" i="23"/>
  <c r="B109" i="23"/>
  <c r="B97" i="23"/>
  <c r="B103" i="23"/>
  <c r="B110" i="23"/>
  <c r="B104" i="23"/>
  <c r="B111" i="23"/>
  <c r="B98" i="23"/>
  <c r="B105" i="23"/>
  <c r="B112" i="23"/>
  <c r="D20" i="23"/>
  <c r="D24" i="3"/>
  <c r="E93" i="3"/>
  <c r="E94" i="3"/>
  <c r="E63" i="3"/>
  <c r="E73" i="3"/>
  <c r="E75" i="3"/>
  <c r="E24" i="10"/>
  <c r="E23" i="10"/>
  <c r="E74" i="3"/>
  <c r="E30" i="10"/>
  <c r="E32" i="10"/>
  <c r="E33" i="10"/>
  <c r="E35" i="10"/>
  <c r="E7" i="21"/>
  <c r="E57" i="21"/>
  <c r="E9" i="8"/>
  <c r="AF38" i="9"/>
  <c r="AK30" i="9"/>
  <c r="AR38" i="9"/>
  <c r="BJ28" i="9"/>
  <c r="BJ30" i="9"/>
  <c r="AJ38" i="9"/>
  <c r="AN38" i="9"/>
  <c r="AV38" i="9"/>
  <c r="AZ38" i="9"/>
  <c r="AH28" i="9"/>
  <c r="AD28" i="9"/>
  <c r="Z28" i="9"/>
  <c r="V28" i="9"/>
  <c r="E73" i="9"/>
  <c r="E22" i="9"/>
  <c r="U48" i="9"/>
  <c r="S48" i="9"/>
  <c r="Q48" i="9"/>
  <c r="O48" i="9"/>
  <c r="M48" i="9"/>
  <c r="K48" i="9"/>
  <c r="I48" i="9"/>
  <c r="G48" i="9"/>
  <c r="E47" i="9"/>
  <c r="AT38" i="9"/>
  <c r="N38" i="9"/>
  <c r="E32" i="9"/>
  <c r="G19" i="9"/>
  <c r="H17" i="9"/>
  <c r="E7" i="9"/>
  <c r="J38" i="9"/>
  <c r="R38" i="9"/>
  <c r="V38" i="9"/>
  <c r="Z38" i="9"/>
  <c r="AD38" i="9"/>
  <c r="AH38" i="9"/>
  <c r="AP38" i="9"/>
  <c r="AX38" i="9"/>
  <c r="AS38" i="9"/>
  <c r="AK38" i="9"/>
  <c r="AC38" i="9"/>
  <c r="U38" i="9"/>
  <c r="M38" i="9"/>
  <c r="T48" i="9"/>
  <c r="R48" i="9"/>
  <c r="P48" i="9"/>
  <c r="N48" i="9"/>
  <c r="L48" i="9"/>
  <c r="J48" i="9"/>
  <c r="E62" i="9"/>
  <c r="E8" i="9"/>
  <c r="G38" i="9"/>
  <c r="G40" i="9"/>
  <c r="E21" i="9"/>
  <c r="K38" i="9"/>
  <c r="O38" i="9"/>
  <c r="S38" i="9"/>
  <c r="W38" i="9"/>
  <c r="AA38" i="9"/>
  <c r="AE38" i="9"/>
  <c r="AI38" i="9"/>
  <c r="AM38" i="9"/>
  <c r="AQ38" i="9"/>
  <c r="AU38" i="9"/>
  <c r="AY38" i="9"/>
  <c r="AH30" i="9"/>
  <c r="AI28" i="9"/>
  <c r="AE28" i="9"/>
  <c r="Z30" i="9"/>
  <c r="AA28" i="9"/>
  <c r="V30" i="9"/>
  <c r="W28" i="9"/>
  <c r="S28" i="9"/>
  <c r="O28" i="9"/>
  <c r="K28" i="9"/>
  <c r="G28" i="9"/>
  <c r="AX28" i="9"/>
  <c r="BB28" i="9"/>
  <c r="BF28" i="9"/>
  <c r="AV40" i="9"/>
  <c r="AN40" i="9"/>
  <c r="AJ40" i="9"/>
  <c r="AF40" i="9"/>
  <c r="T40" i="9"/>
  <c r="P40" i="9"/>
  <c r="H40" i="9"/>
  <c r="H48" i="9"/>
  <c r="V48" i="9"/>
  <c r="W48" i="9"/>
  <c r="X48" i="9"/>
  <c r="Y48" i="9"/>
  <c r="Z48" i="9"/>
  <c r="AA48" i="9"/>
  <c r="AB48" i="9"/>
  <c r="AC48" i="9"/>
  <c r="AD48" i="9"/>
  <c r="AE48" i="9"/>
  <c r="AF48" i="9"/>
  <c r="AG48" i="9"/>
  <c r="AH48" i="9"/>
  <c r="AI48" i="9"/>
  <c r="AJ48" i="9"/>
  <c r="AK48" i="9"/>
  <c r="AL48" i="9"/>
  <c r="AM48" i="9"/>
  <c r="AN48" i="9"/>
  <c r="AO48" i="9"/>
  <c r="AP48" i="9"/>
  <c r="AQ48" i="9"/>
  <c r="AR48" i="9"/>
  <c r="AS48" i="9"/>
  <c r="AT48" i="9"/>
  <c r="AU48" i="9"/>
  <c r="AV48" i="9"/>
  <c r="AW48" i="9"/>
  <c r="AX48" i="9"/>
  <c r="AY48" i="9"/>
  <c r="AZ48" i="9"/>
  <c r="BA48" i="9"/>
  <c r="BB48" i="9"/>
  <c r="BC48" i="9"/>
  <c r="BD48" i="9"/>
  <c r="BE48" i="9"/>
  <c r="BF48" i="9"/>
  <c r="BG48" i="9"/>
  <c r="BH48" i="9"/>
  <c r="BI48" i="9"/>
  <c r="BJ48" i="9"/>
  <c r="BA79" i="9"/>
  <c r="E61" i="9"/>
  <c r="E19" i="12"/>
  <c r="D51" i="9"/>
  <c r="E63" i="21"/>
  <c r="E19" i="8"/>
  <c r="E20" i="8"/>
  <c r="E15" i="17"/>
  <c r="E64" i="21"/>
  <c r="E23" i="9"/>
  <c r="AZ40" i="9"/>
  <c r="AD30" i="9"/>
  <c r="X40" i="9"/>
  <c r="L40" i="9"/>
  <c r="AR40" i="9"/>
  <c r="AW28" i="9"/>
  <c r="AW30" i="9"/>
  <c r="S30" i="9"/>
  <c r="T28" i="9"/>
  <c r="T30" i="9"/>
  <c r="AI30" i="9"/>
  <c r="AJ28" i="9"/>
  <c r="R40" i="9"/>
  <c r="AH40" i="9"/>
  <c r="AX40" i="9"/>
  <c r="AV28" i="9"/>
  <c r="U28" i="9"/>
  <c r="U30" i="9"/>
  <c r="AK28" i="9"/>
  <c r="AW38" i="9"/>
  <c r="AW40" i="9"/>
  <c r="AG38" i="9"/>
  <c r="Q38" i="9"/>
  <c r="Q40" i="9"/>
  <c r="E48" i="9"/>
  <c r="AE40" i="9"/>
  <c r="AU40" i="9"/>
  <c r="AX30" i="9"/>
  <c r="AY28" i="9"/>
  <c r="R28" i="9"/>
  <c r="R30" i="9"/>
  <c r="AB40" i="9"/>
  <c r="U40" i="9"/>
  <c r="AK40" i="9"/>
  <c r="BI28" i="9"/>
  <c r="G30" i="9"/>
  <c r="H28" i="9"/>
  <c r="W30" i="9"/>
  <c r="X28" i="9"/>
  <c r="G42" i="9"/>
  <c r="BH28" i="9"/>
  <c r="H30" i="9"/>
  <c r="I28" i="9"/>
  <c r="Y28" i="9"/>
  <c r="S40" i="9"/>
  <c r="AI40" i="9"/>
  <c r="AY40" i="9"/>
  <c r="BE28" i="9"/>
  <c r="K30" i="9"/>
  <c r="L28" i="9"/>
  <c r="AA30" i="9"/>
  <c r="AB28" i="9"/>
  <c r="AB30" i="9"/>
  <c r="J40" i="9"/>
  <c r="Z40" i="9"/>
  <c r="AP40" i="9"/>
  <c r="BD28" i="9"/>
  <c r="M28" i="9"/>
  <c r="M30" i="9"/>
  <c r="AC28" i="9"/>
  <c r="AO38" i="9"/>
  <c r="AO40" i="9"/>
  <c r="Y38" i="9"/>
  <c r="I38" i="9"/>
  <c r="I40" i="9"/>
  <c r="W40" i="9"/>
  <c r="AM40" i="9"/>
  <c r="BF30" i="9"/>
  <c r="BG28" i="9"/>
  <c r="J28" i="9"/>
  <c r="AL28" i="9"/>
  <c r="M40" i="9"/>
  <c r="AC40" i="9"/>
  <c r="AS40" i="9"/>
  <c r="BA28" i="9"/>
  <c r="BA30" i="9"/>
  <c r="O30" i="9"/>
  <c r="P28" i="9"/>
  <c r="P30" i="9"/>
  <c r="AF28" i="9"/>
  <c r="AF30" i="9"/>
  <c r="AE30" i="9"/>
  <c r="BA40" i="9"/>
  <c r="N40" i="9"/>
  <c r="AD40" i="9"/>
  <c r="AT40" i="9"/>
  <c r="AY30" i="9"/>
  <c r="AZ28" i="9"/>
  <c r="Q28" i="9"/>
  <c r="AG28" i="9"/>
  <c r="BA38" i="9"/>
  <c r="AA40" i="9"/>
  <c r="AQ40" i="9"/>
  <c r="BB30" i="9"/>
  <c r="BC28" i="9"/>
  <c r="N28" i="9"/>
  <c r="E23" i="12"/>
  <c r="E21" i="12"/>
  <c r="D11" i="9"/>
  <c r="H83" i="9"/>
  <c r="G28" i="6"/>
  <c r="E16" i="7"/>
  <c r="E13" i="7"/>
  <c r="G38" i="6"/>
  <c r="H19" i="9"/>
  <c r="H42" i="9"/>
  <c r="E18" i="17"/>
  <c r="L30" i="9"/>
  <c r="J30" i="9"/>
  <c r="X30" i="9"/>
  <c r="O40" i="9"/>
  <c r="AJ30" i="9"/>
  <c r="BG30" i="9"/>
  <c r="BE30" i="9"/>
  <c r="I30" i="9"/>
  <c r="BH30" i="9"/>
  <c r="AV30" i="9"/>
  <c r="BD30" i="9"/>
  <c r="BC30" i="9"/>
  <c r="N30" i="9"/>
  <c r="Q30" i="9"/>
  <c r="AZ30" i="9"/>
  <c r="Y40" i="9"/>
  <c r="AG40" i="9"/>
  <c r="K40" i="9"/>
  <c r="V40" i="9"/>
  <c r="BI30" i="9"/>
  <c r="G83" i="9"/>
  <c r="AG30" i="9"/>
  <c r="AC30" i="9"/>
  <c r="Y30" i="9"/>
  <c r="G44" i="9"/>
  <c r="AL38" i="9"/>
  <c r="I17" i="9"/>
  <c r="H44" i="9"/>
  <c r="G51" i="6"/>
  <c r="E19" i="17"/>
  <c r="AL40" i="9"/>
  <c r="BB38" i="9"/>
  <c r="AM28" i="9"/>
  <c r="I83" i="9"/>
  <c r="G31" i="6"/>
  <c r="I19" i="9"/>
  <c r="I42" i="9"/>
  <c r="E22" i="17"/>
  <c r="E29" i="9"/>
  <c r="AL30" i="9"/>
  <c r="AM30" i="9"/>
  <c r="AN28" i="9"/>
  <c r="I44" i="9"/>
  <c r="J17" i="9"/>
  <c r="G52" i="6"/>
  <c r="G53" i="6"/>
  <c r="G32" i="6"/>
  <c r="E29" i="17"/>
  <c r="E32" i="17"/>
  <c r="AN30" i="9"/>
  <c r="AO28" i="9"/>
  <c r="J83" i="9"/>
  <c r="J19" i="9"/>
  <c r="J42" i="9"/>
  <c r="AO30" i="9"/>
  <c r="AP28" i="9"/>
  <c r="J44" i="9"/>
  <c r="K17" i="9"/>
  <c r="AP30" i="9"/>
  <c r="AQ28" i="9"/>
  <c r="K83" i="9"/>
  <c r="H28" i="6"/>
  <c r="H38" i="6"/>
  <c r="K42" i="9"/>
  <c r="K19" i="9"/>
  <c r="AR28" i="9"/>
  <c r="AQ30" i="9"/>
  <c r="K44" i="9"/>
  <c r="L17" i="9"/>
  <c r="H51" i="6"/>
  <c r="G31" i="14"/>
  <c r="AR30" i="9"/>
  <c r="AS28" i="9"/>
  <c r="E74" i="9"/>
  <c r="L83" i="9"/>
  <c r="L19" i="9"/>
  <c r="L42" i="9"/>
  <c r="AS30" i="9"/>
  <c r="AT28" i="9"/>
  <c r="E33" i="9"/>
  <c r="H52" i="6"/>
  <c r="L44" i="9"/>
  <c r="M17" i="9"/>
  <c r="AU28" i="9"/>
  <c r="AT30" i="9"/>
  <c r="M83" i="9"/>
  <c r="M19" i="9"/>
  <c r="M42" i="9"/>
  <c r="H53" i="6"/>
  <c r="AU30" i="9"/>
  <c r="E30" i="9"/>
  <c r="E28" i="9"/>
  <c r="BC38" i="9"/>
  <c r="M44" i="9"/>
  <c r="N17" i="9"/>
  <c r="E80" i="9"/>
  <c r="BC40" i="9"/>
  <c r="BD38" i="9"/>
  <c r="E39" i="9"/>
  <c r="BB40" i="9"/>
  <c r="N83" i="9"/>
  <c r="I38" i="6"/>
  <c r="N19" i="9"/>
  <c r="N42" i="9"/>
  <c r="I28" i="6"/>
  <c r="BD40" i="9"/>
  <c r="BE38" i="9"/>
  <c r="I51" i="6"/>
  <c r="N44" i="9"/>
  <c r="O17" i="9"/>
  <c r="BE40" i="9"/>
  <c r="BF38" i="9"/>
  <c r="O83" i="9"/>
  <c r="O19" i="9"/>
  <c r="O42" i="9"/>
  <c r="H31" i="14"/>
  <c r="BF40" i="9"/>
  <c r="BG38" i="9"/>
  <c r="I52" i="6"/>
  <c r="O44" i="9"/>
  <c r="P17" i="9"/>
  <c r="BG40" i="9"/>
  <c r="BH38" i="9"/>
  <c r="P83" i="9"/>
  <c r="P19" i="9"/>
  <c r="P42" i="9"/>
  <c r="I53" i="6"/>
  <c r="BH40" i="9"/>
  <c r="BI38" i="9"/>
  <c r="P44" i="9"/>
  <c r="Q17" i="9"/>
  <c r="BI40" i="9"/>
  <c r="BJ38" i="9"/>
  <c r="Q83" i="9"/>
  <c r="Q19" i="9"/>
  <c r="Q42" i="9"/>
  <c r="J28" i="6"/>
  <c r="J38" i="6"/>
  <c r="E81" i="9"/>
  <c r="E79" i="9"/>
  <c r="E70" i="9"/>
  <c r="E63" i="9"/>
  <c r="BJ40" i="9"/>
  <c r="E40" i="9"/>
  <c r="E38" i="9"/>
  <c r="Q44" i="9"/>
  <c r="R17" i="9"/>
  <c r="J51" i="6"/>
  <c r="R83" i="9"/>
  <c r="R19" i="9"/>
  <c r="R42" i="9"/>
  <c r="I31" i="14"/>
  <c r="R44" i="9"/>
  <c r="S17" i="9"/>
  <c r="J52" i="6"/>
  <c r="S83" i="9"/>
  <c r="S19" i="9"/>
  <c r="S42" i="9"/>
  <c r="J53" i="6"/>
  <c r="S44" i="9"/>
  <c r="T17" i="9"/>
  <c r="T83" i="9"/>
  <c r="K38" i="6"/>
  <c r="T19" i="9"/>
  <c r="T42" i="9"/>
  <c r="K28" i="6"/>
  <c r="K51" i="6"/>
  <c r="T44" i="9"/>
  <c r="U17" i="9"/>
  <c r="E71" i="9"/>
  <c r="E69" i="9"/>
  <c r="U83" i="9"/>
  <c r="U19" i="9"/>
  <c r="U42" i="9"/>
  <c r="J31" i="14"/>
  <c r="V57" i="9"/>
  <c r="V83" i="9"/>
  <c r="K52" i="6"/>
  <c r="K53" i="6"/>
  <c r="U44" i="9"/>
  <c r="V17" i="9"/>
  <c r="V42" i="9"/>
  <c r="L28" i="6"/>
  <c r="L38" i="6"/>
  <c r="L51" i="6"/>
  <c r="L52" i="6"/>
  <c r="L53" i="6"/>
  <c r="K31" i="14"/>
  <c r="M28" i="6"/>
  <c r="M38" i="6"/>
  <c r="M51" i="6"/>
  <c r="M52" i="6"/>
  <c r="M53" i="6"/>
  <c r="L31" i="14"/>
  <c r="N28" i="6"/>
  <c r="N38" i="6"/>
  <c r="N51" i="6"/>
  <c r="N52" i="6"/>
  <c r="N53" i="6"/>
  <c r="E17" i="7"/>
  <c r="E15" i="7"/>
  <c r="M31" i="14"/>
  <c r="O28" i="6"/>
  <c r="E10" i="13"/>
  <c r="E20" i="13"/>
  <c r="E18" i="7"/>
  <c r="O38" i="6"/>
  <c r="O51" i="6"/>
  <c r="E19" i="7"/>
  <c r="E22" i="14"/>
  <c r="E15" i="14"/>
  <c r="E14" i="14"/>
  <c r="E9" i="14"/>
  <c r="O52" i="6"/>
  <c r="O53" i="6"/>
  <c r="E24" i="14"/>
  <c r="N31" i="14"/>
  <c r="P28" i="6"/>
  <c r="P38" i="6"/>
  <c r="P51" i="6"/>
  <c r="P52" i="6"/>
  <c r="P53" i="6"/>
  <c r="O31" i="14"/>
  <c r="Q28" i="6"/>
  <c r="Q38" i="6"/>
  <c r="Q51" i="6"/>
  <c r="Q52" i="6"/>
  <c r="Q53" i="6"/>
  <c r="P31" i="14"/>
  <c r="R28" i="6"/>
  <c r="R38" i="6"/>
  <c r="R51" i="6"/>
  <c r="R52" i="6"/>
  <c r="R53" i="6"/>
  <c r="Q31" i="14"/>
  <c r="S28" i="6"/>
  <c r="S38" i="6"/>
  <c r="S51" i="6"/>
  <c r="S52" i="6"/>
  <c r="S53" i="6"/>
  <c r="R31" i="14"/>
  <c r="T28" i="6"/>
  <c r="T38" i="6"/>
  <c r="T51" i="6"/>
  <c r="T52" i="6"/>
  <c r="T53" i="6"/>
  <c r="S31" i="14"/>
  <c r="U28" i="6"/>
  <c r="U38" i="6"/>
  <c r="U51" i="6"/>
  <c r="E41" i="6"/>
  <c r="U52" i="6"/>
  <c r="U53" i="6"/>
  <c r="E49" i="6"/>
  <c r="T31" i="14"/>
  <c r="D52" i="9"/>
  <c r="D12" i="9"/>
  <c r="D50" i="9"/>
  <c r="D10" i="9"/>
  <c r="E24" i="6"/>
  <c r="V28" i="6"/>
  <c r="E28" i="6"/>
  <c r="V38" i="6"/>
  <c r="D171" i="23"/>
  <c r="D172" i="23"/>
  <c r="E58" i="6"/>
  <c r="V31" i="6"/>
  <c r="E42" i="6"/>
  <c r="V51" i="6"/>
  <c r="E38" i="6"/>
  <c r="U31" i="14"/>
  <c r="V19" i="9"/>
  <c r="V52" i="6"/>
  <c r="E52" i="6"/>
  <c r="V32" i="6"/>
  <c r="E31" i="6"/>
  <c r="E51" i="6"/>
  <c r="V53" i="6"/>
  <c r="E53" i="6"/>
  <c r="E11" i="13"/>
  <c r="E18" i="9"/>
  <c r="V44" i="9"/>
  <c r="W17" i="9"/>
  <c r="E58" i="9"/>
  <c r="W83" i="9"/>
  <c r="W19" i="9"/>
  <c r="W42" i="9"/>
  <c r="E21" i="13"/>
  <c r="E84" i="9"/>
  <c r="E43" i="9"/>
  <c r="W44" i="9"/>
  <c r="X17" i="9"/>
  <c r="V31" i="14"/>
  <c r="X83" i="9"/>
  <c r="X19" i="9"/>
  <c r="X42" i="9"/>
  <c r="X44" i="9"/>
  <c r="Y17" i="9"/>
  <c r="Y19" i="9"/>
  <c r="Y42" i="9"/>
  <c r="Y83" i="9"/>
  <c r="Y44" i="9"/>
  <c r="Z17" i="9"/>
  <c r="W31" i="14"/>
  <c r="Z19" i="9"/>
  <c r="Z42" i="9"/>
  <c r="Z83" i="9"/>
  <c r="Z44" i="9"/>
  <c r="AA17" i="9"/>
  <c r="AA19" i="9"/>
  <c r="AA42" i="9"/>
  <c r="AA83" i="9"/>
  <c r="AA44" i="9"/>
  <c r="AB17" i="9"/>
  <c r="X31" i="14"/>
  <c r="AB19" i="9"/>
  <c r="AB42" i="9"/>
  <c r="AB83" i="9"/>
  <c r="AB44" i="9"/>
  <c r="AC17" i="9"/>
  <c r="AC19" i="9"/>
  <c r="AC42" i="9"/>
  <c r="AC83" i="9"/>
  <c r="AC44" i="9"/>
  <c r="AD17" i="9"/>
  <c r="Y31" i="14"/>
  <c r="AD19" i="9"/>
  <c r="AD42" i="9"/>
  <c r="AD83" i="9"/>
  <c r="AD44" i="9"/>
  <c r="AE17" i="9"/>
  <c r="AE19" i="9"/>
  <c r="AE42" i="9"/>
  <c r="AE83" i="9"/>
  <c r="AE44" i="9"/>
  <c r="AF17" i="9"/>
  <c r="Z31" i="14"/>
  <c r="AF19" i="9"/>
  <c r="AF42" i="9"/>
  <c r="AF83" i="9"/>
  <c r="AF44" i="9"/>
  <c r="AG17" i="9"/>
  <c r="AG19" i="9"/>
  <c r="AG42" i="9"/>
  <c r="AG83" i="9"/>
  <c r="AG44" i="9"/>
  <c r="AH17" i="9"/>
  <c r="AA31" i="14"/>
  <c r="AH19" i="9"/>
  <c r="AH42" i="9"/>
  <c r="AH83" i="9"/>
  <c r="AH44" i="9"/>
  <c r="AI17" i="9"/>
  <c r="AI19" i="9"/>
  <c r="AI42" i="9"/>
  <c r="AI83" i="9"/>
  <c r="AI44" i="9"/>
  <c r="AJ17" i="9"/>
  <c r="AB31" i="14"/>
  <c r="AJ83" i="9"/>
  <c r="AJ19" i="9"/>
  <c r="AJ42" i="9"/>
  <c r="AJ44" i="9"/>
  <c r="AK17" i="9"/>
  <c r="AK83" i="9"/>
  <c r="AK19" i="9"/>
  <c r="AK42" i="9"/>
  <c r="AK44" i="9"/>
  <c r="AL17" i="9"/>
  <c r="AC31" i="14"/>
  <c r="AL83" i="9"/>
  <c r="AL19" i="9"/>
  <c r="AL42" i="9"/>
  <c r="AL44" i="9"/>
  <c r="AM17" i="9"/>
  <c r="AM19" i="9"/>
  <c r="AM42" i="9"/>
  <c r="AM83" i="9"/>
  <c r="AN17" i="9"/>
  <c r="AM44" i="9"/>
  <c r="AD31" i="14"/>
  <c r="AN19" i="9"/>
  <c r="AN42" i="9"/>
  <c r="AN83" i="9"/>
  <c r="AN44" i="9"/>
  <c r="AO17" i="9"/>
  <c r="AO19" i="9"/>
  <c r="AO42" i="9"/>
  <c r="AO83" i="9"/>
  <c r="AP17" i="9"/>
  <c r="AO44" i="9"/>
  <c r="AE31" i="14"/>
  <c r="AP19" i="9"/>
  <c r="AP42" i="9"/>
  <c r="AP83" i="9"/>
  <c r="AP44" i="9"/>
  <c r="AQ17" i="9"/>
  <c r="AQ83" i="9"/>
  <c r="AQ19" i="9"/>
  <c r="AQ42" i="9"/>
  <c r="AR17" i="9"/>
  <c r="AQ44" i="9"/>
  <c r="AF31" i="14"/>
  <c r="AR83" i="9"/>
  <c r="AR19" i="9"/>
  <c r="AR42" i="9"/>
  <c r="AR44" i="9"/>
  <c r="AS17" i="9"/>
  <c r="AS83" i="9"/>
  <c r="AS19" i="9"/>
  <c r="AS42" i="9"/>
  <c r="AT17" i="9"/>
  <c r="AS44" i="9"/>
  <c r="AG31" i="14"/>
  <c r="AT19" i="9"/>
  <c r="AT42" i="9"/>
  <c r="AT83" i="9"/>
  <c r="AT44" i="9"/>
  <c r="AU17" i="9"/>
  <c r="AU19" i="9"/>
  <c r="AU42" i="9"/>
  <c r="AU83" i="9"/>
  <c r="AV17" i="9"/>
  <c r="AU44" i="9"/>
  <c r="AH31" i="14"/>
  <c r="AV19" i="9"/>
  <c r="AV42" i="9"/>
  <c r="AV83" i="9"/>
  <c r="AV44" i="9"/>
  <c r="AW17" i="9"/>
  <c r="AW19" i="9"/>
  <c r="AW42" i="9"/>
  <c r="AW83" i="9"/>
  <c r="AX17" i="9"/>
  <c r="AW44" i="9"/>
  <c r="AI31" i="14"/>
  <c r="AX19" i="9"/>
  <c r="AX42" i="9"/>
  <c r="AX83" i="9"/>
  <c r="AX44" i="9"/>
  <c r="AY17" i="9"/>
  <c r="AY19" i="9"/>
  <c r="AY42" i="9"/>
  <c r="AY83" i="9"/>
  <c r="AZ17" i="9"/>
  <c r="AY44" i="9"/>
  <c r="AJ31" i="14"/>
  <c r="AZ19" i="9"/>
  <c r="AZ42" i="9"/>
  <c r="AZ83" i="9"/>
  <c r="AZ44" i="9"/>
  <c r="BA17" i="9"/>
  <c r="BA83" i="9"/>
  <c r="BA19" i="9"/>
  <c r="BA42" i="9"/>
  <c r="BA44" i="9"/>
  <c r="BB17" i="9"/>
  <c r="AK31" i="14"/>
  <c r="BB83" i="9"/>
  <c r="BB19" i="9"/>
  <c r="BB42" i="9"/>
  <c r="BB44" i="9"/>
  <c r="BC17" i="9"/>
  <c r="BC83" i="9"/>
  <c r="BC19" i="9"/>
  <c r="BC42" i="9"/>
  <c r="BC44" i="9"/>
  <c r="BD17" i="9"/>
  <c r="AL31" i="14"/>
  <c r="BD83" i="9"/>
  <c r="BD19" i="9"/>
  <c r="BD42" i="9"/>
  <c r="BD44" i="9"/>
  <c r="BE17" i="9"/>
  <c r="BE83" i="9"/>
  <c r="BE19" i="9"/>
  <c r="BE42" i="9"/>
  <c r="BE44" i="9"/>
  <c r="BF17" i="9"/>
  <c r="AM31" i="14"/>
  <c r="BF19" i="9"/>
  <c r="BF42" i="9"/>
  <c r="BF83" i="9"/>
  <c r="BF44" i="9"/>
  <c r="BG17" i="9"/>
  <c r="BG19" i="9"/>
  <c r="BG42" i="9"/>
  <c r="BG83" i="9"/>
  <c r="BG44" i="9"/>
  <c r="BH17" i="9"/>
  <c r="AN31" i="14"/>
  <c r="BH19" i="9"/>
  <c r="BH42" i="9"/>
  <c r="BH83" i="9"/>
  <c r="BI17" i="9"/>
  <c r="BH44" i="9"/>
  <c r="BI19" i="9"/>
  <c r="BI42" i="9"/>
  <c r="BI83" i="9"/>
  <c r="BI44" i="9"/>
  <c r="BJ17" i="9"/>
  <c r="AO31" i="14"/>
  <c r="BJ19" i="9"/>
  <c r="BJ42" i="9"/>
  <c r="E42" i="9"/>
  <c r="E17" i="9"/>
  <c r="BJ83" i="9"/>
  <c r="E83" i="9"/>
  <c r="E57" i="9"/>
  <c r="E85" i="9"/>
  <c r="E59" i="9"/>
  <c r="BJ44" i="9"/>
  <c r="E44" i="9"/>
  <c r="E19" i="9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E10" i="14"/>
  <c r="E7" i="14"/>
  <c r="E12" i="13"/>
  <c r="E32" i="14"/>
  <c r="E18" i="13"/>
  <c r="E17" i="14"/>
  <c r="E11" i="14"/>
  <c r="E8" i="13"/>
  <c r="E14" i="13"/>
  <c r="E22" i="13"/>
  <c r="E24" i="13"/>
  <c r="E18" i="14"/>
  <c r="E20" i="14"/>
  <c r="E26" i="13"/>
  <c r="E27" i="13"/>
  <c r="E23" i="14"/>
  <c r="BJ31" i="14"/>
  <c r="E31" i="14"/>
  <c r="E26" i="14"/>
  <c r="E32" i="20"/>
  <c r="R4" i="24"/>
  <c r="E22" i="19"/>
  <c r="Q18" i="24"/>
</calcChain>
</file>

<file path=xl/sharedStrings.xml><?xml version="1.0" encoding="utf-8"?>
<sst xmlns="http://schemas.openxmlformats.org/spreadsheetml/2006/main" count="2575" uniqueCount="499">
  <si>
    <t>Sources</t>
  </si>
  <si>
    <t>000 $</t>
  </si>
  <si>
    <t>Uses</t>
  </si>
  <si>
    <t>Construction</t>
  </si>
  <si>
    <t>Land</t>
  </si>
  <si>
    <t>Total Sources</t>
  </si>
  <si>
    <t>Initial Working Capital</t>
  </si>
  <si>
    <t>Initial DSRA Funding</t>
  </si>
  <si>
    <t>Valuations</t>
  </si>
  <si>
    <t>IRR</t>
  </si>
  <si>
    <t>Leveraged Valuation</t>
  </si>
  <si>
    <t>Unleveraged Valuation</t>
  </si>
  <si>
    <t>Debt Repayment</t>
  </si>
  <si>
    <t>Minimum DSCR</t>
  </si>
  <si>
    <t>Minimum DTBE</t>
  </si>
  <si>
    <t>periods</t>
  </si>
  <si>
    <t>Construction duration</t>
  </si>
  <si>
    <t>Construction Cost</t>
  </si>
  <si>
    <t>Heat Rate</t>
  </si>
  <si>
    <t>Output</t>
  </si>
  <si>
    <t xml:space="preserve"> </t>
  </si>
  <si>
    <t>End of Period</t>
  </si>
  <si>
    <t>Year</t>
  </si>
  <si>
    <t>Units</t>
  </si>
  <si>
    <t>Constants</t>
  </si>
  <si>
    <t>Total</t>
  </si>
  <si>
    <t>*</t>
  </si>
  <si>
    <t>period end</t>
  </si>
  <si>
    <t>months</t>
  </si>
  <si>
    <t>Construction Start</t>
  </si>
  <si>
    <t>Construction period duration</t>
  </si>
  <si>
    <t>Construction End</t>
  </si>
  <si>
    <t>Operation Period duration</t>
  </si>
  <si>
    <t>Construction Payment Close</t>
  </si>
  <si>
    <t>%</t>
  </si>
  <si>
    <t>Name Plate Capacity</t>
  </si>
  <si>
    <t>MW</t>
  </si>
  <si>
    <t>Output degradation</t>
  </si>
  <si>
    <t>%/semester</t>
  </si>
  <si>
    <t>Name Plate Heat Rate</t>
  </si>
  <si>
    <t>Heat Rate degradation</t>
  </si>
  <si>
    <t>Maintenance Frequency</t>
  </si>
  <si>
    <t>Output improvement</t>
  </si>
  <si>
    <t>Heat Rate improvement</t>
  </si>
  <si>
    <t>Dispatch Factor</t>
  </si>
  <si>
    <t>Forced Outage</t>
  </si>
  <si>
    <t>Major Maintenance Outage</t>
  </si>
  <si>
    <t>Yearly Hours</t>
  </si>
  <si>
    <t>hours</t>
  </si>
  <si>
    <t>CapEx Frequency</t>
  </si>
  <si>
    <t>date</t>
  </si>
  <si>
    <t>US inflation</t>
  </si>
  <si>
    <t>%/year</t>
  </si>
  <si>
    <t>Exchange Rate Base</t>
  </si>
  <si>
    <t>US inflation change after</t>
  </si>
  <si>
    <t>Construction Costs</t>
  </si>
  <si>
    <t>Land Acquisition</t>
  </si>
  <si>
    <t>Underwriting Fee</t>
  </si>
  <si>
    <t>Annual Commitment Fee</t>
  </si>
  <si>
    <t>Debt facility: Estimate</t>
  </si>
  <si>
    <t>Debt drawdown</t>
  </si>
  <si>
    <t>Difference</t>
  </si>
  <si>
    <t>Target leverage</t>
  </si>
  <si>
    <t>Total Debt Interest</t>
  </si>
  <si>
    <t>Debt Interest</t>
  </si>
  <si>
    <t>%/period</t>
  </si>
  <si>
    <t>Debt amortization</t>
  </si>
  <si>
    <t>semesters</t>
  </si>
  <si>
    <t>Amortization outstanding</t>
  </si>
  <si>
    <t>years</t>
  </si>
  <si>
    <t>CapEx</t>
  </si>
  <si>
    <t>Capital Expenditures</t>
  </si>
  <si>
    <t>Depreciation</t>
  </si>
  <si>
    <t>Tax Depreciation</t>
  </si>
  <si>
    <t>CapEx Tax Depreciation</t>
  </si>
  <si>
    <t>Book Depreciation</t>
  </si>
  <si>
    <t>CapEx Book Depreciation</t>
  </si>
  <si>
    <t>Revenues</t>
  </si>
  <si>
    <t>PPA Capacity Tariff</t>
  </si>
  <si>
    <t>Energy Prices</t>
  </si>
  <si>
    <t>Variable</t>
  </si>
  <si>
    <t>Fixed</t>
  </si>
  <si>
    <t>Maintenance</t>
  </si>
  <si>
    <t>Property Taxes</t>
  </si>
  <si>
    <t>Gross Revenue Tax Rate</t>
  </si>
  <si>
    <t>Working Capital</t>
  </si>
  <si>
    <t>Days Receivable</t>
  </si>
  <si>
    <t>days</t>
  </si>
  <si>
    <t>Days Payable</t>
  </si>
  <si>
    <t>Taxes</t>
  </si>
  <si>
    <t>Corporate Tax Rate</t>
  </si>
  <si>
    <t>Cash Accounts</t>
  </si>
  <si>
    <t>Cash Account Interest Rate</t>
  </si>
  <si>
    <t xml:space="preserve">Bank Return </t>
  </si>
  <si>
    <t>k</t>
  </si>
  <si>
    <t>Probability of Default</t>
  </si>
  <si>
    <t>Loss Given Default</t>
  </si>
  <si>
    <t>Admin Costs</t>
  </si>
  <si>
    <t>000 $/year</t>
  </si>
  <si>
    <t>Timing</t>
  </si>
  <si>
    <t>Finance timeline</t>
  </si>
  <si>
    <t>flag</t>
  </si>
  <si>
    <t>x</t>
  </si>
  <si>
    <t>Construction timeline</t>
  </si>
  <si>
    <t>Construction start</t>
  </si>
  <si>
    <t>Operation</t>
  </si>
  <si>
    <t>Payment Schedule</t>
  </si>
  <si>
    <t>Btu/kWh</t>
  </si>
  <si>
    <t>counter</t>
  </si>
  <si>
    <t>Outages</t>
  </si>
  <si>
    <t>Availability Factor</t>
  </si>
  <si>
    <t>Capacity Factor</t>
  </si>
  <si>
    <t>000 MWh</t>
  </si>
  <si>
    <t>Fuel Available</t>
  </si>
  <si>
    <t>Energy Generated</t>
  </si>
  <si>
    <t>Capital Expenditure</t>
  </si>
  <si>
    <t>CapEx Counter</t>
  </si>
  <si>
    <t>year</t>
  </si>
  <si>
    <t>PPA Active</t>
  </si>
  <si>
    <t>FSA Term End</t>
  </si>
  <si>
    <t>Exchange Rate</t>
  </si>
  <si>
    <t>Financial Close</t>
  </si>
  <si>
    <t>Payments Schedule</t>
  </si>
  <si>
    <t xml:space="preserve">Construction Payments   </t>
  </si>
  <si>
    <t>000$</t>
  </si>
  <si>
    <t>EPC costs</t>
  </si>
  <si>
    <t>EPC and Land Costs</t>
  </si>
  <si>
    <t>Interest during construction</t>
  </si>
  <si>
    <t>Initial DSRA funding</t>
  </si>
  <si>
    <t>Total uses</t>
  </si>
  <si>
    <t>Capital investment: This perd</t>
  </si>
  <si>
    <t>Depre invstmt: This perd</t>
  </si>
  <si>
    <t>Deprec invstmt: Cumulative</t>
  </si>
  <si>
    <t>Debt outstanding: EoP</t>
  </si>
  <si>
    <t>Still to be drawn</t>
  </si>
  <si>
    <t>Equity contribution</t>
  </si>
  <si>
    <t>Total sources: Cumulative</t>
  </si>
  <si>
    <t>Debt outstanding: BoP</t>
  </si>
  <si>
    <t>Debt interest</t>
  </si>
  <si>
    <t>% / period</t>
  </si>
  <si>
    <t>Actual leverage</t>
  </si>
  <si>
    <t>Prepaid Debt drawdown</t>
  </si>
  <si>
    <t>Debt Service</t>
  </si>
  <si>
    <t>PPA</t>
  </si>
  <si>
    <t>Debt Amortization</t>
  </si>
  <si>
    <t>Debt Drawdown</t>
  </si>
  <si>
    <t>Debt Outstanding: BoP</t>
  </si>
  <si>
    <t>Principal Payment</t>
  </si>
  <si>
    <t>Debt Outstanding: EoP</t>
  </si>
  <si>
    <t>Debt Interest Payment</t>
  </si>
  <si>
    <t>Debt service</t>
  </si>
  <si>
    <t>Average Loan Life</t>
  </si>
  <si>
    <t>Amortization: Mortgage-style</t>
  </si>
  <si>
    <t>% of original</t>
  </si>
  <si>
    <t>Average loan life</t>
  </si>
  <si>
    <t>years after constr</t>
  </si>
  <si>
    <t>counter interim</t>
  </si>
  <si>
    <t>Capital Expenditures $</t>
  </si>
  <si>
    <t>CapEx Accrual</t>
  </si>
  <si>
    <t xml:space="preserve">Operation </t>
  </si>
  <si>
    <t>Interest During Construction</t>
  </si>
  <si>
    <t>Underwriting Fees</t>
  </si>
  <si>
    <t>Initial Depreciable Basis</t>
  </si>
  <si>
    <t>Tax Balance: BoP</t>
  </si>
  <si>
    <t>Tax Balance: EoP</t>
  </si>
  <si>
    <t xml:space="preserve">CapEx </t>
  </si>
  <si>
    <t>counter1</t>
  </si>
  <si>
    <t>counter2</t>
  </si>
  <si>
    <t>Capital Expenditure 1</t>
  </si>
  <si>
    <t>CapEx 1 Balance: BoP</t>
  </si>
  <si>
    <t>CapEx 1 Tax Depreciation</t>
  </si>
  <si>
    <t>CapEx 1 Balance: EoP</t>
  </si>
  <si>
    <t>Capital Expenditure 2</t>
  </si>
  <si>
    <t>CapEx 2 Balance: BoP</t>
  </si>
  <si>
    <t>CapEx 2 Tax Depreciation</t>
  </si>
  <si>
    <t>CapEx 2 Balance: EoP</t>
  </si>
  <si>
    <t>PPE Tax Value BoP</t>
  </si>
  <si>
    <t>Total Tax Depreciation</t>
  </si>
  <si>
    <t>PPE Tax Value EOP</t>
  </si>
  <si>
    <t>Plant and Equipment</t>
  </si>
  <si>
    <t>Book Balance: BoP</t>
  </si>
  <si>
    <t>Book Balance: EoP</t>
  </si>
  <si>
    <t>CapEx 1 Book Depreciation</t>
  </si>
  <si>
    <t>CapEX Book Depreciation</t>
  </si>
  <si>
    <t>CapEx 2 Book Depreciation</t>
  </si>
  <si>
    <t>PPE Book Value BoP</t>
  </si>
  <si>
    <t>Total Book Depreciation</t>
  </si>
  <si>
    <t>PPE Book Value EoP</t>
  </si>
  <si>
    <t>Output Capacity: Avg</t>
  </si>
  <si>
    <t>$/kW/yr</t>
  </si>
  <si>
    <t>Capacity Revenues</t>
  </si>
  <si>
    <t>Energy revenues</t>
  </si>
  <si>
    <t>PPA Energy Tariff</t>
  </si>
  <si>
    <t>$/MWh</t>
  </si>
  <si>
    <t>Market Energy Revenues</t>
  </si>
  <si>
    <t>Energy Revenues</t>
  </si>
  <si>
    <t>Total Revenues</t>
  </si>
  <si>
    <t xml:space="preserve">000 $ </t>
  </si>
  <si>
    <t>Fuel Cost</t>
  </si>
  <si>
    <t>$/barrel</t>
  </si>
  <si>
    <t>Operating Costs</t>
  </si>
  <si>
    <t xml:space="preserve">Maintenance </t>
  </si>
  <si>
    <t>Operating Revenue</t>
  </si>
  <si>
    <t>Gross Revenue Tax</t>
  </si>
  <si>
    <t>Deferred Expenses</t>
  </si>
  <si>
    <t>Maintenance Accrual</t>
  </si>
  <si>
    <t>Accounts Receivable</t>
  </si>
  <si>
    <t>Operating Revenues</t>
  </si>
  <si>
    <t>Accounts Payable</t>
  </si>
  <si>
    <t>Operating Expenses</t>
  </si>
  <si>
    <t>Major Maintenance</t>
  </si>
  <si>
    <t>Net Operating Expenses</t>
  </si>
  <si>
    <t>Initial working capital</t>
  </si>
  <si>
    <t>Change in Working Capital</t>
  </si>
  <si>
    <t>Cash Taxes</t>
  </si>
  <si>
    <t>Operating Cashflow</t>
  </si>
  <si>
    <t>Other Income</t>
  </si>
  <si>
    <t>Liquidated Damages</t>
  </si>
  <si>
    <t>Interest Expense</t>
  </si>
  <si>
    <t xml:space="preserve"> Tax Depreciation</t>
  </si>
  <si>
    <t>Taxable Cashflow</t>
  </si>
  <si>
    <t>Equals: Cash Tax Payable</t>
  </si>
  <si>
    <t>Book Taxes</t>
  </si>
  <si>
    <t>Operating Income</t>
  </si>
  <si>
    <t>Taxable Income</t>
  </si>
  <si>
    <t>Equals: Book Income Taxes</t>
  </si>
  <si>
    <t>Deferred Taxes</t>
  </si>
  <si>
    <t>Deferred Taxes Accrued</t>
  </si>
  <si>
    <t>Debt Service Reserve Account</t>
  </si>
  <si>
    <t>DSRA balance BoP</t>
  </si>
  <si>
    <t>DSRA required bal: EoP</t>
  </si>
  <si>
    <t>DSRA scheduled release</t>
  </si>
  <si>
    <t>CFADS</t>
  </si>
  <si>
    <t>Debt service Total</t>
  </si>
  <si>
    <t>Debt service shortfall</t>
  </si>
  <si>
    <t>DSRA release for shortfall</t>
  </si>
  <si>
    <t>DSRA bal before funding</t>
  </si>
  <si>
    <t>DSRA required funding</t>
  </si>
  <si>
    <t>Cashflow after debt svc</t>
  </si>
  <si>
    <t>DSRA funding from CF</t>
  </si>
  <si>
    <t>DSRA balance: EoP</t>
  </si>
  <si>
    <t>CF after DSRA funding</t>
  </si>
  <si>
    <t>Interest Earned</t>
  </si>
  <si>
    <t>Cash Account Balance</t>
  </si>
  <si>
    <t>Cash Waterfall</t>
  </si>
  <si>
    <t>(Increases) in Working Capital</t>
  </si>
  <si>
    <t>Cash Income Taxes</t>
  </si>
  <si>
    <t>CF after Ops,WC, CapEx, Tax</t>
  </si>
  <si>
    <t>Debt Service Total</t>
  </si>
  <si>
    <t>DTBE</t>
  </si>
  <si>
    <t xml:space="preserve">flag </t>
  </si>
  <si>
    <t>Cashflow</t>
  </si>
  <si>
    <t>Fuel</t>
  </si>
  <si>
    <t>Variable O&amp;M</t>
  </si>
  <si>
    <t>Fixed O&amp;M</t>
  </si>
  <si>
    <t>Gross Revenue Taxes</t>
  </si>
  <si>
    <t>DSRA Scheduled Release</t>
  </si>
  <si>
    <t>Interest and Finance Fees</t>
  </si>
  <si>
    <t>Principal Expense</t>
  </si>
  <si>
    <t>DSRA Funding</t>
  </si>
  <si>
    <t>Net Cash Flow</t>
  </si>
  <si>
    <t>Income Statement</t>
  </si>
  <si>
    <t>Net Income</t>
  </si>
  <si>
    <t>Balance Sheet</t>
  </si>
  <si>
    <t>Assets</t>
  </si>
  <si>
    <t>PPE EOP</t>
  </si>
  <si>
    <t>Non-depreciable physical assets</t>
  </si>
  <si>
    <t>Total Assets</t>
  </si>
  <si>
    <t>Liabilities</t>
  </si>
  <si>
    <t>Debt outstanding</t>
  </si>
  <si>
    <t>Total Liabilities</t>
  </si>
  <si>
    <t>Equity</t>
  </si>
  <si>
    <t>Equity BOP</t>
  </si>
  <si>
    <t>Retained Earnings</t>
  </si>
  <si>
    <t>Equity EOP</t>
  </si>
  <si>
    <t>Total Liabilities + Equity</t>
  </si>
  <si>
    <t>Error: A-(L+E)</t>
  </si>
  <si>
    <t>Bank Return on Regulatory Capital</t>
  </si>
  <si>
    <t>Loan Commitment</t>
  </si>
  <si>
    <t>Principal Oustanding: EoP</t>
  </si>
  <si>
    <t>Initial k</t>
  </si>
  <si>
    <t>Reduction in k</t>
  </si>
  <si>
    <t>Upfront Fee</t>
  </si>
  <si>
    <t>Commitment Fee</t>
  </si>
  <si>
    <t>Interest Received</t>
  </si>
  <si>
    <t>Cost of Funds</t>
  </si>
  <si>
    <t>Expected Loss</t>
  </si>
  <si>
    <t>Admin Cost</t>
  </si>
  <si>
    <t>Cost of Equity</t>
  </si>
  <si>
    <t>Equity Contributions</t>
  </si>
  <si>
    <t>Free Cash Flows</t>
  </si>
  <si>
    <t>Equity Cashflows</t>
  </si>
  <si>
    <t>Discount Rates</t>
  </si>
  <si>
    <t>PV</t>
  </si>
  <si>
    <t>Operating Cashflows</t>
  </si>
  <si>
    <t>Adj. Cash Income Taxes</t>
  </si>
  <si>
    <t>Adjusted Free Cash Flow</t>
  </si>
  <si>
    <t>WACC</t>
  </si>
  <si>
    <t>Investment Costs</t>
  </si>
  <si>
    <t>Adjusted Net Cashflows</t>
  </si>
  <si>
    <t>Total Cashflows</t>
  </si>
  <si>
    <t>Capital Investment</t>
  </si>
  <si>
    <t>Adj Cap Investment</t>
  </si>
  <si>
    <t>Adjusted Tax Depreciation</t>
  </si>
  <si>
    <t>Adjusted Cash Taxes</t>
  </si>
  <si>
    <t>Adjusted Cash Tax Payable</t>
  </si>
  <si>
    <t>Cost of power</t>
  </si>
  <si>
    <t>All-in Cost of Power</t>
  </si>
  <si>
    <t>$/kWh</t>
  </si>
  <si>
    <t>All-in Cost of Power Average</t>
  </si>
  <si>
    <t>EBITDA</t>
  </si>
  <si>
    <t>EBIT</t>
  </si>
  <si>
    <t>EBT</t>
  </si>
  <si>
    <t>Total Expenses</t>
  </si>
  <si>
    <t>Reserve interest earning</t>
  </si>
  <si>
    <t>Cash Expenses</t>
  </si>
  <si>
    <t>FSA base price</t>
  </si>
  <si>
    <t>$ / MMBtu</t>
  </si>
  <si>
    <t>FSA reference oil price</t>
  </si>
  <si>
    <t>$ / bbl</t>
  </si>
  <si>
    <t>FSA gas-oil factor</t>
  </si>
  <si>
    <t>Technical</t>
  </si>
  <si>
    <t>Operation Start</t>
  </si>
  <si>
    <t>Operation duration</t>
  </si>
  <si>
    <t>Construction Payment by Quarter:</t>
  </si>
  <si>
    <t>Construction Delay</t>
  </si>
  <si>
    <t>000 $/MW</t>
  </si>
  <si>
    <t>000 $/Btu</t>
  </si>
  <si>
    <t>000 $/day</t>
  </si>
  <si>
    <t>Normal Scheduled Outage</t>
  </si>
  <si>
    <t>Power Puchase Agreement</t>
  </si>
  <si>
    <t>Dispatch Factor under PPA</t>
  </si>
  <si>
    <t>PPA Capacity Tariff Rate</t>
  </si>
  <si>
    <t>PPA Energy Tariff Rate</t>
  </si>
  <si>
    <t>Transportation Distance</t>
  </si>
  <si>
    <t>$/MMBtu</t>
  </si>
  <si>
    <t>Fuel Supply Agreement</t>
  </si>
  <si>
    <t>Market Data</t>
  </si>
  <si>
    <t>Energy Price</t>
  </si>
  <si>
    <t>Gas Price</t>
  </si>
  <si>
    <t>Project Cost</t>
  </si>
  <si>
    <t>Financial Data</t>
  </si>
  <si>
    <t>Fraction of Year in Period</t>
  </si>
  <si>
    <t>Operation End</t>
  </si>
  <si>
    <t>Operation timeline</t>
  </si>
  <si>
    <t>Major Maintenance Counter</t>
  </si>
  <si>
    <t>Output Capacity BoP</t>
  </si>
  <si>
    <t>Output Capacity EoP</t>
  </si>
  <si>
    <t>Output Capacity Period Avg</t>
  </si>
  <si>
    <t>Heat Rate BoP</t>
  </si>
  <si>
    <t>Heat Rate Period Avg</t>
  </si>
  <si>
    <t>Heat Rate EoP</t>
  </si>
  <si>
    <t>000 MMBtu</t>
  </si>
  <si>
    <t>Avg Energy Generation</t>
  </si>
  <si>
    <t>Avg Fuel Required</t>
  </si>
  <si>
    <t>PPA Payment Schedule</t>
  </si>
  <si>
    <t>FSA Flag</t>
  </si>
  <si>
    <t>Construction counter</t>
  </si>
  <si>
    <t>Financing counter</t>
  </si>
  <si>
    <t>Operation counter</t>
  </si>
  <si>
    <t>Operation Flag</t>
  </si>
  <si>
    <t>CapEx Flag</t>
  </si>
  <si>
    <t>Exchange Rate BoP</t>
  </si>
  <si>
    <t>Exchange Rate Avg</t>
  </si>
  <si>
    <t>Exchange Rate EoP</t>
  </si>
  <si>
    <t>Construction End Flag</t>
  </si>
  <si>
    <t>Total Liquidated Damages</t>
  </si>
  <si>
    <t>Total Outage Rate</t>
  </si>
  <si>
    <t>US Escalation EoP</t>
  </si>
  <si>
    <t>US Escalation BoP</t>
  </si>
  <si>
    <t>US Escalation Avg</t>
  </si>
  <si>
    <t>Inflation Adjuster - Preceding Year</t>
  </si>
  <si>
    <t>Wholesale Market</t>
  </si>
  <si>
    <t>Gas Price (Wholesale Market)</t>
  </si>
  <si>
    <t xml:space="preserve">Adjusted Energy Prices </t>
  </si>
  <si>
    <t>Avg Exchange Rate</t>
  </si>
  <si>
    <t>FSA Active</t>
  </si>
  <si>
    <t>Fuel Cost (FSA)</t>
  </si>
  <si>
    <t>Transportation Cost (FSA)</t>
  </si>
  <si>
    <t>Market Cost</t>
  </si>
  <si>
    <t>Market Cost Adjust for Inflation</t>
  </si>
  <si>
    <t>Fuel Consumption</t>
  </si>
  <si>
    <t>Total Fuel &amp; Transport Expense</t>
  </si>
  <si>
    <t>Variable Costs Adjusted for Inflation</t>
  </si>
  <si>
    <t>Fixed Costs Adjusted for Inflation</t>
  </si>
  <si>
    <t>Variable Cost by Generation</t>
  </si>
  <si>
    <t>Variable Costs</t>
  </si>
  <si>
    <t>Fixed Costs</t>
  </si>
  <si>
    <t>Fixed Costs per Period</t>
  </si>
  <si>
    <t>Variable Costs in USD</t>
  </si>
  <si>
    <t>Fixed Costs in USD</t>
  </si>
  <si>
    <t>Maintenance Costs</t>
  </si>
  <si>
    <t>Maintenance Cost Timing</t>
  </si>
  <si>
    <t>Maintenance Counter</t>
  </si>
  <si>
    <t>Assumptions &amp; Timing</t>
  </si>
  <si>
    <t>Costs</t>
  </si>
  <si>
    <t>CapEx Payout Flag</t>
  </si>
  <si>
    <t>Operations Flag</t>
  </si>
  <si>
    <t>Ratios</t>
  </si>
  <si>
    <t>Other income</t>
  </si>
  <si>
    <t>Financing period duration</t>
  </si>
  <si>
    <t>Financing duration</t>
  </si>
  <si>
    <t>Financing Start</t>
  </si>
  <si>
    <t>Fraction of Year</t>
  </si>
  <si>
    <t>Average DSCR (with Reserves)</t>
  </si>
  <si>
    <t>Minimum DSCR (with Reserves)</t>
  </si>
  <si>
    <t>DSCR (with Reserves)</t>
  </si>
  <si>
    <t>DSRA avail. for shortfall</t>
  </si>
  <si>
    <t>DSCR (without Reserves)</t>
  </si>
  <si>
    <t>Average DSCR (without Reserves)</t>
  </si>
  <si>
    <t>Minimum DSCR (without Reserves)</t>
  </si>
  <si>
    <t>Fuel Cost with Consumption</t>
  </si>
  <si>
    <t>Transportation Cost with Consumption</t>
  </si>
  <si>
    <t>Wholesale Gas Cost with Consumption</t>
  </si>
  <si>
    <t>Fuel Supply Agreement (FSA)</t>
  </si>
  <si>
    <t>CapEx Deferral</t>
  </si>
  <si>
    <t>CapEx Depreciation</t>
  </si>
  <si>
    <t>Adj Total Tax Depreciation</t>
  </si>
  <si>
    <t>Fuel &amp; Transport Expense</t>
  </si>
  <si>
    <t>DSRA Debt Service Shortfall</t>
  </si>
  <si>
    <t>Output below</t>
  </si>
  <si>
    <t>Ouptut LD</t>
  </si>
  <si>
    <t>Heat Rate LD</t>
  </si>
  <si>
    <t>Heat Rate above</t>
  </si>
  <si>
    <t>Construction Delay after</t>
  </si>
  <si>
    <t>Ouptut Liquidated Damages</t>
  </si>
  <si>
    <t>Heat Rate Liquidated Damages</t>
  </si>
  <si>
    <t>Construction Liquidated Damages</t>
  </si>
  <si>
    <t>US Inflation Start</t>
  </si>
  <si>
    <t>Yearly Days</t>
  </si>
  <si>
    <t>Yearly Months</t>
  </si>
  <si>
    <t>Accrual Flag</t>
  </si>
  <si>
    <t>Amort Profile</t>
  </si>
  <si>
    <t>Brent Crude</t>
  </si>
  <si>
    <t>Fuel Transportation Cost</t>
  </si>
  <si>
    <t>Gas Liquidated Damages</t>
  </si>
  <si>
    <t>Gas Transportation Cost</t>
  </si>
  <si>
    <t>Transportation Cost</t>
  </si>
  <si>
    <t>TC: Adjusted for Inflation</t>
  </si>
  <si>
    <t>Total Gas Liquidated Damages</t>
  </si>
  <si>
    <t>km</t>
  </si>
  <si>
    <t>$/1000 MMBtu/100 km</t>
  </si>
  <si>
    <t>22$ / kW-yr</t>
  </si>
  <si>
    <t>22$ / MWh</t>
  </si>
  <si>
    <t>22$ / barrel</t>
  </si>
  <si>
    <t>22$ / 1000 MMBtu / 100 km</t>
  </si>
  <si>
    <t>000 22$</t>
  </si>
  <si>
    <t>22$/barrel</t>
  </si>
  <si>
    <t>22$/1000 MMBtu/100 km</t>
  </si>
  <si>
    <t>22$ /MMBtu</t>
  </si>
  <si>
    <t>22$ / kW / yr</t>
  </si>
  <si>
    <t>22$ /barrel</t>
  </si>
  <si>
    <t>Hardcoded</t>
  </si>
  <si>
    <t>Formula</t>
  </si>
  <si>
    <t>Linked</t>
  </si>
  <si>
    <t>Bien Hoa Power</t>
  </si>
  <si>
    <t>VND/MWh</t>
  </si>
  <si>
    <t xml:space="preserve"> 000 22 VND/year</t>
  </si>
  <si>
    <t>000 VND/year</t>
  </si>
  <si>
    <t>VND/$</t>
  </si>
  <si>
    <t>Vietnam Inflation Start</t>
  </si>
  <si>
    <t>Vietnam inflation (2027 - )</t>
  </si>
  <si>
    <t>Vietnamese inflation change after</t>
  </si>
  <si>
    <t>Vietnam inflation (2022-2027)</t>
  </si>
  <si>
    <t>US inflation (2022-2029)</t>
  </si>
  <si>
    <t>US inflation (2029 - )</t>
  </si>
  <si>
    <t>SOFR</t>
  </si>
  <si>
    <t>Over SOFR</t>
  </si>
  <si>
    <t>Margin over SOFR</t>
  </si>
  <si>
    <t>Vietnamese Escalation BoP</t>
  </si>
  <si>
    <t>Vietnamese Escalation Avg</t>
  </si>
  <si>
    <t>Vietnamese Escalation EoP</t>
  </si>
  <si>
    <t>Vietnamese Inflation</t>
  </si>
  <si>
    <t>Purchasing Power Parity End Date</t>
  </si>
  <si>
    <t>Brent: Adjusted for Inflation</t>
  </si>
  <si>
    <t>22 VND/MWh</t>
  </si>
  <si>
    <t>000 22 VND/year</t>
  </si>
  <si>
    <t>22VND/MWh</t>
  </si>
  <si>
    <t>000 22VND</t>
  </si>
  <si>
    <t>000 VND</t>
  </si>
  <si>
    <t>000 22VND/year</t>
  </si>
  <si>
    <t>000 22VND/period</t>
  </si>
  <si>
    <t>Expenses</t>
  </si>
  <si>
    <t>Total Costs</t>
  </si>
  <si>
    <t>Deannualised Vietnamese Inflation</t>
  </si>
  <si>
    <t>Escalator</t>
  </si>
  <si>
    <t>Deannualised US Inflation</t>
  </si>
  <si>
    <t>X</t>
  </si>
  <si>
    <t>Equity Contribution</t>
  </si>
  <si>
    <t>Commitment</t>
  </si>
  <si>
    <t>Underwriting</t>
  </si>
  <si>
    <t>Interest</t>
  </si>
  <si>
    <t>Principal</t>
  </si>
  <si>
    <t>Cash Flows</t>
  </si>
  <si>
    <t>NPV  000$</t>
  </si>
  <si>
    <t>Amount</t>
  </si>
  <si>
    <t>Percentage</t>
  </si>
  <si>
    <t>Debt Service Coverage Ratio</t>
  </si>
  <si>
    <t>Average DSCR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</si>
</sst>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_);\(&quot;$&quot;#,##0.0\)"/>
    <numFmt numFmtId="165" formatCode="_(* #,##0_);_(* \(#,##0\);_(* &quot;-&quot;??_)"/>
    <numFmt numFmtId="166" formatCode="0.0%"/>
    <numFmt numFmtId="167" formatCode="_(* #,##0.00_);_(* \(#,##0.00\);_(* &quot;-&quot;??_)"/>
    <numFmt numFmtId="168" formatCode="_(* #,##0.0%_);_(* \(#,##0.0%\);_(* &quot;-&quot;??_)"/>
    <numFmt numFmtId="169" formatCode="#,##0.0_);\(#,##0.0\)"/>
    <numFmt numFmtId="170" formatCode="_(* #,##0.0_);_(* \(#,##0.0\);_(* &quot;-&quot;??_)"/>
    <numFmt numFmtId="171" formatCode="mmm\ yy;\-0;_(* &quot;-&quot;??_)"/>
    <numFmt numFmtId="172" formatCode="[$-409]d\-mmm\-yy;@"/>
    <numFmt numFmtId="173" formatCode="_(* #,##0.00000_);_(* \(#,##0.00000\);_(* &quot;-&quot;??_)"/>
    <numFmt numFmtId="174" formatCode="_(* #,##0.000_);_(* \(#,##0.000\);_(* &quot;-&quot;??_)"/>
    <numFmt numFmtId="175" formatCode="_(* ###0_);_(* \(###0\);_(* &quot;-&quot;??_)"/>
    <numFmt numFmtId="176" formatCode="0.000"/>
    <numFmt numFmtId="177" formatCode="_(* #,##0_);_(* \(#,##0\);_(* &quot;-&quot;??_);_(@_)"/>
    <numFmt numFmtId="178" formatCode="_(* #,##0.0_);_(* \(#,##0.0\);_(* &quot;-&quot;?_);_(@_)"/>
    <numFmt numFmtId="179" formatCode="#,##0.0%_);\(#,##0.0%\)"/>
    <numFmt numFmtId="180" formatCode="_(* #,##0.00000000000_);_(* \(#,##0.00000000000\);_(* &quot;-&quot;??_)"/>
    <numFmt numFmtId="181" formatCode="0.000000%"/>
    <numFmt numFmtId="182" formatCode="0.000%"/>
    <numFmt numFmtId="183" formatCode="#,##0.0"/>
    <numFmt numFmtId="184" formatCode="_(* #,##0.0000_);_(* \(#,##0.0000\);_(* &quot;-&quot;??_)"/>
    <numFmt numFmtId="185" formatCode="###0\ &quot;Onwards&quot;"/>
    <numFmt numFmtId="186" formatCode="[$-409]mmm\-yy;@"/>
    <numFmt numFmtId="187" formatCode="_(* #,##0.0000_);_(* \(#,##0.0000\);_(* &quot;-&quot;??_);_(@_)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indexed="8"/>
      <name val="Calibri"/>
      <family val="2"/>
      <scheme val="minor"/>
    </font>
    <font>
      <sz val="8"/>
      <name val="Calibri"/>
      <family val="2"/>
    </font>
    <font>
      <sz val="8"/>
      <color indexed="8"/>
      <name val="Calibri"/>
      <family val="2"/>
    </font>
    <font>
      <sz val="8"/>
      <color indexed="12"/>
      <name val="Calibri"/>
      <family val="2"/>
      <scheme val="minor"/>
    </font>
    <font>
      <sz val="8"/>
      <color indexed="12"/>
      <name val="Arial"/>
      <family val="2"/>
    </font>
    <font>
      <sz val="8"/>
      <name val="Calibri"/>
      <family val="2"/>
      <scheme val="minor"/>
    </font>
    <font>
      <sz val="8"/>
      <color indexed="10"/>
      <name val="Calibri"/>
      <family val="2"/>
    </font>
    <font>
      <b/>
      <sz val="8"/>
      <name val="Calibri"/>
      <family val="2"/>
      <scheme val="minor"/>
    </font>
    <font>
      <sz val="8"/>
      <name val="Arial"/>
      <family val="2"/>
    </font>
    <font>
      <b/>
      <sz val="8"/>
      <name val="Calibri"/>
      <family val="2"/>
    </font>
    <font>
      <sz val="8"/>
      <color theme="0" tint="-0.14999847407452621"/>
      <name val="Calibri"/>
      <family val="2"/>
    </font>
    <font>
      <sz val="8"/>
      <color theme="0" tint="-0.14999847407452621"/>
      <name val="Calibri"/>
      <family val="2"/>
      <scheme val="minor"/>
    </font>
    <font>
      <sz val="8"/>
      <color indexed="8"/>
      <name val="Tw Cen MT"/>
      <family val="2"/>
    </font>
    <font>
      <sz val="8"/>
      <color indexed="10"/>
      <name val="Calibri"/>
      <family val="2"/>
      <scheme val="minor"/>
    </font>
    <font>
      <sz val="8"/>
      <color rgb="FF0000FF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color theme="2"/>
      <name val="Calibri"/>
      <family val="2"/>
      <scheme val="minor"/>
    </font>
    <font>
      <sz val="11"/>
      <color theme="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</font>
    <font>
      <b/>
      <sz val="8"/>
      <color theme="0" tint="-0.499984740745262"/>
      <name val="Calibri"/>
      <family val="2"/>
    </font>
    <font>
      <sz val="8"/>
      <color rgb="FF0000FF"/>
      <name val="Calibri"/>
      <family val="2"/>
    </font>
    <font>
      <b/>
      <sz val="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2"/>
      <color rgb="FF000000"/>
      <name val="Calibri"/>
      <family val="2"/>
    </font>
    <font>
      <sz val="8"/>
      <color theme="0" tint="-0.34998626667073579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10"/>
      <color rgb="FF454545"/>
      <name val="Courier New"/>
      <family val="1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5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5" fillId="0" borderId="0"/>
    <xf numFmtId="168" fontId="5" fillId="0" borderId="0"/>
    <xf numFmtId="171" fontId="8" fillId="2" borderId="2" applyFont="0" applyFill="0" applyBorder="0" applyAlignment="0">
      <alignment horizontal="right"/>
    </xf>
    <xf numFmtId="171" fontId="12" fillId="0" borderId="0" applyFont="0" applyFill="0" applyBorder="0" applyAlignment="0"/>
    <xf numFmtId="165" fontId="5" fillId="0" borderId="0"/>
    <xf numFmtId="175" fontId="8" fillId="2" borderId="2" applyFont="0" applyFill="0" applyBorder="0" applyAlignment="0" applyProtection="0">
      <alignment horizontal="right"/>
    </xf>
    <xf numFmtId="174" fontId="3" fillId="0" borderId="0"/>
    <xf numFmtId="165" fontId="16" fillId="0" borderId="1" applyNumberFormat="0" applyFont="0" applyFill="0" applyAlignment="0">
      <alignment horizontal="left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433">
    <xf numFmtId="0" fontId="0" fillId="0" borderId="0" xfId="0"/>
    <xf numFmtId="165" fontId="5" fillId="0" borderId="0" xfId="4"/>
    <xf numFmtId="168" fontId="5" fillId="0" borderId="0" xfId="5"/>
    <xf numFmtId="0" fontId="2" fillId="0" borderId="0" xfId="0" applyFont="1"/>
    <xf numFmtId="9" fontId="2" fillId="0" borderId="0" xfId="3" applyFont="1"/>
    <xf numFmtId="0" fontId="3" fillId="0" borderId="0" xfId="0" applyFont="1"/>
    <xf numFmtId="9" fontId="3" fillId="0" borderId="0" xfId="3" applyFont="1"/>
    <xf numFmtId="0" fontId="3" fillId="0" borderId="0" xfId="0" applyFont="1" applyAlignment="1">
      <alignment horizontal="centerContinuous"/>
    </xf>
    <xf numFmtId="169" fontId="4" fillId="0" borderId="0" xfId="0" applyNumberFormat="1" applyFont="1" applyAlignment="1">
      <alignment horizontal="centerContinuous"/>
    </xf>
    <xf numFmtId="9" fontId="3" fillId="0" borderId="0" xfId="0" applyNumberFormat="1" applyFont="1"/>
    <xf numFmtId="9" fontId="3" fillId="0" borderId="0" xfId="0" applyNumberFormat="1" applyFont="1" applyAlignment="1">
      <alignment horizontal="centerContinuous"/>
    </xf>
    <xf numFmtId="0" fontId="7" fillId="0" borderId="0" xfId="0" applyFont="1"/>
    <xf numFmtId="0" fontId="9" fillId="0" borderId="0" xfId="0" applyFont="1"/>
    <xf numFmtId="0" fontId="5" fillId="0" borderId="0" xfId="0" applyFont="1"/>
    <xf numFmtId="169" fontId="5" fillId="0" borderId="0" xfId="1" applyNumberFormat="1" applyFont="1" applyAlignment="1">
      <alignment horizontal="center"/>
    </xf>
    <xf numFmtId="169" fontId="4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11" fillId="0" borderId="0" xfId="0" applyFont="1"/>
    <xf numFmtId="9" fontId="11" fillId="0" borderId="0" xfId="3" applyFont="1"/>
    <xf numFmtId="174" fontId="5" fillId="0" borderId="0" xfId="1" applyNumberFormat="1" applyFont="1"/>
    <xf numFmtId="165" fontId="5" fillId="0" borderId="0" xfId="1" applyNumberFormat="1" applyFont="1"/>
    <xf numFmtId="171" fontId="9" fillId="0" borderId="0" xfId="6" applyFont="1" applyFill="1" applyBorder="1" applyAlignment="1"/>
    <xf numFmtId="0" fontId="9" fillId="0" borderId="0" xfId="0" applyFont="1" applyAlignment="1">
      <alignment horizontal="centerContinuous"/>
    </xf>
    <xf numFmtId="165" fontId="9" fillId="0" borderId="0" xfId="0" applyNumberFormat="1" applyFont="1"/>
    <xf numFmtId="165" fontId="5" fillId="0" borderId="0" xfId="1" applyNumberFormat="1" applyFont="1" applyAlignment="1">
      <alignment horizontal="centerContinuous"/>
    </xf>
    <xf numFmtId="9" fontId="9" fillId="0" borderId="0" xfId="3" applyFont="1"/>
    <xf numFmtId="165" fontId="5" fillId="0" borderId="0" xfId="8"/>
    <xf numFmtId="170" fontId="5" fillId="0" borderId="0" xfId="1" applyNumberFormat="1" applyFont="1"/>
    <xf numFmtId="174" fontId="9" fillId="0" borderId="0" xfId="0" applyNumberFormat="1" applyFont="1"/>
    <xf numFmtId="0" fontId="11" fillId="0" borderId="0" xfId="0" applyFont="1" applyAlignment="1">
      <alignment horizontal="centerContinuous"/>
    </xf>
    <xf numFmtId="170" fontId="9" fillId="0" borderId="0" xfId="0" applyNumberFormat="1" applyFont="1"/>
    <xf numFmtId="3" fontId="9" fillId="0" borderId="0" xfId="0" applyNumberFormat="1" applyFont="1"/>
    <xf numFmtId="165" fontId="11" fillId="0" borderId="0" xfId="0" applyNumberFormat="1" applyFont="1"/>
    <xf numFmtId="169" fontId="9" fillId="0" borderId="0" xfId="0" applyNumberFormat="1" applyFont="1" applyAlignment="1">
      <alignment horizontal="centerContinuous"/>
    </xf>
    <xf numFmtId="169" fontId="14" fillId="0" borderId="0" xfId="9" applyNumberFormat="1" applyFont="1" applyFill="1" applyBorder="1" applyAlignment="1"/>
    <xf numFmtId="164" fontId="14" fillId="0" borderId="0" xfId="9" applyNumberFormat="1" applyFont="1" applyFill="1" applyBorder="1" applyAlignment="1">
      <alignment horizontal="centerContinuous"/>
    </xf>
    <xf numFmtId="175" fontId="14" fillId="0" borderId="0" xfId="9" applyFont="1" applyFill="1" applyBorder="1" applyAlignment="1"/>
    <xf numFmtId="0" fontId="15" fillId="0" borderId="0" xfId="0" applyFont="1"/>
    <xf numFmtId="175" fontId="14" fillId="0" borderId="0" xfId="9" applyFont="1" applyFill="1" applyBorder="1" applyAlignment="1">
      <alignment horizontal="left"/>
    </xf>
    <xf numFmtId="0" fontId="15" fillId="0" borderId="0" xfId="0" applyFont="1" applyAlignment="1">
      <alignment horizontal="center"/>
    </xf>
    <xf numFmtId="175" fontId="15" fillId="0" borderId="0" xfId="9" applyFont="1" applyFill="1" applyBorder="1" applyAlignment="1"/>
    <xf numFmtId="0" fontId="15" fillId="0" borderId="0" xfId="0" applyFont="1" applyAlignment="1">
      <alignment horizontal="centerContinuous"/>
    </xf>
    <xf numFmtId="165" fontId="14" fillId="0" borderId="0" xfId="4" applyFont="1"/>
    <xf numFmtId="2" fontId="9" fillId="0" borderId="0" xfId="0" applyNumberFormat="1" applyFont="1"/>
    <xf numFmtId="174" fontId="3" fillId="0" borderId="0" xfId="10"/>
    <xf numFmtId="174" fontId="9" fillId="0" borderId="0" xfId="10" applyFont="1"/>
    <xf numFmtId="0" fontId="9" fillId="0" borderId="5" xfId="0" applyFont="1" applyBorder="1"/>
    <xf numFmtId="0" fontId="9" fillId="0" borderId="5" xfId="0" applyFont="1" applyBorder="1" applyAlignment="1">
      <alignment horizontal="centerContinuous"/>
    </xf>
    <xf numFmtId="165" fontId="5" fillId="0" borderId="5" xfId="4" applyBorder="1"/>
    <xf numFmtId="0" fontId="9" fillId="0" borderId="1" xfId="0" applyFont="1" applyBorder="1"/>
    <xf numFmtId="0" fontId="9" fillId="0" borderId="1" xfId="0" applyFont="1" applyBorder="1" applyAlignment="1">
      <alignment horizontal="centerContinuous"/>
    </xf>
    <xf numFmtId="165" fontId="5" fillId="0" borderId="1" xfId="4" applyBorder="1"/>
    <xf numFmtId="8" fontId="9" fillId="0" borderId="0" xfId="0" applyNumberFormat="1" applyFont="1"/>
    <xf numFmtId="170" fontId="5" fillId="0" borderId="0" xfId="8" applyNumberFormat="1"/>
    <xf numFmtId="165" fontId="15" fillId="0" borderId="0" xfId="0" applyNumberFormat="1" applyFont="1"/>
    <xf numFmtId="169" fontId="5" fillId="0" borderId="0" xfId="1" applyNumberFormat="1" applyFont="1" applyAlignment="1">
      <alignment horizontal="centerContinuous"/>
    </xf>
    <xf numFmtId="0" fontId="11" fillId="0" borderId="1" xfId="0" applyFont="1" applyBorder="1"/>
    <xf numFmtId="0" fontId="11" fillId="0" borderId="1" xfId="0" applyFont="1" applyBorder="1" applyAlignment="1">
      <alignment horizontal="centerContinuous"/>
    </xf>
    <xf numFmtId="165" fontId="13" fillId="0" borderId="1" xfId="4" applyFont="1" applyBorder="1"/>
    <xf numFmtId="165" fontId="13" fillId="0" borderId="0" xfId="4" applyFont="1"/>
    <xf numFmtId="178" fontId="9" fillId="0" borderId="0" xfId="0" applyNumberFormat="1" applyFont="1"/>
    <xf numFmtId="169" fontId="9" fillId="0" borderId="0" xfId="0" applyNumberFormat="1" applyFont="1"/>
    <xf numFmtId="43" fontId="9" fillId="0" borderId="0" xfId="0" applyNumberFormat="1" applyFont="1"/>
    <xf numFmtId="0" fontId="9" fillId="0" borderId="6" xfId="0" applyFont="1" applyBorder="1"/>
    <xf numFmtId="169" fontId="9" fillId="0" borderId="6" xfId="0" applyNumberFormat="1" applyFont="1" applyBorder="1" applyAlignment="1">
      <alignment horizontal="centerContinuous"/>
    </xf>
    <xf numFmtId="169" fontId="11" fillId="0" borderId="0" xfId="0" applyNumberFormat="1" applyFont="1" applyAlignment="1">
      <alignment horizontal="centerContinuous"/>
    </xf>
    <xf numFmtId="174" fontId="9" fillId="0" borderId="6" xfId="10" applyFont="1" applyBorder="1"/>
    <xf numFmtId="179" fontId="9" fillId="0" borderId="0" xfId="0" applyNumberFormat="1" applyFont="1" applyAlignment="1">
      <alignment horizontal="centerContinuous"/>
    </xf>
    <xf numFmtId="169" fontId="9" fillId="0" borderId="0" xfId="0" applyNumberFormat="1" applyFont="1" applyAlignment="1">
      <alignment horizontal="center"/>
    </xf>
    <xf numFmtId="0" fontId="5" fillId="0" borderId="6" xfId="0" applyFont="1" applyBorder="1"/>
    <xf numFmtId="169" fontId="5" fillId="0" borderId="6" xfId="1" applyNumberFormat="1" applyFont="1" applyBorder="1" applyAlignment="1">
      <alignment horizontal="center"/>
    </xf>
    <xf numFmtId="167" fontId="5" fillId="0" borderId="6" xfId="1" applyNumberFormat="1" applyFont="1" applyBorder="1"/>
    <xf numFmtId="167" fontId="13" fillId="0" borderId="0" xfId="1" applyNumberFormat="1" applyFont="1"/>
    <xf numFmtId="169" fontId="13" fillId="0" borderId="0" xfId="1" applyNumberFormat="1" applyFont="1" applyAlignment="1">
      <alignment horizontal="center"/>
    </xf>
    <xf numFmtId="169" fontId="11" fillId="0" borderId="1" xfId="0" applyNumberFormat="1" applyFont="1" applyBorder="1" applyAlignment="1">
      <alignment horizontal="center"/>
    </xf>
    <xf numFmtId="165" fontId="5" fillId="0" borderId="0" xfId="4" applyAlignment="1">
      <alignment horizontal="center"/>
    </xf>
    <xf numFmtId="0" fontId="9" fillId="0" borderId="0" xfId="0" applyFont="1" applyAlignment="1">
      <alignment horizontal="center"/>
    </xf>
    <xf numFmtId="0" fontId="11" fillId="0" borderId="6" xfId="0" applyFont="1" applyBorder="1"/>
    <xf numFmtId="169" fontId="11" fillId="0" borderId="6" xfId="0" applyNumberFormat="1" applyFont="1" applyBorder="1" applyAlignment="1">
      <alignment horizontal="center"/>
    </xf>
    <xf numFmtId="165" fontId="13" fillId="0" borderId="6" xfId="4" applyFont="1" applyBorder="1"/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 vertical="center"/>
    </xf>
    <xf numFmtId="165" fontId="5" fillId="0" borderId="0" xfId="4" applyAlignment="1">
      <alignment horizontal="centerContinuous"/>
    </xf>
    <xf numFmtId="165" fontId="3" fillId="0" borderId="0" xfId="0" applyNumberFormat="1" applyFont="1"/>
    <xf numFmtId="0" fontId="4" fillId="0" borderId="0" xfId="0" applyFont="1"/>
    <xf numFmtId="0" fontId="4" fillId="0" borderId="0" xfId="0" applyFont="1" applyAlignment="1">
      <alignment horizontal="centerContinuous"/>
    </xf>
    <xf numFmtId="165" fontId="4" fillId="0" borderId="0" xfId="0" applyNumberFormat="1" applyFont="1"/>
    <xf numFmtId="164" fontId="4" fillId="0" borderId="0" xfId="0" applyNumberFormat="1" applyFont="1" applyAlignment="1">
      <alignment horizontal="centerContinuous"/>
    </xf>
    <xf numFmtId="10" fontId="3" fillId="0" borderId="0" xfId="0" applyNumberFormat="1" applyFont="1"/>
    <xf numFmtId="165" fontId="6" fillId="0" borderId="0" xfId="4" applyFont="1"/>
    <xf numFmtId="180" fontId="3" fillId="0" borderId="0" xfId="0" applyNumberFormat="1" applyFont="1"/>
    <xf numFmtId="164" fontId="9" fillId="0" borderId="0" xfId="0" applyNumberFormat="1" applyFont="1" applyAlignment="1">
      <alignment horizontal="center"/>
    </xf>
    <xf numFmtId="41" fontId="3" fillId="0" borderId="0" xfId="2" applyFont="1"/>
    <xf numFmtId="164" fontId="3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Continuous"/>
    </xf>
    <xf numFmtId="167" fontId="5" fillId="0" borderId="0" xfId="4" applyNumberFormat="1"/>
    <xf numFmtId="164" fontId="2" fillId="0" borderId="0" xfId="0" applyNumberFormat="1" applyFont="1" applyAlignment="1">
      <alignment horizontal="centerContinuous"/>
    </xf>
    <xf numFmtId="167" fontId="13" fillId="0" borderId="0" xfId="4" applyNumberFormat="1" applyFont="1"/>
    <xf numFmtId="169" fontId="11" fillId="0" borderId="1" xfId="0" applyNumberFormat="1" applyFont="1" applyBorder="1" applyAlignment="1">
      <alignment horizontal="centerContinuous"/>
    </xf>
    <xf numFmtId="0" fontId="11" fillId="0" borderId="8" xfId="0" applyFont="1" applyBorder="1"/>
    <xf numFmtId="169" fontId="11" fillId="0" borderId="8" xfId="0" applyNumberFormat="1" applyFont="1" applyBorder="1" applyAlignment="1">
      <alignment horizontal="centerContinuous"/>
    </xf>
    <xf numFmtId="165" fontId="13" fillId="0" borderId="8" xfId="4" applyFont="1" applyBorder="1"/>
    <xf numFmtId="179" fontId="11" fillId="0" borderId="0" xfId="0" applyNumberFormat="1" applyFont="1" applyAlignment="1">
      <alignment horizontal="centerContinuous"/>
    </xf>
    <xf numFmtId="165" fontId="6" fillId="0" borderId="0" xfId="1" applyNumberFormat="1" applyFont="1" applyAlignment="1">
      <alignment horizontal="left"/>
    </xf>
    <xf numFmtId="170" fontId="11" fillId="0" borderId="0" xfId="0" applyNumberFormat="1" applyFont="1"/>
    <xf numFmtId="169" fontId="9" fillId="0" borderId="5" xfId="0" applyNumberFormat="1" applyFont="1" applyBorder="1" applyAlignment="1">
      <alignment horizontal="centerContinuous"/>
    </xf>
    <xf numFmtId="10" fontId="9" fillId="0" borderId="0" xfId="0" applyNumberFormat="1" applyFont="1"/>
    <xf numFmtId="3" fontId="9" fillId="0" borderId="5" xfId="0" applyNumberFormat="1" applyFont="1" applyBorder="1"/>
    <xf numFmtId="165" fontId="6" fillId="0" borderId="0" xfId="11" applyFont="1" applyBorder="1">
      <alignment horizontal="left"/>
    </xf>
    <xf numFmtId="181" fontId="5" fillId="0" borderId="0" xfId="3" applyNumberFormat="1" applyFont="1"/>
    <xf numFmtId="0" fontId="9" fillId="0" borderId="6" xfId="0" applyFont="1" applyBorder="1" applyAlignment="1">
      <alignment horizontal="centerContinuous"/>
    </xf>
    <xf numFmtId="165" fontId="5" fillId="0" borderId="6" xfId="4" applyBorder="1"/>
    <xf numFmtId="182" fontId="5" fillId="0" borderId="0" xfId="3" applyNumberFormat="1" applyFont="1"/>
    <xf numFmtId="0" fontId="17" fillId="0" borderId="0" xfId="0" applyFont="1"/>
    <xf numFmtId="165" fontId="10" fillId="0" borderId="0" xfId="4" applyFont="1"/>
    <xf numFmtId="177" fontId="3" fillId="0" borderId="0" xfId="1" applyNumberFormat="1" applyFont="1"/>
    <xf numFmtId="0" fontId="2" fillId="0" borderId="0" xfId="0" applyFont="1" applyAlignment="1">
      <alignment horizontal="centerContinuous"/>
    </xf>
    <xf numFmtId="43" fontId="3" fillId="0" borderId="0" xfId="0" applyNumberFormat="1" applyFont="1"/>
    <xf numFmtId="2" fontId="3" fillId="0" borderId="0" xfId="3" applyNumberFormat="1" applyFont="1"/>
    <xf numFmtId="164" fontId="3" fillId="0" borderId="1" xfId="0" applyNumberFormat="1" applyFont="1" applyBorder="1" applyAlignment="1">
      <alignment horizontal="centerContinuous"/>
    </xf>
    <xf numFmtId="0" fontId="3" fillId="0" borderId="1" xfId="0" applyFont="1" applyBorder="1"/>
    <xf numFmtId="165" fontId="3" fillId="0" borderId="1" xfId="0" applyNumberFormat="1" applyFont="1" applyBorder="1"/>
    <xf numFmtId="164" fontId="9" fillId="0" borderId="1" xfId="0" applyNumberFormat="1" applyFont="1" applyBorder="1" applyAlignment="1">
      <alignment horizontal="centerContinuous"/>
    </xf>
    <xf numFmtId="164" fontId="9" fillId="0" borderId="0" xfId="0" applyNumberFormat="1" applyFont="1" applyAlignment="1">
      <alignment horizontal="centerContinuous"/>
    </xf>
    <xf numFmtId="164" fontId="11" fillId="0" borderId="0" xfId="0" applyNumberFormat="1" applyFont="1" applyAlignment="1">
      <alignment horizontal="centerContinuous"/>
    </xf>
    <xf numFmtId="174" fontId="5" fillId="0" borderId="0" xfId="4" applyNumberFormat="1"/>
    <xf numFmtId="174" fontId="3" fillId="0" borderId="0" xfId="0" applyNumberFormat="1" applyFont="1"/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1" fontId="7" fillId="0" borderId="0" xfId="6" applyFont="1" applyFill="1" applyBorder="1" applyAlignment="1">
      <alignment horizontal="center" vertical="center"/>
    </xf>
    <xf numFmtId="0" fontId="3" fillId="0" borderId="0" xfId="3" applyNumberFormat="1" applyFont="1" applyAlignment="1">
      <alignment horizontal="left"/>
    </xf>
    <xf numFmtId="9" fontId="2" fillId="0" borderId="0" xfId="0" applyNumberFormat="1" applyFont="1"/>
    <xf numFmtId="0" fontId="3" fillId="0" borderId="2" xfId="3" applyNumberFormat="1" applyFont="1" applyBorder="1" applyAlignment="1">
      <alignment horizontal="left"/>
    </xf>
    <xf numFmtId="0" fontId="18" fillId="0" borderId="0" xfId="0" applyFont="1" applyAlignment="1">
      <alignment horizontal="center" vertical="center"/>
    </xf>
    <xf numFmtId="0" fontId="2" fillId="0" borderId="0" xfId="3" applyNumberFormat="1" applyFont="1" applyAlignment="1">
      <alignment horizontal="left"/>
    </xf>
    <xf numFmtId="0" fontId="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7" fillId="0" borderId="0" xfId="3" applyNumberFormat="1" applyFont="1" applyAlignment="1">
      <alignment horizontal="center"/>
    </xf>
    <xf numFmtId="172" fontId="7" fillId="0" borderId="0" xfId="0" applyNumberFormat="1" applyFont="1" applyAlignment="1">
      <alignment horizontal="center"/>
    </xf>
    <xf numFmtId="171" fontId="3" fillId="0" borderId="0" xfId="0" applyNumberFormat="1" applyFont="1"/>
    <xf numFmtId="170" fontId="3" fillId="0" borderId="0" xfId="0" applyNumberFormat="1" applyFont="1"/>
    <xf numFmtId="167" fontId="3" fillId="0" borderId="0" xfId="0" applyNumberFormat="1" applyFont="1"/>
    <xf numFmtId="0" fontId="3" fillId="3" borderId="0" xfId="0" applyFont="1" applyFill="1"/>
    <xf numFmtId="0" fontId="3" fillId="3" borderId="0" xfId="0" applyFont="1" applyFill="1" applyAlignment="1">
      <alignment horizontal="centerContinuous"/>
    </xf>
    <xf numFmtId="165" fontId="3" fillId="3" borderId="0" xfId="0" applyNumberFormat="1" applyFont="1" applyFill="1"/>
    <xf numFmtId="0" fontId="5" fillId="0" borderId="0" xfId="5" applyNumberFormat="1"/>
    <xf numFmtId="2" fontId="5" fillId="0" borderId="0" xfId="5" applyNumberFormat="1"/>
    <xf numFmtId="43" fontId="5" fillId="0" borderId="0" xfId="4" applyNumberFormat="1"/>
    <xf numFmtId="0" fontId="9" fillId="0" borderId="2" xfId="3" applyNumberFormat="1" applyFont="1" applyBorder="1" applyAlignment="1">
      <alignment horizontal="left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167" fontId="3" fillId="0" borderId="0" xfId="10" applyNumberFormat="1"/>
    <xf numFmtId="9" fontId="3" fillId="0" borderId="6" xfId="3" applyFont="1" applyBorder="1"/>
    <xf numFmtId="0" fontId="3" fillId="0" borderId="6" xfId="0" applyFont="1" applyBorder="1" applyAlignment="1">
      <alignment horizontal="centerContinuous"/>
    </xf>
    <xf numFmtId="167" fontId="13" fillId="0" borderId="6" xfId="1" applyNumberFormat="1" applyFont="1" applyBorder="1"/>
    <xf numFmtId="167" fontId="5" fillId="0" borderId="0" xfId="1" applyNumberFormat="1" applyFont="1"/>
    <xf numFmtId="165" fontId="9" fillId="0" borderId="6" xfId="0" applyNumberFormat="1" applyFont="1" applyBorder="1"/>
    <xf numFmtId="165" fontId="9" fillId="0" borderId="9" xfId="0" applyNumberFormat="1" applyFont="1" applyBorder="1"/>
    <xf numFmtId="0" fontId="11" fillId="0" borderId="6" xfId="0" applyFont="1" applyBorder="1" applyAlignment="1">
      <alignment horizontal="center"/>
    </xf>
    <xf numFmtId="0" fontId="3" fillId="0" borderId="6" xfId="0" applyFont="1" applyBorder="1"/>
    <xf numFmtId="171" fontId="11" fillId="0" borderId="0" xfId="6" applyFont="1" applyFill="1" applyBorder="1" applyAlignment="1"/>
    <xf numFmtId="0" fontId="3" fillId="0" borderId="2" xfId="0" applyFont="1" applyBorder="1" applyAlignment="1">
      <alignment horizontal="center"/>
    </xf>
    <xf numFmtId="166" fontId="3" fillId="0" borderId="2" xfId="0" applyNumberFormat="1" applyFont="1" applyBorder="1" applyAlignment="1">
      <alignment horizontal="center"/>
    </xf>
    <xf numFmtId="165" fontId="0" fillId="0" borderId="0" xfId="0" applyNumberFormat="1"/>
    <xf numFmtId="0" fontId="9" fillId="0" borderId="0" xfId="3" applyNumberFormat="1" applyFont="1" applyAlignment="1">
      <alignment horizontal="left"/>
    </xf>
    <xf numFmtId="171" fontId="9" fillId="0" borderId="4" xfId="6" applyFont="1" applyFill="1" applyBorder="1" applyAlignment="1">
      <alignment horizontal="center" vertical="center"/>
    </xf>
    <xf numFmtId="171" fontId="9" fillId="0" borderId="0" xfId="6" applyFont="1" applyFill="1" applyBorder="1" applyAlignment="1">
      <alignment horizontal="center" vertical="center"/>
    </xf>
    <xf numFmtId="165" fontId="2" fillId="0" borderId="0" xfId="0" applyNumberFormat="1" applyFont="1"/>
    <xf numFmtId="164" fontId="3" fillId="0" borderId="6" xfId="0" applyNumberFormat="1" applyFont="1" applyBorder="1" applyAlignment="1">
      <alignment horizontal="center"/>
    </xf>
    <xf numFmtId="165" fontId="5" fillId="0" borderId="6" xfId="8" applyBorder="1"/>
    <xf numFmtId="164" fontId="3" fillId="0" borderId="6" xfId="0" applyNumberFormat="1" applyFont="1" applyBorder="1" applyAlignment="1">
      <alignment horizontal="centerContinuous"/>
    </xf>
    <xf numFmtId="174" fontId="3" fillId="0" borderId="1" xfId="0" applyNumberFormat="1" applyFont="1" applyBorder="1"/>
    <xf numFmtId="2" fontId="0" fillId="0" borderId="0" xfId="0" applyNumberFormat="1"/>
    <xf numFmtId="14" fontId="9" fillId="0" borderId="1" xfId="6" applyNumberFormat="1" applyFont="1" applyFill="1" applyBorder="1" applyAlignment="1">
      <alignment horizontal="center" vertical="center"/>
    </xf>
    <xf numFmtId="14" fontId="9" fillId="0" borderId="0" xfId="6" applyNumberFormat="1" applyFont="1" applyFill="1" applyBorder="1" applyAlignment="1">
      <alignment horizontal="center" vertical="center"/>
    </xf>
    <xf numFmtId="176" fontId="5" fillId="0" borderId="0" xfId="5" applyNumberFormat="1"/>
    <xf numFmtId="165" fontId="13" fillId="0" borderId="0" xfId="1" applyNumberFormat="1" applyFont="1"/>
    <xf numFmtId="0" fontId="22" fillId="0" borderId="0" xfId="0" applyFont="1"/>
    <xf numFmtId="165" fontId="22" fillId="0" borderId="0" xfId="0" applyNumberFormat="1" applyFont="1"/>
    <xf numFmtId="0" fontId="23" fillId="0" borderId="0" xfId="0" applyFont="1"/>
    <xf numFmtId="174" fontId="13" fillId="0" borderId="6" xfId="1" applyNumberFormat="1" applyFont="1" applyBorder="1"/>
    <xf numFmtId="0" fontId="25" fillId="0" borderId="0" xfId="0" applyFont="1"/>
    <xf numFmtId="165" fontId="26" fillId="0" borderId="0" xfId="8" applyFont="1"/>
    <xf numFmtId="165" fontId="26" fillId="0" borderId="0" xfId="4" applyFont="1"/>
    <xf numFmtId="174" fontId="24" fillId="0" borderId="0" xfId="10" applyFont="1"/>
    <xf numFmtId="165" fontId="27" fillId="0" borderId="0" xfId="4" applyFont="1"/>
    <xf numFmtId="17" fontId="0" fillId="0" borderId="0" xfId="0" applyNumberFormat="1"/>
    <xf numFmtId="165" fontId="14" fillId="0" borderId="0" xfId="0" applyNumberFormat="1" applyFont="1" applyAlignment="1">
      <alignment horizontal="left"/>
    </xf>
    <xf numFmtId="165" fontId="14" fillId="0" borderId="0" xfId="0" applyNumberFormat="1" applyFont="1" applyAlignment="1">
      <alignment horizontal="center"/>
    </xf>
    <xf numFmtId="165" fontId="14" fillId="0" borderId="0" xfId="4" applyFont="1" applyAlignment="1">
      <alignment horizontal="center"/>
    </xf>
    <xf numFmtId="0" fontId="15" fillId="0" borderId="0" xfId="0" applyFont="1" applyAlignment="1">
      <alignment horizontal="left"/>
    </xf>
    <xf numFmtId="2" fontId="5" fillId="0" borderId="6" xfId="5" applyNumberFormat="1" applyBorder="1"/>
    <xf numFmtId="165" fontId="5" fillId="0" borderId="1" xfId="4" applyBorder="1" applyAlignment="1">
      <alignment horizontal="center"/>
    </xf>
    <xf numFmtId="173" fontId="6" fillId="0" borderId="0" xfId="0" applyNumberFormat="1" applyFont="1" applyAlignment="1">
      <alignment horizontal="right"/>
    </xf>
    <xf numFmtId="165" fontId="6" fillId="0" borderId="0" xfId="0" applyNumberFormat="1" applyFont="1" applyAlignment="1">
      <alignment horizontal="right"/>
    </xf>
    <xf numFmtId="17" fontId="3" fillId="0" borderId="0" xfId="0" applyNumberFormat="1" applyFont="1"/>
    <xf numFmtId="1" fontId="9" fillId="0" borderId="0" xfId="0" applyNumberFormat="1" applyFont="1"/>
    <xf numFmtId="14" fontId="3" fillId="0" borderId="0" xfId="0" applyNumberFormat="1" applyFont="1"/>
    <xf numFmtId="0" fontId="29" fillId="5" borderId="0" xfId="0" applyFont="1" applyFill="1"/>
    <xf numFmtId="9" fontId="29" fillId="5" borderId="0" xfId="3" applyFont="1" applyFill="1"/>
    <xf numFmtId="0" fontId="29" fillId="5" borderId="0" xfId="0" applyFont="1" applyFill="1" applyAlignment="1">
      <alignment horizontal="center"/>
    </xf>
    <xf numFmtId="0" fontId="29" fillId="5" borderId="0" xfId="0" applyFont="1" applyFill="1" applyAlignment="1">
      <alignment horizontal="right"/>
    </xf>
    <xf numFmtId="0" fontId="30" fillId="5" borderId="0" xfId="0" applyFont="1" applyFill="1"/>
    <xf numFmtId="171" fontId="30" fillId="5" borderId="0" xfId="6" applyFont="1" applyFill="1" applyBorder="1" applyAlignment="1"/>
    <xf numFmtId="171" fontId="9" fillId="0" borderId="2" xfId="6" applyFont="1" applyFill="1" applyAlignment="1">
      <alignment horizontal="center" vertical="center"/>
    </xf>
    <xf numFmtId="171" fontId="5" fillId="0" borderId="2" xfId="6" applyFont="1" applyFill="1" applyAlignment="1">
      <alignment horizontal="center" vertical="center"/>
    </xf>
    <xf numFmtId="0" fontId="3" fillId="6" borderId="0" xfId="0" applyFont="1" applyFill="1"/>
    <xf numFmtId="0" fontId="3" fillId="6" borderId="0" xfId="0" applyFont="1" applyFill="1" applyAlignment="1">
      <alignment horizontal="centerContinuous"/>
    </xf>
    <xf numFmtId="165" fontId="3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centerContinuous"/>
    </xf>
    <xf numFmtId="165" fontId="9" fillId="6" borderId="0" xfId="0" applyNumberFormat="1" applyFont="1" applyFill="1"/>
    <xf numFmtId="0" fontId="11" fillId="6" borderId="0" xfId="0" applyFont="1" applyFill="1"/>
    <xf numFmtId="0" fontId="11" fillId="6" borderId="0" xfId="0" applyFont="1" applyFill="1" applyAlignment="1">
      <alignment horizontal="centerContinuous"/>
    </xf>
    <xf numFmtId="165" fontId="13" fillId="6" borderId="0" xfId="4" applyFont="1" applyFill="1"/>
    <xf numFmtId="169" fontId="11" fillId="6" borderId="0" xfId="0" applyNumberFormat="1" applyFont="1" applyFill="1" applyAlignment="1">
      <alignment horizontal="centerContinuous"/>
    </xf>
    <xf numFmtId="165" fontId="13" fillId="6" borderId="0" xfId="1" applyNumberFormat="1" applyFont="1" applyFill="1"/>
    <xf numFmtId="169" fontId="13" fillId="6" borderId="0" xfId="1" applyNumberFormat="1" applyFont="1" applyFill="1" applyAlignment="1">
      <alignment horizontal="center"/>
    </xf>
    <xf numFmtId="165" fontId="11" fillId="6" borderId="0" xfId="0" applyNumberFormat="1" applyFont="1" applyFill="1"/>
    <xf numFmtId="169" fontId="11" fillId="6" borderId="0" xfId="0" applyNumberFormat="1" applyFont="1" applyFill="1" applyAlignment="1">
      <alignment horizontal="center"/>
    </xf>
    <xf numFmtId="0" fontId="11" fillId="6" borderId="1" xfId="0" applyFont="1" applyFill="1" applyBorder="1"/>
    <xf numFmtId="0" fontId="11" fillId="6" borderId="1" xfId="0" applyFont="1" applyFill="1" applyBorder="1" applyAlignment="1">
      <alignment horizontal="centerContinuous"/>
    </xf>
    <xf numFmtId="165" fontId="13" fillId="6" borderId="1" xfId="4" applyFont="1" applyFill="1" applyBorder="1"/>
    <xf numFmtId="169" fontId="11" fillId="6" borderId="1" xfId="0" applyNumberFormat="1" applyFont="1" applyFill="1" applyBorder="1" applyAlignment="1">
      <alignment horizontal="centerContinuous"/>
    </xf>
    <xf numFmtId="9" fontId="11" fillId="6" borderId="1" xfId="3" applyFont="1" applyFill="1" applyBorder="1"/>
    <xf numFmtId="0" fontId="11" fillId="6" borderId="0" xfId="0" applyFont="1" applyFill="1" applyAlignment="1">
      <alignment horizontal="center"/>
    </xf>
    <xf numFmtId="0" fontId="11" fillId="7" borderId="0" xfId="0" applyFont="1" applyFill="1"/>
    <xf numFmtId="0" fontId="11" fillId="7" borderId="0" xfId="0" applyFont="1" applyFill="1" applyAlignment="1">
      <alignment horizontal="center"/>
    </xf>
    <xf numFmtId="165" fontId="13" fillId="7" borderId="0" xfId="4" applyFont="1" applyFill="1"/>
    <xf numFmtId="164" fontId="11" fillId="7" borderId="0" xfId="0" applyNumberFormat="1" applyFont="1" applyFill="1" applyAlignment="1">
      <alignment horizontal="centerContinuous"/>
    </xf>
    <xf numFmtId="165" fontId="11" fillId="7" borderId="0" xfId="0" applyNumberFormat="1" applyFont="1" applyFill="1"/>
    <xf numFmtId="0" fontId="2" fillId="7" borderId="0" xfId="0" applyFont="1" applyFill="1"/>
    <xf numFmtId="0" fontId="2" fillId="7" borderId="0" xfId="0" applyFont="1" applyFill="1" applyAlignment="1">
      <alignment horizontal="centerContinuous"/>
    </xf>
    <xf numFmtId="165" fontId="2" fillId="7" borderId="0" xfId="0" applyNumberFormat="1" applyFont="1" applyFill="1"/>
    <xf numFmtId="179" fontId="11" fillId="7" borderId="0" xfId="0" applyNumberFormat="1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6" borderId="8" xfId="0" applyFont="1" applyFill="1" applyBorder="1"/>
    <xf numFmtId="0" fontId="11" fillId="6" borderId="8" xfId="0" applyFont="1" applyFill="1" applyBorder="1" applyAlignment="1">
      <alignment horizontal="centerContinuous"/>
    </xf>
    <xf numFmtId="165" fontId="13" fillId="6" borderId="8" xfId="4" applyFont="1" applyFill="1" applyBorder="1"/>
    <xf numFmtId="0" fontId="2" fillId="6" borderId="1" xfId="0" applyFont="1" applyFill="1" applyBorder="1"/>
    <xf numFmtId="164" fontId="2" fillId="6" borderId="1" xfId="0" applyNumberFormat="1" applyFont="1" applyFill="1" applyBorder="1" applyAlignment="1">
      <alignment horizontal="centerContinuous"/>
    </xf>
    <xf numFmtId="0" fontId="2" fillId="6" borderId="1" xfId="0" applyFont="1" applyFill="1" applyBorder="1" applyAlignment="1">
      <alignment horizontal="centerContinuous"/>
    </xf>
    <xf numFmtId="165" fontId="2" fillId="6" borderId="1" xfId="0" applyNumberFormat="1" applyFont="1" applyFill="1" applyBorder="1"/>
    <xf numFmtId="171" fontId="7" fillId="8" borderId="2" xfId="6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37" fontId="7" fillId="8" borderId="2" xfId="0" applyNumberFormat="1" applyFont="1" applyFill="1" applyBorder="1" applyAlignment="1">
      <alignment horizontal="center" vertical="center"/>
    </xf>
    <xf numFmtId="3" fontId="7" fillId="8" borderId="2" xfId="0" applyNumberFormat="1" applyFont="1" applyFill="1" applyBorder="1" applyAlignment="1">
      <alignment horizontal="center" vertical="center"/>
    </xf>
    <xf numFmtId="0" fontId="18" fillId="8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/>
    </xf>
    <xf numFmtId="0" fontId="28" fillId="8" borderId="10" xfId="0" applyFont="1" applyFill="1" applyBorder="1" applyAlignment="1">
      <alignment horizontal="center" vertical="center"/>
    </xf>
    <xf numFmtId="4" fontId="7" fillId="8" borderId="2" xfId="0" applyNumberFormat="1" applyFont="1" applyFill="1" applyBorder="1" applyAlignment="1">
      <alignment horizontal="center"/>
    </xf>
    <xf numFmtId="3" fontId="7" fillId="8" borderId="2" xfId="0" applyNumberFormat="1" applyFont="1" applyFill="1" applyBorder="1" applyAlignment="1">
      <alignment horizontal="center"/>
    </xf>
    <xf numFmtId="1" fontId="7" fillId="8" borderId="2" xfId="0" applyNumberFormat="1" applyFont="1" applyFill="1" applyBorder="1" applyAlignment="1">
      <alignment horizontal="center"/>
    </xf>
    <xf numFmtId="0" fontId="9" fillId="0" borderId="2" xfId="0" applyFont="1" applyBorder="1" applyAlignment="1">
      <alignment horizontal="center" vertical="center"/>
    </xf>
    <xf numFmtId="172" fontId="9" fillId="0" borderId="0" xfId="0" applyNumberFormat="1" applyFont="1" applyAlignment="1">
      <alignment horizontal="center"/>
    </xf>
    <xf numFmtId="171" fontId="9" fillId="0" borderId="2" xfId="0" applyNumberFormat="1" applyFont="1" applyBorder="1" applyAlignment="1">
      <alignment horizontal="center"/>
    </xf>
    <xf numFmtId="3" fontId="9" fillId="0" borderId="2" xfId="0" applyNumberFormat="1" applyFont="1" applyBorder="1" applyAlignment="1">
      <alignment horizontal="center" vertical="center"/>
    </xf>
    <xf numFmtId="0" fontId="19" fillId="0" borderId="0" xfId="0" applyFont="1"/>
    <xf numFmtId="183" fontId="9" fillId="0" borderId="2" xfId="0" applyNumberFormat="1" applyFont="1" applyBorder="1" applyAlignment="1">
      <alignment horizontal="center" vertical="center"/>
    </xf>
    <xf numFmtId="4" fontId="9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/>
    </xf>
    <xf numFmtId="3" fontId="9" fillId="0" borderId="2" xfId="0" applyNumberFormat="1" applyFont="1" applyBorder="1" applyAlignment="1">
      <alignment horizontal="center"/>
    </xf>
    <xf numFmtId="3" fontId="7" fillId="0" borderId="1" xfId="0" applyNumberFormat="1" applyFont="1" applyBorder="1" applyAlignment="1">
      <alignment horizontal="center"/>
    </xf>
    <xf numFmtId="3" fontId="7" fillId="0" borderId="0" xfId="0" applyNumberFormat="1" applyFont="1" applyAlignment="1">
      <alignment horizontal="center"/>
    </xf>
    <xf numFmtId="177" fontId="9" fillId="0" borderId="2" xfId="1" applyNumberFormat="1" applyFont="1" applyFill="1" applyBorder="1" applyAlignment="1">
      <alignment horizontal="center"/>
    </xf>
    <xf numFmtId="177" fontId="9" fillId="0" borderId="11" xfId="1" applyNumberFormat="1" applyFont="1" applyFill="1" applyBorder="1" applyAlignment="1">
      <alignment horizontal="center"/>
    </xf>
    <xf numFmtId="9" fontId="9" fillId="0" borderId="0" xfId="0" applyNumberFormat="1" applyFont="1"/>
    <xf numFmtId="165" fontId="9" fillId="0" borderId="2" xfId="0" applyNumberFormat="1" applyFont="1" applyBorder="1" applyAlignment="1">
      <alignment horizontal="center"/>
    </xf>
    <xf numFmtId="4" fontId="9" fillId="0" borderId="2" xfId="0" applyNumberFormat="1" applyFont="1" applyBorder="1" applyAlignment="1">
      <alignment horizontal="center"/>
    </xf>
    <xf numFmtId="183" fontId="9" fillId="0" borderId="2" xfId="0" applyNumberFormat="1" applyFont="1" applyBorder="1" applyAlignment="1">
      <alignment horizontal="center"/>
    </xf>
    <xf numFmtId="3" fontId="11" fillId="0" borderId="1" xfId="0" applyNumberFormat="1" applyFont="1" applyBorder="1"/>
    <xf numFmtId="177" fontId="9" fillId="0" borderId="2" xfId="1" applyNumberFormat="1" applyFont="1" applyFill="1" applyBorder="1" applyAlignment="1">
      <alignment horizontal="center" vertical="center"/>
    </xf>
    <xf numFmtId="1" fontId="9" fillId="0" borderId="2" xfId="0" applyNumberFormat="1" applyFont="1" applyBorder="1" applyAlignment="1">
      <alignment horizontal="center"/>
    </xf>
    <xf numFmtId="10" fontId="9" fillId="0" borderId="2" xfId="3" applyNumberFormat="1" applyFont="1" applyFill="1" applyBorder="1" applyAlignment="1">
      <alignment horizontal="center"/>
    </xf>
    <xf numFmtId="9" fontId="9" fillId="0" borderId="2" xfId="3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3" fontId="3" fillId="0" borderId="2" xfId="3" applyNumberFormat="1" applyFont="1" applyFill="1" applyBorder="1" applyAlignment="1">
      <alignment horizontal="center"/>
    </xf>
    <xf numFmtId="3" fontId="3" fillId="0" borderId="2" xfId="0" applyNumberFormat="1" applyFont="1" applyBorder="1" applyAlignment="1">
      <alignment horizontal="center"/>
    </xf>
    <xf numFmtId="165" fontId="3" fillId="0" borderId="2" xfId="1" applyNumberFormat="1" applyFont="1" applyFill="1" applyBorder="1" applyAlignment="1">
      <alignment horizontal="center"/>
    </xf>
    <xf numFmtId="177" fontId="3" fillId="0" borderId="0" xfId="1" applyNumberFormat="1" applyFont="1" applyFill="1"/>
    <xf numFmtId="0" fontId="3" fillId="0" borderId="2" xfId="1" applyNumberFormat="1" applyFont="1" applyFill="1" applyBorder="1" applyAlignment="1">
      <alignment horizontal="center" vertical="center"/>
    </xf>
    <xf numFmtId="171" fontId="9" fillId="9" borderId="2" xfId="6" applyFont="1" applyFill="1" applyAlignment="1">
      <alignment horizontal="center" vertical="center"/>
    </xf>
    <xf numFmtId="185" fontId="3" fillId="0" borderId="2" xfId="3" applyNumberFormat="1" applyFont="1" applyBorder="1" applyAlignment="1">
      <alignment horizontal="left"/>
    </xf>
    <xf numFmtId="185" fontId="9" fillId="0" borderId="2" xfId="3" applyNumberFormat="1" applyFont="1" applyBorder="1" applyAlignment="1">
      <alignment horizontal="left"/>
    </xf>
    <xf numFmtId="0" fontId="3" fillId="9" borderId="2" xfId="0" applyFont="1" applyFill="1" applyBorder="1"/>
    <xf numFmtId="0" fontId="3" fillId="4" borderId="2" xfId="0" applyFont="1" applyFill="1" applyBorder="1"/>
    <xf numFmtId="0" fontId="3" fillId="0" borderId="2" xfId="0" applyFont="1" applyBorder="1"/>
    <xf numFmtId="171" fontId="5" fillId="9" borderId="2" xfId="6" applyFont="1" applyFill="1" applyAlignment="1">
      <alignment horizontal="center" vertical="center"/>
    </xf>
    <xf numFmtId="1" fontId="3" fillId="9" borderId="2" xfId="0" applyNumberFormat="1" applyFont="1" applyFill="1" applyBorder="1" applyAlignment="1">
      <alignment horizontal="center"/>
    </xf>
    <xf numFmtId="165" fontId="10" fillId="9" borderId="2" xfId="4" applyFont="1" applyFill="1" applyBorder="1"/>
    <xf numFmtId="0" fontId="9" fillId="0" borderId="2" xfId="3" applyNumberFormat="1" applyFont="1" applyFill="1" applyBorder="1" applyAlignment="1">
      <alignment horizontal="left"/>
    </xf>
    <xf numFmtId="2" fontId="11" fillId="3" borderId="2" xfId="0" applyNumberFormat="1" applyFont="1" applyFill="1" applyBorder="1"/>
    <xf numFmtId="10" fontId="2" fillId="3" borderId="2" xfId="0" applyNumberFormat="1" applyFont="1" applyFill="1" applyBorder="1"/>
    <xf numFmtId="10" fontId="13" fillId="3" borderId="2" xfId="3" applyNumberFormat="1" applyFont="1" applyFill="1" applyBorder="1"/>
    <xf numFmtId="10" fontId="2" fillId="3" borderId="2" xfId="3" applyNumberFormat="1" applyFont="1" applyFill="1" applyBorder="1"/>
    <xf numFmtId="165" fontId="13" fillId="6" borderId="7" xfId="4" applyFont="1" applyFill="1" applyBorder="1"/>
    <xf numFmtId="167" fontId="13" fillId="3" borderId="2" xfId="4" applyNumberFormat="1" applyFont="1" applyFill="1" applyBorder="1"/>
    <xf numFmtId="41" fontId="3" fillId="0" borderId="0" xfId="2" applyFont="1" applyFill="1" applyBorder="1"/>
    <xf numFmtId="0" fontId="30" fillId="5" borderId="0" xfId="0" applyFont="1" applyFill="1" applyAlignment="1">
      <alignment horizontal="left"/>
    </xf>
    <xf numFmtId="0" fontId="3" fillId="0" borderId="0" xfId="0" applyFont="1" applyAlignment="1">
      <alignment horizontal="left"/>
    </xf>
    <xf numFmtId="165" fontId="5" fillId="0" borderId="0" xfId="4" applyAlignment="1">
      <alignment horizontal="left"/>
    </xf>
    <xf numFmtId="165" fontId="5" fillId="0" borderId="6" xfId="4" applyBorder="1" applyAlignment="1">
      <alignment horizontal="left"/>
    </xf>
    <xf numFmtId="0" fontId="0" fillId="0" borderId="0" xfId="0" applyAlignment="1">
      <alignment horizontal="left"/>
    </xf>
    <xf numFmtId="165" fontId="2" fillId="6" borderId="1" xfId="0" applyNumberFormat="1" applyFont="1" applyFill="1" applyBorder="1" applyAlignment="1">
      <alignment horizontal="left"/>
    </xf>
    <xf numFmtId="165" fontId="13" fillId="6" borderId="1" xfId="4" applyFont="1" applyFill="1" applyBorder="1" applyAlignment="1">
      <alignment horizontal="left"/>
    </xf>
    <xf numFmtId="0" fontId="3" fillId="0" borderId="1" xfId="0" applyFont="1" applyBorder="1" applyAlignment="1">
      <alignment horizontal="left"/>
    </xf>
    <xf numFmtId="165" fontId="5" fillId="0" borderId="5" xfId="4" applyBorder="1" applyAlignment="1">
      <alignment horizontal="left"/>
    </xf>
    <xf numFmtId="165" fontId="13" fillId="6" borderId="0" xfId="4" applyFont="1" applyFill="1" applyAlignment="1">
      <alignment horizontal="left"/>
    </xf>
    <xf numFmtId="165" fontId="13" fillId="6" borderId="8" xfId="4" applyFont="1" applyFill="1" applyBorder="1" applyAlignment="1">
      <alignment horizontal="left"/>
    </xf>
    <xf numFmtId="165" fontId="13" fillId="7" borderId="0" xfId="4" applyFont="1" applyFill="1" applyAlignment="1">
      <alignment horizontal="left"/>
    </xf>
    <xf numFmtId="0" fontId="11" fillId="0" borderId="0" xfId="0" applyFont="1" applyAlignment="1">
      <alignment horizontal="left"/>
    </xf>
    <xf numFmtId="0" fontId="11" fillId="0" borderId="1" xfId="0" applyFont="1" applyBorder="1" applyAlignment="1">
      <alignment horizontal="left"/>
    </xf>
    <xf numFmtId="165" fontId="13" fillId="0" borderId="8" xfId="4" applyFont="1" applyBorder="1" applyAlignment="1">
      <alignment horizontal="left"/>
    </xf>
    <xf numFmtId="165" fontId="13" fillId="0" borderId="1" xfId="4" applyFont="1" applyBorder="1" applyAlignment="1">
      <alignment horizontal="left"/>
    </xf>
    <xf numFmtId="165" fontId="13" fillId="0" borderId="0" xfId="4" applyFont="1" applyAlignment="1">
      <alignment horizontal="left"/>
    </xf>
    <xf numFmtId="165" fontId="2" fillId="7" borderId="0" xfId="0" applyNumberFormat="1" applyFont="1" applyFill="1" applyAlignment="1">
      <alignment horizontal="left"/>
    </xf>
    <xf numFmtId="0" fontId="2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9" fillId="0" borderId="1" xfId="0" applyFont="1" applyBorder="1" applyAlignment="1">
      <alignment horizontal="left"/>
    </xf>
    <xf numFmtId="165" fontId="11" fillId="6" borderId="0" xfId="0" applyNumberFormat="1" applyFont="1" applyFill="1" applyAlignment="1">
      <alignment horizontal="left"/>
    </xf>
    <xf numFmtId="165" fontId="11" fillId="6" borderId="1" xfId="0" applyNumberFormat="1" applyFont="1" applyFill="1" applyBorder="1" applyAlignment="1">
      <alignment horizontal="left"/>
    </xf>
    <xf numFmtId="8" fontId="9" fillId="0" borderId="0" xfId="0" applyNumberFormat="1" applyFont="1" applyAlignment="1">
      <alignment horizontal="left"/>
    </xf>
    <xf numFmtId="171" fontId="9" fillId="0" borderId="0" xfId="6" applyFont="1" applyFill="1" applyBorder="1" applyAlignment="1">
      <alignment horizontal="left"/>
    </xf>
    <xf numFmtId="165" fontId="15" fillId="0" borderId="0" xfId="0" applyNumberFormat="1" applyFont="1" applyAlignment="1">
      <alignment horizontal="left"/>
    </xf>
    <xf numFmtId="0" fontId="22" fillId="0" borderId="0" xfId="0" applyFont="1" applyAlignment="1">
      <alignment horizontal="left"/>
    </xf>
    <xf numFmtId="165" fontId="9" fillId="0" borderId="0" xfId="0" applyNumberFormat="1" applyFont="1" applyAlignment="1">
      <alignment horizontal="left"/>
    </xf>
    <xf numFmtId="165" fontId="5" fillId="0" borderId="0" xfId="1" applyNumberFormat="1" applyFont="1" applyAlignment="1">
      <alignment horizontal="left"/>
    </xf>
    <xf numFmtId="174" fontId="3" fillId="0" borderId="0" xfId="10" applyAlignment="1">
      <alignment horizontal="left"/>
    </xf>
    <xf numFmtId="174" fontId="9" fillId="0" borderId="0" xfId="0" applyNumberFormat="1" applyFont="1" applyAlignment="1">
      <alignment horizontal="left"/>
    </xf>
    <xf numFmtId="174" fontId="9" fillId="0" borderId="0" xfId="10" applyFont="1" applyAlignment="1">
      <alignment horizontal="left"/>
    </xf>
    <xf numFmtId="174" fontId="9" fillId="0" borderId="6" xfId="10" applyFont="1" applyBorder="1" applyAlignment="1">
      <alignment horizontal="left"/>
    </xf>
    <xf numFmtId="165" fontId="11" fillId="7" borderId="0" xfId="0" applyNumberFormat="1" applyFont="1" applyFill="1" applyAlignment="1">
      <alignment horizontal="left"/>
    </xf>
    <xf numFmtId="165" fontId="11" fillId="0" borderId="0" xfId="0" applyNumberFormat="1" applyFont="1" applyAlignment="1">
      <alignment horizontal="left"/>
    </xf>
    <xf numFmtId="175" fontId="15" fillId="0" borderId="0" xfId="9" applyFont="1" applyFill="1" applyBorder="1" applyAlignment="1">
      <alignment horizontal="left"/>
    </xf>
    <xf numFmtId="165" fontId="9" fillId="0" borderId="1" xfId="0" applyNumberFormat="1" applyFont="1" applyBorder="1" applyAlignment="1">
      <alignment horizontal="left"/>
    </xf>
    <xf numFmtId="177" fontId="11" fillId="6" borderId="1" xfId="1" applyNumberFormat="1" applyFont="1" applyFill="1" applyBorder="1" applyAlignment="1">
      <alignment horizontal="left"/>
    </xf>
    <xf numFmtId="0" fontId="3" fillId="0" borderId="6" xfId="0" applyFont="1" applyBorder="1" applyAlignment="1">
      <alignment horizontal="left"/>
    </xf>
    <xf numFmtId="0" fontId="9" fillId="6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left"/>
    </xf>
    <xf numFmtId="0" fontId="3" fillId="3" borderId="0" xfId="0" applyFont="1" applyFill="1" applyAlignment="1">
      <alignment horizontal="left"/>
    </xf>
    <xf numFmtId="165" fontId="9" fillId="9" borderId="2" xfId="0" applyNumberFormat="1" applyFont="1" applyFill="1" applyBorder="1"/>
    <xf numFmtId="0" fontId="9" fillId="0" borderId="6" xfId="0" applyFont="1" applyBorder="1" applyAlignment="1">
      <alignment horizontal="left"/>
    </xf>
    <xf numFmtId="9" fontId="7" fillId="8" borderId="2" xfId="3" applyFont="1" applyFill="1" applyBorder="1" applyAlignment="1">
      <alignment horizontal="center" vertical="center"/>
    </xf>
    <xf numFmtId="186" fontId="9" fillId="9" borderId="2" xfId="6" applyNumberFormat="1" applyFont="1" applyFill="1" applyAlignment="1">
      <alignment horizontal="center" vertical="center"/>
    </xf>
    <xf numFmtId="171" fontId="0" fillId="0" borderId="0" xfId="0" applyNumberFormat="1"/>
    <xf numFmtId="44" fontId="7" fillId="8" borderId="2" xfId="24" applyFont="1" applyFill="1" applyBorder="1" applyAlignment="1">
      <alignment horizontal="center" vertical="center"/>
    </xf>
    <xf numFmtId="9" fontId="7" fillId="8" borderId="2" xfId="3" applyFont="1" applyFill="1" applyBorder="1" applyAlignment="1">
      <alignment horizontal="center"/>
    </xf>
    <xf numFmtId="9" fontId="18" fillId="8" borderId="2" xfId="3" applyFont="1" applyFill="1" applyBorder="1" applyAlignment="1">
      <alignment horizontal="center"/>
    </xf>
    <xf numFmtId="10" fontId="18" fillId="8" borderId="2" xfId="3" applyNumberFormat="1" applyFont="1" applyFill="1" applyBorder="1" applyAlignment="1">
      <alignment horizontal="center"/>
    </xf>
    <xf numFmtId="9" fontId="18" fillId="8" borderId="2" xfId="3" applyFont="1" applyFill="1" applyBorder="1" applyAlignment="1">
      <alignment horizontal="center" vertical="center"/>
    </xf>
    <xf numFmtId="10" fontId="7" fillId="8" borderId="2" xfId="3" applyNumberFormat="1" applyFont="1" applyFill="1" applyBorder="1" applyAlignment="1">
      <alignment horizontal="center"/>
    </xf>
    <xf numFmtId="0" fontId="7" fillId="8" borderId="2" xfId="1" applyNumberFormat="1" applyFont="1" applyFill="1" applyBorder="1" applyAlignment="1">
      <alignment horizontal="center"/>
    </xf>
    <xf numFmtId="10" fontId="7" fillId="8" borderId="2" xfId="3" applyNumberFormat="1" applyFont="1" applyFill="1" applyBorder="1" applyAlignment="1">
      <alignment horizontal="center" vertical="center"/>
    </xf>
    <xf numFmtId="10" fontId="7" fillId="8" borderId="3" xfId="3" applyNumberFormat="1" applyFont="1" applyFill="1" applyBorder="1" applyAlignment="1">
      <alignment horizontal="center" vertical="center"/>
    </xf>
    <xf numFmtId="44" fontId="7" fillId="8" borderId="2" xfId="24" applyFont="1" applyFill="1" applyBorder="1" applyAlignment="1">
      <alignment horizontal="center"/>
    </xf>
    <xf numFmtId="166" fontId="18" fillId="8" borderId="2" xfId="3" applyNumberFormat="1" applyFont="1" applyFill="1" applyBorder="1" applyAlignment="1">
      <alignment horizontal="center" vertical="center"/>
    </xf>
    <xf numFmtId="9" fontId="9" fillId="0" borderId="2" xfId="3" applyFont="1" applyFill="1" applyBorder="1" applyAlignment="1">
      <alignment horizontal="center" vertical="center"/>
    </xf>
    <xf numFmtId="10" fontId="9" fillId="0" borderId="2" xfId="3" applyNumberFormat="1" applyFont="1" applyFill="1" applyBorder="1" applyAlignment="1">
      <alignment horizontal="center" vertical="center"/>
    </xf>
    <xf numFmtId="186" fontId="9" fillId="0" borderId="2" xfId="0" applyNumberFormat="1" applyFont="1" applyBorder="1" applyAlignment="1">
      <alignment horizontal="center" vertical="center"/>
    </xf>
    <xf numFmtId="10" fontId="9" fillId="0" borderId="2" xfId="0" applyNumberFormat="1" applyFont="1" applyBorder="1" applyAlignment="1">
      <alignment horizontal="center" vertical="center"/>
    </xf>
    <xf numFmtId="44" fontId="9" fillId="0" borderId="2" xfId="0" applyNumberFormat="1" applyFont="1" applyBorder="1" applyAlignment="1">
      <alignment horizontal="center" vertical="center"/>
    </xf>
    <xf numFmtId="44" fontId="9" fillId="0" borderId="2" xfId="0" applyNumberFormat="1" applyFont="1" applyBorder="1" applyAlignment="1">
      <alignment horizontal="center"/>
    </xf>
    <xf numFmtId="9" fontId="9" fillId="0" borderId="2" xfId="0" applyNumberFormat="1" applyFont="1" applyBorder="1" applyAlignment="1">
      <alignment horizontal="center" vertical="center"/>
    </xf>
    <xf numFmtId="10" fontId="9" fillId="0" borderId="2" xfId="0" applyNumberFormat="1" applyFont="1" applyBorder="1" applyAlignment="1">
      <alignment horizontal="center"/>
    </xf>
    <xf numFmtId="10" fontId="3" fillId="0" borderId="0" xfId="3" applyNumberFormat="1" applyFont="1"/>
    <xf numFmtId="1" fontId="3" fillId="0" borderId="0" xfId="0" applyNumberFormat="1" applyFont="1"/>
    <xf numFmtId="166" fontId="3" fillId="0" borderId="0" xfId="3" applyNumberFormat="1" applyFont="1"/>
    <xf numFmtId="10" fontId="5" fillId="0" borderId="4" xfId="3" applyNumberFormat="1" applyFont="1" applyBorder="1"/>
    <xf numFmtId="166" fontId="9" fillId="0" borderId="2" xfId="3" applyNumberFormat="1" applyFont="1" applyFill="1" applyBorder="1" applyAlignment="1">
      <alignment horizontal="center"/>
    </xf>
    <xf numFmtId="9" fontId="9" fillId="0" borderId="2" xfId="0" applyNumberFormat="1" applyFont="1" applyBorder="1" applyAlignment="1">
      <alignment horizontal="center"/>
    </xf>
    <xf numFmtId="174" fontId="13" fillId="0" borderId="0" xfId="4" applyNumberFormat="1" applyFont="1"/>
    <xf numFmtId="9" fontId="5" fillId="0" borderId="0" xfId="3" applyFont="1"/>
    <xf numFmtId="43" fontId="5" fillId="0" borderId="0" xfId="1" applyFont="1"/>
    <xf numFmtId="187" fontId="5" fillId="0" borderId="0" xfId="1" applyNumberFormat="1" applyFont="1"/>
    <xf numFmtId="187" fontId="0" fillId="0" borderId="0" xfId="1" applyNumberFormat="1" applyFont="1"/>
    <xf numFmtId="184" fontId="13" fillId="0" borderId="0" xfId="1" applyNumberFormat="1" applyFont="1"/>
    <xf numFmtId="184" fontId="0" fillId="0" borderId="0" xfId="0" applyNumberFormat="1"/>
    <xf numFmtId="177" fontId="5" fillId="0" borderId="0" xfId="1" applyNumberFormat="1" applyFont="1" applyAlignment="1">
      <alignment horizontal="centerContinuous"/>
    </xf>
    <xf numFmtId="43" fontId="3" fillId="0" borderId="0" xfId="1" applyFont="1"/>
    <xf numFmtId="166" fontId="5" fillId="0" borderId="0" xfId="3" applyNumberFormat="1" applyFont="1"/>
    <xf numFmtId="167" fontId="9" fillId="0" borderId="0" xfId="0" applyNumberFormat="1" applyFont="1"/>
    <xf numFmtId="177" fontId="13" fillId="0" borderId="1" xfId="1" applyNumberFormat="1" applyFont="1" applyFill="1" applyBorder="1"/>
    <xf numFmtId="9" fontId="3" fillId="0" borderId="2" xfId="3" applyFont="1" applyFill="1" applyBorder="1" applyAlignment="1">
      <alignment horizontal="center"/>
    </xf>
    <xf numFmtId="176" fontId="9" fillId="0" borderId="0" xfId="3" applyNumberFormat="1" applyFont="1"/>
    <xf numFmtId="177" fontId="29" fillId="5" borderId="0" xfId="1" applyNumberFormat="1" applyFont="1" applyFill="1" applyAlignment="1">
      <alignment horizontal="right"/>
    </xf>
    <xf numFmtId="177" fontId="11" fillId="0" borderId="0" xfId="1" applyNumberFormat="1" applyFont="1"/>
    <xf numFmtId="177" fontId="9" fillId="0" borderId="0" xfId="1" applyNumberFormat="1" applyFont="1"/>
    <xf numFmtId="177" fontId="5" fillId="0" borderId="0" xfId="1" applyNumberFormat="1" applyFont="1"/>
    <xf numFmtId="177" fontId="11" fillId="6" borderId="1" xfId="1" applyNumberFormat="1" applyFont="1" applyFill="1" applyBorder="1"/>
    <xf numFmtId="177" fontId="9" fillId="0" borderId="0" xfId="1" applyNumberFormat="1" applyFont="1" applyAlignment="1">
      <alignment horizontal="right"/>
    </xf>
    <xf numFmtId="177" fontId="11" fillId="0" borderId="0" xfId="1" applyNumberFormat="1" applyFont="1" applyAlignment="1">
      <alignment horizontal="right"/>
    </xf>
    <xf numFmtId="177" fontId="0" fillId="0" borderId="0" xfId="1" applyNumberFormat="1" applyFont="1"/>
    <xf numFmtId="177" fontId="13" fillId="6" borderId="1" xfId="1" applyNumberFormat="1" applyFont="1" applyFill="1" applyBorder="1"/>
    <xf numFmtId="177" fontId="13" fillId="6" borderId="0" xfId="1" applyNumberFormat="1" applyFont="1" applyFill="1"/>
    <xf numFmtId="177" fontId="13" fillId="0" borderId="0" xfId="1" applyNumberFormat="1" applyFont="1"/>
    <xf numFmtId="177" fontId="13" fillId="0" borderId="1" xfId="1" applyNumberFormat="1" applyFont="1" applyBorder="1"/>
    <xf numFmtId="177" fontId="9" fillId="0" borderId="6" xfId="1" applyNumberFormat="1" applyFont="1" applyBorder="1"/>
    <xf numFmtId="177" fontId="11" fillId="7" borderId="0" xfId="1" applyNumberFormat="1" applyFont="1" applyFill="1"/>
    <xf numFmtId="177" fontId="15" fillId="0" borderId="0" xfId="1" applyNumberFormat="1" applyFont="1"/>
    <xf numFmtId="177" fontId="15" fillId="0" borderId="0" xfId="1" applyNumberFormat="1" applyFont="1" applyFill="1" applyBorder="1" applyAlignment="1"/>
    <xf numFmtId="177" fontId="9" fillId="0" borderId="0" xfId="1" applyNumberFormat="1" applyFont="1" applyAlignment="1">
      <alignment horizontal="centerContinuous"/>
    </xf>
    <xf numFmtId="9" fontId="3" fillId="0" borderId="2" xfId="0" applyNumberFormat="1" applyFont="1" applyBorder="1" applyAlignment="1">
      <alignment horizontal="center"/>
    </xf>
    <xf numFmtId="166" fontId="3" fillId="0" borderId="2" xfId="3" applyNumberFormat="1" applyFont="1" applyFill="1" applyBorder="1" applyAlignment="1">
      <alignment horizontal="center"/>
    </xf>
    <xf numFmtId="167" fontId="3" fillId="3" borderId="2" xfId="0" applyNumberFormat="1" applyFont="1" applyFill="1" applyBorder="1"/>
    <xf numFmtId="10" fontId="3" fillId="0" borderId="2" xfId="0" applyNumberFormat="1" applyFont="1" applyBorder="1" applyAlignment="1">
      <alignment horizontal="center"/>
    </xf>
    <xf numFmtId="9" fontId="0" fillId="0" borderId="0" xfId="3" applyFont="1"/>
    <xf numFmtId="0" fontId="32" fillId="0" borderId="0" xfId="0" applyFont="1"/>
    <xf numFmtId="165" fontId="32" fillId="0" borderId="0" xfId="0" applyNumberFormat="1" applyFont="1"/>
    <xf numFmtId="177" fontId="32" fillId="0" borderId="0" xfId="1" applyNumberFormat="1" applyFont="1"/>
    <xf numFmtId="1" fontId="9" fillId="0" borderId="0" xfId="3" applyNumberFormat="1" applyFont="1"/>
    <xf numFmtId="0" fontId="33" fillId="0" borderId="0" xfId="0" applyFont="1"/>
    <xf numFmtId="0" fontId="34" fillId="0" borderId="0" xfId="0" applyFont="1"/>
    <xf numFmtId="166" fontId="13" fillId="3" borderId="2" xfId="3" applyNumberFormat="1" applyFont="1" applyFill="1" applyBorder="1"/>
    <xf numFmtId="0" fontId="24" fillId="0" borderId="0" xfId="0" applyFont="1"/>
    <xf numFmtId="177" fontId="25" fillId="0" borderId="0" xfId="1" applyNumberFormat="1" applyFont="1"/>
    <xf numFmtId="0" fontId="24" fillId="0" borderId="5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44" fontId="0" fillId="0" borderId="0" xfId="24" applyFont="1" applyBorder="1"/>
    <xf numFmtId="10" fontId="0" fillId="0" borderId="16" xfId="0" applyNumberFormat="1" applyBorder="1"/>
    <xf numFmtId="0" fontId="0" fillId="0" borderId="17" xfId="0" applyBorder="1"/>
    <xf numFmtId="44" fontId="0" fillId="0" borderId="18" xfId="24" applyFont="1" applyBorder="1"/>
    <xf numFmtId="10" fontId="0" fillId="0" borderId="19" xfId="0" applyNumberFormat="1" applyBorder="1"/>
    <xf numFmtId="2" fontId="0" fillId="0" borderId="16" xfId="0" applyNumberFormat="1" applyBorder="1"/>
    <xf numFmtId="166" fontId="0" fillId="0" borderId="19" xfId="3" applyNumberFormat="1" applyFont="1" applyBorder="1"/>
    <xf numFmtId="0" fontId="0" fillId="0" borderId="20" xfId="0" applyBorder="1"/>
    <xf numFmtId="166" fontId="0" fillId="0" borderId="21" xfId="3" applyNumberFormat="1" applyFont="1" applyBorder="1"/>
    <xf numFmtId="2" fontId="0" fillId="0" borderId="19" xfId="0" applyNumberFormat="1" applyBorder="1"/>
  </cellXfs>
  <cellStyles count="25">
    <cellStyle name="%" xfId="5" xr:uid="{00000000-0005-0000-0000-000000000000}"/>
    <cellStyle name="Comma" xfId="1" builtinId="3"/>
    <cellStyle name="Comma [0]" xfId="2" builtinId="6"/>
    <cellStyle name="Currency" xfId="24" builtinId="4"/>
    <cellStyle name="date" xfId="6" xr:uid="{00000000-0005-0000-0000-000003000000}"/>
    <cellStyle name="flags" xfId="8" xr:uid="{00000000-0005-0000-0000-000004000000}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Inflation" xfId="10" xr:uid="{00000000-0005-0000-0000-000011000000}"/>
    <cellStyle name="modate" xfId="7" xr:uid="{00000000-0005-0000-0000-000012000000}"/>
    <cellStyle name="money" xfId="4" xr:uid="{00000000-0005-0000-0000-000013000000}"/>
    <cellStyle name="Normal" xfId="0" builtinId="0"/>
    <cellStyle name="Percent" xfId="3" builtinId="5"/>
    <cellStyle name="subtotal" xfId="11" xr:uid="{00000000-0005-0000-0000-000016000000}"/>
    <cellStyle name="year" xfId="9" xr:uid="{00000000-0005-0000-0000-000017000000}"/>
  </cellStyles>
  <dxfs count="0"/>
  <tableStyles count="0" defaultTableStyle="TableStyleMedium2" defaultPivotStyle="PivotStyleLight16"/>
  <colors>
    <mruColors>
      <color rgb="FFFFFF99"/>
      <color rgb="FFCC3300"/>
      <color rgb="FFFF3300"/>
      <color rgb="FFCC6600"/>
      <color rgb="FFB2B2B2"/>
      <color rgb="FF336600"/>
      <color rgb="FFFF33CC"/>
      <color rgb="FF0033CC"/>
      <color rgb="FF0099FF"/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Sources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42F-BF4F-8E84-055BBECD08A4}"/>
              </c:ext>
            </c:extLst>
          </c:dPt>
          <c:dPt>
            <c:idx val="1"/>
            <c:bubble3D val="0"/>
            <c:spPr>
              <a:solidFill>
                <a:schemeClr val="accent6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42F-BF4F-8E84-055BBECD08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Summary!$P$8:$P$9</c:f>
              <c:strCache>
                <c:ptCount val="2"/>
                <c:pt idx="0">
                  <c:v>Debt Drawdown</c:v>
                </c:pt>
                <c:pt idx="1">
                  <c:v>Equity Contribution</c:v>
                </c:pt>
              </c:strCache>
            </c:strRef>
          </c:cat>
          <c:val>
            <c:numRef>
              <c:f>Summary!$Q$8:$Q$9</c:f>
              <c:numCache>
                <c:formatCode>_("$"* #,##0.00_);_("$"* \(#,##0.00\);_("$"* "-"??_);_(@_)</c:formatCode>
                <c:ptCount val="2"/>
                <c:pt idx="0">
                  <c:v>330246.1139761965</c:v>
                </c:pt>
                <c:pt idx="1">
                  <c:v>82561.528494049111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8A-384E-8CDB-404BB7808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 Uses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tint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058-2A4F-97B7-325094F9F2BD}"/>
              </c:ext>
            </c:extLst>
          </c:dPt>
          <c:dPt>
            <c:idx val="1"/>
            <c:bubble3D val="0"/>
            <c:spPr>
              <a:solidFill>
                <a:schemeClr val="accent1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058-2A4F-97B7-325094F9F2BD}"/>
              </c:ext>
            </c:extLst>
          </c:dPt>
          <c:dPt>
            <c:idx val="2"/>
            <c:bubble3D val="0"/>
            <c:spPr>
              <a:solidFill>
                <a:schemeClr val="accent1">
                  <a:tint val="8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058-2A4F-97B7-325094F9F2BD}"/>
              </c:ext>
            </c:extLst>
          </c:dPt>
          <c:dPt>
            <c:idx val="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058-2A4F-97B7-325094F9F2BD}"/>
              </c:ext>
            </c:extLst>
          </c:dPt>
          <c:dPt>
            <c:idx val="4"/>
            <c:bubble3D val="0"/>
            <c:spPr>
              <a:solidFill>
                <a:schemeClr val="accent1">
                  <a:shade val="8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A058-2A4F-97B7-325094F9F2BD}"/>
              </c:ext>
            </c:extLst>
          </c:dPt>
          <c:dPt>
            <c:idx val="5"/>
            <c:bubble3D val="0"/>
            <c:spPr>
              <a:solidFill>
                <a:schemeClr val="accent1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058-2A4F-97B7-325094F9F2BD}"/>
              </c:ext>
            </c:extLst>
          </c:dPt>
          <c:dPt>
            <c:idx val="6"/>
            <c:bubble3D val="0"/>
            <c:spPr>
              <a:solidFill>
                <a:schemeClr val="accent1">
                  <a:shade val="4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A058-2A4F-97B7-325094F9F2BD}"/>
              </c:ext>
            </c:extLst>
          </c:dPt>
          <c:dLbls>
            <c:dLbl>
              <c:idx val="0"/>
              <c:layout>
                <c:manualLayout>
                  <c:x val="-0.20393120393120392"/>
                  <c:y val="-9.90712074303406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A058-2A4F-97B7-325094F9F2BD}"/>
                </c:ext>
              </c:extLst>
            </c:dLbl>
            <c:dLbl>
              <c:idx val="1"/>
              <c:layout>
                <c:manualLayout>
                  <c:x val="1.3461538461538462E-2"/>
                  <c:y val="0.195121951219512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58-2A4F-97B7-325094F9F2BD}"/>
                </c:ext>
              </c:extLst>
            </c:dLbl>
            <c:dLbl>
              <c:idx val="2"/>
              <c:layout>
                <c:manualLayout>
                  <c:x val="-5.0791855203619889E-2"/>
                  <c:y val="0.2161944187123668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058-2A4F-97B7-325094F9F2BD}"/>
                </c:ext>
              </c:extLst>
            </c:dLbl>
            <c:dLbl>
              <c:idx val="3"/>
              <c:layout>
                <c:manualLayout>
                  <c:x val="-7.6809954751131226E-2"/>
                  <c:y val="0.1770981936081519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058-2A4F-97B7-325094F9F2BD}"/>
                </c:ext>
              </c:extLst>
            </c:dLbl>
            <c:dLbl>
              <c:idx val="4"/>
              <c:layout>
                <c:manualLayout>
                  <c:x val="-8.7443438914027172E-2"/>
                  <c:y val="3.386550486336267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058-2A4F-97B7-325094F9F2BD}"/>
                </c:ext>
              </c:extLst>
            </c:dLbl>
            <c:dLbl>
              <c:idx val="5"/>
              <c:layout>
                <c:manualLayout>
                  <c:x val="2.4873338796451348E-2"/>
                  <c:y val="1.1466535433070867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058-2A4F-97B7-325094F9F2BD}"/>
                </c:ext>
              </c:extLst>
            </c:dLbl>
            <c:dLbl>
              <c:idx val="6"/>
              <c:layout>
                <c:manualLayout>
                  <c:x val="0.27637505078449959"/>
                  <c:y val="3.812071865629798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58-2A4F-97B7-325094F9F2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Summary!$AQ$4:$AQ$10</c:f>
              <c:strCache>
                <c:ptCount val="7"/>
                <c:pt idx="0">
                  <c:v>Construction</c:v>
                </c:pt>
                <c:pt idx="1">
                  <c:v>Land</c:v>
                </c:pt>
                <c:pt idx="2">
                  <c:v>Interest</c:v>
                </c:pt>
                <c:pt idx="3">
                  <c:v>Underwriting</c:v>
                </c:pt>
                <c:pt idx="4">
                  <c:v>Commitment</c:v>
                </c:pt>
                <c:pt idx="5">
                  <c:v>Initial Working Capital</c:v>
                </c:pt>
                <c:pt idx="6">
                  <c:v>Initial DSRA Funding</c:v>
                </c:pt>
              </c:strCache>
            </c:strRef>
          </c:cat>
          <c:val>
            <c:numRef>
              <c:f>Summary!$AR$4:$AR$10</c:f>
              <c:numCache>
                <c:formatCode>_(* #,##0_);_(* \(#,##0\);_(* "-"??_);_(@_)</c:formatCode>
                <c:ptCount val="7"/>
                <c:pt idx="0">
                  <c:v>305000</c:v>
                </c:pt>
                <c:pt idx="1">
                  <c:v>20000</c:v>
                </c:pt>
                <c:pt idx="2">
                  <c:v>42346.95158234454</c:v>
                </c:pt>
                <c:pt idx="3">
                  <c:v>3962.9533677143586</c:v>
                </c:pt>
                <c:pt idx="4">
                  <c:v>2767.4327710880953</c:v>
                </c:pt>
                <c:pt idx="5">
                  <c:v>19145.09551533575</c:v>
                </c:pt>
                <c:pt idx="6">
                  <c:v>19585.209233762856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58-2A4F-97B7-325094F9F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Revenues</a:t>
            </a:r>
            <a:r>
              <a:rPr lang="en-US" b="1" baseline="0"/>
              <a:t> and Costs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Summary!$AM$25</c:f>
              <c:strCache>
                <c:ptCount val="1"/>
                <c:pt idx="0">
                  <c:v>Operating Costs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Summary!$AN$23:$BG$23</c:f>
              <c:numCache>
                <c:formatCode>General</c:formatCode>
                <c:ptCount val="20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</c:numCache>
            </c:numRef>
          </c:cat>
          <c:val>
            <c:numRef>
              <c:f>Summary!$AN$25:$BG$25</c:f>
              <c:numCache>
                <c:formatCode>_(* #,##0_);_(* \(#,##0\);_(* "-"??_);_(@_)</c:formatCode>
                <c:ptCount val="20"/>
                <c:pt idx="0">
                  <c:v>39274.965260583682</c:v>
                </c:pt>
                <c:pt idx="1">
                  <c:v>78978.139196294389</c:v>
                </c:pt>
                <c:pt idx="2">
                  <c:v>79552.494079793847</c:v>
                </c:pt>
                <c:pt idx="3">
                  <c:v>80137.140301948239</c:v>
                </c:pt>
                <c:pt idx="4">
                  <c:v>92103.80616106141</c:v>
                </c:pt>
                <c:pt idx="5">
                  <c:v>83198.789432800171</c:v>
                </c:pt>
                <c:pt idx="6">
                  <c:v>83755.487707247143</c:v>
                </c:pt>
                <c:pt idx="7">
                  <c:v>125035.75013414086</c:v>
                </c:pt>
                <c:pt idx="8">
                  <c:v>185577.81649316804</c:v>
                </c:pt>
                <c:pt idx="9">
                  <c:v>174856.72445297087</c:v>
                </c:pt>
                <c:pt idx="10">
                  <c:v>176674.31881230342</c:v>
                </c:pt>
                <c:pt idx="11">
                  <c:v>178492.70390722947</c:v>
                </c:pt>
                <c:pt idx="12">
                  <c:v>194244.87330191775</c:v>
                </c:pt>
                <c:pt idx="13">
                  <c:v>191051.37585363275</c:v>
                </c:pt>
                <c:pt idx="14">
                  <c:v>195125.90765371959</c:v>
                </c:pt>
                <c:pt idx="15">
                  <c:v>199292.25963784871</c:v>
                </c:pt>
                <c:pt idx="16">
                  <c:v>224762.3253695399</c:v>
                </c:pt>
                <c:pt idx="17">
                  <c:v>213364.92410830723</c:v>
                </c:pt>
                <c:pt idx="18">
                  <c:v>217935.13375592857</c:v>
                </c:pt>
                <c:pt idx="19">
                  <c:v>222608.08943456298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E4-2649-BDD7-568A864AA707}"/>
            </c:ext>
          </c:extLst>
        </c:ser>
        <c:ser>
          <c:idx val="2"/>
          <c:order val="2"/>
          <c:tx>
            <c:strRef>
              <c:f>Summary!$AM$26</c:f>
              <c:strCache>
                <c:ptCount val="1"/>
                <c:pt idx="0">
                  <c:v>Debt Service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Summary!$AN$23:$BG$23</c:f>
              <c:numCache>
                <c:formatCode>General</c:formatCode>
                <c:ptCount val="20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</c:numCache>
            </c:numRef>
          </c:cat>
          <c:val>
            <c:numRef>
              <c:f>Summary!$AN$26:$BG$26</c:f>
              <c:numCache>
                <c:formatCode>_(* #,##0_);_(* \(#,##0\);_(* "-"??_);_(@_)</c:formatCode>
                <c:ptCount val="20"/>
                <c:pt idx="0">
                  <c:v>19585.209233762856</c:v>
                </c:pt>
                <c:pt idx="1">
                  <c:v>39170.418467525713</c:v>
                </c:pt>
                <c:pt idx="2">
                  <c:v>39170.418467525713</c:v>
                </c:pt>
                <c:pt idx="3">
                  <c:v>39170.418467525713</c:v>
                </c:pt>
                <c:pt idx="4">
                  <c:v>39170.418467525713</c:v>
                </c:pt>
                <c:pt idx="5">
                  <c:v>39170.418467525713</c:v>
                </c:pt>
                <c:pt idx="6">
                  <c:v>39170.418467525713</c:v>
                </c:pt>
                <c:pt idx="7">
                  <c:v>39170.418467525713</c:v>
                </c:pt>
                <c:pt idx="8">
                  <c:v>39170.418467525713</c:v>
                </c:pt>
                <c:pt idx="9">
                  <c:v>39170.418467525713</c:v>
                </c:pt>
                <c:pt idx="10">
                  <c:v>39170.418467525713</c:v>
                </c:pt>
                <c:pt idx="11">
                  <c:v>39170.418467525713</c:v>
                </c:pt>
                <c:pt idx="12">
                  <c:v>39170.418467525713</c:v>
                </c:pt>
                <c:pt idx="13">
                  <c:v>19585.209233762856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E4-2649-BDD7-568A864AA707}"/>
            </c:ext>
          </c:extLst>
        </c:ser>
        <c:ser>
          <c:idx val="3"/>
          <c:order val="3"/>
          <c:tx>
            <c:strRef>
              <c:f>Summary!$AM$29</c:f>
              <c:strCache>
                <c:ptCount val="1"/>
                <c:pt idx="0">
                  <c:v>Taxes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Summary!$AN$23:$BG$23</c:f>
              <c:numCache>
                <c:formatCode>General</c:formatCode>
                <c:ptCount val="20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</c:numCache>
            </c:numRef>
          </c:cat>
          <c:val>
            <c:numRef>
              <c:f>Summary!$AN$29:$BG$29</c:f>
              <c:numCache>
                <c:formatCode>_(* #,##0_);_(* \(#,##0\);_(* "-"??_);_(@_)</c:formatCode>
                <c:ptCount val="20"/>
                <c:pt idx="0">
                  <c:v>4404.7111782174261</c:v>
                </c:pt>
                <c:pt idx="1">
                  <c:v>9280.2493414542241</c:v>
                </c:pt>
                <c:pt idx="2">
                  <c:v>9806.0266473383963</c:v>
                </c:pt>
                <c:pt idx="3">
                  <c:v>10353.554907557927</c:v>
                </c:pt>
                <c:pt idx="4">
                  <c:v>7203.1604722319917</c:v>
                </c:pt>
                <c:pt idx="5">
                  <c:v>11919.708162308523</c:v>
                </c:pt>
                <c:pt idx="6">
                  <c:v>12150.245355638397</c:v>
                </c:pt>
                <c:pt idx="7">
                  <c:v>8653.9259512764511</c:v>
                </c:pt>
                <c:pt idx="8">
                  <c:v>3298.8642543146648</c:v>
                </c:pt>
                <c:pt idx="9">
                  <c:v>8825.421645898361</c:v>
                </c:pt>
                <c:pt idx="10">
                  <c:v>9240.6667054028658</c:v>
                </c:pt>
                <c:pt idx="11">
                  <c:v>9643.9174709390936</c:v>
                </c:pt>
                <c:pt idx="12">
                  <c:v>5729.5150353558356</c:v>
                </c:pt>
                <c:pt idx="13">
                  <c:v>11704.584070867055</c:v>
                </c:pt>
                <c:pt idx="14">
                  <c:v>11541.446080455007</c:v>
                </c:pt>
                <c:pt idx="15">
                  <c:v>11220.238691662755</c:v>
                </c:pt>
                <c:pt idx="16">
                  <c:v>5817.9906067719239</c:v>
                </c:pt>
                <c:pt idx="17">
                  <c:v>11281.56786836886</c:v>
                </c:pt>
                <c:pt idx="18">
                  <c:v>10911.634917249114</c:v>
                </c:pt>
                <c:pt idx="19">
                  <c:v>10524.611437068073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E4-2649-BDD7-568A864AA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0820016"/>
        <c:axId val="2120560176"/>
      </c:barChart>
      <c:lineChart>
        <c:grouping val="standard"/>
        <c:varyColors val="0"/>
        <c:ser>
          <c:idx val="0"/>
          <c:order val="0"/>
          <c:tx>
            <c:strRef>
              <c:f>Summary!$AM$24</c:f>
              <c:strCache>
                <c:ptCount val="1"/>
                <c:pt idx="0">
                  <c:v>Revenues</c:v>
                </c:pt>
              </c:strCache>
            </c:strRef>
          </c:tx>
          <c:spPr>
            <a:ln w="28575" cap="rnd">
              <a:solidFill>
                <a:schemeClr val="accent2">
                  <a:tint val="5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Summary!$AN$23:$BG$23</c:f>
              <c:numCache>
                <c:formatCode>General</c:formatCode>
                <c:ptCount val="20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</c:numCache>
            </c:numRef>
          </c:cat>
          <c:val>
            <c:numRef>
              <c:f>Summary!$AN$24:$BG$24</c:f>
              <c:numCache>
                <c:formatCode>_(* #,##0_);_(* \(#,##0\);_(* "-"??_);_(@_)</c:formatCode>
                <c:ptCount val="20"/>
                <c:pt idx="0">
                  <c:v>77255.968276576561</c:v>
                </c:pt>
                <c:pt idx="1">
                  <c:v>155972.41653267533</c:v>
                </c:pt>
                <c:pt idx="2">
                  <c:v>157447.71521837002</c:v>
                </c:pt>
                <c:pt idx="3">
                  <c:v>158934.31152851396</c:v>
                </c:pt>
                <c:pt idx="4">
                  <c:v>156919.08728353475</c:v>
                </c:pt>
                <c:pt idx="5">
                  <c:v>165401.20758670574</c:v>
                </c:pt>
                <c:pt idx="6">
                  <c:v>165295.19602429774</c:v>
                </c:pt>
                <c:pt idx="7">
                  <c:v>190891.94853480178</c:v>
                </c:pt>
                <c:pt idx="8">
                  <c:v>223167.16751580185</c:v>
                </c:pt>
                <c:pt idx="9">
                  <c:v>238942.81032193336</c:v>
                </c:pt>
                <c:pt idx="10">
                  <c:v>240291.63487455784</c:v>
                </c:pt>
                <c:pt idx="11">
                  <c:v>241484.18132708941</c:v>
                </c:pt>
                <c:pt idx="12">
                  <c:v>239210.38285826283</c:v>
                </c:pt>
                <c:pt idx="13">
                  <c:v>256145.74280215835</c:v>
                </c:pt>
                <c:pt idx="14">
                  <c:v>258995.55886159698</c:v>
                </c:pt>
                <c:pt idx="15">
                  <c:v>261877.08129055705</c:v>
                </c:pt>
                <c:pt idx="16">
                  <c:v>259411.26467604056</c:v>
                </c:pt>
                <c:pt idx="17">
                  <c:v>277776.78496950108</c:v>
                </c:pt>
                <c:pt idx="18">
                  <c:v>280867.26281264343</c:v>
                </c:pt>
                <c:pt idx="19">
                  <c:v>283992.12457055371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E4-2649-BDD7-568A864AA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820016"/>
        <c:axId val="2120560176"/>
      </c:lineChart>
      <c:dateAx>
        <c:axId val="212082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560176"/>
        <c:crosses val="autoZero"/>
        <c:auto val="0"/>
        <c:lblOffset val="100"/>
        <c:baseTimeUnit val="days"/>
      </c:dateAx>
      <c:valAx>
        <c:axId val="2120560176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82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DSCR</a:t>
            </a:r>
            <a:r>
              <a:rPr lang="en-US" b="1" baseline="0"/>
              <a:t> without Reserves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Waterfall!$B$16</c:f>
              <c:strCache>
                <c:ptCount val="1"/>
                <c:pt idx="0">
                  <c:v>CFADS</c:v>
                </c:pt>
              </c:strCache>
            </c:strRef>
          </c:tx>
          <c:spPr>
            <a:solidFill>
              <a:schemeClr val="accent6">
                <a:shade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Waterfall!$W$16:$AV$16</c:f>
              <c:numCache>
                <c:formatCode>_(* #,##0_);_(* \(#,##0\);_(* "-"??_)</c:formatCode>
                <c:ptCount val="26"/>
                <c:pt idx="0">
                  <c:v>33674.217883944264</c:v>
                </c:pt>
                <c:pt idx="1">
                  <c:v>33636.011312345137</c:v>
                </c:pt>
                <c:pt idx="2">
                  <c:v>34185.513786719428</c:v>
                </c:pt>
                <c:pt idx="3">
                  <c:v>33832.334238312236</c:v>
                </c:pt>
                <c:pt idx="4">
                  <c:v>34262.473202884925</c:v>
                </c:pt>
                <c:pt idx="5">
                  <c:v>33896.298513646987</c:v>
                </c:pt>
                <c:pt idx="6">
                  <c:v>34551.058921128657</c:v>
                </c:pt>
                <c:pt idx="7">
                  <c:v>23109.273620044449</c:v>
                </c:pt>
                <c:pt idx="8">
                  <c:v>33715.134700423463</c:v>
                </c:pt>
                <c:pt idx="9">
                  <c:v>35187.096817388818</c:v>
                </c:pt>
                <c:pt idx="10">
                  <c:v>35476.588750721894</c:v>
                </c:pt>
                <c:pt idx="11">
                  <c:v>34742.622447518523</c:v>
                </c:pt>
                <c:pt idx="12">
                  <c:v>34909.36837079384</c:v>
                </c:pt>
                <c:pt idx="13">
                  <c:v>34568.004121936188</c:v>
                </c:pt>
                <c:pt idx="14">
                  <c:v>21429.953299203255</c:v>
                </c:pt>
                <c:pt idx="15">
                  <c:v>6451.2873807586857</c:v>
                </c:pt>
                <c:pt idx="16">
                  <c:v>24860.455254162738</c:v>
                </c:pt>
                <c:pt idx="17">
                  <c:v>27227.957393594264</c:v>
                </c:pt>
                <c:pt idx="18">
                  <c:v>27913.282720757652</c:v>
                </c:pt>
                <c:pt idx="19">
                  <c:v>27171.993956805767</c:v>
                </c:pt>
                <c:pt idx="20">
                  <c:v>27331.267758840419</c:v>
                </c:pt>
                <c:pt idx="21">
                  <c:v>26548.97241742014</c:v>
                </c:pt>
                <c:pt idx="22">
                  <c:v>26950.887841252494</c:v>
                </c:pt>
                <c:pt idx="23">
                  <c:v>13457.150336441649</c:v>
                </c:pt>
                <c:pt idx="24">
                  <c:v>24704.065994821918</c:v>
                </c:pt>
                <c:pt idx="25">
                  <c:v>45040.370185945307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2-F84D-BC0F-701A25091B38}"/>
            </c:ext>
          </c:extLst>
        </c:ser>
        <c:ser>
          <c:idx val="1"/>
          <c:order val="1"/>
          <c:tx>
            <c:strRef>
              <c:f>Waterfall!$B$18</c:f>
              <c:strCache>
                <c:ptCount val="1"/>
                <c:pt idx="0">
                  <c:v>Debt Service 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Waterfall!$W$18:$AV$18</c:f>
              <c:numCache>
                <c:formatCode>_(* #,##0_);_(* \(#,##0\);_(* "-"??_)</c:formatCode>
                <c:ptCount val="26"/>
                <c:pt idx="0">
                  <c:v>19585.209233762856</c:v>
                </c:pt>
                <c:pt idx="1">
                  <c:v>19585.209233762856</c:v>
                </c:pt>
                <c:pt idx="2">
                  <c:v>19585.209233762856</c:v>
                </c:pt>
                <c:pt idx="3">
                  <c:v>19585.209233762856</c:v>
                </c:pt>
                <c:pt idx="4">
                  <c:v>19585.209233762856</c:v>
                </c:pt>
                <c:pt idx="5">
                  <c:v>19585.209233762856</c:v>
                </c:pt>
                <c:pt idx="6">
                  <c:v>19585.209233762856</c:v>
                </c:pt>
                <c:pt idx="7">
                  <c:v>19585.209233762856</c:v>
                </c:pt>
                <c:pt idx="8">
                  <c:v>19585.209233762856</c:v>
                </c:pt>
                <c:pt idx="9">
                  <c:v>19585.209233762856</c:v>
                </c:pt>
                <c:pt idx="10">
                  <c:v>19585.209233762856</c:v>
                </c:pt>
                <c:pt idx="11">
                  <c:v>19585.209233762856</c:v>
                </c:pt>
                <c:pt idx="12">
                  <c:v>19585.209233762856</c:v>
                </c:pt>
                <c:pt idx="13">
                  <c:v>19585.209233762856</c:v>
                </c:pt>
                <c:pt idx="14">
                  <c:v>19585.209233762856</c:v>
                </c:pt>
                <c:pt idx="15">
                  <c:v>19585.20923376286</c:v>
                </c:pt>
                <c:pt idx="16">
                  <c:v>19585.209233762856</c:v>
                </c:pt>
                <c:pt idx="17">
                  <c:v>19585.209233762856</c:v>
                </c:pt>
                <c:pt idx="18">
                  <c:v>19585.209233762856</c:v>
                </c:pt>
                <c:pt idx="19">
                  <c:v>19585.209233762856</c:v>
                </c:pt>
                <c:pt idx="20">
                  <c:v>19585.20923376286</c:v>
                </c:pt>
                <c:pt idx="21">
                  <c:v>19585.20923376286</c:v>
                </c:pt>
                <c:pt idx="22">
                  <c:v>19585.209233762856</c:v>
                </c:pt>
                <c:pt idx="23">
                  <c:v>19585.209233762856</c:v>
                </c:pt>
                <c:pt idx="24">
                  <c:v>19585.209233762856</c:v>
                </c:pt>
                <c:pt idx="25">
                  <c:v>19585.209233762856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42-F84D-BC0F-701A25091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6475360"/>
        <c:axId val="1586354448"/>
      </c:barChart>
      <c:lineChart>
        <c:grouping val="standard"/>
        <c:varyColors val="0"/>
        <c:ser>
          <c:idx val="2"/>
          <c:order val="2"/>
          <c:tx>
            <c:strRef>
              <c:f>Waterfall!$B$26</c:f>
              <c:strCache>
                <c:ptCount val="1"/>
                <c:pt idx="0">
                  <c:v>DSCR (without Reserves)</c:v>
                </c:pt>
              </c:strCache>
            </c:strRef>
          </c:tx>
          <c:spPr>
            <a:ln w="28575" cap="rnd">
              <a:solidFill>
                <a:schemeClr val="accent6">
                  <a:tint val="6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Waterfall!$W$26:$AV$26</c:f>
              <c:numCache>
                <c:formatCode>_(* #,##0.00_);_(* \(#,##0.00\);_(* "-"??_)</c:formatCode>
                <c:ptCount val="26"/>
                <c:pt idx="0">
                  <c:v>1.719369830672701</c:v>
                </c:pt>
                <c:pt idx="1">
                  <c:v>1.7174190436709844</c:v>
                </c:pt>
                <c:pt idx="2">
                  <c:v>1.7454760568902767</c:v>
                </c:pt>
                <c:pt idx="3">
                  <c:v>1.7274430839364647</c:v>
                </c:pt>
                <c:pt idx="4">
                  <c:v>1.7494055230117225</c:v>
                </c:pt>
                <c:pt idx="5">
                  <c:v>1.7307090319573051</c:v>
                </c:pt>
                <c:pt idx="6">
                  <c:v>1.7641404035432124</c:v>
                </c:pt>
                <c:pt idx="7">
                  <c:v>1.1799349878890482</c:v>
                </c:pt>
                <c:pt idx="8">
                  <c:v>1.7214589999019305</c:v>
                </c:pt>
                <c:pt idx="9">
                  <c:v>1.7966158235741456</c:v>
                </c:pt>
                <c:pt idx="10">
                  <c:v>1.8113969744864384</c:v>
                </c:pt>
                <c:pt idx="11">
                  <c:v>1.7739214339168696</c:v>
                </c:pt>
                <c:pt idx="12">
                  <c:v>1.7824353038114973</c:v>
                </c:pt>
                <c:pt idx="13">
                  <c:v>1.7650056075144991</c:v>
                </c:pt>
                <c:pt idx="14">
                  <c:v>1.0941906743717729</c:v>
                </c:pt>
                <c:pt idx="15">
                  <c:v>0.32939588767003514</c:v>
                </c:pt>
                <c:pt idx="16">
                  <c:v>1.2693484638043033</c:v>
                </c:pt>
                <c:pt idx="17">
                  <c:v>1.3902306106924867</c:v>
                </c:pt>
                <c:pt idx="18">
                  <c:v>1.4252225946423931</c:v>
                </c:pt>
                <c:pt idx="19">
                  <c:v>1.3873731769974704</c:v>
                </c:pt>
                <c:pt idx="20">
                  <c:v>1.3955055283108317</c:v>
                </c:pt>
                <c:pt idx="21">
                  <c:v>1.3555623583358241</c:v>
                </c:pt>
                <c:pt idx="22">
                  <c:v>1.3760837333712002</c:v>
                </c:pt>
                <c:pt idx="23">
                  <c:v>0.68710781568996093</c:v>
                </c:pt>
                <c:pt idx="24">
                  <c:v>1.2613633941798634</c:v>
                </c:pt>
                <c:pt idx="25">
                  <c:v>1.3512422957842491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42-F84D-BC0F-701A25091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2810784"/>
        <c:axId val="1602809136"/>
      </c:lineChart>
      <c:catAx>
        <c:axId val="15864753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6354448"/>
        <c:crosses val="autoZero"/>
        <c:auto val="1"/>
        <c:lblAlgn val="ctr"/>
        <c:lblOffset val="100"/>
        <c:noMultiLvlLbl val="0"/>
      </c:catAx>
      <c:valAx>
        <c:axId val="1586354448"/>
        <c:scaling>
          <c:orientation val="minMax"/>
        </c:scaling>
        <c:delete val="0"/>
        <c:axPos val="l"/>
        <c:numFmt formatCode="_(* #,##0_);_(* \(#,##0\);_(* &quot;-&quot;??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6475360"/>
        <c:crosses val="autoZero"/>
        <c:crossBetween val="between"/>
      </c:valAx>
      <c:valAx>
        <c:axId val="1602809136"/>
        <c:scaling>
          <c:orientation val="minMax"/>
        </c:scaling>
        <c:delete val="0"/>
        <c:axPos val="r"/>
        <c:numFmt formatCode="_(* #,##0.00_);_(* \(#,##0.00\);_(* &quot;-&quot;??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2810784"/>
        <c:crosses val="max"/>
        <c:crossBetween val="between"/>
      </c:valAx>
      <c:catAx>
        <c:axId val="160281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16028091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DSCR with Reserves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Waterfall!$B$16</c:f>
              <c:strCache>
                <c:ptCount val="1"/>
                <c:pt idx="0">
                  <c:v>CFADS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Waterfall!$W$16:$AV$16</c:f>
              <c:numCache>
                <c:formatCode>_(* #,##0_);_(* \(#,##0\);_(* "-"??_)</c:formatCode>
                <c:ptCount val="26"/>
                <c:pt idx="0">
                  <c:v>33674.217883944264</c:v>
                </c:pt>
                <c:pt idx="1">
                  <c:v>33636.011312345137</c:v>
                </c:pt>
                <c:pt idx="2">
                  <c:v>34185.513786719428</c:v>
                </c:pt>
                <c:pt idx="3">
                  <c:v>33832.334238312236</c:v>
                </c:pt>
                <c:pt idx="4">
                  <c:v>34262.473202884925</c:v>
                </c:pt>
                <c:pt idx="5">
                  <c:v>33896.298513646987</c:v>
                </c:pt>
                <c:pt idx="6">
                  <c:v>34551.058921128657</c:v>
                </c:pt>
                <c:pt idx="7">
                  <c:v>23109.273620044449</c:v>
                </c:pt>
                <c:pt idx="8">
                  <c:v>33715.134700423463</c:v>
                </c:pt>
                <c:pt idx="9">
                  <c:v>35187.096817388818</c:v>
                </c:pt>
                <c:pt idx="10">
                  <c:v>35476.588750721894</c:v>
                </c:pt>
                <c:pt idx="11">
                  <c:v>34742.622447518523</c:v>
                </c:pt>
                <c:pt idx="12">
                  <c:v>34909.36837079384</c:v>
                </c:pt>
                <c:pt idx="13">
                  <c:v>34568.004121936188</c:v>
                </c:pt>
                <c:pt idx="14">
                  <c:v>21429.953299203255</c:v>
                </c:pt>
                <c:pt idx="15">
                  <c:v>6451.2873807586857</c:v>
                </c:pt>
                <c:pt idx="16">
                  <c:v>24860.455254162738</c:v>
                </c:pt>
                <c:pt idx="17">
                  <c:v>27227.957393594264</c:v>
                </c:pt>
                <c:pt idx="18">
                  <c:v>27913.282720757652</c:v>
                </c:pt>
                <c:pt idx="19">
                  <c:v>27171.993956805767</c:v>
                </c:pt>
                <c:pt idx="20">
                  <c:v>27331.267758840419</c:v>
                </c:pt>
                <c:pt idx="21">
                  <c:v>26548.97241742014</c:v>
                </c:pt>
                <c:pt idx="22">
                  <c:v>26950.887841252494</c:v>
                </c:pt>
                <c:pt idx="23">
                  <c:v>13457.150336441649</c:v>
                </c:pt>
                <c:pt idx="24">
                  <c:v>24704.065994821918</c:v>
                </c:pt>
                <c:pt idx="25">
                  <c:v>45040.370185945307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66-8C4E-A096-11113CF3745A}"/>
            </c:ext>
          </c:extLst>
        </c:ser>
        <c:ser>
          <c:idx val="1"/>
          <c:order val="1"/>
          <c:tx>
            <c:strRef>
              <c:f>Waterfall!$B$18</c:f>
              <c:strCache>
                <c:ptCount val="1"/>
                <c:pt idx="0">
                  <c:v>Debt Service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Waterfall!$W$18:$AV$18</c:f>
              <c:numCache>
                <c:formatCode>_(* #,##0_);_(* \(#,##0\);_(* "-"??_)</c:formatCode>
                <c:ptCount val="26"/>
                <c:pt idx="0">
                  <c:v>19585.209233762856</c:v>
                </c:pt>
                <c:pt idx="1">
                  <c:v>19585.209233762856</c:v>
                </c:pt>
                <c:pt idx="2">
                  <c:v>19585.209233762856</c:v>
                </c:pt>
                <c:pt idx="3">
                  <c:v>19585.209233762856</c:v>
                </c:pt>
                <c:pt idx="4">
                  <c:v>19585.209233762856</c:v>
                </c:pt>
                <c:pt idx="5">
                  <c:v>19585.209233762856</c:v>
                </c:pt>
                <c:pt idx="6">
                  <c:v>19585.209233762856</c:v>
                </c:pt>
                <c:pt idx="7">
                  <c:v>19585.209233762856</c:v>
                </c:pt>
                <c:pt idx="8">
                  <c:v>19585.209233762856</c:v>
                </c:pt>
                <c:pt idx="9">
                  <c:v>19585.209233762856</c:v>
                </c:pt>
                <c:pt idx="10">
                  <c:v>19585.209233762856</c:v>
                </c:pt>
                <c:pt idx="11">
                  <c:v>19585.209233762856</c:v>
                </c:pt>
                <c:pt idx="12">
                  <c:v>19585.209233762856</c:v>
                </c:pt>
                <c:pt idx="13">
                  <c:v>19585.209233762856</c:v>
                </c:pt>
                <c:pt idx="14">
                  <c:v>19585.209233762856</c:v>
                </c:pt>
                <c:pt idx="15">
                  <c:v>19585.20923376286</c:v>
                </c:pt>
                <c:pt idx="16">
                  <c:v>19585.209233762856</c:v>
                </c:pt>
                <c:pt idx="17">
                  <c:v>19585.209233762856</c:v>
                </c:pt>
                <c:pt idx="18">
                  <c:v>19585.209233762856</c:v>
                </c:pt>
                <c:pt idx="19">
                  <c:v>19585.209233762856</c:v>
                </c:pt>
                <c:pt idx="20">
                  <c:v>19585.20923376286</c:v>
                </c:pt>
                <c:pt idx="21">
                  <c:v>19585.20923376286</c:v>
                </c:pt>
                <c:pt idx="22">
                  <c:v>19585.209233762856</c:v>
                </c:pt>
                <c:pt idx="23">
                  <c:v>19585.209233762856</c:v>
                </c:pt>
                <c:pt idx="24">
                  <c:v>19585.209233762856</c:v>
                </c:pt>
                <c:pt idx="25">
                  <c:v>19585.209233762856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66-8C4E-A096-11113CF37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1539455"/>
        <c:axId val="1741475903"/>
      </c:barChart>
      <c:lineChart>
        <c:grouping val="standard"/>
        <c:varyColors val="0"/>
        <c:ser>
          <c:idx val="2"/>
          <c:order val="2"/>
          <c:tx>
            <c:strRef>
              <c:f>Waterfall!$B$31</c:f>
              <c:strCache>
                <c:ptCount val="1"/>
                <c:pt idx="0">
                  <c:v>DSCR (with Reserves)</c:v>
                </c:pt>
              </c:strCache>
            </c:strRef>
          </c:tx>
          <c:spPr>
            <a:ln w="28575" cap="rnd">
              <a:solidFill>
                <a:schemeClr val="accent1">
                  <a:shade val="6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Waterfall!$W$31:$AV$31</c:f>
              <c:numCache>
                <c:formatCode>_(* #,##0.00_);_(* \(#,##0.00\);_(* "-"??_)</c:formatCode>
                <c:ptCount val="26"/>
                <c:pt idx="0">
                  <c:v>1.719369830672701</c:v>
                </c:pt>
                <c:pt idx="1">
                  <c:v>1.7174190436709844</c:v>
                </c:pt>
                <c:pt idx="2">
                  <c:v>1.7454760568902767</c:v>
                </c:pt>
                <c:pt idx="3">
                  <c:v>1.7274430839364647</c:v>
                </c:pt>
                <c:pt idx="4">
                  <c:v>1.7494055230117225</c:v>
                </c:pt>
                <c:pt idx="5">
                  <c:v>1.7307090319573051</c:v>
                </c:pt>
                <c:pt idx="6">
                  <c:v>1.7641404035432124</c:v>
                </c:pt>
                <c:pt idx="7">
                  <c:v>1.1799349878890482</c:v>
                </c:pt>
                <c:pt idx="8">
                  <c:v>1.7214589999019305</c:v>
                </c:pt>
                <c:pt idx="9">
                  <c:v>1.7966158235741456</c:v>
                </c:pt>
                <c:pt idx="10">
                  <c:v>1.8113969744864384</c:v>
                </c:pt>
                <c:pt idx="11">
                  <c:v>1.7739214339168696</c:v>
                </c:pt>
                <c:pt idx="12">
                  <c:v>1.7824353038114973</c:v>
                </c:pt>
                <c:pt idx="13">
                  <c:v>1.7650056075144991</c:v>
                </c:pt>
                <c:pt idx="14">
                  <c:v>1.0941906743717729</c:v>
                </c:pt>
                <c:pt idx="15">
                  <c:v>1</c:v>
                </c:pt>
                <c:pt idx="16">
                  <c:v>1.2693484638043033</c:v>
                </c:pt>
                <c:pt idx="17">
                  <c:v>1.3902306106924867</c:v>
                </c:pt>
                <c:pt idx="18">
                  <c:v>1.4252225946423931</c:v>
                </c:pt>
                <c:pt idx="19">
                  <c:v>1.3873731769974704</c:v>
                </c:pt>
                <c:pt idx="20">
                  <c:v>1.3955055283108317</c:v>
                </c:pt>
                <c:pt idx="21">
                  <c:v>1.3555623583358241</c:v>
                </c:pt>
                <c:pt idx="22">
                  <c:v>1.3760837333712002</c:v>
                </c:pt>
                <c:pt idx="23">
                  <c:v>1</c:v>
                </c:pt>
                <c:pt idx="24">
                  <c:v>1.2613633941798634</c:v>
                </c:pt>
                <c:pt idx="25">
                  <c:v>2.2997135056540734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66-8C4E-A096-11113CF37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2558272"/>
        <c:axId val="1602560672"/>
      </c:lineChart>
      <c:catAx>
        <c:axId val="17415394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475903"/>
        <c:crosses val="autoZero"/>
        <c:auto val="1"/>
        <c:lblAlgn val="ctr"/>
        <c:lblOffset val="100"/>
        <c:noMultiLvlLbl val="0"/>
      </c:catAx>
      <c:valAx>
        <c:axId val="1741475903"/>
        <c:scaling>
          <c:orientation val="minMax"/>
        </c:scaling>
        <c:delete val="0"/>
        <c:axPos val="l"/>
        <c:numFmt formatCode="_(* #,##0_);_(* \(#,##0\);_(* &quot;-&quot;??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539455"/>
        <c:crosses val="autoZero"/>
        <c:crossBetween val="between"/>
      </c:valAx>
      <c:valAx>
        <c:axId val="1602560672"/>
        <c:scaling>
          <c:orientation val="minMax"/>
        </c:scaling>
        <c:delete val="0"/>
        <c:axPos val="r"/>
        <c:numFmt formatCode="_(* #,##0.00_);_(* \(#,##0.00\);_(* &quot;-&quot;??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2558272"/>
        <c:crosses val="max"/>
        <c:crossBetween val="between"/>
      </c:valAx>
      <c:catAx>
        <c:axId val="16025582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602560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Bank!$G$26</c:f>
              <c:strCache>
                <c:ptCount val="1"/>
                <c:pt idx="0">
                  <c:v>Cash Flows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Bank!$H$25:$Y$25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Bank!$H$26:$Y$26</c:f>
              <c:numCache>
                <c:formatCode>_(* #,##0_);_(* \(#,##0\);_(* "-"??_)</c:formatCode>
                <c:ptCount val="18"/>
                <c:pt idx="0">
                  <c:v>-38969.041449191202</c:v>
                </c:pt>
                <c:pt idx="1">
                  <c:v>3105.0287417415952</c:v>
                </c:pt>
                <c:pt idx="2">
                  <c:v>4242.6103767067725</c:v>
                </c:pt>
                <c:pt idx="3">
                  <c:v>5619.6490732663533</c:v>
                </c:pt>
                <c:pt idx="4">
                  <c:v>8089.6139007531547</c:v>
                </c:pt>
                <c:pt idx="5">
                  <c:v>9401.8975105399295</c:v>
                </c:pt>
                <c:pt idx="6">
                  <c:v>9164.867426539724</c:v>
                </c:pt>
                <c:pt idx="7">
                  <c:v>8910.8812716323482</c:v>
                </c:pt>
                <c:pt idx="8">
                  <c:v>8638.7260844259072</c:v>
                </c:pt>
                <c:pt idx="9">
                  <c:v>8347.1021337015645</c:v>
                </c:pt>
                <c:pt idx="10">
                  <c:v>8034.616711288646</c:v>
                </c:pt>
                <c:pt idx="11">
                  <c:v>7699.7774809097828</c:v>
                </c:pt>
                <c:pt idx="12">
                  <c:v>7340.9853512322734</c:v>
                </c:pt>
                <c:pt idx="13">
                  <c:v>6956.5268390893907</c:v>
                </c:pt>
                <c:pt idx="14">
                  <c:v>6544.5658864007964</c:v>
                </c:pt>
                <c:pt idx="15">
                  <c:v>6103.1350917120271</c:v>
                </c:pt>
                <c:pt idx="16">
                  <c:v>5630.1263144776021</c:v>
                </c:pt>
                <c:pt idx="17">
                  <c:v>2627.2034068274584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2B-3145-A343-380671945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3539712"/>
        <c:axId val="1063535024"/>
      </c:barChart>
      <c:catAx>
        <c:axId val="106353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535024"/>
        <c:crosses val="autoZero"/>
        <c:auto val="1"/>
        <c:lblAlgn val="ctr"/>
        <c:lblOffset val="100"/>
        <c:noMultiLvlLbl val="0"/>
      </c:catAx>
      <c:valAx>
        <c:axId val="106353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53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169</xdr:row>
          <xdr:rowOff>0</xdr:rowOff>
        </xdr:from>
        <xdr:to>
          <xdr:col>4</xdr:col>
          <xdr:colOff>1485900</xdr:colOff>
          <xdr:row>171</xdr:row>
          <xdr:rowOff>114300</xdr:rowOff>
        </xdr:to>
        <xdr:sp macro="" textlink="">
          <xdr:nvSpPr>
            <xdr:cNvPr id="1025" name="Button 1" descr="Calculate Debt Facility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Debt Facility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</xdr:row>
      <xdr:rowOff>25400</xdr:rowOff>
    </xdr:from>
    <xdr:to>
      <xdr:col>6</xdr:col>
      <xdr:colOff>800100</xdr:colOff>
      <xdr:row>18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228600</xdr:colOff>
      <xdr:row>1</xdr:row>
      <xdr:rowOff>12700</xdr:rowOff>
    </xdr:from>
    <xdr:to>
      <xdr:col>14</xdr:col>
      <xdr:colOff>152400</xdr:colOff>
      <xdr:row>19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311150</xdr:colOff>
      <xdr:row>19</xdr:row>
      <xdr:rowOff>88900</xdr:rowOff>
    </xdr:from>
    <xdr:to>
      <xdr:col>6</xdr:col>
      <xdr:colOff>812800</xdr:colOff>
      <xdr:row>37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330200</xdr:colOff>
      <xdr:row>37</xdr:row>
      <xdr:rowOff>177800</xdr:rowOff>
    </xdr:from>
    <xdr:to>
      <xdr:col>6</xdr:col>
      <xdr:colOff>812800</xdr:colOff>
      <xdr:row>56</xdr:row>
      <xdr:rowOff>127000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254000</xdr:colOff>
      <xdr:row>38</xdr:row>
      <xdr:rowOff>12700</xdr:rowOff>
    </xdr:from>
    <xdr:to>
      <xdr:col>14</xdr:col>
      <xdr:colOff>139700</xdr:colOff>
      <xdr:row>56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241300</xdr:colOff>
      <xdr:row>19</xdr:row>
      <xdr:rowOff>101600</xdr:rowOff>
    </xdr:from>
    <xdr:to>
      <xdr:col>14</xdr:col>
      <xdr:colOff>165100</xdr:colOff>
      <xdr:row>37</xdr:row>
      <xdr:rowOff>63500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9">
    <tabColor theme="4" tint="0.79998168889431442"/>
  </sheetPr>
  <dimension ref="A1:BJ181"/>
  <sheetViews>
    <sheetView zoomScale="130" zoomScaleNormal="130" zoomScalePageLayoutView="120" workbookViewId="0">
      <selection activeCell="G10" sqref="G10"/>
    </sheetView>
  </sheetViews>
  <sheetFormatPr defaultColWidth="8.7109375" defaultRowHeight="15" x14ac:dyDescent="0.25"/>
  <cols>
    <col min="1" max="1" width="1.7109375" customWidth="1"/>
    <col min="2" max="2" width="24.7109375" customWidth="1"/>
    <col min="3" max="3" width="17.42578125" bestFit="1" customWidth="1"/>
    <col min="4" max="4" width="8.7109375" customWidth="1"/>
    <col min="5" max="5" width="22.42578125" customWidth="1"/>
    <col min="6" max="6" width="9.7109375" customWidth="1"/>
    <col min="7" max="22" width="9.28515625" customWidth="1"/>
    <col min="23" max="23" width="9.42578125" customWidth="1"/>
    <col min="24" max="61" width="8.7109375" customWidth="1"/>
  </cols>
  <sheetData>
    <row r="1" spans="1:62" ht="11.25" customHeight="1" x14ac:dyDescent="0.25">
      <c r="A1" s="200" t="s">
        <v>455</v>
      </c>
      <c r="B1" s="201"/>
      <c r="C1" s="202" t="s">
        <v>20</v>
      </c>
      <c r="D1" s="200"/>
      <c r="E1" s="203" t="s">
        <v>21</v>
      </c>
      <c r="F1" s="204"/>
      <c r="G1" s="20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205"/>
      <c r="S1" s="205"/>
      <c r="T1" s="205"/>
      <c r="U1" s="205"/>
      <c r="V1" s="205"/>
      <c r="W1" s="205"/>
      <c r="X1" s="205"/>
      <c r="Y1" s="205"/>
      <c r="Z1" s="205"/>
      <c r="AA1" s="205"/>
      <c r="AB1" s="205"/>
      <c r="AC1" s="205"/>
      <c r="AD1" s="205"/>
      <c r="AE1" s="205"/>
      <c r="AF1" s="205"/>
      <c r="AG1" s="205"/>
      <c r="AH1" s="205"/>
      <c r="AI1" s="205"/>
      <c r="AJ1" s="205"/>
      <c r="AK1" s="205"/>
      <c r="AL1" s="205"/>
      <c r="AM1" s="205"/>
      <c r="AN1" s="205"/>
      <c r="AO1" s="205"/>
      <c r="AP1" s="205"/>
      <c r="AQ1" s="205"/>
      <c r="AR1" s="205"/>
      <c r="AS1" s="205"/>
      <c r="AT1" s="205"/>
      <c r="AU1" s="205"/>
      <c r="AV1" s="205"/>
      <c r="AW1" s="205"/>
      <c r="AX1" s="205"/>
      <c r="AY1" s="205"/>
      <c r="AZ1" s="205"/>
      <c r="BA1" s="205"/>
      <c r="BB1" s="205"/>
      <c r="BC1" s="205"/>
      <c r="BD1" s="205"/>
      <c r="BE1" s="205"/>
      <c r="BF1" s="205"/>
      <c r="BG1" s="205"/>
      <c r="BH1" s="205"/>
      <c r="BI1" s="205"/>
      <c r="BJ1" s="205"/>
    </row>
    <row r="2" spans="1:62" ht="11.25" customHeight="1" x14ac:dyDescent="0.25">
      <c r="A2" s="200" t="s">
        <v>394</v>
      </c>
      <c r="B2" s="201"/>
      <c r="C2" s="202"/>
      <c r="D2" s="200"/>
      <c r="E2" s="203" t="s">
        <v>22</v>
      </c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</row>
    <row r="3" spans="1:62" ht="10.35" customHeight="1" x14ac:dyDescent="0.25">
      <c r="A3" s="200"/>
      <c r="B3" s="201"/>
      <c r="C3" s="202"/>
      <c r="D3" s="200"/>
      <c r="E3" s="203" t="s">
        <v>403</v>
      </c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</row>
    <row r="4" spans="1:62" ht="11.25" customHeight="1" x14ac:dyDescent="0.25">
      <c r="A4" s="3"/>
      <c r="B4" s="4"/>
      <c r="C4" s="3" t="s">
        <v>23</v>
      </c>
      <c r="D4" s="3" t="s">
        <v>24</v>
      </c>
      <c r="E4" s="3" t="s">
        <v>25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</row>
    <row r="5" spans="1:62" ht="11.25" customHeight="1" x14ac:dyDescent="0.25">
      <c r="A5" s="5"/>
      <c r="B5" s="6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1:62" ht="11.25" customHeight="1" x14ac:dyDescent="0.25">
      <c r="A6" s="5" t="s">
        <v>26</v>
      </c>
      <c r="B6" s="4" t="s">
        <v>99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1:62" ht="11.25" customHeight="1" x14ac:dyDescent="0.25">
      <c r="A7" s="5"/>
      <c r="B7" s="12" t="s">
        <v>402</v>
      </c>
      <c r="C7" s="8" t="s">
        <v>27</v>
      </c>
      <c r="D7" s="245">
        <v>44834</v>
      </c>
      <c r="E7" s="5"/>
      <c r="F7" s="288" t="s">
        <v>452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1:62" ht="11.25" customHeight="1" x14ac:dyDescent="0.25">
      <c r="A8" s="5"/>
      <c r="B8" s="12" t="s">
        <v>400</v>
      </c>
      <c r="C8" s="8" t="s">
        <v>28</v>
      </c>
      <c r="D8" s="246">
        <v>3</v>
      </c>
      <c r="E8" s="5"/>
      <c r="F8" s="287" t="s">
        <v>453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</row>
    <row r="9" spans="1:62" ht="11.25" customHeight="1" x14ac:dyDescent="0.25">
      <c r="A9" s="5"/>
      <c r="B9" s="12" t="s">
        <v>401</v>
      </c>
      <c r="C9" s="8" t="s">
        <v>15</v>
      </c>
      <c r="D9" s="247">
        <v>2</v>
      </c>
      <c r="E9" s="5"/>
      <c r="F9" s="289" t="s">
        <v>454</v>
      </c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</row>
    <row r="10" spans="1:62" ht="11.25" customHeight="1" x14ac:dyDescent="0.25">
      <c r="A10" s="5"/>
      <c r="B10" s="12" t="s">
        <v>121</v>
      </c>
      <c r="C10" s="8" t="s">
        <v>50</v>
      </c>
      <c r="D10" s="346">
        <f>EOMONTH(D7,D8*D9-D8)</f>
        <v>44926</v>
      </c>
      <c r="E10" s="199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</row>
    <row r="11" spans="1:62" ht="11.25" customHeight="1" x14ac:dyDescent="0.25">
      <c r="A11" s="5"/>
      <c r="B11" s="12"/>
      <c r="C11" s="8"/>
      <c r="D11" s="140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</row>
    <row r="12" spans="1:62" ht="11.25" customHeight="1" x14ac:dyDescent="0.25">
      <c r="A12" s="5"/>
      <c r="B12" s="6" t="s">
        <v>29</v>
      </c>
      <c r="C12" s="8" t="s">
        <v>27</v>
      </c>
      <c r="D12" s="290">
        <f>EOMONTH(D10,D8)</f>
        <v>45016</v>
      </c>
      <c r="E12" s="141"/>
      <c r="F12" s="141"/>
      <c r="G12" s="199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</row>
    <row r="13" spans="1:62" ht="11.25" customHeight="1" x14ac:dyDescent="0.25">
      <c r="A13" s="5"/>
      <c r="B13" s="6" t="s">
        <v>30</v>
      </c>
      <c r="C13" s="8" t="s">
        <v>28</v>
      </c>
      <c r="D13" s="246">
        <v>3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</row>
    <row r="14" spans="1:62" ht="11.25" customHeight="1" x14ac:dyDescent="0.25">
      <c r="A14" s="5"/>
      <c r="B14" s="6" t="s">
        <v>16</v>
      </c>
      <c r="C14" s="8" t="s">
        <v>15</v>
      </c>
      <c r="D14" s="247">
        <v>14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</row>
    <row r="15" spans="1:62" ht="11.1" customHeight="1" x14ac:dyDescent="0.25">
      <c r="A15" s="5"/>
      <c r="B15" s="6" t="s">
        <v>31</v>
      </c>
      <c r="C15" s="8" t="s">
        <v>27</v>
      </c>
      <c r="D15" s="284">
        <f>EOMONTH(D12,D13*D14-D13)</f>
        <v>46203</v>
      </c>
      <c r="E15" s="347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</row>
    <row r="16" spans="1:62" ht="11.25" customHeight="1" x14ac:dyDescent="0.25">
      <c r="A16" s="5"/>
      <c r="B16" s="6"/>
      <c r="C16" s="8"/>
      <c r="D16" s="131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</row>
    <row r="17" spans="1:47" ht="11.25" customHeight="1" x14ac:dyDescent="0.25">
      <c r="A17" s="5"/>
      <c r="B17" s="6" t="s">
        <v>322</v>
      </c>
      <c r="C17" s="8" t="s">
        <v>27</v>
      </c>
      <c r="D17" s="284">
        <f>EOMONTH(D15,D18)</f>
        <v>46387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</row>
    <row r="18" spans="1:47" ht="11.25" customHeight="1" x14ac:dyDescent="0.25">
      <c r="A18" s="5"/>
      <c r="B18" s="6" t="s">
        <v>32</v>
      </c>
      <c r="C18" s="8" t="s">
        <v>28</v>
      </c>
      <c r="D18" s="246">
        <v>6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</row>
    <row r="19" spans="1:47" ht="11.25" customHeight="1" x14ac:dyDescent="0.25">
      <c r="A19" s="5"/>
      <c r="B19" s="6" t="s">
        <v>323</v>
      </c>
      <c r="C19" s="8" t="s">
        <v>15</v>
      </c>
      <c r="D19" s="246">
        <v>40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</row>
    <row r="20" spans="1:47" ht="11.25" customHeight="1" x14ac:dyDescent="0.25">
      <c r="A20" s="5"/>
      <c r="B20" s="6" t="s">
        <v>343</v>
      </c>
      <c r="C20" s="8" t="s">
        <v>27</v>
      </c>
      <c r="D20" s="206">
        <f>EOMONTH(D17,D19*D18-D18)</f>
        <v>53508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</row>
    <row r="21" spans="1:47" ht="11.25" customHeight="1" x14ac:dyDescent="0.25">
      <c r="A21" s="5"/>
      <c r="B21" s="6"/>
      <c r="C21" s="8"/>
      <c r="D21" s="130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</row>
    <row r="22" spans="1:47" ht="11.25" customHeight="1" x14ac:dyDescent="0.25">
      <c r="A22" s="3" t="s">
        <v>26</v>
      </c>
      <c r="B22" s="4" t="s">
        <v>321</v>
      </c>
      <c r="C22" s="8"/>
      <c r="D22" s="130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</row>
    <row r="23" spans="1:47" ht="11.25" customHeight="1" x14ac:dyDescent="0.25">
      <c r="A23" s="5"/>
      <c r="B23" s="5" t="s">
        <v>55</v>
      </c>
      <c r="C23" s="7" t="s">
        <v>1</v>
      </c>
      <c r="D23" s="348">
        <v>305000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</row>
    <row r="24" spans="1:47" ht="11.25" customHeight="1" x14ac:dyDescent="0.25">
      <c r="A24" s="5"/>
      <c r="B24" s="5" t="s">
        <v>56</v>
      </c>
      <c r="C24" s="7" t="s">
        <v>1</v>
      </c>
      <c r="D24" s="348">
        <v>20000</v>
      </c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</row>
    <row r="25" spans="1:47" ht="11.25" customHeight="1" x14ac:dyDescent="0.25">
      <c r="A25" s="5"/>
      <c r="B25" s="6" t="s">
        <v>33</v>
      </c>
      <c r="C25" s="7" t="s">
        <v>34</v>
      </c>
      <c r="D25" s="345">
        <v>0.16</v>
      </c>
      <c r="E25" s="5"/>
      <c r="F25" s="5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</row>
    <row r="26" spans="1:47" ht="11.25" customHeight="1" x14ac:dyDescent="0.25">
      <c r="A26" s="5"/>
      <c r="B26" s="6" t="s">
        <v>324</v>
      </c>
      <c r="C26" s="7"/>
      <c r="D26" s="130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</row>
    <row r="27" spans="1:47" ht="11.25" customHeight="1" x14ac:dyDescent="0.25">
      <c r="A27" s="5"/>
      <c r="B27" s="132">
        <v>1</v>
      </c>
      <c r="C27" s="7" t="s">
        <v>34</v>
      </c>
      <c r="D27" s="345">
        <v>7.0000000000000007E-2</v>
      </c>
      <c r="E27" s="5"/>
      <c r="F27" s="5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5"/>
      <c r="AU27" s="5"/>
    </row>
    <row r="28" spans="1:47" ht="11.25" customHeight="1" x14ac:dyDescent="0.25">
      <c r="A28" s="5"/>
      <c r="B28" s="132">
        <v>2</v>
      </c>
      <c r="C28" s="7" t="s">
        <v>34</v>
      </c>
      <c r="D28" s="345">
        <v>0.08</v>
      </c>
      <c r="E28" s="5"/>
      <c r="F28" s="5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5"/>
      <c r="AU28" s="5"/>
    </row>
    <row r="29" spans="1:47" ht="11.25" customHeight="1" x14ac:dyDescent="0.25">
      <c r="A29" s="5"/>
      <c r="B29" s="132">
        <v>3</v>
      </c>
      <c r="C29" s="7" t="s">
        <v>34</v>
      </c>
      <c r="D29" s="345">
        <v>0.06</v>
      </c>
      <c r="E29" s="5"/>
      <c r="F29" s="5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5"/>
      <c r="AU29" s="5"/>
    </row>
    <row r="30" spans="1:47" ht="11.25" customHeight="1" x14ac:dyDescent="0.25">
      <c r="A30" s="5"/>
      <c r="B30" s="132">
        <v>4</v>
      </c>
      <c r="C30" s="7" t="s">
        <v>34</v>
      </c>
      <c r="D30" s="345">
        <v>0.03</v>
      </c>
      <c r="E30" s="5"/>
      <c r="F30" s="5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3"/>
      <c r="AS30" s="83"/>
      <c r="AT30" s="5"/>
      <c r="AU30" s="5"/>
    </row>
    <row r="31" spans="1:47" ht="11.25" customHeight="1" x14ac:dyDescent="0.25">
      <c r="A31" s="5"/>
      <c r="B31" s="132">
        <v>5</v>
      </c>
      <c r="C31" s="7" t="s">
        <v>34</v>
      </c>
      <c r="D31" s="345">
        <v>7.0000000000000007E-2</v>
      </c>
      <c r="E31" s="5"/>
      <c r="F31" s="5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5"/>
      <c r="AU31" s="5"/>
    </row>
    <row r="32" spans="1:47" ht="11.25" customHeight="1" x14ac:dyDescent="0.25">
      <c r="A32" s="5"/>
      <c r="B32" s="132">
        <v>6</v>
      </c>
      <c r="C32" s="7" t="s">
        <v>34</v>
      </c>
      <c r="D32" s="345">
        <v>0.05</v>
      </c>
      <c r="E32" s="5"/>
      <c r="F32" s="5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5"/>
      <c r="AU32" s="5"/>
    </row>
    <row r="33" spans="1:47" ht="11.25" customHeight="1" x14ac:dyDescent="0.25">
      <c r="A33" s="5"/>
      <c r="B33" s="132">
        <v>7</v>
      </c>
      <c r="C33" s="7" t="s">
        <v>34</v>
      </c>
      <c r="D33" s="345">
        <v>0.08</v>
      </c>
      <c r="E33" s="5"/>
      <c r="F33" s="5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83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83"/>
      <c r="AI33" s="83"/>
      <c r="AJ33" s="83"/>
      <c r="AK33" s="83"/>
      <c r="AL33" s="83"/>
      <c r="AM33" s="83"/>
      <c r="AN33" s="83"/>
      <c r="AO33" s="83"/>
      <c r="AP33" s="83"/>
      <c r="AQ33" s="83"/>
      <c r="AR33" s="83"/>
      <c r="AS33" s="83"/>
      <c r="AT33" s="5"/>
      <c r="AU33" s="5"/>
    </row>
    <row r="34" spans="1:47" ht="11.25" customHeight="1" x14ac:dyDescent="0.25">
      <c r="A34" s="5"/>
      <c r="B34" s="132">
        <v>8</v>
      </c>
      <c r="C34" s="7" t="s">
        <v>34</v>
      </c>
      <c r="D34" s="345">
        <v>7.0000000000000007E-2</v>
      </c>
      <c r="E34" s="5"/>
      <c r="F34" s="5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A34" s="83"/>
      <c r="AB34" s="83"/>
      <c r="AC34" s="83"/>
      <c r="AD34" s="83"/>
      <c r="AE34" s="83"/>
      <c r="AF34" s="83"/>
      <c r="AG34" s="83"/>
      <c r="AH34" s="83"/>
      <c r="AI34" s="83"/>
      <c r="AJ34" s="83"/>
      <c r="AK34" s="83"/>
      <c r="AL34" s="83"/>
      <c r="AM34" s="83"/>
      <c r="AN34" s="83"/>
      <c r="AO34" s="83"/>
      <c r="AP34" s="83"/>
      <c r="AQ34" s="83"/>
      <c r="AR34" s="83"/>
      <c r="AS34" s="83"/>
      <c r="AT34" s="5"/>
      <c r="AU34" s="5"/>
    </row>
    <row r="35" spans="1:47" ht="11.25" customHeight="1" x14ac:dyDescent="0.25">
      <c r="A35" s="5"/>
      <c r="B35" s="132">
        <v>9</v>
      </c>
      <c r="C35" s="7" t="s">
        <v>34</v>
      </c>
      <c r="D35" s="345">
        <v>0.06</v>
      </c>
      <c r="E35" s="5"/>
      <c r="F35" s="5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5"/>
      <c r="AU35" s="5"/>
    </row>
    <row r="36" spans="1:47" ht="11.25" customHeight="1" x14ac:dyDescent="0.25">
      <c r="A36" s="5"/>
      <c r="B36" s="132">
        <v>10</v>
      </c>
      <c r="C36" s="7" t="s">
        <v>34</v>
      </c>
      <c r="D36" s="345">
        <v>0.09</v>
      </c>
      <c r="E36" s="5"/>
      <c r="F36" s="5"/>
      <c r="G36" s="83"/>
      <c r="H36" s="83"/>
      <c r="I36" s="83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83"/>
      <c r="U36" s="83"/>
      <c r="V36" s="83"/>
      <c r="W36" s="83"/>
      <c r="X36" s="83"/>
      <c r="Y36" s="83"/>
      <c r="Z36" s="83"/>
      <c r="AA36" s="83"/>
      <c r="AB36" s="83"/>
      <c r="AC36" s="83"/>
      <c r="AD36" s="83"/>
      <c r="AE36" s="83"/>
      <c r="AF36" s="83"/>
      <c r="AG36" s="83"/>
      <c r="AH36" s="83"/>
      <c r="AI36" s="83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5"/>
      <c r="AU36" s="5"/>
    </row>
    <row r="37" spans="1:47" ht="11.25" customHeight="1" x14ac:dyDescent="0.25">
      <c r="A37" s="5"/>
      <c r="B37" s="132">
        <v>11</v>
      </c>
      <c r="C37" s="7" t="s">
        <v>34</v>
      </c>
      <c r="D37" s="345">
        <v>0.03</v>
      </c>
      <c r="E37" s="5"/>
      <c r="F37" s="5"/>
      <c r="G37" s="83"/>
      <c r="H37" s="83"/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83"/>
      <c r="W37" s="83"/>
      <c r="X37" s="83"/>
      <c r="Y37" s="83"/>
      <c r="Z37" s="83"/>
      <c r="AA37" s="83"/>
      <c r="AB37" s="83"/>
      <c r="AC37" s="83"/>
      <c r="AD37" s="83"/>
      <c r="AE37" s="83"/>
      <c r="AF37" s="83"/>
      <c r="AG37" s="83"/>
      <c r="AH37" s="83"/>
      <c r="AI37" s="83"/>
      <c r="AJ37" s="83"/>
      <c r="AK37" s="83"/>
      <c r="AL37" s="83"/>
      <c r="AM37" s="83"/>
      <c r="AN37" s="83"/>
      <c r="AO37" s="83"/>
      <c r="AP37" s="83"/>
      <c r="AQ37" s="83"/>
      <c r="AR37" s="83"/>
      <c r="AS37" s="83"/>
      <c r="AT37" s="5"/>
      <c r="AU37" s="5"/>
    </row>
    <row r="38" spans="1:47" ht="11.25" customHeight="1" x14ac:dyDescent="0.25">
      <c r="A38" s="5"/>
      <c r="B38" s="132">
        <v>12</v>
      </c>
      <c r="C38" s="7" t="s">
        <v>34</v>
      </c>
      <c r="D38" s="345">
        <v>0.08</v>
      </c>
      <c r="E38" s="5"/>
      <c r="F38" s="5"/>
      <c r="G38" s="83"/>
      <c r="H38" s="83"/>
      <c r="I38" s="83"/>
      <c r="J38" s="83"/>
      <c r="K38" s="83"/>
      <c r="L38" s="83"/>
      <c r="M38" s="83"/>
      <c r="N38" s="83"/>
      <c r="O38" s="83"/>
      <c r="P38" s="83"/>
      <c r="Q38" s="83"/>
      <c r="R38" s="83"/>
      <c r="S38" s="83"/>
      <c r="T38" s="83"/>
      <c r="U38" s="83"/>
      <c r="V38" s="83"/>
      <c r="W38" s="83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5"/>
      <c r="AU38" s="5"/>
    </row>
    <row r="39" spans="1:47" ht="11.25" customHeight="1" x14ac:dyDescent="0.25">
      <c r="A39" s="5"/>
      <c r="B39" s="132">
        <v>13</v>
      </c>
      <c r="C39" s="7" t="s">
        <v>34</v>
      </c>
      <c r="D39" s="345">
        <v>0.04</v>
      </c>
      <c r="E39" s="5"/>
      <c r="F39" s="5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5"/>
      <c r="AU39" s="5"/>
    </row>
    <row r="40" spans="1:47" ht="11.25" customHeight="1" x14ac:dyDescent="0.25">
      <c r="A40" s="5"/>
      <c r="B40" s="132">
        <v>14</v>
      </c>
      <c r="C40" s="7" t="s">
        <v>34</v>
      </c>
      <c r="D40" s="345">
        <v>0.03</v>
      </c>
      <c r="E40" s="5"/>
      <c r="F40" s="5"/>
      <c r="G40" s="83"/>
      <c r="H40" s="83"/>
      <c r="I40" s="83"/>
      <c r="J40" s="83"/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  <c r="AA40" s="83"/>
      <c r="AB40" s="83"/>
      <c r="AC40" s="83"/>
      <c r="AD40" s="83"/>
      <c r="AE40" s="83"/>
      <c r="AF40" s="83"/>
      <c r="AG40" s="83"/>
      <c r="AH40" s="83"/>
      <c r="AI40" s="83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5"/>
      <c r="AU40" s="5"/>
    </row>
    <row r="41" spans="1:47" ht="11.25" customHeight="1" x14ac:dyDescent="0.25">
      <c r="A41" s="5"/>
      <c r="B41" s="6"/>
      <c r="C41" s="7"/>
      <c r="D41" s="129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</row>
    <row r="42" spans="1:47" ht="11.25" customHeight="1" x14ac:dyDescent="0.25">
      <c r="A42" s="3" t="s">
        <v>26</v>
      </c>
      <c r="B42" s="4" t="s">
        <v>19</v>
      </c>
      <c r="C42" s="7"/>
      <c r="D42" s="129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</row>
    <row r="43" spans="1:47" ht="11.25" customHeight="1" x14ac:dyDescent="0.25">
      <c r="A43" s="5"/>
      <c r="B43" s="5" t="s">
        <v>35</v>
      </c>
      <c r="C43" s="7" t="s">
        <v>36</v>
      </c>
      <c r="D43" s="246">
        <v>305</v>
      </c>
      <c r="E43" s="5"/>
      <c r="F43" s="5"/>
      <c r="G43" s="5"/>
      <c r="H43" s="11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</row>
    <row r="44" spans="1:47" ht="11.25" customHeight="1" x14ac:dyDescent="0.25">
      <c r="A44" s="5"/>
      <c r="B44" s="5" t="s">
        <v>37</v>
      </c>
      <c r="C44" s="7" t="s">
        <v>38</v>
      </c>
      <c r="D44" s="355">
        <v>8.0000000000000002E-3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</row>
    <row r="45" spans="1:47" ht="11.25" customHeight="1" x14ac:dyDescent="0.25">
      <c r="A45" s="5"/>
      <c r="B45" s="6" t="s">
        <v>41</v>
      </c>
      <c r="C45" s="7" t="s">
        <v>15</v>
      </c>
      <c r="D45" s="246">
        <v>8</v>
      </c>
      <c r="E45" s="12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</row>
    <row r="46" spans="1:47" ht="11.25" customHeight="1" x14ac:dyDescent="0.25">
      <c r="A46" s="5"/>
      <c r="B46" s="5" t="s">
        <v>42</v>
      </c>
      <c r="C46" s="7" t="s">
        <v>34</v>
      </c>
      <c r="D46" s="355">
        <v>3.7499999999999999E-2</v>
      </c>
      <c r="E46" s="5"/>
      <c r="F46" s="5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2"/>
      <c r="AD46" s="142"/>
      <c r="AE46" s="142"/>
      <c r="AF46" s="142"/>
      <c r="AG46" s="142"/>
      <c r="AH46" s="142"/>
      <c r="AI46" s="142"/>
      <c r="AJ46" s="142"/>
      <c r="AK46" s="142"/>
      <c r="AL46" s="142"/>
      <c r="AM46" s="142"/>
      <c r="AN46" s="142"/>
      <c r="AO46" s="142"/>
      <c r="AP46" s="142"/>
      <c r="AQ46" s="142"/>
      <c r="AR46" s="142"/>
      <c r="AS46" s="142"/>
      <c r="AT46" s="142"/>
      <c r="AU46" s="142"/>
    </row>
    <row r="48" spans="1:47" ht="11.25" customHeight="1" x14ac:dyDescent="0.25">
      <c r="A48" s="5"/>
      <c r="B48" s="9" t="s">
        <v>47</v>
      </c>
      <c r="C48" s="10" t="s">
        <v>48</v>
      </c>
      <c r="D48" s="248">
        <v>8760</v>
      </c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</row>
    <row r="49" spans="1:47" ht="11.25" customHeight="1" x14ac:dyDescent="0.25">
      <c r="A49" s="5"/>
      <c r="B49" s="9" t="s">
        <v>429</v>
      </c>
      <c r="C49" s="10" t="s">
        <v>87</v>
      </c>
      <c r="D49" s="248">
        <v>365</v>
      </c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</row>
    <row r="50" spans="1:47" ht="11.25" customHeight="1" x14ac:dyDescent="0.25">
      <c r="A50" s="5"/>
      <c r="B50" s="9" t="s">
        <v>430</v>
      </c>
      <c r="C50" s="10" t="s">
        <v>28</v>
      </c>
      <c r="D50" s="248">
        <v>12</v>
      </c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</row>
    <row r="51" spans="1:47" ht="11.25" customHeight="1" x14ac:dyDescent="0.25">
      <c r="A51" s="5"/>
      <c r="B51" s="5"/>
      <c r="C51" s="7"/>
      <c r="D51" s="130"/>
      <c r="E51" s="5"/>
      <c r="F51" s="5"/>
      <c r="G51" s="83"/>
      <c r="H51" s="83"/>
      <c r="I51" s="83"/>
      <c r="J51" s="83"/>
      <c r="K51" s="83"/>
      <c r="L51" s="83"/>
      <c r="M51" s="83"/>
      <c r="N51" s="83"/>
      <c r="O51" s="83"/>
      <c r="P51" s="83"/>
      <c r="Q51" s="83"/>
      <c r="R51" s="83"/>
      <c r="S51" s="83"/>
      <c r="T51" s="83"/>
      <c r="U51" s="83"/>
      <c r="V51" s="83"/>
      <c r="W51" s="83"/>
      <c r="X51" s="83"/>
      <c r="Y51" s="83"/>
      <c r="Z51" s="83"/>
      <c r="AA51" s="83"/>
      <c r="AB51" s="83"/>
      <c r="AC51" s="83"/>
      <c r="AD51" s="83"/>
      <c r="AE51" s="83"/>
      <c r="AF51" s="83"/>
      <c r="AG51" s="83"/>
      <c r="AH51" s="83"/>
      <c r="AI51" s="83"/>
      <c r="AJ51" s="83"/>
      <c r="AK51" s="83"/>
      <c r="AL51" s="83"/>
      <c r="AM51" s="83"/>
      <c r="AN51" s="83"/>
      <c r="AO51" s="83"/>
      <c r="AP51" s="83"/>
      <c r="AQ51" s="83"/>
      <c r="AR51" s="83"/>
      <c r="AS51" s="83"/>
      <c r="AT51" s="5"/>
      <c r="AU51" s="5"/>
    </row>
    <row r="52" spans="1:47" ht="11.25" customHeight="1" x14ac:dyDescent="0.25">
      <c r="A52" s="3" t="s">
        <v>26</v>
      </c>
      <c r="B52" s="3" t="s">
        <v>18</v>
      </c>
      <c r="C52" s="7"/>
      <c r="D52" s="130"/>
      <c r="E52" s="5"/>
      <c r="F52" s="5"/>
      <c r="G52" s="83"/>
      <c r="H52" s="83"/>
      <c r="I52" s="83"/>
      <c r="J52" s="83"/>
      <c r="K52" s="83"/>
      <c r="L52" s="83"/>
      <c r="M52" s="83"/>
      <c r="N52" s="83"/>
      <c r="O52" s="83"/>
      <c r="P52" s="83"/>
      <c r="Q52" s="83"/>
      <c r="R52" s="83"/>
      <c r="S52" s="83"/>
      <c r="T52" s="83"/>
      <c r="U52" s="83"/>
      <c r="V52" s="83"/>
      <c r="W52" s="83"/>
      <c r="X52" s="83"/>
      <c r="Y52" s="83"/>
      <c r="Z52" s="83"/>
      <c r="AA52" s="83"/>
      <c r="AB52" s="83"/>
      <c r="AC52" s="83"/>
      <c r="AD52" s="83"/>
      <c r="AE52" s="83"/>
      <c r="AF52" s="83"/>
      <c r="AG52" s="83"/>
      <c r="AH52" s="83"/>
      <c r="AI52" s="83"/>
      <c r="AJ52" s="83"/>
      <c r="AK52" s="83"/>
      <c r="AL52" s="83"/>
      <c r="AM52" s="83"/>
      <c r="AN52" s="83"/>
      <c r="AO52" s="83"/>
      <c r="AP52" s="83"/>
      <c r="AQ52" s="83"/>
      <c r="AR52" s="83"/>
      <c r="AS52" s="83"/>
      <c r="AT52" s="5"/>
      <c r="AU52" s="5"/>
    </row>
    <row r="53" spans="1:47" ht="11.25" customHeight="1" x14ac:dyDescent="0.25">
      <c r="A53" s="5"/>
      <c r="B53" s="5" t="s">
        <v>39</v>
      </c>
      <c r="C53" s="7" t="s">
        <v>107</v>
      </c>
      <c r="D53" s="248">
        <v>7315</v>
      </c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</row>
    <row r="54" spans="1:47" ht="11.25" customHeight="1" x14ac:dyDescent="0.25">
      <c r="A54" s="5"/>
      <c r="B54" s="5" t="s">
        <v>40</v>
      </c>
      <c r="C54" s="7" t="s">
        <v>38</v>
      </c>
      <c r="D54" s="356">
        <v>5.4000000000000003E-3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</row>
    <row r="55" spans="1:47" ht="11.25" customHeight="1" x14ac:dyDescent="0.25">
      <c r="A55" s="5"/>
      <c r="B55" s="5" t="s">
        <v>43</v>
      </c>
      <c r="C55" s="7" t="s">
        <v>34</v>
      </c>
      <c r="D55" s="355">
        <v>9.4999999999999998E-3</v>
      </c>
      <c r="E55" s="5"/>
      <c r="F55" s="5"/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3"/>
      <c r="AS55" s="143"/>
      <c r="AT55" s="5"/>
      <c r="AU55" s="5"/>
    </row>
    <row r="56" spans="1:47" ht="11.25" customHeight="1" x14ac:dyDescent="0.25">
      <c r="A56" s="5"/>
      <c r="B56" s="5"/>
      <c r="C56" s="7"/>
      <c r="D56" s="130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</row>
    <row r="57" spans="1:47" ht="11.25" customHeight="1" x14ac:dyDescent="0.25">
      <c r="A57" s="3" t="s">
        <v>26</v>
      </c>
      <c r="B57" s="3" t="s">
        <v>427</v>
      </c>
      <c r="C57" s="7"/>
      <c r="D57" s="130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</row>
    <row r="58" spans="1:47" ht="11.25" customHeight="1" x14ac:dyDescent="0.25">
      <c r="A58" s="3"/>
      <c r="B58" s="5" t="s">
        <v>420</v>
      </c>
      <c r="C58" s="7" t="s">
        <v>36</v>
      </c>
      <c r="D58" s="246">
        <v>305</v>
      </c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</row>
    <row r="59" spans="1:47" ht="11.25" customHeight="1" x14ac:dyDescent="0.25">
      <c r="A59" s="5"/>
      <c r="B59" s="5" t="s">
        <v>425</v>
      </c>
      <c r="C59" s="7" t="s">
        <v>326</v>
      </c>
      <c r="D59" s="246">
        <v>250</v>
      </c>
      <c r="E59" s="5"/>
      <c r="F59" s="5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3"/>
      <c r="T59" s="83"/>
      <c r="U59" s="83"/>
      <c r="V59" s="83"/>
      <c r="W59" s="83"/>
      <c r="X59" s="83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3"/>
      <c r="AK59" s="83"/>
      <c r="AL59" s="83"/>
      <c r="AM59" s="83"/>
      <c r="AN59" s="83"/>
      <c r="AO59" s="83"/>
      <c r="AP59" s="83"/>
      <c r="AQ59" s="83"/>
      <c r="AR59" s="83"/>
      <c r="AS59" s="83"/>
      <c r="AT59" s="5"/>
      <c r="AU59" s="5"/>
    </row>
    <row r="60" spans="1:47" ht="11.25" customHeight="1" x14ac:dyDescent="0.25">
      <c r="A60" s="5"/>
      <c r="B60" s="5" t="s">
        <v>423</v>
      </c>
      <c r="C60" s="7" t="s">
        <v>107</v>
      </c>
      <c r="D60" s="246">
        <v>7315</v>
      </c>
      <c r="E60" s="5"/>
      <c r="F60" s="5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83"/>
      <c r="AN60" s="83"/>
      <c r="AO60" s="83"/>
      <c r="AP60" s="83"/>
      <c r="AQ60" s="83"/>
      <c r="AR60" s="83"/>
      <c r="AS60" s="83"/>
      <c r="AT60" s="5"/>
      <c r="AU60" s="5"/>
    </row>
    <row r="61" spans="1:47" ht="11.25" customHeight="1" x14ac:dyDescent="0.25">
      <c r="A61" s="5"/>
      <c r="B61" s="5" t="s">
        <v>426</v>
      </c>
      <c r="C61" s="7" t="s">
        <v>327</v>
      </c>
      <c r="D61" s="246">
        <v>45</v>
      </c>
      <c r="E61" s="5"/>
      <c r="F61" s="5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  <c r="AK61" s="83"/>
      <c r="AL61" s="83"/>
      <c r="AM61" s="83"/>
      <c r="AN61" s="83"/>
      <c r="AO61" s="83"/>
      <c r="AP61" s="83"/>
      <c r="AQ61" s="83"/>
      <c r="AR61" s="83"/>
      <c r="AS61" s="83"/>
      <c r="AT61" s="5"/>
      <c r="AU61" s="5"/>
    </row>
    <row r="62" spans="1:47" ht="11.25" customHeight="1" x14ac:dyDescent="0.25">
      <c r="A62" s="5"/>
      <c r="B62" s="5" t="s">
        <v>424</v>
      </c>
      <c r="C62" s="7" t="s">
        <v>50</v>
      </c>
      <c r="D62" s="245">
        <v>46203</v>
      </c>
      <c r="E62" s="5"/>
      <c r="F62" s="5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5"/>
      <c r="AU62" s="5"/>
    </row>
    <row r="63" spans="1:47" ht="11.25" customHeight="1" x14ac:dyDescent="0.25">
      <c r="A63" s="5"/>
      <c r="B63" s="5" t="s">
        <v>427</v>
      </c>
      <c r="C63" s="7" t="s">
        <v>328</v>
      </c>
      <c r="D63" s="246">
        <v>55</v>
      </c>
      <c r="E63" s="5"/>
      <c r="F63" s="5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  <c r="Y63" s="83"/>
      <c r="Z63" s="83"/>
      <c r="AA63" s="83"/>
      <c r="AB63" s="83"/>
      <c r="AC63" s="83"/>
      <c r="AD63" s="83"/>
      <c r="AE63" s="83"/>
      <c r="AF63" s="83"/>
      <c r="AG63" s="83"/>
      <c r="AH63" s="83"/>
      <c r="AI63" s="83"/>
      <c r="AJ63" s="83"/>
      <c r="AK63" s="83"/>
      <c r="AL63" s="83"/>
      <c r="AM63" s="83"/>
      <c r="AN63" s="83"/>
      <c r="AO63" s="83"/>
      <c r="AP63" s="83"/>
      <c r="AQ63" s="83"/>
      <c r="AR63" s="83"/>
      <c r="AS63" s="83"/>
      <c r="AT63" s="5"/>
      <c r="AU63" s="5"/>
    </row>
    <row r="64" spans="1:47" ht="11.25" customHeight="1" x14ac:dyDescent="0.25">
      <c r="A64" s="5"/>
      <c r="B64" s="5"/>
      <c r="C64" s="7"/>
      <c r="D64" s="130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</row>
    <row r="65" spans="1:47" ht="11.25" customHeight="1" x14ac:dyDescent="0.25">
      <c r="A65" s="3" t="s">
        <v>26</v>
      </c>
      <c r="B65" s="4" t="s">
        <v>109</v>
      </c>
      <c r="C65" s="7"/>
      <c r="D65" s="130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</row>
    <row r="66" spans="1:47" ht="11.25" customHeight="1" x14ac:dyDescent="0.25">
      <c r="A66" s="5"/>
      <c r="B66" s="9" t="s">
        <v>45</v>
      </c>
      <c r="C66" s="10" t="str">
        <f>'Time &amp; Technical'!C41</f>
        <v>%</v>
      </c>
      <c r="D66" s="355">
        <v>7.5999999999999998E-2</v>
      </c>
      <c r="E66" s="5"/>
      <c r="F66" s="5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5"/>
      <c r="AU66" s="5"/>
    </row>
    <row r="67" spans="1:47" ht="11.25" customHeight="1" x14ac:dyDescent="0.25">
      <c r="A67" s="5"/>
      <c r="B67" s="9" t="s">
        <v>329</v>
      </c>
      <c r="C67" s="10" t="str">
        <f>'Time &amp; Technical'!C42</f>
        <v>%</v>
      </c>
      <c r="D67" s="355">
        <v>4.2999999999999997E-2</v>
      </c>
      <c r="E67" s="5"/>
      <c r="F67" s="5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5"/>
      <c r="AU67" s="5"/>
    </row>
    <row r="68" spans="1:47" ht="11.25" customHeight="1" x14ac:dyDescent="0.25">
      <c r="A68" s="5"/>
      <c r="B68" s="9" t="s">
        <v>46</v>
      </c>
      <c r="C68" s="10" t="str">
        <f>'Time &amp; Technical'!C43</f>
        <v>%</v>
      </c>
      <c r="D68" s="355">
        <v>0.127</v>
      </c>
      <c r="E68" s="5"/>
      <c r="F68" s="5"/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3"/>
      <c r="AA68" s="143"/>
      <c r="AB68" s="143"/>
      <c r="AC68" s="143"/>
      <c r="AD68" s="143"/>
      <c r="AE68" s="143"/>
      <c r="AF68" s="143"/>
      <c r="AG68" s="143"/>
      <c r="AH68" s="143"/>
      <c r="AI68" s="143"/>
      <c r="AJ68" s="143"/>
      <c r="AK68" s="143"/>
      <c r="AL68" s="143"/>
      <c r="AM68" s="143"/>
      <c r="AN68" s="143"/>
      <c r="AO68" s="143"/>
      <c r="AP68" s="143"/>
      <c r="AQ68" s="143"/>
      <c r="AR68" s="143"/>
      <c r="AS68" s="143"/>
      <c r="AT68" s="5"/>
      <c r="AU68" s="5"/>
    </row>
    <row r="69" spans="1:47" ht="11.25" customHeight="1" x14ac:dyDescent="0.25">
      <c r="A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</row>
    <row r="70" spans="1:47" ht="11.25" customHeight="1" x14ac:dyDescent="0.25">
      <c r="A70" s="3" t="s">
        <v>26</v>
      </c>
      <c r="B70" s="133" t="s">
        <v>330</v>
      </c>
      <c r="C70" s="10"/>
      <c r="D70" s="130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</row>
    <row r="71" spans="1:47" ht="11.25" customHeight="1" x14ac:dyDescent="0.25">
      <c r="A71" s="5"/>
      <c r="B71" s="6" t="s">
        <v>331</v>
      </c>
      <c r="C71" s="7" t="s">
        <v>52</v>
      </c>
      <c r="D71" s="358">
        <v>0.88900000000000001</v>
      </c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72" spans="1:47" ht="11.25" customHeight="1" x14ac:dyDescent="0.25">
      <c r="A72" s="5"/>
      <c r="B72" s="5" t="s">
        <v>332</v>
      </c>
      <c r="C72" s="7" t="s">
        <v>442</v>
      </c>
      <c r="D72" s="357">
        <v>89</v>
      </c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</row>
    <row r="73" spans="1:47" ht="11.25" customHeight="1" x14ac:dyDescent="0.25">
      <c r="A73" s="5"/>
      <c r="B73" s="6" t="s">
        <v>333</v>
      </c>
      <c r="C73" s="7"/>
      <c r="D73" s="130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</row>
    <row r="74" spans="1:47" ht="11.25" customHeight="1" x14ac:dyDescent="0.25">
      <c r="A74" s="5"/>
      <c r="B74" s="293">
        <v>2026</v>
      </c>
      <c r="C74" s="7" t="s">
        <v>443</v>
      </c>
      <c r="D74" s="251">
        <v>55.42</v>
      </c>
      <c r="E74" s="5"/>
      <c r="F74" s="5"/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C74" s="143"/>
      <c r="AD74" s="143"/>
      <c r="AE74" s="143"/>
      <c r="AF74" s="143"/>
      <c r="AG74" s="143"/>
      <c r="AH74" s="143"/>
      <c r="AI74" s="143"/>
      <c r="AJ74" s="143"/>
      <c r="AK74" s="143"/>
      <c r="AL74" s="143"/>
      <c r="AM74" s="143"/>
      <c r="AN74" s="143"/>
      <c r="AO74" s="143"/>
      <c r="AP74" s="143"/>
      <c r="AQ74" s="143"/>
      <c r="AR74" s="143"/>
      <c r="AS74" s="143"/>
      <c r="AT74" s="5"/>
      <c r="AU74" s="5"/>
    </row>
    <row r="75" spans="1:47" ht="11.25" customHeight="1" x14ac:dyDescent="0.25">
      <c r="A75" s="5"/>
      <c r="B75" s="134">
        <f t="shared" ref="B75:B79" si="0">B74+1</f>
        <v>2027</v>
      </c>
      <c r="C75" s="7" t="s">
        <v>443</v>
      </c>
      <c r="D75" s="251">
        <v>54.88</v>
      </c>
      <c r="E75" s="5"/>
      <c r="F75" s="5"/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143"/>
      <c r="T75" s="143"/>
      <c r="U75" s="143"/>
      <c r="V75" s="143"/>
      <c r="W75" s="143"/>
      <c r="X75" s="143"/>
      <c r="Y75" s="143"/>
      <c r="Z75" s="143"/>
      <c r="AA75" s="143"/>
      <c r="AB75" s="143"/>
      <c r="AC75" s="143"/>
      <c r="AD75" s="143"/>
      <c r="AE75" s="143"/>
      <c r="AF75" s="143"/>
      <c r="AG75" s="143"/>
      <c r="AH75" s="143"/>
      <c r="AI75" s="143"/>
      <c r="AJ75" s="143"/>
      <c r="AK75" s="143"/>
      <c r="AL75" s="143"/>
      <c r="AM75" s="143"/>
      <c r="AN75" s="143"/>
      <c r="AO75" s="143"/>
      <c r="AP75" s="143"/>
      <c r="AQ75" s="143"/>
      <c r="AR75" s="143"/>
      <c r="AS75" s="143"/>
      <c r="AT75" s="5"/>
      <c r="AU75" s="5"/>
    </row>
    <row r="76" spans="1:47" ht="11.25" customHeight="1" x14ac:dyDescent="0.25">
      <c r="A76" s="5"/>
      <c r="B76" s="134">
        <f t="shared" si="0"/>
        <v>2028</v>
      </c>
      <c r="C76" s="7" t="s">
        <v>443</v>
      </c>
      <c r="D76" s="251">
        <v>54.61</v>
      </c>
      <c r="E76" s="5"/>
      <c r="F76" s="5"/>
      <c r="G76" s="143"/>
      <c r="H76" s="143"/>
      <c r="I76" s="143"/>
      <c r="J76" s="143"/>
      <c r="K76" s="143"/>
      <c r="L76" s="143"/>
      <c r="M76" s="143"/>
      <c r="N76" s="143"/>
      <c r="O76" s="143"/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C76" s="143"/>
      <c r="AD76" s="143"/>
      <c r="AE76" s="143"/>
      <c r="AF76" s="143"/>
      <c r="AG76" s="143"/>
      <c r="AH76" s="143"/>
      <c r="AI76" s="143"/>
      <c r="AJ76" s="143"/>
      <c r="AK76" s="143"/>
      <c r="AL76" s="143"/>
      <c r="AM76" s="143"/>
      <c r="AN76" s="143"/>
      <c r="AO76" s="143"/>
      <c r="AP76" s="143"/>
      <c r="AQ76" s="143"/>
      <c r="AR76" s="143"/>
      <c r="AS76" s="143"/>
      <c r="AT76" s="5"/>
      <c r="AU76" s="5"/>
    </row>
    <row r="77" spans="1:47" ht="11.25" customHeight="1" x14ac:dyDescent="0.25">
      <c r="A77" s="5"/>
      <c r="B77" s="134">
        <f t="shared" si="0"/>
        <v>2029</v>
      </c>
      <c r="C77" s="7" t="s">
        <v>443</v>
      </c>
      <c r="D77" s="251">
        <v>54.34</v>
      </c>
      <c r="E77" s="5"/>
      <c r="F77" s="5"/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  <c r="AT77" s="5"/>
      <c r="AU77" s="5"/>
    </row>
    <row r="78" spans="1:47" ht="11.25" customHeight="1" x14ac:dyDescent="0.25">
      <c r="A78" s="5"/>
      <c r="B78" s="134">
        <f t="shared" si="0"/>
        <v>2030</v>
      </c>
      <c r="C78" s="7" t="s">
        <v>443</v>
      </c>
      <c r="D78" s="251">
        <v>54.07</v>
      </c>
      <c r="E78" s="5"/>
      <c r="F78" s="5"/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  <c r="AO78" s="143"/>
      <c r="AP78" s="143"/>
      <c r="AQ78" s="143"/>
      <c r="AR78" s="143"/>
      <c r="AS78" s="143"/>
      <c r="AT78" s="5"/>
      <c r="AU78" s="5"/>
    </row>
    <row r="79" spans="1:47" ht="11.25" customHeight="1" x14ac:dyDescent="0.25">
      <c r="A79" s="5"/>
      <c r="B79" s="134">
        <f t="shared" si="0"/>
        <v>2031</v>
      </c>
      <c r="C79" s="7" t="s">
        <v>443</v>
      </c>
      <c r="D79" s="251">
        <v>53.02</v>
      </c>
      <c r="E79" s="5"/>
      <c r="F79" s="5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5"/>
      <c r="AU79" s="5"/>
    </row>
    <row r="80" spans="1:47" ht="11.25" customHeight="1" x14ac:dyDescent="0.25">
      <c r="A80" s="5"/>
      <c r="B80" s="285">
        <f>B79+1</f>
        <v>2032</v>
      </c>
      <c r="C80" s="7" t="s">
        <v>443</v>
      </c>
      <c r="D80" s="251">
        <v>52.27</v>
      </c>
      <c r="E80" s="5"/>
      <c r="F80" s="5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5"/>
      <c r="AU80" s="5"/>
    </row>
    <row r="81" spans="1:47" x14ac:dyDescent="0.25">
      <c r="E81" s="5"/>
    </row>
    <row r="82" spans="1:47" ht="11.25" customHeight="1" x14ac:dyDescent="0.25">
      <c r="A82" s="5" t="s">
        <v>26</v>
      </c>
      <c r="B82" s="3" t="s">
        <v>336</v>
      </c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</row>
    <row r="83" spans="1:47" ht="11.25" customHeight="1" x14ac:dyDescent="0.25">
      <c r="A83" s="5"/>
      <c r="B83" s="127" t="s">
        <v>316</v>
      </c>
      <c r="C83" s="128" t="s">
        <v>317</v>
      </c>
      <c r="D83" s="357">
        <v>2.85</v>
      </c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</row>
    <row r="84" spans="1:47" ht="11.25" customHeight="1" x14ac:dyDescent="0.25">
      <c r="A84" s="5"/>
      <c r="B84" s="127" t="s">
        <v>318</v>
      </c>
      <c r="C84" s="128" t="s">
        <v>319</v>
      </c>
      <c r="D84" s="357">
        <v>14</v>
      </c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</row>
    <row r="85" spans="1:47" ht="11.25" customHeight="1" x14ac:dyDescent="0.25">
      <c r="A85" s="5"/>
      <c r="B85" s="127" t="s">
        <v>320</v>
      </c>
      <c r="C85" s="128" t="s">
        <v>102</v>
      </c>
      <c r="D85" s="252">
        <v>71.52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</row>
    <row r="86" spans="1:47" ht="11.25" customHeight="1" x14ac:dyDescent="0.25">
      <c r="A86" s="5"/>
      <c r="B86" s="5" t="s">
        <v>119</v>
      </c>
      <c r="C86" s="16" t="s">
        <v>117</v>
      </c>
      <c r="D86" s="291">
        <f>YEAR(D17+2555)</f>
        <v>2033</v>
      </c>
      <c r="E86" s="368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</row>
    <row r="87" spans="1:47" ht="11.25" customHeight="1" x14ac:dyDescent="0.25">
      <c r="A87" s="5"/>
      <c r="B87" s="13" t="s">
        <v>433</v>
      </c>
      <c r="C87" s="14" t="s">
        <v>444</v>
      </c>
      <c r="D87" s="357">
        <v>75</v>
      </c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</row>
    <row r="88" spans="1:47" ht="11.25" customHeight="1" x14ac:dyDescent="0.25">
      <c r="A88" s="5"/>
      <c r="B88" s="6" t="s">
        <v>436</v>
      </c>
      <c r="C88" s="7" t="s">
        <v>445</v>
      </c>
      <c r="D88" s="348">
        <v>53.15</v>
      </c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</row>
    <row r="89" spans="1:47" ht="11.25" customHeight="1" x14ac:dyDescent="0.25">
      <c r="A89" s="5"/>
      <c r="B89" s="6" t="s">
        <v>334</v>
      </c>
      <c r="C89" s="7" t="s">
        <v>440</v>
      </c>
      <c r="D89" s="246">
        <v>155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</row>
    <row r="90" spans="1:47" ht="11.25" customHeight="1" x14ac:dyDescent="0.25">
      <c r="A90" s="5"/>
      <c r="B90" s="6" t="s">
        <v>435</v>
      </c>
      <c r="C90" s="7" t="s">
        <v>335</v>
      </c>
      <c r="D90" s="348">
        <v>7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</row>
    <row r="91" spans="1:47" ht="11.25" customHeight="1" x14ac:dyDescent="0.25">
      <c r="A91" s="5"/>
      <c r="B91" s="6"/>
      <c r="C91" s="7"/>
      <c r="D91" s="130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</row>
    <row r="92" spans="1:47" ht="11.25" customHeight="1" x14ac:dyDescent="0.25">
      <c r="A92" s="3" t="s">
        <v>26</v>
      </c>
      <c r="B92" s="4" t="s">
        <v>337</v>
      </c>
      <c r="C92" s="7"/>
      <c r="D92" s="130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</row>
    <row r="93" spans="1:47" ht="11.25" customHeight="1" x14ac:dyDescent="0.25">
      <c r="A93" s="3"/>
      <c r="B93" s="6" t="s">
        <v>44</v>
      </c>
      <c r="C93" s="7"/>
      <c r="D93" s="130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</row>
    <row r="94" spans="1:47" ht="11.25" customHeight="1" x14ac:dyDescent="0.25">
      <c r="A94" s="5"/>
      <c r="B94" s="293">
        <v>2033</v>
      </c>
      <c r="C94" s="7" t="s">
        <v>34</v>
      </c>
      <c r="D94" s="352">
        <v>0.88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</row>
    <row r="95" spans="1:47" ht="11.25" customHeight="1" x14ac:dyDescent="0.25">
      <c r="A95" s="5"/>
      <c r="B95" s="150">
        <f>B94+1</f>
        <v>2034</v>
      </c>
      <c r="C95" s="7" t="s">
        <v>34</v>
      </c>
      <c r="D95" s="352">
        <v>0.88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</row>
    <row r="96" spans="1:47" ht="11.25" customHeight="1" x14ac:dyDescent="0.25">
      <c r="A96" s="5"/>
      <c r="B96" s="150">
        <f>B95+1</f>
        <v>2035</v>
      </c>
      <c r="C96" s="7" t="s">
        <v>34</v>
      </c>
      <c r="D96" s="352">
        <v>0.87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</row>
    <row r="97" spans="1:47" ht="11.25" customHeight="1" x14ac:dyDescent="0.25">
      <c r="A97" s="5"/>
      <c r="B97" s="150">
        <f>B96+1</f>
        <v>2036</v>
      </c>
      <c r="C97" s="7" t="s">
        <v>34</v>
      </c>
      <c r="D97" s="352">
        <v>0.86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</row>
    <row r="98" spans="1:47" ht="11.25" customHeight="1" x14ac:dyDescent="0.25">
      <c r="A98" s="5"/>
      <c r="B98" s="286">
        <f>B97+1</f>
        <v>2037</v>
      </c>
      <c r="C98" s="7" t="s">
        <v>34</v>
      </c>
      <c r="D98" s="352">
        <v>0.85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</row>
    <row r="99" spans="1:47" ht="11.25" customHeight="1" x14ac:dyDescent="0.25">
      <c r="A99" s="5"/>
      <c r="B99" s="166"/>
      <c r="C99" s="7"/>
      <c r="D99" s="13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</row>
    <row r="100" spans="1:47" ht="11.25" customHeight="1" x14ac:dyDescent="0.25">
      <c r="A100" s="5"/>
      <c r="B100" s="132" t="s">
        <v>338</v>
      </c>
      <c r="C100" s="7"/>
      <c r="D100" s="13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</row>
    <row r="101" spans="1:47" ht="11.25" customHeight="1" x14ac:dyDescent="0.25">
      <c r="A101" s="5"/>
      <c r="B101" s="134">
        <f>B94</f>
        <v>2033</v>
      </c>
      <c r="C101" s="7" t="str">
        <f>RIGHT($G$2,2)&amp;" VND/MWh"</f>
        <v xml:space="preserve"> VND/MWh</v>
      </c>
      <c r="D101" s="249">
        <v>1829000</v>
      </c>
      <c r="E101" s="5"/>
      <c r="F101" s="5"/>
      <c r="G101" s="13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</row>
    <row r="102" spans="1:47" ht="11.25" customHeight="1" x14ac:dyDescent="0.25">
      <c r="A102" s="5"/>
      <c r="B102" s="134">
        <f>B95</f>
        <v>2034</v>
      </c>
      <c r="C102" s="7" t="str">
        <f>RIGHT($G$2,2)&amp;" VND/MWh"</f>
        <v xml:space="preserve"> VND/MWh</v>
      </c>
      <c r="D102" s="249">
        <v>1931000</v>
      </c>
      <c r="E102" s="5"/>
      <c r="F102" s="5"/>
      <c r="G102" s="13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</row>
    <row r="103" spans="1:47" ht="11.25" customHeight="1" x14ac:dyDescent="0.25">
      <c r="A103" s="5"/>
      <c r="B103" s="134">
        <f>B96</f>
        <v>2035</v>
      </c>
      <c r="C103" s="7" t="str">
        <f>RIGHT($G$2,2)&amp;" VND/MWh"</f>
        <v xml:space="preserve"> VND/MWh</v>
      </c>
      <c r="D103" s="249">
        <v>1953000</v>
      </c>
      <c r="E103" s="5"/>
      <c r="F103" s="5"/>
      <c r="G103" s="13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</row>
    <row r="104" spans="1:47" ht="11.25" customHeight="1" x14ac:dyDescent="0.25">
      <c r="A104" s="5"/>
      <c r="B104" s="134">
        <f>B97</f>
        <v>2036</v>
      </c>
      <c r="C104" s="7" t="str">
        <f>RIGHT($G$2,2)&amp;" VND/MWh"</f>
        <v xml:space="preserve"> VND/MWh</v>
      </c>
      <c r="D104" s="249">
        <v>1965000</v>
      </c>
      <c r="E104" s="5"/>
      <c r="F104" s="5"/>
      <c r="G104" s="13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</row>
    <row r="105" spans="1:47" ht="11.25" customHeight="1" x14ac:dyDescent="0.25">
      <c r="A105" s="5"/>
      <c r="B105" s="285">
        <f>B98</f>
        <v>2037</v>
      </c>
      <c r="C105" s="7" t="str">
        <f>RIGHT($G$2,2)&amp;" VND/MWh"</f>
        <v xml:space="preserve"> VND/MWh</v>
      </c>
      <c r="D105" s="249">
        <v>1976000</v>
      </c>
      <c r="E105" s="5"/>
      <c r="F105" s="5"/>
      <c r="G105" s="13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</row>
    <row r="106" spans="1:47" ht="11.25" customHeight="1" x14ac:dyDescent="0.25">
      <c r="A106" s="5"/>
      <c r="B106" s="132"/>
      <c r="C106" s="7"/>
      <c r="D106" s="135"/>
      <c r="E106" s="5"/>
      <c r="F106" s="5"/>
      <c r="G106" s="13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</row>
    <row r="107" spans="1:47" ht="11.25" customHeight="1" x14ac:dyDescent="0.25">
      <c r="A107" s="5"/>
      <c r="B107" s="132" t="s">
        <v>339</v>
      </c>
      <c r="C107" s="7"/>
      <c r="D107" s="13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</row>
    <row r="108" spans="1:47" ht="11.25" customHeight="1" x14ac:dyDescent="0.25">
      <c r="A108" s="5"/>
      <c r="B108" s="134">
        <f>B101</f>
        <v>2033</v>
      </c>
      <c r="C108" s="7" t="str">
        <f>RIGHT($G$2,2)&amp;"$/MMBtu"</f>
        <v>$/MMBtu</v>
      </c>
      <c r="D108" s="249">
        <v>7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</row>
    <row r="109" spans="1:47" ht="11.25" customHeight="1" x14ac:dyDescent="0.25">
      <c r="A109" s="5"/>
      <c r="B109" s="134">
        <f>B102</f>
        <v>2034</v>
      </c>
      <c r="C109" s="7" t="str">
        <f t="shared" ref="C109:C112" si="1">RIGHT($G$2,2)&amp;"$/MMBtu"</f>
        <v>$/MMBtu</v>
      </c>
      <c r="D109" s="249">
        <v>7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</row>
    <row r="110" spans="1:47" ht="11.25" customHeight="1" x14ac:dyDescent="0.25">
      <c r="A110" s="5"/>
      <c r="B110" s="134">
        <f>B103</f>
        <v>2035</v>
      </c>
      <c r="C110" s="7" t="str">
        <f t="shared" si="1"/>
        <v>$/MMBtu</v>
      </c>
      <c r="D110" s="249">
        <v>7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</row>
    <row r="111" spans="1:47" ht="11.25" customHeight="1" x14ac:dyDescent="0.25">
      <c r="A111" s="5"/>
      <c r="B111" s="134">
        <f>B104</f>
        <v>2036</v>
      </c>
      <c r="C111" s="7" t="str">
        <f t="shared" si="1"/>
        <v>$/MMBtu</v>
      </c>
      <c r="D111" s="249">
        <v>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</row>
    <row r="112" spans="1:47" ht="11.25" customHeight="1" x14ac:dyDescent="0.25">
      <c r="A112" s="5"/>
      <c r="B112" s="285">
        <f>B105</f>
        <v>2037</v>
      </c>
      <c r="C112" s="7" t="str">
        <f t="shared" si="1"/>
        <v>$/MMBtu</v>
      </c>
      <c r="D112" s="249">
        <v>7</v>
      </c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</row>
    <row r="113" spans="1:47" ht="11.25" customHeight="1" x14ac:dyDescent="0.25">
      <c r="A113" s="5"/>
      <c r="B113" s="132"/>
      <c r="C113" s="7"/>
      <c r="D113" s="13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</row>
    <row r="114" spans="1:47" ht="11.25" customHeight="1" x14ac:dyDescent="0.25">
      <c r="A114" s="3" t="s">
        <v>26</v>
      </c>
      <c r="B114" s="136" t="s">
        <v>340</v>
      </c>
      <c r="C114" s="7"/>
      <c r="D114" s="13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</row>
    <row r="115" spans="1:47" ht="11.25" customHeight="1" x14ac:dyDescent="0.25">
      <c r="A115" s="5"/>
      <c r="B115" s="5" t="s">
        <v>80</v>
      </c>
      <c r="C115" s="15" t="s">
        <v>456</v>
      </c>
      <c r="D115" s="249">
        <v>60000</v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</row>
    <row r="116" spans="1:47" ht="11.25" customHeight="1" x14ac:dyDescent="0.25">
      <c r="A116" s="5"/>
      <c r="B116" s="5" t="s">
        <v>81</v>
      </c>
      <c r="C116" s="15" t="s">
        <v>457</v>
      </c>
      <c r="D116" s="249">
        <v>153500000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</row>
    <row r="117" spans="1:47" ht="11.25" customHeight="1" x14ac:dyDescent="0.25">
      <c r="A117" s="5"/>
      <c r="B117" s="5" t="s">
        <v>83</v>
      </c>
      <c r="C117" s="15" t="s">
        <v>458</v>
      </c>
      <c r="D117" s="249">
        <v>65000000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</row>
    <row r="118" spans="1:47" ht="11.25" customHeight="1" x14ac:dyDescent="0.25">
      <c r="A118" s="5"/>
      <c r="B118" s="5" t="s">
        <v>82</v>
      </c>
      <c r="C118" s="15" t="s">
        <v>446</v>
      </c>
      <c r="D118" s="249">
        <v>10585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</row>
    <row r="119" spans="1:47" ht="11.25" customHeight="1" x14ac:dyDescent="0.25">
      <c r="A119" s="5"/>
      <c r="B119" s="5" t="s">
        <v>71</v>
      </c>
      <c r="C119" s="15" t="s">
        <v>446</v>
      </c>
      <c r="D119" s="249">
        <v>4550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</row>
    <row r="120" spans="1:47" ht="11.25" customHeight="1" x14ac:dyDescent="0.25">
      <c r="A120" s="5"/>
      <c r="B120" s="5" t="s">
        <v>49</v>
      </c>
      <c r="C120" s="15" t="s">
        <v>15</v>
      </c>
      <c r="D120" s="249">
        <v>16</v>
      </c>
      <c r="E120" s="12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</row>
    <row r="121" spans="1:47" ht="11.25" customHeight="1" x14ac:dyDescent="0.25">
      <c r="A121" s="5"/>
      <c r="B121" s="132"/>
      <c r="C121" s="7"/>
      <c r="D121" s="13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</row>
    <row r="122" spans="1:47" ht="11.25" customHeight="1" x14ac:dyDescent="0.25">
      <c r="A122" s="3" t="s">
        <v>26</v>
      </c>
      <c r="B122" s="136" t="s">
        <v>341</v>
      </c>
      <c r="C122" s="7"/>
      <c r="D122" s="13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</row>
    <row r="123" spans="1:47" ht="11.25" customHeight="1" x14ac:dyDescent="0.25">
      <c r="A123" s="5"/>
      <c r="B123" s="5" t="s">
        <v>460</v>
      </c>
      <c r="C123" s="15" t="s">
        <v>50</v>
      </c>
      <c r="D123" s="245">
        <v>44562</v>
      </c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</row>
    <row r="124" spans="1:47" ht="11.25" customHeight="1" x14ac:dyDescent="0.25">
      <c r="A124" s="5"/>
      <c r="B124" s="5" t="s">
        <v>428</v>
      </c>
      <c r="C124" s="15" t="s">
        <v>50</v>
      </c>
      <c r="D124" s="245">
        <v>44743</v>
      </c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</row>
    <row r="125" spans="1:47" ht="11.25" customHeight="1" x14ac:dyDescent="0.25">
      <c r="A125" s="5"/>
      <c r="B125" s="5" t="s">
        <v>463</v>
      </c>
      <c r="C125" s="15" t="s">
        <v>34</v>
      </c>
      <c r="D125" s="353">
        <v>3.4500000000000003E-2</v>
      </c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</row>
    <row r="126" spans="1:47" ht="11.25" customHeight="1" x14ac:dyDescent="0.25">
      <c r="A126" s="5"/>
      <c r="B126" s="5" t="s">
        <v>461</v>
      </c>
      <c r="C126" s="15" t="s">
        <v>34</v>
      </c>
      <c r="D126" s="353">
        <v>4.4999999999999998E-2</v>
      </c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</row>
    <row r="127" spans="1:47" ht="11.25" customHeight="1" x14ac:dyDescent="0.25">
      <c r="A127" s="5"/>
      <c r="B127" s="5" t="s">
        <v>462</v>
      </c>
      <c r="C127" s="15" t="s">
        <v>50</v>
      </c>
      <c r="D127" s="245">
        <v>46418</v>
      </c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</row>
    <row r="128" spans="1:47" ht="11.25" customHeight="1" x14ac:dyDescent="0.25">
      <c r="A128" s="5"/>
      <c r="B128" s="5" t="s">
        <v>464</v>
      </c>
      <c r="C128" s="15" t="s">
        <v>34</v>
      </c>
      <c r="D128" s="353">
        <v>0.03</v>
      </c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</row>
    <row r="129" spans="1:47" ht="11.25" customHeight="1" x14ac:dyDescent="0.25">
      <c r="A129" s="5"/>
      <c r="B129" s="5" t="s">
        <v>465</v>
      </c>
      <c r="C129" s="15"/>
      <c r="D129" s="353">
        <v>2.75E-2</v>
      </c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</row>
    <row r="130" spans="1:47" ht="11.25" customHeight="1" x14ac:dyDescent="0.25">
      <c r="A130" s="5"/>
      <c r="B130" s="5" t="s">
        <v>54</v>
      </c>
      <c r="C130" s="15"/>
      <c r="D130" s="245">
        <v>47330</v>
      </c>
      <c r="E130" s="199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</row>
    <row r="131" spans="1:47" ht="11.25" customHeight="1" x14ac:dyDescent="0.25">
      <c r="A131" s="5"/>
      <c r="B131" s="6"/>
      <c r="C131" s="7"/>
      <c r="D131" s="11"/>
      <c r="E131" s="5"/>
      <c r="F131" s="5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  <c r="AH131" s="148"/>
      <c r="AI131" s="148"/>
      <c r="AJ131" s="148"/>
      <c r="AK131" s="148"/>
      <c r="AL131" s="148"/>
      <c r="AM131" s="148"/>
      <c r="AN131" s="148"/>
      <c r="AO131" s="148"/>
      <c r="AP131" s="148"/>
      <c r="AQ131" s="148"/>
      <c r="AR131" s="148"/>
      <c r="AS131" s="148"/>
      <c r="AT131" s="147"/>
      <c r="AU131" s="147"/>
    </row>
    <row r="132" spans="1:47" ht="11.25" customHeight="1" x14ac:dyDescent="0.25">
      <c r="A132" s="3" t="s">
        <v>26</v>
      </c>
      <c r="B132" s="4" t="s">
        <v>120</v>
      </c>
      <c r="C132" s="7"/>
      <c r="D132" s="130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</row>
    <row r="133" spans="1:47" ht="11.25" customHeight="1" x14ac:dyDescent="0.25">
      <c r="A133" s="5"/>
      <c r="B133" s="6" t="s">
        <v>473</v>
      </c>
      <c r="C133" s="7" t="s">
        <v>50</v>
      </c>
      <c r="D133" s="245">
        <v>45291</v>
      </c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</row>
    <row r="134" spans="1:47" ht="11.25" customHeight="1" x14ac:dyDescent="0.25">
      <c r="A134" s="5"/>
      <c r="B134" s="5" t="s">
        <v>53</v>
      </c>
      <c r="C134" s="7" t="s">
        <v>459</v>
      </c>
      <c r="D134" s="354">
        <f>22715</f>
        <v>22715</v>
      </c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</row>
    <row r="135" spans="1:47" ht="11.25" customHeight="1" x14ac:dyDescent="0.25">
      <c r="A135" s="5"/>
      <c r="B135" s="5"/>
      <c r="C135" s="7"/>
      <c r="D135" s="137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</row>
    <row r="136" spans="1:47" ht="11.25" customHeight="1" x14ac:dyDescent="0.25">
      <c r="A136" s="5"/>
      <c r="B136" s="6" t="s">
        <v>90</v>
      </c>
      <c r="C136" s="7" t="s">
        <v>65</v>
      </c>
      <c r="D136" s="349">
        <v>0.25</v>
      </c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</row>
    <row r="137" spans="1:47" ht="11.25" customHeight="1" x14ac:dyDescent="0.25">
      <c r="A137" s="5"/>
      <c r="B137" s="132" t="s">
        <v>203</v>
      </c>
      <c r="C137" s="7" t="s">
        <v>34</v>
      </c>
      <c r="D137" s="352">
        <v>0.01</v>
      </c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</row>
    <row r="139" spans="1:47" ht="11.25" customHeight="1" x14ac:dyDescent="0.25">
      <c r="A139" s="5" t="s">
        <v>26</v>
      </c>
      <c r="B139" s="3" t="s">
        <v>72</v>
      </c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</row>
    <row r="140" spans="1:47" ht="11.25" customHeight="1" x14ac:dyDescent="0.25">
      <c r="A140" s="5"/>
      <c r="B140" s="5" t="s">
        <v>73</v>
      </c>
      <c r="C140" s="7" t="s">
        <v>69</v>
      </c>
      <c r="D140" s="250">
        <v>20</v>
      </c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</row>
    <row r="141" spans="1:47" ht="11.25" customHeight="1" x14ac:dyDescent="0.25">
      <c r="A141" s="5"/>
      <c r="B141" s="5" t="s">
        <v>74</v>
      </c>
      <c r="C141" s="7" t="s">
        <v>69</v>
      </c>
      <c r="D141" s="250">
        <v>5</v>
      </c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</row>
    <row r="142" spans="1:47" ht="11.25" customHeight="1" x14ac:dyDescent="0.25">
      <c r="A142" s="5"/>
      <c r="B142" s="5" t="s">
        <v>75</v>
      </c>
      <c r="C142" s="7" t="s">
        <v>69</v>
      </c>
      <c r="D142" s="250">
        <v>35</v>
      </c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</row>
    <row r="143" spans="1:47" ht="11.25" customHeight="1" x14ac:dyDescent="0.25">
      <c r="A143" s="5"/>
      <c r="B143" s="5" t="s">
        <v>76</v>
      </c>
      <c r="C143" s="7" t="s">
        <v>69</v>
      </c>
      <c r="D143" s="250">
        <v>10</v>
      </c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</row>
    <row r="144" spans="1:47" ht="11.25" customHeight="1" x14ac:dyDescent="0.25">
      <c r="A144" s="5"/>
      <c r="B144" s="5"/>
      <c r="C144" s="7"/>
      <c r="D144" s="137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</row>
    <row r="145" spans="1:47" ht="11.25" customHeight="1" x14ac:dyDescent="0.25">
      <c r="A145" s="5"/>
      <c r="B145" s="5" t="s">
        <v>288</v>
      </c>
      <c r="C145" s="7" t="s">
        <v>34</v>
      </c>
      <c r="D145" s="350">
        <v>0.19500000000000001</v>
      </c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</row>
    <row r="146" spans="1:47" ht="11.25" customHeight="1" x14ac:dyDescent="0.25">
      <c r="A146" s="5"/>
      <c r="B146" s="5" t="s">
        <v>297</v>
      </c>
      <c r="C146" s="7" t="s">
        <v>34</v>
      </c>
      <c r="D146" s="350">
        <v>0.105</v>
      </c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</row>
    <row r="147" spans="1:47" ht="11.25" customHeight="1" x14ac:dyDescent="0.25">
      <c r="A147" s="5"/>
      <c r="B147" s="5"/>
      <c r="C147" s="7"/>
      <c r="D147" s="138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</row>
    <row r="148" spans="1:47" ht="11.25" customHeight="1" x14ac:dyDescent="0.25">
      <c r="A148" s="5"/>
      <c r="B148" s="5" t="s">
        <v>62</v>
      </c>
      <c r="C148" s="7" t="s">
        <v>34</v>
      </c>
      <c r="D148" s="349">
        <v>0.8</v>
      </c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</row>
    <row r="149" spans="1:47" ht="11.25" customHeight="1" x14ac:dyDescent="0.25"/>
    <row r="150" spans="1:47" ht="11.25" customHeight="1" x14ac:dyDescent="0.25">
      <c r="A150" s="5"/>
      <c r="B150" s="5" t="s">
        <v>57</v>
      </c>
      <c r="C150" s="7" t="s">
        <v>34</v>
      </c>
      <c r="D150" s="353">
        <v>1.2E-2</v>
      </c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</row>
    <row r="151" spans="1:47" ht="11.25" customHeight="1" x14ac:dyDescent="0.25">
      <c r="A151" s="5"/>
      <c r="B151" s="5" t="s">
        <v>58</v>
      </c>
      <c r="C151" s="7" t="s">
        <v>34</v>
      </c>
      <c r="D151" s="353">
        <v>5.0000000000000001E-3</v>
      </c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</row>
    <row r="152" spans="1:47" ht="11.25" customHeight="1" x14ac:dyDescent="0.25">
      <c r="A152" s="5"/>
      <c r="B152" s="5"/>
      <c r="C152" s="7"/>
      <c r="D152" s="139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</row>
    <row r="153" spans="1:47" ht="11.25" customHeight="1" x14ac:dyDescent="0.25">
      <c r="A153" s="5" t="s">
        <v>26</v>
      </c>
      <c r="B153" s="4" t="s">
        <v>93</v>
      </c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</row>
    <row r="154" spans="1:47" ht="11.25" customHeight="1" x14ac:dyDescent="0.25">
      <c r="A154" s="5"/>
      <c r="B154" s="6" t="s">
        <v>466</v>
      </c>
      <c r="C154" s="7" t="s">
        <v>34</v>
      </c>
      <c r="D154" s="351">
        <v>2.0299999999999999E-2</v>
      </c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</row>
    <row r="155" spans="1:47" ht="11.25" customHeight="1" x14ac:dyDescent="0.25">
      <c r="A155" s="5"/>
      <c r="B155" s="6" t="s">
        <v>467</v>
      </c>
      <c r="C155" s="7" t="s">
        <v>34</v>
      </c>
      <c r="D155" s="350">
        <v>0.05</v>
      </c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</row>
    <row r="156" spans="1:47" ht="11.25" customHeight="1" x14ac:dyDescent="0.25">
      <c r="A156" s="5"/>
      <c r="B156" s="6" t="s">
        <v>94</v>
      </c>
      <c r="C156" s="7" t="s">
        <v>34</v>
      </c>
      <c r="D156" s="349">
        <v>0.13</v>
      </c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</row>
    <row r="157" spans="1:47" ht="11.25" customHeight="1" x14ac:dyDescent="0.25">
      <c r="A157" s="5"/>
      <c r="B157" s="6" t="s">
        <v>95</v>
      </c>
      <c r="C157" s="7" t="s">
        <v>34</v>
      </c>
      <c r="D157" s="349">
        <v>0.06</v>
      </c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</row>
    <row r="158" spans="1:47" ht="11.25" customHeight="1" x14ac:dyDescent="0.25">
      <c r="A158" s="5"/>
      <c r="B158" s="6" t="s">
        <v>96</v>
      </c>
      <c r="C158" s="7" t="s">
        <v>34</v>
      </c>
      <c r="D158" s="349">
        <v>0.45</v>
      </c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</row>
    <row r="159" spans="1:47" ht="11.25" customHeight="1" x14ac:dyDescent="0.25">
      <c r="A159" s="5" t="s">
        <v>26</v>
      </c>
      <c r="B159" s="6" t="s">
        <v>97</v>
      </c>
      <c r="C159" s="7" t="s">
        <v>98</v>
      </c>
      <c r="D159" s="250">
        <v>100</v>
      </c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</row>
    <row r="160" spans="1:47" ht="11.1" customHeight="1" x14ac:dyDescent="0.25">
      <c r="A160" s="5"/>
      <c r="B160" s="6"/>
      <c r="C160" s="7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</row>
    <row r="161" spans="1:47" ht="11.25" customHeight="1" x14ac:dyDescent="0.25">
      <c r="A161" s="5" t="s">
        <v>26</v>
      </c>
      <c r="B161" s="4" t="s">
        <v>91</v>
      </c>
      <c r="C161" s="7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</row>
    <row r="162" spans="1:47" ht="11.25" customHeight="1" x14ac:dyDescent="0.25">
      <c r="A162" s="5"/>
      <c r="B162" s="6" t="s">
        <v>92</v>
      </c>
      <c r="C162" s="7" t="s">
        <v>34</v>
      </c>
      <c r="D162" s="349">
        <v>0.01</v>
      </c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</row>
    <row r="163" spans="1:47" ht="11.25" customHeight="1" x14ac:dyDescent="0.25"/>
    <row r="164" spans="1:47" ht="11.25" customHeight="1" x14ac:dyDescent="0.25">
      <c r="A164" s="5" t="s">
        <v>26</v>
      </c>
      <c r="B164" s="3" t="s">
        <v>85</v>
      </c>
      <c r="C164" s="8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</row>
    <row r="165" spans="1:47" ht="11.25" customHeight="1" x14ac:dyDescent="0.25">
      <c r="A165" s="5"/>
      <c r="B165" s="5" t="s">
        <v>86</v>
      </c>
      <c r="C165" s="7" t="s">
        <v>87</v>
      </c>
      <c r="D165" s="250">
        <v>60</v>
      </c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</row>
    <row r="166" spans="1:47" ht="11.25" customHeight="1" x14ac:dyDescent="0.25">
      <c r="A166" s="5"/>
      <c r="B166" s="5" t="s">
        <v>88</v>
      </c>
      <c r="C166" s="7" t="s">
        <v>87</v>
      </c>
      <c r="D166" s="250">
        <v>30</v>
      </c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</row>
    <row r="167" spans="1:47" ht="10.7" customHeight="1" x14ac:dyDescent="0.25">
      <c r="B167" s="5"/>
    </row>
    <row r="168" spans="1:47" ht="10.7" customHeight="1" x14ac:dyDescent="0.25">
      <c r="B168" s="5" t="s">
        <v>144</v>
      </c>
      <c r="C168" s="7" t="s">
        <v>67</v>
      </c>
      <c r="D168" s="254">
        <f>13*2</f>
        <v>26</v>
      </c>
    </row>
    <row r="169" spans="1:47" ht="10.7" customHeight="1" x14ac:dyDescent="0.25">
      <c r="B169" s="5"/>
      <c r="C169" s="7"/>
    </row>
    <row r="170" spans="1:47" ht="11.25" customHeight="1" x14ac:dyDescent="0.25">
      <c r="A170" s="5"/>
      <c r="B170" s="5" t="s">
        <v>59</v>
      </c>
      <c r="C170" s="7"/>
      <c r="D170" s="253">
        <v>330246.11397619656</v>
      </c>
      <c r="E170" s="19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</row>
    <row r="171" spans="1:47" ht="11.25" customHeight="1" x14ac:dyDescent="0.25">
      <c r="A171" s="5"/>
      <c r="B171" s="5" t="s">
        <v>60</v>
      </c>
      <c r="C171" s="7"/>
      <c r="D171" s="263">
        <f>Construction!E36</f>
        <v>330246.1139761965</v>
      </c>
      <c r="E171" s="196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</row>
    <row r="172" spans="1:47" ht="11.25" customHeight="1" x14ac:dyDescent="0.25">
      <c r="A172" s="5"/>
      <c r="B172" s="6" t="s">
        <v>61</v>
      </c>
      <c r="C172" s="7"/>
      <c r="D172" s="292">
        <f>D170-D171</f>
        <v>0</v>
      </c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</row>
    <row r="173" spans="1:47" ht="11.25" customHeight="1" x14ac:dyDescent="0.25">
      <c r="A173" s="5"/>
      <c r="B173" s="6"/>
      <c r="C173" s="7"/>
      <c r="D173" s="9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</row>
    <row r="174" spans="1:47" ht="11.25" customHeight="1" x14ac:dyDescent="0.25">
      <c r="A174" s="5"/>
      <c r="B174" s="34"/>
      <c r="C174" s="5"/>
      <c r="D174" s="5"/>
      <c r="E174" s="5"/>
      <c r="F174" s="5"/>
      <c r="G174" s="38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</row>
    <row r="175" spans="1:47" ht="11.25" customHeight="1" x14ac:dyDescent="0.25">
      <c r="B175" s="34"/>
      <c r="C175" s="35"/>
      <c r="D175" s="36"/>
      <c r="E175" s="37"/>
      <c r="G175" s="38"/>
    </row>
    <row r="176" spans="1:47" ht="11.25" customHeight="1" x14ac:dyDescent="0.25">
      <c r="B176" s="34"/>
      <c r="C176" s="35"/>
      <c r="D176" s="38"/>
      <c r="E176" s="37"/>
      <c r="G176" s="38"/>
    </row>
    <row r="177" spans="2:45" ht="11.25" customHeight="1" x14ac:dyDescent="0.25">
      <c r="B177" s="37"/>
      <c r="C177" s="39"/>
      <c r="D177" s="37"/>
      <c r="E177" s="37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</row>
    <row r="178" spans="2:45" ht="11.25" customHeight="1" x14ac:dyDescent="0.25">
      <c r="B178" s="37"/>
      <c r="C178" s="41"/>
      <c r="D178" s="37"/>
      <c r="E178" s="37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</row>
    <row r="179" spans="2:45" ht="11.25" customHeight="1" x14ac:dyDescent="0.25">
      <c r="B179" s="6"/>
      <c r="C179" s="6"/>
      <c r="D179" s="6"/>
      <c r="E179" s="6"/>
      <c r="G179" s="38"/>
    </row>
    <row r="180" spans="2:45" ht="11.25" customHeight="1" x14ac:dyDescent="0.25">
      <c r="B180" s="6"/>
      <c r="C180" s="6"/>
      <c r="D180" s="6"/>
      <c r="E180" s="6"/>
      <c r="G180" s="38"/>
    </row>
    <row r="181" spans="2:45" ht="11.25" customHeight="1" x14ac:dyDescent="0.25">
      <c r="B181" s="6"/>
      <c r="C181" s="6"/>
      <c r="D181" s="6"/>
      <c r="E181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oal_Seek" altText="Calculate Debt Facility">
                <anchor moveWithCells="1" sizeWithCells="1">
                  <from>
                    <xdr:col>4</xdr:col>
                    <xdr:colOff>200025</xdr:colOff>
                    <xdr:row>169</xdr:row>
                    <xdr:rowOff>0</xdr:rowOff>
                  </from>
                  <to>
                    <xdr:col>4</xdr:col>
                    <xdr:colOff>1485900</xdr:colOff>
                    <xdr:row>171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4" tint="0.79998168889431442"/>
  </sheetPr>
  <dimension ref="A1:BQ191"/>
  <sheetViews>
    <sheetView zoomScale="120" zoomScaleNormal="120" workbookViewId="0">
      <pane xSplit="6" ySplit="3" topLeftCell="G4" activePane="bottomRight" state="frozen"/>
      <selection activeCell="E121" sqref="E121"/>
      <selection pane="topRight" activeCell="E121" sqref="E121"/>
      <selection pane="bottomLeft" activeCell="E121" sqref="E121"/>
      <selection pane="bottomRight" activeCell="AK129" sqref="AK129"/>
    </sheetView>
  </sheetViews>
  <sheetFormatPr defaultColWidth="0" defaultRowHeight="11.25" customHeight="1" x14ac:dyDescent="0.25"/>
  <cols>
    <col min="1" max="1" width="1.7109375" customWidth="1"/>
    <col min="2" max="2" width="24" bestFit="1" customWidth="1"/>
    <col min="3" max="3" width="17.28515625" bestFit="1" customWidth="1"/>
    <col min="4" max="4" width="8.7109375" bestFit="1" customWidth="1"/>
    <col min="5" max="5" width="10.7109375" bestFit="1" customWidth="1"/>
    <col min="6" max="6" width="1.7109375" style="305" customWidth="1"/>
    <col min="7" max="8" width="6.28515625" bestFit="1" customWidth="1"/>
    <col min="9" max="22" width="5.42578125" bestFit="1" customWidth="1"/>
    <col min="23" max="23" width="5.7109375" bestFit="1" customWidth="1"/>
    <col min="24" max="29" width="5.42578125" bestFit="1" customWidth="1"/>
    <col min="30" max="31" width="5.7109375" bestFit="1" customWidth="1"/>
    <col min="32" max="35" width="5.42578125" bestFit="1" customWidth="1"/>
    <col min="36" max="63" width="7.28515625" bestFit="1" customWidth="1"/>
    <col min="64" max="69" width="0" hidden="1" customWidth="1"/>
    <col min="70" max="16384" width="8.7109375" hidden="1"/>
  </cols>
  <sheetData>
    <row r="1" spans="1:69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 t="s">
        <v>26</v>
      </c>
      <c r="G1" s="205">
        <f>G12+G19+G27</f>
        <v>44834</v>
      </c>
      <c r="H1" s="205">
        <f t="shared" ref="H1:BI1" si="0">H12+H19+H27</f>
        <v>44926</v>
      </c>
      <c r="I1" s="205">
        <f t="shared" si="0"/>
        <v>45016</v>
      </c>
      <c r="J1" s="205">
        <f t="shared" si="0"/>
        <v>45107</v>
      </c>
      <c r="K1" s="205">
        <f t="shared" si="0"/>
        <v>45199</v>
      </c>
      <c r="L1" s="205">
        <f t="shared" si="0"/>
        <v>45291</v>
      </c>
      <c r="M1" s="205">
        <f t="shared" si="0"/>
        <v>45382</v>
      </c>
      <c r="N1" s="205">
        <f t="shared" si="0"/>
        <v>45473</v>
      </c>
      <c r="O1" s="205">
        <f t="shared" si="0"/>
        <v>45565</v>
      </c>
      <c r="P1" s="205">
        <f t="shared" si="0"/>
        <v>45657</v>
      </c>
      <c r="Q1" s="205">
        <f t="shared" si="0"/>
        <v>45747</v>
      </c>
      <c r="R1" s="205">
        <f t="shared" si="0"/>
        <v>45838</v>
      </c>
      <c r="S1" s="205">
        <f t="shared" si="0"/>
        <v>45930</v>
      </c>
      <c r="T1" s="205">
        <f t="shared" si="0"/>
        <v>46022</v>
      </c>
      <c r="U1" s="205">
        <f t="shared" si="0"/>
        <v>46112</v>
      </c>
      <c r="V1" s="205">
        <f t="shared" si="0"/>
        <v>46203</v>
      </c>
      <c r="W1" s="205">
        <f t="shared" si="0"/>
        <v>46387</v>
      </c>
      <c r="X1" s="205">
        <f t="shared" si="0"/>
        <v>46568</v>
      </c>
      <c r="Y1" s="205">
        <f t="shared" si="0"/>
        <v>46752</v>
      </c>
      <c r="Z1" s="205">
        <f t="shared" si="0"/>
        <v>46934</v>
      </c>
      <c r="AA1" s="205">
        <f t="shared" si="0"/>
        <v>47118</v>
      </c>
      <c r="AB1" s="205">
        <f t="shared" si="0"/>
        <v>47299</v>
      </c>
      <c r="AC1" s="205">
        <f t="shared" si="0"/>
        <v>47483</v>
      </c>
      <c r="AD1" s="205">
        <f t="shared" si="0"/>
        <v>47664</v>
      </c>
      <c r="AE1" s="205">
        <f t="shared" si="0"/>
        <v>47848</v>
      </c>
      <c r="AF1" s="205">
        <f t="shared" si="0"/>
        <v>48029</v>
      </c>
      <c r="AG1" s="205">
        <f t="shared" si="0"/>
        <v>48213</v>
      </c>
      <c r="AH1" s="205">
        <f t="shared" si="0"/>
        <v>48395</v>
      </c>
      <c r="AI1" s="205">
        <f t="shared" si="0"/>
        <v>48579</v>
      </c>
      <c r="AJ1" s="205">
        <f t="shared" si="0"/>
        <v>48760</v>
      </c>
      <c r="AK1" s="205">
        <f t="shared" si="0"/>
        <v>48944</v>
      </c>
      <c r="AL1" s="205">
        <f t="shared" si="0"/>
        <v>49125</v>
      </c>
      <c r="AM1" s="205">
        <f t="shared" si="0"/>
        <v>49309</v>
      </c>
      <c r="AN1" s="205">
        <f t="shared" si="0"/>
        <v>49490</v>
      </c>
      <c r="AO1" s="205">
        <f t="shared" si="0"/>
        <v>49674</v>
      </c>
      <c r="AP1" s="205">
        <f t="shared" si="0"/>
        <v>49856</v>
      </c>
      <c r="AQ1" s="205">
        <f t="shared" si="0"/>
        <v>50040</v>
      </c>
      <c r="AR1" s="205">
        <f t="shared" si="0"/>
        <v>50221</v>
      </c>
      <c r="AS1" s="205">
        <f t="shared" si="0"/>
        <v>50405</v>
      </c>
      <c r="AT1" s="205">
        <f t="shared" si="0"/>
        <v>50586</v>
      </c>
      <c r="AU1" s="205">
        <f t="shared" si="0"/>
        <v>50770</v>
      </c>
      <c r="AV1" s="205">
        <f t="shared" si="0"/>
        <v>50951</v>
      </c>
      <c r="AW1" s="205">
        <f t="shared" si="0"/>
        <v>51135</v>
      </c>
      <c r="AX1" s="205">
        <f t="shared" si="0"/>
        <v>51317</v>
      </c>
      <c r="AY1" s="205">
        <f t="shared" si="0"/>
        <v>51501</v>
      </c>
      <c r="AZ1" s="205">
        <f t="shared" si="0"/>
        <v>51682</v>
      </c>
      <c r="BA1" s="205">
        <f t="shared" si="0"/>
        <v>51866</v>
      </c>
      <c r="BB1" s="205">
        <f t="shared" si="0"/>
        <v>52047</v>
      </c>
      <c r="BC1" s="205">
        <f t="shared" si="0"/>
        <v>52231</v>
      </c>
      <c r="BD1" s="205">
        <f t="shared" si="0"/>
        <v>52412</v>
      </c>
      <c r="BE1" s="205">
        <f t="shared" si="0"/>
        <v>52596</v>
      </c>
      <c r="BF1" s="205">
        <f t="shared" si="0"/>
        <v>52778</v>
      </c>
      <c r="BG1" s="205">
        <f t="shared" si="0"/>
        <v>52962</v>
      </c>
      <c r="BH1" s="205">
        <f t="shared" si="0"/>
        <v>53143</v>
      </c>
      <c r="BI1" s="205">
        <f t="shared" si="0"/>
        <v>53327</v>
      </c>
      <c r="BJ1" s="205">
        <f t="shared" ref="BJ1" si="1">BJ12+BJ19+BJ27</f>
        <v>53508</v>
      </c>
      <c r="BL1" s="188"/>
      <c r="BM1" s="188"/>
      <c r="BN1" s="188"/>
      <c r="BO1" s="188"/>
      <c r="BP1" s="188"/>
      <c r="BQ1" s="188"/>
    </row>
    <row r="2" spans="1:69" ht="11.25" customHeight="1" x14ac:dyDescent="0.25">
      <c r="A2" s="200" t="s">
        <v>394</v>
      </c>
      <c r="B2" s="201"/>
      <c r="C2" s="202"/>
      <c r="D2" s="200"/>
      <c r="E2" s="203" t="s">
        <v>22</v>
      </c>
      <c r="F2" s="301" t="s">
        <v>26</v>
      </c>
      <c r="G2" s="204">
        <f>YEAR(G1)</f>
        <v>2022</v>
      </c>
      <c r="H2" s="204">
        <f t="shared" ref="H2:BI2" si="2">YEAR(H1)</f>
        <v>2022</v>
      </c>
      <c r="I2" s="204">
        <f t="shared" si="2"/>
        <v>2023</v>
      </c>
      <c r="J2" s="204">
        <f t="shared" si="2"/>
        <v>2023</v>
      </c>
      <c r="K2" s="204">
        <f t="shared" si="2"/>
        <v>2023</v>
      </c>
      <c r="L2" s="204">
        <f t="shared" si="2"/>
        <v>2023</v>
      </c>
      <c r="M2" s="204">
        <f t="shared" si="2"/>
        <v>2024</v>
      </c>
      <c r="N2" s="204">
        <f t="shared" si="2"/>
        <v>2024</v>
      </c>
      <c r="O2" s="204">
        <f t="shared" si="2"/>
        <v>2024</v>
      </c>
      <c r="P2" s="204">
        <f t="shared" si="2"/>
        <v>2024</v>
      </c>
      <c r="Q2" s="204">
        <f t="shared" si="2"/>
        <v>2025</v>
      </c>
      <c r="R2" s="204">
        <f t="shared" si="2"/>
        <v>2025</v>
      </c>
      <c r="S2" s="204">
        <f t="shared" si="2"/>
        <v>2025</v>
      </c>
      <c r="T2" s="204">
        <f t="shared" si="2"/>
        <v>2025</v>
      </c>
      <c r="U2" s="204">
        <f t="shared" si="2"/>
        <v>2026</v>
      </c>
      <c r="V2" s="204">
        <f t="shared" si="2"/>
        <v>2026</v>
      </c>
      <c r="W2" s="204">
        <f t="shared" si="2"/>
        <v>2026</v>
      </c>
      <c r="X2" s="204">
        <f t="shared" si="2"/>
        <v>2027</v>
      </c>
      <c r="Y2" s="204">
        <f t="shared" si="2"/>
        <v>2027</v>
      </c>
      <c r="Z2" s="204">
        <f t="shared" si="2"/>
        <v>2028</v>
      </c>
      <c r="AA2" s="204">
        <f t="shared" si="2"/>
        <v>2028</v>
      </c>
      <c r="AB2" s="204">
        <f t="shared" si="2"/>
        <v>2029</v>
      </c>
      <c r="AC2" s="204">
        <f t="shared" si="2"/>
        <v>2029</v>
      </c>
      <c r="AD2" s="204">
        <f t="shared" si="2"/>
        <v>2030</v>
      </c>
      <c r="AE2" s="204">
        <f t="shared" si="2"/>
        <v>2030</v>
      </c>
      <c r="AF2" s="204">
        <f t="shared" si="2"/>
        <v>2031</v>
      </c>
      <c r="AG2" s="204">
        <f t="shared" si="2"/>
        <v>2031</v>
      </c>
      <c r="AH2" s="204">
        <f t="shared" si="2"/>
        <v>2032</v>
      </c>
      <c r="AI2" s="204">
        <f t="shared" si="2"/>
        <v>2032</v>
      </c>
      <c r="AJ2" s="204">
        <f t="shared" si="2"/>
        <v>2033</v>
      </c>
      <c r="AK2" s="204">
        <f t="shared" si="2"/>
        <v>2033</v>
      </c>
      <c r="AL2" s="204">
        <f t="shared" si="2"/>
        <v>2034</v>
      </c>
      <c r="AM2" s="204">
        <f t="shared" si="2"/>
        <v>2034</v>
      </c>
      <c r="AN2" s="204">
        <f t="shared" si="2"/>
        <v>2035</v>
      </c>
      <c r="AO2" s="204">
        <f t="shared" si="2"/>
        <v>2035</v>
      </c>
      <c r="AP2" s="204">
        <f t="shared" si="2"/>
        <v>2036</v>
      </c>
      <c r="AQ2" s="204">
        <f t="shared" si="2"/>
        <v>2036</v>
      </c>
      <c r="AR2" s="204">
        <f t="shared" si="2"/>
        <v>2037</v>
      </c>
      <c r="AS2" s="204">
        <f t="shared" si="2"/>
        <v>2037</v>
      </c>
      <c r="AT2" s="204">
        <f t="shared" si="2"/>
        <v>2038</v>
      </c>
      <c r="AU2" s="204">
        <f t="shared" si="2"/>
        <v>2038</v>
      </c>
      <c r="AV2" s="204">
        <f t="shared" si="2"/>
        <v>2039</v>
      </c>
      <c r="AW2" s="204">
        <f t="shared" si="2"/>
        <v>2039</v>
      </c>
      <c r="AX2" s="204">
        <f t="shared" si="2"/>
        <v>2040</v>
      </c>
      <c r="AY2" s="204">
        <f t="shared" si="2"/>
        <v>2040</v>
      </c>
      <c r="AZ2" s="204">
        <f t="shared" si="2"/>
        <v>2041</v>
      </c>
      <c r="BA2" s="204">
        <f t="shared" si="2"/>
        <v>2041</v>
      </c>
      <c r="BB2" s="204">
        <f t="shared" si="2"/>
        <v>2042</v>
      </c>
      <c r="BC2" s="204">
        <f t="shared" si="2"/>
        <v>2042</v>
      </c>
      <c r="BD2" s="204">
        <f t="shared" si="2"/>
        <v>2043</v>
      </c>
      <c r="BE2" s="204">
        <f t="shared" si="2"/>
        <v>2043</v>
      </c>
      <c r="BF2" s="204">
        <f t="shared" si="2"/>
        <v>2044</v>
      </c>
      <c r="BG2" s="204">
        <f t="shared" si="2"/>
        <v>2044</v>
      </c>
      <c r="BH2" s="204">
        <f t="shared" si="2"/>
        <v>2045</v>
      </c>
      <c r="BI2" s="204">
        <f t="shared" si="2"/>
        <v>2045</v>
      </c>
      <c r="BJ2" s="204">
        <f t="shared" ref="BJ2" si="3">YEAR(BJ1)</f>
        <v>2046</v>
      </c>
      <c r="BL2" s="5"/>
      <c r="BM2" s="5"/>
      <c r="BN2" s="5"/>
      <c r="BO2" s="5"/>
      <c r="BP2" s="5"/>
      <c r="BQ2" s="5"/>
    </row>
    <row r="3" spans="1:69" ht="11.25" customHeight="1" x14ac:dyDescent="0.25">
      <c r="A3" s="200"/>
      <c r="B3" s="201"/>
      <c r="C3" s="202"/>
      <c r="D3" s="200"/>
      <c r="E3" s="203" t="s">
        <v>403</v>
      </c>
      <c r="F3" s="301" t="s">
        <v>26</v>
      </c>
      <c r="G3" s="204">
        <f>G29</f>
        <v>0.25</v>
      </c>
      <c r="H3" s="204">
        <f t="shared" ref="H3:BI3" si="4">H29</f>
        <v>0.25</v>
      </c>
      <c r="I3" s="204">
        <f t="shared" si="4"/>
        <v>0.25</v>
      </c>
      <c r="J3" s="204">
        <f t="shared" si="4"/>
        <v>0.25</v>
      </c>
      <c r="K3" s="204">
        <f t="shared" si="4"/>
        <v>0.25</v>
      </c>
      <c r="L3" s="204">
        <f t="shared" si="4"/>
        <v>0.25</v>
      </c>
      <c r="M3" s="204">
        <f t="shared" si="4"/>
        <v>0.25</v>
      </c>
      <c r="N3" s="204">
        <f t="shared" si="4"/>
        <v>0.25</v>
      </c>
      <c r="O3" s="204">
        <f t="shared" si="4"/>
        <v>0.25</v>
      </c>
      <c r="P3" s="204">
        <f t="shared" si="4"/>
        <v>0.25</v>
      </c>
      <c r="Q3" s="204">
        <f t="shared" si="4"/>
        <v>0.25</v>
      </c>
      <c r="R3" s="204">
        <f t="shared" si="4"/>
        <v>0.25</v>
      </c>
      <c r="S3" s="204">
        <f t="shared" si="4"/>
        <v>0.25</v>
      </c>
      <c r="T3" s="204">
        <f t="shared" si="4"/>
        <v>0.25</v>
      </c>
      <c r="U3" s="204">
        <f t="shared" si="4"/>
        <v>0.25</v>
      </c>
      <c r="V3" s="204">
        <f t="shared" si="4"/>
        <v>0.25</v>
      </c>
      <c r="W3" s="204">
        <f t="shared" si="4"/>
        <v>0.5</v>
      </c>
      <c r="X3" s="204">
        <f t="shared" si="4"/>
        <v>0.5</v>
      </c>
      <c r="Y3" s="204">
        <f t="shared" si="4"/>
        <v>0.5</v>
      </c>
      <c r="Z3" s="204">
        <f t="shared" si="4"/>
        <v>0.5</v>
      </c>
      <c r="AA3" s="204">
        <f t="shared" si="4"/>
        <v>0.5</v>
      </c>
      <c r="AB3" s="204">
        <f t="shared" si="4"/>
        <v>0.5</v>
      </c>
      <c r="AC3" s="204">
        <f t="shared" si="4"/>
        <v>0.5</v>
      </c>
      <c r="AD3" s="204">
        <f t="shared" si="4"/>
        <v>0.5</v>
      </c>
      <c r="AE3" s="204">
        <f t="shared" si="4"/>
        <v>0.5</v>
      </c>
      <c r="AF3" s="204">
        <f t="shared" si="4"/>
        <v>0.5</v>
      </c>
      <c r="AG3" s="204">
        <f t="shared" si="4"/>
        <v>0.5</v>
      </c>
      <c r="AH3" s="204">
        <f t="shared" si="4"/>
        <v>0.5</v>
      </c>
      <c r="AI3" s="204">
        <f t="shared" si="4"/>
        <v>0.5</v>
      </c>
      <c r="AJ3" s="204">
        <f t="shared" si="4"/>
        <v>0.5</v>
      </c>
      <c r="AK3" s="204">
        <f t="shared" si="4"/>
        <v>0.5</v>
      </c>
      <c r="AL3" s="204">
        <f t="shared" si="4"/>
        <v>0.5</v>
      </c>
      <c r="AM3" s="204">
        <f t="shared" si="4"/>
        <v>0.5</v>
      </c>
      <c r="AN3" s="204">
        <f t="shared" si="4"/>
        <v>0.5</v>
      </c>
      <c r="AO3" s="204">
        <f t="shared" si="4"/>
        <v>0.5</v>
      </c>
      <c r="AP3" s="204">
        <f t="shared" si="4"/>
        <v>0.5</v>
      </c>
      <c r="AQ3" s="204">
        <f t="shared" si="4"/>
        <v>0.5</v>
      </c>
      <c r="AR3" s="204">
        <f t="shared" si="4"/>
        <v>0.5</v>
      </c>
      <c r="AS3" s="204">
        <f t="shared" si="4"/>
        <v>0.5</v>
      </c>
      <c r="AT3" s="204">
        <f t="shared" si="4"/>
        <v>0.5</v>
      </c>
      <c r="AU3" s="204">
        <f t="shared" si="4"/>
        <v>0.5</v>
      </c>
      <c r="AV3" s="204">
        <f t="shared" si="4"/>
        <v>0.5</v>
      </c>
      <c r="AW3" s="204">
        <f t="shared" si="4"/>
        <v>0.5</v>
      </c>
      <c r="AX3" s="204">
        <f t="shared" si="4"/>
        <v>0.5</v>
      </c>
      <c r="AY3" s="204">
        <f t="shared" si="4"/>
        <v>0.5</v>
      </c>
      <c r="AZ3" s="204">
        <f t="shared" si="4"/>
        <v>0.5</v>
      </c>
      <c r="BA3" s="204">
        <f t="shared" si="4"/>
        <v>0.5</v>
      </c>
      <c r="BB3" s="204">
        <f t="shared" si="4"/>
        <v>0.5</v>
      </c>
      <c r="BC3" s="204">
        <f t="shared" si="4"/>
        <v>0.5</v>
      </c>
      <c r="BD3" s="204">
        <f t="shared" si="4"/>
        <v>0.5</v>
      </c>
      <c r="BE3" s="204">
        <f t="shared" si="4"/>
        <v>0.5</v>
      </c>
      <c r="BF3" s="204">
        <f t="shared" si="4"/>
        <v>0.5</v>
      </c>
      <c r="BG3" s="204">
        <f t="shared" si="4"/>
        <v>0.5</v>
      </c>
      <c r="BH3" s="204">
        <f t="shared" si="4"/>
        <v>0.5</v>
      </c>
      <c r="BI3" s="204">
        <f t="shared" si="4"/>
        <v>0.5</v>
      </c>
      <c r="BJ3" s="204">
        <f t="shared" ref="BJ3" si="5">BJ29</f>
        <v>0.5</v>
      </c>
      <c r="BL3" s="5"/>
      <c r="BM3" s="5"/>
      <c r="BN3" s="5"/>
      <c r="BO3" s="5"/>
      <c r="BP3" s="5"/>
      <c r="BQ3" s="5"/>
    </row>
    <row r="4" spans="1:69" ht="11.25" customHeight="1" x14ac:dyDescent="0.25">
      <c r="A4" s="3"/>
      <c r="B4" s="4"/>
      <c r="C4" s="3" t="s">
        <v>23</v>
      </c>
      <c r="D4" s="3" t="s">
        <v>24</v>
      </c>
      <c r="E4" s="3" t="s">
        <v>25</v>
      </c>
      <c r="F4" s="302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</row>
    <row r="5" spans="1:69" ht="11.25" customHeight="1" x14ac:dyDescent="0.25">
      <c r="A5" s="5"/>
      <c r="B5" s="6"/>
      <c r="C5" s="5"/>
      <c r="D5" s="5"/>
      <c r="E5" s="5"/>
      <c r="F5" s="302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1:69" ht="11.25" customHeight="1" x14ac:dyDescent="0.25">
      <c r="A6" s="5" t="s">
        <v>26</v>
      </c>
      <c r="B6" s="4" t="s">
        <v>99</v>
      </c>
      <c r="C6" s="5"/>
      <c r="D6" s="12"/>
      <c r="E6" s="5"/>
      <c r="F6" s="302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1:69" ht="11.25" customHeight="1" x14ac:dyDescent="0.25">
      <c r="A7" s="5"/>
      <c r="B7" s="12" t="s">
        <v>402</v>
      </c>
      <c r="C7" s="8" t="s">
        <v>27</v>
      </c>
      <c r="D7" s="206">
        <f>Assumptions!D7</f>
        <v>44834</v>
      </c>
      <c r="E7" s="83">
        <f t="shared" ref="E7:E10" si="6">SUM(G7:BJ7)</f>
        <v>0</v>
      </c>
      <c r="F7" s="302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</row>
    <row r="8" spans="1:69" ht="11.25" customHeight="1" x14ac:dyDescent="0.25">
      <c r="A8" s="5"/>
      <c r="B8" s="12" t="s">
        <v>400</v>
      </c>
      <c r="C8" s="8" t="s">
        <v>28</v>
      </c>
      <c r="D8" s="255">
        <f>Assumptions!D8</f>
        <v>3</v>
      </c>
      <c r="E8" s="83">
        <f t="shared" si="6"/>
        <v>0</v>
      </c>
      <c r="F8" s="302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</row>
    <row r="9" spans="1:69" ht="11.25" customHeight="1" x14ac:dyDescent="0.25">
      <c r="A9" s="5"/>
      <c r="B9" s="12" t="s">
        <v>401</v>
      </c>
      <c r="C9" s="8" t="s">
        <v>15</v>
      </c>
      <c r="D9" s="255">
        <f>Assumptions!D9</f>
        <v>2</v>
      </c>
      <c r="E9" s="83">
        <f t="shared" si="6"/>
        <v>0</v>
      </c>
      <c r="F9" s="302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</row>
    <row r="10" spans="1:69" ht="11.25" customHeight="1" x14ac:dyDescent="0.25">
      <c r="A10" s="5"/>
      <c r="B10" s="12" t="s">
        <v>121</v>
      </c>
      <c r="C10" s="8" t="s">
        <v>50</v>
      </c>
      <c r="D10" s="206">
        <f>Assumptions!D10</f>
        <v>44926</v>
      </c>
      <c r="E10" s="83">
        <f t="shared" si="6"/>
        <v>0</v>
      </c>
      <c r="F10" s="302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</row>
    <row r="11" spans="1:69" ht="11.25" customHeight="1" x14ac:dyDescent="0.25">
      <c r="A11" s="5"/>
      <c r="B11" s="12" t="s">
        <v>358</v>
      </c>
      <c r="C11" s="8" t="s">
        <v>108</v>
      </c>
      <c r="D11" s="256"/>
      <c r="E11" s="83">
        <f>SUM(G11:BJ11)</f>
        <v>3</v>
      </c>
      <c r="F11" s="302"/>
      <c r="G11" s="83">
        <f>IF(MAX($F$11:F11)=$D$9,0,F11+1)</f>
        <v>1</v>
      </c>
      <c r="H11" s="83">
        <f>IF(MAX($F$11:G11)=$D$9,0,G11+1)</f>
        <v>2</v>
      </c>
      <c r="I11" s="83">
        <f>IF(MAX($F$11:H11)=$D$9,0,H11+1)</f>
        <v>0</v>
      </c>
      <c r="J11" s="83">
        <f>IF(MAX($F$11:I11)=$D$9,0,I11+1)</f>
        <v>0</v>
      </c>
      <c r="K11" s="83">
        <f>IF(MAX($F$11:J11)=$D$9,0,J11+1)</f>
        <v>0</v>
      </c>
      <c r="L11" s="83">
        <f>IF(MAX($F$11:K11)=$D$9,0,K11+1)</f>
        <v>0</v>
      </c>
      <c r="M11" s="83">
        <f>IF(MAX($F$11:L11)=$D$9,0,L11+1)</f>
        <v>0</v>
      </c>
      <c r="N11" s="83">
        <f>IF(MAX($F$11:M11)=$D$9,0,M11+1)</f>
        <v>0</v>
      </c>
      <c r="O11" s="83">
        <f>IF(MAX($F$11:N11)=$D$9,0,N11+1)</f>
        <v>0</v>
      </c>
      <c r="P11" s="83">
        <f>IF(MAX($F$11:O11)=$D$9,0,O11+1)</f>
        <v>0</v>
      </c>
      <c r="Q11" s="83">
        <f>IF(MAX($F$11:P11)=$D$9,0,P11+1)</f>
        <v>0</v>
      </c>
      <c r="R11" s="83">
        <f>IF(MAX($F$11:Q11)=$D$9,0,Q11+1)</f>
        <v>0</v>
      </c>
      <c r="S11" s="83">
        <f>IF(MAX($F$11:R11)=$D$9,0,R11+1)</f>
        <v>0</v>
      </c>
      <c r="T11" s="83">
        <f>IF(MAX($F$11:S11)=$D$9,0,S11+1)</f>
        <v>0</v>
      </c>
      <c r="U11" s="83">
        <f>IF(MAX($F$11:T11)=$D$9,0,T11+1)</f>
        <v>0</v>
      </c>
      <c r="V11" s="83">
        <f>IF(MAX($F$11:U11)=$D$9,0,U11+1)</f>
        <v>0</v>
      </c>
      <c r="W11" s="83">
        <f>IF(MAX($F$11:V11)=$D$9,0,V11+1)</f>
        <v>0</v>
      </c>
      <c r="X11" s="83">
        <f>IF(MAX($F$11:W11)=$D$9,0,W11+1)</f>
        <v>0</v>
      </c>
      <c r="Y11" s="83">
        <f>IF(MAX($F$11:X11)=$D$9,0,X11+1)</f>
        <v>0</v>
      </c>
      <c r="Z11" s="83">
        <f>IF(MAX($F$11:Y11)=$D$9,0,Y11+1)</f>
        <v>0</v>
      </c>
      <c r="AA11" s="83">
        <f>IF(MAX($F$11:Z11)=$D$9,0,Z11+1)</f>
        <v>0</v>
      </c>
      <c r="AB11" s="83">
        <f>IF(MAX($F$11:AA11)=$D$9,0,AA11+1)</f>
        <v>0</v>
      </c>
      <c r="AC11" s="83">
        <f>IF(MAX($F$11:AB11)=$D$9,0,AB11+1)</f>
        <v>0</v>
      </c>
      <c r="AD11" s="83">
        <f>IF(MAX($F$11:AC11)=$D$9,0,AC11+1)</f>
        <v>0</v>
      </c>
      <c r="AE11" s="83">
        <f>IF(MAX($F$11:AD11)=$D$9,0,AD11+1)</f>
        <v>0</v>
      </c>
      <c r="AF11" s="83">
        <f>IF(MAX($F$11:AE11)=$D$9,0,AE11+1)</f>
        <v>0</v>
      </c>
      <c r="AG11" s="83">
        <f>IF(MAX($F$11:AF11)=$D$9,0,AF11+1)</f>
        <v>0</v>
      </c>
      <c r="AH11" s="83">
        <f>IF(MAX($F$11:AG11)=$D$9,0,AG11+1)</f>
        <v>0</v>
      </c>
      <c r="AI11" s="83">
        <f>IF(MAX($F$11:AH11)=$D$9,0,AH11+1)</f>
        <v>0</v>
      </c>
      <c r="AJ11" s="83">
        <f>IF(MAX($F$11:AI11)=$D$9,0,AI11+1)</f>
        <v>0</v>
      </c>
      <c r="AK11" s="83">
        <f>IF(MAX($F$11:AJ11)=$D$9,0,AJ11+1)</f>
        <v>0</v>
      </c>
      <c r="AL11" s="83">
        <f>IF(MAX($F$11:AK11)=$D$9,0,AK11+1)</f>
        <v>0</v>
      </c>
      <c r="AM11" s="83">
        <f>IF(MAX($F$11:AL11)=$D$9,0,AL11+1)</f>
        <v>0</v>
      </c>
      <c r="AN11" s="83">
        <f>IF(MAX($F$11:AM11)=$D$9,0,AM11+1)</f>
        <v>0</v>
      </c>
      <c r="AO11" s="83">
        <f>IF(MAX($F$11:AN11)=$D$9,0,AN11+1)</f>
        <v>0</v>
      </c>
      <c r="AP11" s="83">
        <f>IF(MAX($F$11:AO11)=$D$9,0,AO11+1)</f>
        <v>0</v>
      </c>
      <c r="AQ11" s="83">
        <f>IF(MAX($F$11:AP11)=$D$9,0,AP11+1)</f>
        <v>0</v>
      </c>
      <c r="AR11" s="83">
        <f>IF(MAX($F$11:AQ11)=$D$9,0,AQ11+1)</f>
        <v>0</v>
      </c>
      <c r="AS11" s="83">
        <f>IF(MAX($F$11:AR11)=$D$9,0,AR11+1)</f>
        <v>0</v>
      </c>
      <c r="AT11" s="83">
        <f>IF(MAX($F$11:AS11)=$D$9,0,AS11+1)</f>
        <v>0</v>
      </c>
      <c r="AU11" s="83">
        <f>IF(MAX($F$11:AT11)=$D$9,0,AT11+1)</f>
        <v>0</v>
      </c>
      <c r="AV11" s="83">
        <f>IF(MAX($F$11:AU11)=$D$9,0,AU11+1)</f>
        <v>0</v>
      </c>
      <c r="AW11" s="83">
        <f>IF(MAX($F$11:AV11)=$D$9,0,AV11+1)</f>
        <v>0</v>
      </c>
      <c r="AX11" s="83">
        <f>IF(MAX($F$11:AW11)=$D$9,0,AW11+1)</f>
        <v>0</v>
      </c>
      <c r="AY11" s="83">
        <f>IF(MAX($F$11:AX11)=$D$9,0,AX11+1)</f>
        <v>0</v>
      </c>
      <c r="AZ11" s="83">
        <f>IF(MAX($F$11:AY11)=$D$9,0,AY11+1)</f>
        <v>0</v>
      </c>
      <c r="BA11" s="83">
        <f>IF(MAX($F$11:AZ11)=$D$9,0,AZ11+1)</f>
        <v>0</v>
      </c>
      <c r="BB11" s="83">
        <f>IF(MAX($F$11:BA11)=$D$9,0,BA11+1)</f>
        <v>0</v>
      </c>
      <c r="BC11" s="83">
        <f>IF(MAX($F$11:BB11)=$D$9,0,BB11+1)</f>
        <v>0</v>
      </c>
      <c r="BD11" s="83">
        <f>IF(MAX($F$11:BC11)=$D$9,0,BC11+1)</f>
        <v>0</v>
      </c>
      <c r="BE11" s="83">
        <f>IF(MAX($F$11:BD11)=$D$9,0,BD11+1)</f>
        <v>0</v>
      </c>
      <c r="BF11" s="83">
        <f>IF(MAX($F$11:BE11)=$D$9,0,BE11+1)</f>
        <v>0</v>
      </c>
      <c r="BG11" s="83">
        <f>IF(MAX($F$11:BF11)=$D$9,0,BF11+1)</f>
        <v>0</v>
      </c>
      <c r="BH11" s="83">
        <f>IF(MAX($F$11:BG11)=$D$9,0,BG11+1)</f>
        <v>0</v>
      </c>
      <c r="BI11" s="83">
        <f>IF(MAX($F$11:BH11)=$D$9,0,BH11+1)</f>
        <v>0</v>
      </c>
      <c r="BJ11" s="83">
        <f>IF(MAX($F$11:BI11)=$D$9,0,BI11+1)</f>
        <v>0</v>
      </c>
    </row>
    <row r="12" spans="1:69" ht="11.25" customHeight="1" x14ac:dyDescent="0.25">
      <c r="A12" s="5"/>
      <c r="B12" s="12" t="s">
        <v>100</v>
      </c>
      <c r="C12" s="8" t="s">
        <v>50</v>
      </c>
      <c r="D12" s="256"/>
      <c r="E12" s="83">
        <f t="shared" ref="E12:E75" si="7">SUM(G12:BJ12)</f>
        <v>89760</v>
      </c>
      <c r="F12" s="302" t="s">
        <v>26</v>
      </c>
      <c r="G12" s="141">
        <f>IF(G11&gt;0,EOMONTH($D$7,(G11-1)*$D$8),)</f>
        <v>44834</v>
      </c>
      <c r="H12" s="141">
        <f>IF(H11&gt;0,EOMONTH($D$7,(H11-1)*$D$8),)</f>
        <v>44926</v>
      </c>
      <c r="I12" s="141">
        <f t="shared" ref="I12:BJ12" si="8">IF(I11&gt;0,EOMONTH($D$7,(I11-1)*$D$8),)</f>
        <v>0</v>
      </c>
      <c r="J12" s="141">
        <f t="shared" si="8"/>
        <v>0</v>
      </c>
      <c r="K12" s="141">
        <f t="shared" si="8"/>
        <v>0</v>
      </c>
      <c r="L12" s="141">
        <f t="shared" si="8"/>
        <v>0</v>
      </c>
      <c r="M12" s="141">
        <f t="shared" si="8"/>
        <v>0</v>
      </c>
      <c r="N12" s="141">
        <f t="shared" si="8"/>
        <v>0</v>
      </c>
      <c r="O12" s="141">
        <f t="shared" si="8"/>
        <v>0</v>
      </c>
      <c r="P12" s="141">
        <f t="shared" si="8"/>
        <v>0</v>
      </c>
      <c r="Q12" s="141">
        <f t="shared" si="8"/>
        <v>0</v>
      </c>
      <c r="R12" s="141">
        <f t="shared" si="8"/>
        <v>0</v>
      </c>
      <c r="S12" s="141">
        <f t="shared" si="8"/>
        <v>0</v>
      </c>
      <c r="T12" s="141">
        <f t="shared" si="8"/>
        <v>0</v>
      </c>
      <c r="U12" s="141">
        <f t="shared" si="8"/>
        <v>0</v>
      </c>
      <c r="V12" s="141">
        <f t="shared" si="8"/>
        <v>0</v>
      </c>
      <c r="W12" s="141">
        <f t="shared" si="8"/>
        <v>0</v>
      </c>
      <c r="X12" s="141">
        <f t="shared" si="8"/>
        <v>0</v>
      </c>
      <c r="Y12" s="141">
        <f t="shared" si="8"/>
        <v>0</v>
      </c>
      <c r="Z12" s="141">
        <f t="shared" si="8"/>
        <v>0</v>
      </c>
      <c r="AA12" s="141">
        <f t="shared" si="8"/>
        <v>0</v>
      </c>
      <c r="AB12" s="141">
        <f t="shared" si="8"/>
        <v>0</v>
      </c>
      <c r="AC12" s="141">
        <f t="shared" si="8"/>
        <v>0</v>
      </c>
      <c r="AD12" s="141">
        <f t="shared" si="8"/>
        <v>0</v>
      </c>
      <c r="AE12" s="141">
        <f t="shared" si="8"/>
        <v>0</v>
      </c>
      <c r="AF12" s="141">
        <f t="shared" si="8"/>
        <v>0</v>
      </c>
      <c r="AG12" s="141">
        <f t="shared" si="8"/>
        <v>0</v>
      </c>
      <c r="AH12" s="141">
        <f t="shared" si="8"/>
        <v>0</v>
      </c>
      <c r="AI12" s="141">
        <f t="shared" si="8"/>
        <v>0</v>
      </c>
      <c r="AJ12" s="141">
        <f t="shared" si="8"/>
        <v>0</v>
      </c>
      <c r="AK12" s="141">
        <f t="shared" si="8"/>
        <v>0</v>
      </c>
      <c r="AL12" s="141">
        <f t="shared" si="8"/>
        <v>0</v>
      </c>
      <c r="AM12" s="141">
        <f t="shared" si="8"/>
        <v>0</v>
      </c>
      <c r="AN12" s="141">
        <f t="shared" si="8"/>
        <v>0</v>
      </c>
      <c r="AO12" s="141">
        <f t="shared" si="8"/>
        <v>0</v>
      </c>
      <c r="AP12" s="141">
        <f t="shared" si="8"/>
        <v>0</v>
      </c>
      <c r="AQ12" s="141">
        <f t="shared" si="8"/>
        <v>0</v>
      </c>
      <c r="AR12" s="141">
        <f t="shared" si="8"/>
        <v>0</v>
      </c>
      <c r="AS12" s="141">
        <f t="shared" si="8"/>
        <v>0</v>
      </c>
      <c r="AT12" s="141">
        <f t="shared" si="8"/>
        <v>0</v>
      </c>
      <c r="AU12" s="141">
        <f t="shared" si="8"/>
        <v>0</v>
      </c>
      <c r="AV12" s="141">
        <f t="shared" si="8"/>
        <v>0</v>
      </c>
      <c r="AW12" s="141">
        <f t="shared" si="8"/>
        <v>0</v>
      </c>
      <c r="AX12" s="141">
        <f t="shared" si="8"/>
        <v>0</v>
      </c>
      <c r="AY12" s="141">
        <f t="shared" si="8"/>
        <v>0</v>
      </c>
      <c r="AZ12" s="141">
        <f t="shared" si="8"/>
        <v>0</v>
      </c>
      <c r="BA12" s="141">
        <f t="shared" si="8"/>
        <v>0</v>
      </c>
      <c r="BB12" s="141">
        <f t="shared" si="8"/>
        <v>0</v>
      </c>
      <c r="BC12" s="141">
        <f t="shared" si="8"/>
        <v>0</v>
      </c>
      <c r="BD12" s="141">
        <f t="shared" si="8"/>
        <v>0</v>
      </c>
      <c r="BE12" s="141">
        <f t="shared" si="8"/>
        <v>0</v>
      </c>
      <c r="BF12" s="141">
        <f t="shared" si="8"/>
        <v>0</v>
      </c>
      <c r="BG12" s="141">
        <f t="shared" si="8"/>
        <v>0</v>
      </c>
      <c r="BH12" s="141">
        <f t="shared" si="8"/>
        <v>0</v>
      </c>
      <c r="BI12" s="141">
        <f t="shared" si="8"/>
        <v>0</v>
      </c>
      <c r="BJ12" s="141">
        <f t="shared" si="8"/>
        <v>0</v>
      </c>
    </row>
    <row r="13" spans="1:69" ht="11.25" customHeight="1" x14ac:dyDescent="0.25">
      <c r="A13" s="5"/>
      <c r="B13" s="12"/>
      <c r="C13" s="8"/>
      <c r="D13" s="256"/>
      <c r="E13" s="83">
        <f t="shared" si="7"/>
        <v>0</v>
      </c>
      <c r="F13" s="302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</row>
    <row r="14" spans="1:69" ht="11.25" customHeight="1" x14ac:dyDescent="0.25">
      <c r="A14" s="5"/>
      <c r="B14" s="6" t="s">
        <v>29</v>
      </c>
      <c r="C14" s="8" t="s">
        <v>27</v>
      </c>
      <c r="D14" s="207">
        <f>Assumptions!D12</f>
        <v>45016</v>
      </c>
      <c r="E14" s="83">
        <f t="shared" si="7"/>
        <v>0</v>
      </c>
      <c r="F14" s="302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</row>
    <row r="15" spans="1:69" ht="11.25" customHeight="1" x14ac:dyDescent="0.25">
      <c r="A15" s="5"/>
      <c r="B15" s="6" t="s">
        <v>30</v>
      </c>
      <c r="C15" s="8" t="s">
        <v>28</v>
      </c>
      <c r="D15" s="255">
        <f>Assumptions!D13</f>
        <v>3</v>
      </c>
      <c r="E15" s="83">
        <f t="shared" si="7"/>
        <v>0</v>
      </c>
      <c r="F15" s="302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</row>
    <row r="16" spans="1:69" ht="11.25" customHeight="1" x14ac:dyDescent="0.25">
      <c r="A16" s="5"/>
      <c r="B16" s="6" t="s">
        <v>16</v>
      </c>
      <c r="C16" s="8" t="s">
        <v>15</v>
      </c>
      <c r="D16" s="255">
        <f>Assumptions!D14</f>
        <v>14</v>
      </c>
      <c r="E16" s="83">
        <f t="shared" si="7"/>
        <v>0</v>
      </c>
      <c r="F16" s="302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</row>
    <row r="17" spans="1:63" ht="11.25" customHeight="1" x14ac:dyDescent="0.25">
      <c r="A17" s="5"/>
      <c r="B17" s="6" t="s">
        <v>31</v>
      </c>
      <c r="C17" s="8" t="s">
        <v>27</v>
      </c>
      <c r="D17" s="167">
        <f>Assumptions!D15</f>
        <v>46203</v>
      </c>
      <c r="E17" s="83">
        <f t="shared" si="7"/>
        <v>0</v>
      </c>
      <c r="F17" s="302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</row>
    <row r="18" spans="1:63" ht="11.25" customHeight="1" x14ac:dyDescent="0.25">
      <c r="A18" s="5"/>
      <c r="B18" s="6" t="s">
        <v>357</v>
      </c>
      <c r="C18" s="8" t="s">
        <v>108</v>
      </c>
      <c r="D18" s="175"/>
      <c r="E18" s="83">
        <f t="shared" si="7"/>
        <v>105</v>
      </c>
      <c r="F18" s="302"/>
      <c r="G18" s="83">
        <f>IF(G11&gt;0,0,IF(MAX($F$18:F18)=$D$16,0,F18+1))</f>
        <v>0</v>
      </c>
      <c r="H18" s="83">
        <f>IF(H11&gt;0,0,IF(MAX($F$18:G18)=$D$16,0,G18+1))</f>
        <v>0</v>
      </c>
      <c r="I18" s="83">
        <f>IF(I11&gt;0,0,IF(MAX($F$18:H18)=$D$16,0,H18+1))</f>
        <v>1</v>
      </c>
      <c r="J18" s="83">
        <f>IF(J11&gt;0,0,IF(MAX($F$18:I18)=$D$16,0,I18+1))</f>
        <v>2</v>
      </c>
      <c r="K18" s="83">
        <f>IF(K11&gt;0,0,IF(MAX($F$18:J18)=$D$16,0,J18+1))</f>
        <v>3</v>
      </c>
      <c r="L18" s="83">
        <f>IF(L11&gt;0,0,IF(MAX($F$18:K18)=$D$16,0,K18+1))</f>
        <v>4</v>
      </c>
      <c r="M18" s="83">
        <f>IF(M11&gt;0,0,IF(MAX($F$18:L18)=$D$16,0,L18+1))</f>
        <v>5</v>
      </c>
      <c r="N18" s="83">
        <f>IF(N11&gt;0,0,IF(MAX($F$18:M18)=$D$16,0,M18+1))</f>
        <v>6</v>
      </c>
      <c r="O18" s="83">
        <f>IF(O11&gt;0,0,IF(MAX($F$18:N18)=$D$16,0,N18+1))</f>
        <v>7</v>
      </c>
      <c r="P18" s="83">
        <f>IF(P11&gt;0,0,IF(MAX($F$18:O18)=$D$16,0,O18+1))</f>
        <v>8</v>
      </c>
      <c r="Q18" s="83">
        <f>IF(Q11&gt;0,0,IF(MAX($F$18:P18)=$D$16,0,P18+1))</f>
        <v>9</v>
      </c>
      <c r="R18" s="83">
        <f>IF(R11&gt;0,0,IF(MAX($F$18:Q18)=$D$16,0,Q18+1))</f>
        <v>10</v>
      </c>
      <c r="S18" s="83">
        <f>IF(S11&gt;0,0,IF(MAX($F$18:R18)=$D$16,0,R18+1))</f>
        <v>11</v>
      </c>
      <c r="T18" s="83">
        <f>IF(T11&gt;0,0,IF(MAX($F$18:S18)=$D$16,0,S18+1))</f>
        <v>12</v>
      </c>
      <c r="U18" s="83">
        <f>IF(U11&gt;0,0,IF(MAX($F$18:T18)=$D$16,0,T18+1))</f>
        <v>13</v>
      </c>
      <c r="V18" s="83">
        <f>IF(V11&gt;0,0,IF(MAX($F$18:U18)=$D$16,0,U18+1))</f>
        <v>14</v>
      </c>
      <c r="W18" s="83">
        <f>IF(W11&gt;0,0,IF(MAX($F$18:V18)=$D$16,0,V18+1))</f>
        <v>0</v>
      </c>
      <c r="X18" s="83">
        <f>IF(X11&gt;0,0,IF(MAX($F$18:W18)=$D$16,0,W18+1))</f>
        <v>0</v>
      </c>
      <c r="Y18" s="83">
        <f>IF(Y11&gt;0,0,IF(MAX($F$18:X18)=$D$16,0,X18+1))</f>
        <v>0</v>
      </c>
      <c r="Z18" s="83">
        <f>IF(Z11&gt;0,0,IF(MAX($F$18:Y18)=$D$16,0,Y18+1))</f>
        <v>0</v>
      </c>
      <c r="AA18" s="83">
        <f>IF(AA11&gt;0,0,IF(MAX($F$18:Z18)=$D$16,0,Z18+1))</f>
        <v>0</v>
      </c>
      <c r="AB18" s="83">
        <f>IF(AB11&gt;0,0,IF(MAX($F$18:AA18)=$D$16,0,AA18+1))</f>
        <v>0</v>
      </c>
      <c r="AC18" s="83">
        <f>IF(AC11&gt;0,0,IF(MAX($F$18:AB18)=$D$16,0,AB18+1))</f>
        <v>0</v>
      </c>
      <c r="AD18" s="83">
        <f>IF(AD11&gt;0,0,IF(MAX($F$18:AC18)=$D$16,0,AC18+1))</f>
        <v>0</v>
      </c>
      <c r="AE18" s="83">
        <f>IF(AE11&gt;0,0,IF(MAX($F$18:AD18)=$D$16,0,AD18+1))</f>
        <v>0</v>
      </c>
      <c r="AF18" s="83">
        <f>IF(AF11&gt;0,0,IF(MAX($F$18:AE18)=$D$16,0,AE18+1))</f>
        <v>0</v>
      </c>
      <c r="AG18" s="83">
        <f>IF(AG11&gt;0,0,IF(MAX($F$18:AF18)=$D$16,0,AF18+1))</f>
        <v>0</v>
      </c>
      <c r="AH18" s="83">
        <f>IF(AH11&gt;0,0,IF(MAX($F$18:AG18)=$D$16,0,AG18+1))</f>
        <v>0</v>
      </c>
      <c r="AI18" s="83">
        <f>IF(AI11&gt;0,0,IF(MAX($F$18:AH18)=$D$16,0,AH18+1))</f>
        <v>0</v>
      </c>
      <c r="AJ18" s="83">
        <f>IF(AJ11&gt;0,0,IF(MAX($F$18:AI18)=$D$16,0,AI18+1))</f>
        <v>0</v>
      </c>
      <c r="AK18" s="83">
        <f>IF(AK11&gt;0,0,IF(MAX($F$18:AJ18)=$D$16,0,AJ18+1))</f>
        <v>0</v>
      </c>
      <c r="AL18" s="83">
        <f>IF(AL11&gt;0,0,IF(MAX($F$18:AK18)=$D$16,0,AK18+1))</f>
        <v>0</v>
      </c>
      <c r="AM18" s="83">
        <f>IF(AM11&gt;0,0,IF(MAX($F$18:AL18)=$D$16,0,AL18+1))</f>
        <v>0</v>
      </c>
      <c r="AN18" s="83">
        <f>IF(AN11&gt;0,0,IF(MAX($F$18:AM18)=$D$16,0,AM18+1))</f>
        <v>0</v>
      </c>
      <c r="AO18" s="83">
        <f>IF(AO11&gt;0,0,IF(MAX($F$18:AN18)=$D$16,0,AN18+1))</f>
        <v>0</v>
      </c>
      <c r="AP18" s="83">
        <f>IF(AP11&gt;0,0,IF(MAX($F$18:AO18)=$D$16,0,AO18+1))</f>
        <v>0</v>
      </c>
      <c r="AQ18" s="83">
        <f>IF(AQ11&gt;0,0,IF(MAX($F$18:AP18)=$D$16,0,AP18+1))</f>
        <v>0</v>
      </c>
      <c r="AR18" s="83">
        <f>IF(AR11&gt;0,0,IF(MAX($F$18:AQ18)=$D$16,0,AQ18+1))</f>
        <v>0</v>
      </c>
      <c r="AS18" s="83">
        <f>IF(AS11&gt;0,0,IF(MAX($F$18:AR18)=$D$16,0,AR18+1))</f>
        <v>0</v>
      </c>
      <c r="AT18" s="83">
        <f>IF(AT11&gt;0,0,IF(MAX($F$18:AS18)=$D$16,0,AS18+1))</f>
        <v>0</v>
      </c>
      <c r="AU18" s="83">
        <f>IF(AU11&gt;0,0,IF(MAX($F$18:AT18)=$D$16,0,AT18+1))</f>
        <v>0</v>
      </c>
      <c r="AV18" s="83">
        <f>IF(AV11&gt;0,0,IF(MAX($F$18:AU18)=$D$16,0,AU18+1))</f>
        <v>0</v>
      </c>
      <c r="AW18" s="83">
        <f>IF(AW11&gt;0,0,IF(MAX($F$18:AV18)=$D$16,0,AV18+1))</f>
        <v>0</v>
      </c>
      <c r="AX18" s="83">
        <f>IF(AX11&gt;0,0,IF(MAX($F$18:AW18)=$D$16,0,AW18+1))</f>
        <v>0</v>
      </c>
      <c r="AY18" s="83">
        <f>IF(AY11&gt;0,0,IF(MAX($F$18:AX18)=$D$16,0,AX18+1))</f>
        <v>0</v>
      </c>
      <c r="AZ18" s="83">
        <f>IF(AZ11&gt;0,0,IF(MAX($F$18:AY18)=$D$16,0,AY18+1))</f>
        <v>0</v>
      </c>
      <c r="BA18" s="83">
        <f>IF(BA11&gt;0,0,IF(MAX($F$18:AZ18)=$D$16,0,AZ18+1))</f>
        <v>0</v>
      </c>
      <c r="BB18" s="83">
        <f>IF(BB11&gt;0,0,IF(MAX($F$18:BA18)=$D$16,0,BA18+1))</f>
        <v>0</v>
      </c>
      <c r="BC18" s="83">
        <f>IF(BC11&gt;0,0,IF(MAX($F$18:BB18)=$D$16,0,BB18+1))</f>
        <v>0</v>
      </c>
      <c r="BD18" s="83">
        <f>IF(BD11&gt;0,0,IF(MAX($F$18:BC18)=$D$16,0,BC18+1))</f>
        <v>0</v>
      </c>
      <c r="BE18" s="83">
        <f>IF(BE11&gt;0,0,IF(MAX($F$18:BD18)=$D$16,0,BD18+1))</f>
        <v>0</v>
      </c>
      <c r="BF18" s="83">
        <f>IF(BF11&gt;0,0,IF(MAX($F$18:BE18)=$D$16,0,BE18+1))</f>
        <v>0</v>
      </c>
      <c r="BG18" s="83">
        <f>IF(BG11&gt;0,0,IF(MAX($F$18:BF18)=$D$16,0,BF18+1))</f>
        <v>0</v>
      </c>
      <c r="BH18" s="83">
        <f>IF(BH11&gt;0,0,IF(MAX($F$18:BG18)=$D$16,0,BG18+1))</f>
        <v>0</v>
      </c>
      <c r="BI18" s="83">
        <f>IF(BI11&gt;0,0,IF(MAX($F$18:BH18)=$D$16,0,BH18+1))</f>
        <v>0</v>
      </c>
      <c r="BJ18" s="83">
        <f>IF(BJ11&gt;0,0,IF(MAX($F$18:BI18)=$D$16,0,BI18+1))</f>
        <v>0</v>
      </c>
    </row>
    <row r="19" spans="1:63" ht="11.25" customHeight="1" x14ac:dyDescent="0.25">
      <c r="A19" s="5"/>
      <c r="B19" s="6" t="s">
        <v>103</v>
      </c>
      <c r="C19" s="8" t="s">
        <v>50</v>
      </c>
      <c r="D19" s="176"/>
      <c r="E19" s="83">
        <f t="shared" si="7"/>
        <v>638542</v>
      </c>
      <c r="F19" s="302" t="s">
        <v>26</v>
      </c>
      <c r="G19" s="141">
        <f>IF(G18=0,,EOMONTH($D$14,(G18-1)*$D$15))</f>
        <v>0</v>
      </c>
      <c r="H19" s="141">
        <f>IF(H18=0,,EOMONTH($D$14,(H18-1)*$D$15))</f>
        <v>0</v>
      </c>
      <c r="I19" s="141">
        <f>IF(I18=0,,EOMONTH($D$14,(I18-1)*$D$15))</f>
        <v>45016</v>
      </c>
      <c r="J19" s="141">
        <f t="shared" ref="J19:BI19" si="9">IF(J18=0,,EOMONTH($D$14,(J18-1)*$D$15))</f>
        <v>45107</v>
      </c>
      <c r="K19" s="141">
        <f t="shared" si="9"/>
        <v>45199</v>
      </c>
      <c r="L19" s="141">
        <f t="shared" si="9"/>
        <v>45291</v>
      </c>
      <c r="M19" s="141">
        <f t="shared" si="9"/>
        <v>45382</v>
      </c>
      <c r="N19" s="141">
        <f t="shared" si="9"/>
        <v>45473</v>
      </c>
      <c r="O19" s="141">
        <f t="shared" si="9"/>
        <v>45565</v>
      </c>
      <c r="P19" s="141">
        <f t="shared" si="9"/>
        <v>45657</v>
      </c>
      <c r="Q19" s="141">
        <f t="shared" si="9"/>
        <v>45747</v>
      </c>
      <c r="R19" s="141">
        <f t="shared" si="9"/>
        <v>45838</v>
      </c>
      <c r="S19" s="141">
        <f t="shared" si="9"/>
        <v>45930</v>
      </c>
      <c r="T19" s="141">
        <f t="shared" si="9"/>
        <v>46022</v>
      </c>
      <c r="U19" s="141">
        <f t="shared" si="9"/>
        <v>46112</v>
      </c>
      <c r="V19" s="141">
        <f t="shared" si="9"/>
        <v>46203</v>
      </c>
      <c r="W19" s="141">
        <f t="shared" si="9"/>
        <v>0</v>
      </c>
      <c r="X19" s="141">
        <f t="shared" si="9"/>
        <v>0</v>
      </c>
      <c r="Y19" s="141">
        <f t="shared" si="9"/>
        <v>0</v>
      </c>
      <c r="Z19" s="141">
        <f t="shared" si="9"/>
        <v>0</v>
      </c>
      <c r="AA19" s="141">
        <f t="shared" si="9"/>
        <v>0</v>
      </c>
      <c r="AB19" s="141">
        <f t="shared" si="9"/>
        <v>0</v>
      </c>
      <c r="AC19" s="141">
        <f t="shared" si="9"/>
        <v>0</v>
      </c>
      <c r="AD19" s="141">
        <f t="shared" si="9"/>
        <v>0</v>
      </c>
      <c r="AE19" s="141">
        <f t="shared" si="9"/>
        <v>0</v>
      </c>
      <c r="AF19" s="141">
        <f t="shared" si="9"/>
        <v>0</v>
      </c>
      <c r="AG19" s="141">
        <f t="shared" si="9"/>
        <v>0</v>
      </c>
      <c r="AH19" s="141">
        <f t="shared" si="9"/>
        <v>0</v>
      </c>
      <c r="AI19" s="141">
        <f t="shared" si="9"/>
        <v>0</v>
      </c>
      <c r="AJ19" s="141">
        <f t="shared" si="9"/>
        <v>0</v>
      </c>
      <c r="AK19" s="141">
        <f t="shared" si="9"/>
        <v>0</v>
      </c>
      <c r="AL19" s="141">
        <f t="shared" si="9"/>
        <v>0</v>
      </c>
      <c r="AM19" s="141">
        <f t="shared" si="9"/>
        <v>0</v>
      </c>
      <c r="AN19" s="141">
        <f t="shared" si="9"/>
        <v>0</v>
      </c>
      <c r="AO19" s="141">
        <f t="shared" si="9"/>
        <v>0</v>
      </c>
      <c r="AP19" s="141">
        <f t="shared" si="9"/>
        <v>0</v>
      </c>
      <c r="AQ19" s="141">
        <f t="shared" si="9"/>
        <v>0</v>
      </c>
      <c r="AR19" s="141">
        <f t="shared" si="9"/>
        <v>0</v>
      </c>
      <c r="AS19" s="141">
        <f t="shared" si="9"/>
        <v>0</v>
      </c>
      <c r="AT19" s="141">
        <f t="shared" si="9"/>
        <v>0</v>
      </c>
      <c r="AU19" s="141">
        <f t="shared" si="9"/>
        <v>0</v>
      </c>
      <c r="AV19" s="141">
        <f t="shared" si="9"/>
        <v>0</v>
      </c>
      <c r="AW19" s="141">
        <f t="shared" si="9"/>
        <v>0</v>
      </c>
      <c r="AX19" s="141">
        <f t="shared" si="9"/>
        <v>0</v>
      </c>
      <c r="AY19" s="141">
        <f t="shared" si="9"/>
        <v>0</v>
      </c>
      <c r="AZ19" s="141">
        <f t="shared" si="9"/>
        <v>0</v>
      </c>
      <c r="BA19" s="141">
        <f t="shared" si="9"/>
        <v>0</v>
      </c>
      <c r="BB19" s="141">
        <f t="shared" si="9"/>
        <v>0</v>
      </c>
      <c r="BC19" s="141">
        <f t="shared" si="9"/>
        <v>0</v>
      </c>
      <c r="BD19" s="141">
        <f t="shared" si="9"/>
        <v>0</v>
      </c>
      <c r="BE19" s="141">
        <f t="shared" si="9"/>
        <v>0</v>
      </c>
      <c r="BF19" s="141">
        <f t="shared" si="9"/>
        <v>0</v>
      </c>
      <c r="BG19" s="141">
        <f t="shared" si="9"/>
        <v>0</v>
      </c>
      <c r="BH19" s="141">
        <f t="shared" si="9"/>
        <v>0</v>
      </c>
      <c r="BI19" s="141">
        <f t="shared" si="9"/>
        <v>0</v>
      </c>
      <c r="BJ19" s="141">
        <f t="shared" ref="BJ19" si="10">IF(BJ18=0,,EOMONTH($D$14,(BJ18-1)*$D$15))</f>
        <v>0</v>
      </c>
    </row>
    <row r="20" spans="1:63" ht="11.25" customHeight="1" x14ac:dyDescent="0.25">
      <c r="A20" s="5"/>
      <c r="B20" s="6"/>
      <c r="C20" s="8"/>
      <c r="D20" s="168"/>
      <c r="E20" s="83">
        <f t="shared" si="7"/>
        <v>0</v>
      </c>
      <c r="F20" s="302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</row>
    <row r="21" spans="1:63" ht="11.25" customHeight="1" x14ac:dyDescent="0.25">
      <c r="A21" s="5"/>
      <c r="B21" s="6" t="s">
        <v>322</v>
      </c>
      <c r="C21" s="8" t="s">
        <v>27</v>
      </c>
      <c r="D21" s="207">
        <f>Assumptions!D17</f>
        <v>46387</v>
      </c>
      <c r="E21" s="83">
        <f t="shared" si="7"/>
        <v>0</v>
      </c>
      <c r="F21" s="302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</row>
    <row r="22" spans="1:63" ht="11.25" customHeight="1" x14ac:dyDescent="0.25">
      <c r="A22" s="5"/>
      <c r="B22" s="6" t="s">
        <v>32</v>
      </c>
      <c r="C22" s="8" t="s">
        <v>28</v>
      </c>
      <c r="D22" s="255">
        <f>Assumptions!D18</f>
        <v>6</v>
      </c>
      <c r="E22" s="83">
        <f t="shared" si="7"/>
        <v>0</v>
      </c>
      <c r="F22" s="302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197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</row>
    <row r="23" spans="1:63" ht="11.25" customHeight="1" x14ac:dyDescent="0.25">
      <c r="A23" s="5"/>
      <c r="B23" s="6" t="s">
        <v>323</v>
      </c>
      <c r="C23" s="8" t="s">
        <v>15</v>
      </c>
      <c r="D23" s="255">
        <f>Assumptions!D19</f>
        <v>40</v>
      </c>
      <c r="E23" s="83">
        <f t="shared" si="7"/>
        <v>0</v>
      </c>
      <c r="F23" s="302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</row>
    <row r="24" spans="1:63" ht="11.25" customHeight="1" x14ac:dyDescent="0.25">
      <c r="A24" s="5"/>
      <c r="B24" s="6" t="s">
        <v>343</v>
      </c>
      <c r="C24" s="8" t="s">
        <v>27</v>
      </c>
      <c r="D24" s="257">
        <f>Assumptions!D20</f>
        <v>53508</v>
      </c>
      <c r="E24" s="83">
        <f t="shared" si="7"/>
        <v>0</v>
      </c>
      <c r="F24" s="302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</row>
    <row r="25" spans="1:63" ht="11.25" customHeight="1" x14ac:dyDescent="0.25">
      <c r="A25" s="5"/>
      <c r="B25" s="6" t="s">
        <v>359</v>
      </c>
      <c r="C25" s="8" t="s">
        <v>108</v>
      </c>
      <c r="D25" s="81"/>
      <c r="E25" s="83">
        <f t="shared" si="7"/>
        <v>820</v>
      </c>
      <c r="F25" s="302"/>
      <c r="G25" s="83">
        <f>IF(OR(G11&gt;0,G18&gt;0),0,IF(MAX($F$25:F25)&gt;$D$23,0,F25+1))</f>
        <v>0</v>
      </c>
      <c r="H25" s="83">
        <f>IF(OR(H11&gt;0,H18&gt;0),0,IF(MAX($F$25:G25)&gt;$D$23,0,G25+1))</f>
        <v>0</v>
      </c>
      <c r="I25" s="83">
        <f>IF(OR(I11&gt;0,I18&gt;0),0,IF(MAX($F$25:H25)&gt;$D$23,0,H25+1))</f>
        <v>0</v>
      </c>
      <c r="J25" s="83">
        <f>IF(OR(J11&gt;0,J18&gt;0),0,IF(MAX($F$25:I25)&gt;$D$23,0,I25+1))</f>
        <v>0</v>
      </c>
      <c r="K25" s="83">
        <f>IF(OR(K11&gt;0,K18&gt;0),0,IF(MAX($F$25:J25)&gt;$D$23,0,J25+1))</f>
        <v>0</v>
      </c>
      <c r="L25" s="83">
        <f>IF(OR(L11&gt;0,L18&gt;0),0,IF(MAX($F$25:K25)&gt;$D$23,0,K25+1))</f>
        <v>0</v>
      </c>
      <c r="M25" s="83">
        <f>IF(OR(M11&gt;0,M18&gt;0),0,IF(MAX($F$25:L25)&gt;$D$23,0,L25+1))</f>
        <v>0</v>
      </c>
      <c r="N25" s="83">
        <f>IF(OR(N11&gt;0,N18&gt;0),0,IF(MAX($F$25:M25)&gt;$D$23,0,M25+1))</f>
        <v>0</v>
      </c>
      <c r="O25" s="83">
        <f>IF(OR(O11&gt;0,O18&gt;0),0,IF(MAX($F$25:N25)&gt;$D$23,0,N25+1))</f>
        <v>0</v>
      </c>
      <c r="P25" s="83">
        <f>IF(OR(P11&gt;0,P18&gt;0),0,IF(MAX($F$25:O25)&gt;$D$23,0,O25+1))</f>
        <v>0</v>
      </c>
      <c r="Q25" s="83">
        <f>IF(OR(Q11&gt;0,Q18&gt;0),0,IF(MAX($F$25:P25)&gt;$D$23,0,P25+1))</f>
        <v>0</v>
      </c>
      <c r="R25" s="83">
        <f>IF(OR(R11&gt;0,R18&gt;0),0,IF(MAX($F$25:Q25)&gt;$D$23,0,Q25+1))</f>
        <v>0</v>
      </c>
      <c r="S25" s="83">
        <f>IF(OR(S11&gt;0,S18&gt;0),0,IF(MAX($F$25:R25)&gt;$D$23,0,R25+1))</f>
        <v>0</v>
      </c>
      <c r="T25" s="83">
        <f>IF(OR(T11&gt;0,T18&gt;0),0,IF(MAX($F$25:S25)&gt;$D$23,0,S25+1))</f>
        <v>0</v>
      </c>
      <c r="U25" s="83">
        <f>IF(OR(U11&gt;0,U18&gt;0),0,IF(MAX($F$25:T25)&gt;$D$23,0,T25+1))</f>
        <v>0</v>
      </c>
      <c r="V25" s="83">
        <f>IF(OR(V11&gt;0,V18&gt;0),0,IF(MAX($F$25:U25)&gt;$D$23,0,U25+1))</f>
        <v>0</v>
      </c>
      <c r="W25" s="83">
        <f>IF(OR(W11&gt;0,W18&gt;0),0,IF(MAX($F$25:V25)&gt;$D$23,0,V25+1))</f>
        <v>1</v>
      </c>
      <c r="X25" s="83">
        <f>IF(OR(X11&gt;0,X18&gt;0),0,IF(MAX($F$25:W25)&gt;$D$23,0,W25+1))</f>
        <v>2</v>
      </c>
      <c r="Y25" s="83">
        <f>IF(OR(Y11&gt;0,Y18&gt;0),0,IF(MAX($F$25:X25)&gt;$D$23,0,X25+1))</f>
        <v>3</v>
      </c>
      <c r="Z25" s="83">
        <f>IF(OR(Z11&gt;0,Z18&gt;0),0,IF(MAX($F$25:Y25)&gt;$D$23,0,Y25+1))</f>
        <v>4</v>
      </c>
      <c r="AA25" s="83">
        <f>IF(OR(AA11&gt;0,AA18&gt;0),0,IF(MAX($F$25:Z25)&gt;$D$23,0,Z25+1))</f>
        <v>5</v>
      </c>
      <c r="AB25" s="83">
        <f>IF(OR(AB11&gt;0,AB18&gt;0),0,IF(MAX($F$25:AA25)&gt;$D$23,0,AA25+1))</f>
        <v>6</v>
      </c>
      <c r="AC25" s="83">
        <f>IF(OR(AC11&gt;0,AC18&gt;0),0,IF(MAX($F$25:AB25)&gt;$D$23,0,AB25+1))</f>
        <v>7</v>
      </c>
      <c r="AD25" s="83">
        <f>IF(OR(AD11&gt;0,AD18&gt;0),0,IF(MAX($F$25:AC25)&gt;$D$23,0,AC25+1))</f>
        <v>8</v>
      </c>
      <c r="AE25" s="83">
        <f>IF(OR(AE11&gt;0,AE18&gt;0),0,IF(MAX($F$25:AD25)&gt;$D$23,0,AD25+1))</f>
        <v>9</v>
      </c>
      <c r="AF25" s="83">
        <f>IF(OR(AF11&gt;0,AF18&gt;0),0,IF(MAX($F$25:AE25)&gt;$D$23,0,AE25+1))</f>
        <v>10</v>
      </c>
      <c r="AG25" s="83">
        <f>IF(OR(AG11&gt;0,AG18&gt;0),0,IF(MAX($F$25:AF25)&gt;$D$23,0,AF25+1))</f>
        <v>11</v>
      </c>
      <c r="AH25" s="83">
        <f>IF(OR(AH11&gt;0,AH18&gt;0),0,IF(MAX($F$25:AG25)&gt;$D$23,0,AG25+1))</f>
        <v>12</v>
      </c>
      <c r="AI25" s="83">
        <f>IF(OR(AI11&gt;0,AI18&gt;0),0,IF(MAX($F$25:AH25)&gt;$D$23,0,AH25+1))</f>
        <v>13</v>
      </c>
      <c r="AJ25" s="83">
        <f>IF(OR(AJ11&gt;0,AJ18&gt;0),0,IF(MAX($F$25:AI25)&gt;$D$23,0,AI25+1))</f>
        <v>14</v>
      </c>
      <c r="AK25" s="83">
        <f>IF(OR(AK11&gt;0,AK18&gt;0),0,IF(MAX($F$25:AJ25)&gt;$D$23,0,AJ25+1))</f>
        <v>15</v>
      </c>
      <c r="AL25" s="83">
        <f>IF(OR(AL11&gt;0,AL18&gt;0),0,IF(MAX($F$25:AK25)&gt;$D$23,0,AK25+1))</f>
        <v>16</v>
      </c>
      <c r="AM25" s="83">
        <f>IF(OR(AM11&gt;0,AM18&gt;0),0,IF(MAX($F$25:AL25)&gt;$D$23,0,AL25+1))</f>
        <v>17</v>
      </c>
      <c r="AN25" s="83">
        <f>IF(OR(AN11&gt;0,AN18&gt;0),0,IF(MAX($F$25:AM25)&gt;$D$23,0,AM25+1))</f>
        <v>18</v>
      </c>
      <c r="AO25" s="83">
        <f>IF(OR(AO11&gt;0,AO18&gt;0),0,IF(MAX($F$25:AN25)&gt;$D$23,0,AN25+1))</f>
        <v>19</v>
      </c>
      <c r="AP25" s="83">
        <f>IF(OR(AP11&gt;0,AP18&gt;0),0,IF(MAX($F$25:AO25)&gt;$D$23,0,AO25+1))</f>
        <v>20</v>
      </c>
      <c r="AQ25" s="83">
        <f>IF(OR(AQ11&gt;0,AQ18&gt;0),0,IF(MAX($F$25:AP25)&gt;$D$23,0,AP25+1))</f>
        <v>21</v>
      </c>
      <c r="AR25" s="83">
        <f>IF(OR(AR11&gt;0,AR18&gt;0),0,IF(MAX($F$25:AQ25)&gt;$D$23,0,AQ25+1))</f>
        <v>22</v>
      </c>
      <c r="AS25" s="83">
        <f>IF(OR(AS11&gt;0,AS18&gt;0),0,IF(MAX($F$25:AR25)&gt;$D$23,0,AR25+1))</f>
        <v>23</v>
      </c>
      <c r="AT25" s="83">
        <f>IF(OR(AT11&gt;0,AT18&gt;0),0,IF(MAX($F$25:AS25)&gt;$D$23,0,AS25+1))</f>
        <v>24</v>
      </c>
      <c r="AU25" s="83">
        <f>IF(OR(AU11&gt;0,AU18&gt;0),0,IF(MAX($F$25:AT25)&gt;$D$23,0,AT25+1))</f>
        <v>25</v>
      </c>
      <c r="AV25" s="83">
        <f>IF(OR(AV11&gt;0,AV18&gt;0),0,IF(MAX($F$25:AU25)&gt;$D$23,0,AU25+1))</f>
        <v>26</v>
      </c>
      <c r="AW25" s="83">
        <f>IF(OR(AW11&gt;0,AW18&gt;0),0,IF(MAX($F$25:AV25)&gt;$D$23,0,AV25+1))</f>
        <v>27</v>
      </c>
      <c r="AX25" s="83">
        <f>IF(OR(AX11&gt;0,AX18&gt;0),0,IF(MAX($F$25:AW25)&gt;$D$23,0,AW25+1))</f>
        <v>28</v>
      </c>
      <c r="AY25" s="83">
        <f>IF(OR(AY11&gt;0,AY18&gt;0),0,IF(MAX($F$25:AX25)&gt;$D$23,0,AX25+1))</f>
        <v>29</v>
      </c>
      <c r="AZ25" s="83">
        <f>IF(OR(AZ11&gt;0,AZ18&gt;0),0,IF(MAX($F$25:AY25)&gt;$D$23,0,AY25+1))</f>
        <v>30</v>
      </c>
      <c r="BA25" s="83">
        <f>IF(OR(BA11&gt;0,BA18&gt;0),0,IF(MAX($F$25:AZ25)&gt;$D$23,0,AZ25+1))</f>
        <v>31</v>
      </c>
      <c r="BB25" s="83">
        <f>IF(OR(BB11&gt;0,BB18&gt;0),0,IF(MAX($F$25:BA25)&gt;$D$23,0,BA25+1))</f>
        <v>32</v>
      </c>
      <c r="BC25" s="83">
        <f>IF(OR(BC11&gt;0,BC18&gt;0),0,IF(MAX($F$25:BB25)&gt;$D$23,0,BB25+1))</f>
        <v>33</v>
      </c>
      <c r="BD25" s="83">
        <f>IF(OR(BD11&gt;0,BD18&gt;0),0,IF(MAX($F$25:BC25)&gt;$D$23,0,BC25+1))</f>
        <v>34</v>
      </c>
      <c r="BE25" s="83">
        <f>IF(OR(BE11&gt;0,BE18&gt;0),0,IF(MAX($F$25:BD25)&gt;$D$23,0,BD25+1))</f>
        <v>35</v>
      </c>
      <c r="BF25" s="83">
        <f>IF(OR(BF11&gt;0,BF18&gt;0),0,IF(MAX($F$25:BE25)&gt;$D$23,0,BE25+1))</f>
        <v>36</v>
      </c>
      <c r="BG25" s="83">
        <f>IF(OR(BG11&gt;0,BG18&gt;0),0,IF(MAX($F$25:BF25)&gt;$D$23,0,BF25+1))</f>
        <v>37</v>
      </c>
      <c r="BH25" s="83">
        <f>IF(OR(BH11&gt;0,BH18&gt;0),0,IF(MAX($F$25:BG25)&gt;$D$23,0,BG25+1))</f>
        <v>38</v>
      </c>
      <c r="BI25" s="83">
        <f>IF(OR(BI11&gt;0,BI18&gt;0),0,IF(MAX($F$25:BH25)&gt;$D$23,0,BH25+1))</f>
        <v>39</v>
      </c>
      <c r="BJ25" s="83">
        <f>IF(OR(BJ11&gt;0,BJ18&gt;0),0,IF(MAX($F$25:BI25)&gt;$D$23,0,BI25+1))</f>
        <v>40</v>
      </c>
    </row>
    <row r="26" spans="1:63" ht="11.25" customHeight="1" x14ac:dyDescent="0.25">
      <c r="A26" s="5"/>
      <c r="B26" s="6" t="s">
        <v>360</v>
      </c>
      <c r="C26" s="8" t="s">
        <v>101</v>
      </c>
      <c r="D26" s="81"/>
      <c r="E26" s="83">
        <f t="shared" si="7"/>
        <v>40</v>
      </c>
      <c r="F26" s="302" t="s">
        <v>26</v>
      </c>
      <c r="G26" s="83">
        <f>IF(G25&gt;0,1,0)</f>
        <v>0</v>
      </c>
      <c r="H26" s="83">
        <f t="shared" ref="H26:BI26" si="11">IF(H25&gt;0,1,0)</f>
        <v>0</v>
      </c>
      <c r="I26" s="83">
        <f t="shared" si="11"/>
        <v>0</v>
      </c>
      <c r="J26" s="83">
        <f t="shared" si="11"/>
        <v>0</v>
      </c>
      <c r="K26" s="83">
        <f t="shared" si="11"/>
        <v>0</v>
      </c>
      <c r="L26" s="83">
        <f t="shared" si="11"/>
        <v>0</v>
      </c>
      <c r="M26" s="83">
        <f t="shared" si="11"/>
        <v>0</v>
      </c>
      <c r="N26" s="83">
        <f t="shared" si="11"/>
        <v>0</v>
      </c>
      <c r="O26" s="83">
        <f t="shared" si="11"/>
        <v>0</v>
      </c>
      <c r="P26" s="83">
        <f t="shared" si="11"/>
        <v>0</v>
      </c>
      <c r="Q26" s="83">
        <f t="shared" si="11"/>
        <v>0</v>
      </c>
      <c r="R26" s="83">
        <f t="shared" si="11"/>
        <v>0</v>
      </c>
      <c r="S26" s="83">
        <f t="shared" si="11"/>
        <v>0</v>
      </c>
      <c r="T26" s="83">
        <f t="shared" si="11"/>
        <v>0</v>
      </c>
      <c r="U26" s="83">
        <f t="shared" si="11"/>
        <v>0</v>
      </c>
      <c r="V26" s="83">
        <f t="shared" si="11"/>
        <v>0</v>
      </c>
      <c r="W26" s="83">
        <f t="shared" si="11"/>
        <v>1</v>
      </c>
      <c r="X26" s="83">
        <f t="shared" si="11"/>
        <v>1</v>
      </c>
      <c r="Y26" s="83">
        <f t="shared" si="11"/>
        <v>1</v>
      </c>
      <c r="Z26" s="83">
        <f t="shared" si="11"/>
        <v>1</v>
      </c>
      <c r="AA26" s="83">
        <f t="shared" si="11"/>
        <v>1</v>
      </c>
      <c r="AB26" s="83">
        <f t="shared" si="11"/>
        <v>1</v>
      </c>
      <c r="AC26" s="83">
        <f t="shared" si="11"/>
        <v>1</v>
      </c>
      <c r="AD26" s="83">
        <f t="shared" si="11"/>
        <v>1</v>
      </c>
      <c r="AE26" s="83">
        <f t="shared" si="11"/>
        <v>1</v>
      </c>
      <c r="AF26" s="83">
        <f t="shared" si="11"/>
        <v>1</v>
      </c>
      <c r="AG26" s="83">
        <f t="shared" si="11"/>
        <v>1</v>
      </c>
      <c r="AH26" s="83">
        <f t="shared" si="11"/>
        <v>1</v>
      </c>
      <c r="AI26" s="83">
        <f t="shared" si="11"/>
        <v>1</v>
      </c>
      <c r="AJ26" s="83">
        <f t="shared" si="11"/>
        <v>1</v>
      </c>
      <c r="AK26" s="83">
        <f t="shared" si="11"/>
        <v>1</v>
      </c>
      <c r="AL26" s="83">
        <f t="shared" si="11"/>
        <v>1</v>
      </c>
      <c r="AM26" s="83">
        <f t="shared" si="11"/>
        <v>1</v>
      </c>
      <c r="AN26" s="83">
        <f t="shared" si="11"/>
        <v>1</v>
      </c>
      <c r="AO26" s="83">
        <f t="shared" si="11"/>
        <v>1</v>
      </c>
      <c r="AP26" s="83">
        <f t="shared" si="11"/>
        <v>1</v>
      </c>
      <c r="AQ26" s="83">
        <f t="shared" si="11"/>
        <v>1</v>
      </c>
      <c r="AR26" s="83">
        <f t="shared" si="11"/>
        <v>1</v>
      </c>
      <c r="AS26" s="83">
        <f t="shared" si="11"/>
        <v>1</v>
      </c>
      <c r="AT26" s="83">
        <f t="shared" si="11"/>
        <v>1</v>
      </c>
      <c r="AU26" s="83">
        <f t="shared" si="11"/>
        <v>1</v>
      </c>
      <c r="AV26" s="83">
        <f t="shared" si="11"/>
        <v>1</v>
      </c>
      <c r="AW26" s="83">
        <f t="shared" si="11"/>
        <v>1</v>
      </c>
      <c r="AX26" s="83">
        <f t="shared" si="11"/>
        <v>1</v>
      </c>
      <c r="AY26" s="83">
        <f t="shared" si="11"/>
        <v>1</v>
      </c>
      <c r="AZ26" s="83">
        <f t="shared" si="11"/>
        <v>1</v>
      </c>
      <c r="BA26" s="83">
        <f t="shared" si="11"/>
        <v>1</v>
      </c>
      <c r="BB26" s="83">
        <f t="shared" si="11"/>
        <v>1</v>
      </c>
      <c r="BC26" s="83">
        <f t="shared" si="11"/>
        <v>1</v>
      </c>
      <c r="BD26" s="83">
        <f t="shared" si="11"/>
        <v>1</v>
      </c>
      <c r="BE26" s="83">
        <f t="shared" si="11"/>
        <v>1</v>
      </c>
      <c r="BF26" s="83">
        <f t="shared" si="11"/>
        <v>1</v>
      </c>
      <c r="BG26" s="83">
        <f t="shared" si="11"/>
        <v>1</v>
      </c>
      <c r="BH26" s="83">
        <f t="shared" si="11"/>
        <v>1</v>
      </c>
      <c r="BI26" s="83">
        <f t="shared" si="11"/>
        <v>1</v>
      </c>
      <c r="BJ26" s="83">
        <f t="shared" ref="BJ26" si="12">IF(BJ25&gt;0,1,0)</f>
        <v>1</v>
      </c>
    </row>
    <row r="27" spans="1:63" ht="11.25" customHeight="1" x14ac:dyDescent="0.25">
      <c r="A27" s="5"/>
      <c r="B27" s="6" t="s">
        <v>344</v>
      </c>
      <c r="C27" s="8" t="s">
        <v>50</v>
      </c>
      <c r="D27" s="81"/>
      <c r="E27" s="83">
        <f t="shared" si="7"/>
        <v>1997905</v>
      </c>
      <c r="F27" s="302" t="s">
        <v>26</v>
      </c>
      <c r="G27" s="141">
        <f>IF(OR(G12&gt;0,G19&gt;0),0,EOMONTH($D$21,(G25-1)*$D$22))</f>
        <v>0</v>
      </c>
      <c r="H27" s="141">
        <f t="shared" ref="H27:BI27" si="13">IF(OR(H12&gt;0,H19&gt;0),0,EOMONTH($D$21,(H25-1)*$D$22))</f>
        <v>0</v>
      </c>
      <c r="I27" s="141">
        <f t="shared" si="13"/>
        <v>0</v>
      </c>
      <c r="J27" s="141">
        <f t="shared" si="13"/>
        <v>0</v>
      </c>
      <c r="K27" s="141">
        <f t="shared" si="13"/>
        <v>0</v>
      </c>
      <c r="L27" s="141">
        <f t="shared" si="13"/>
        <v>0</v>
      </c>
      <c r="M27" s="141">
        <f t="shared" si="13"/>
        <v>0</v>
      </c>
      <c r="N27" s="141">
        <f t="shared" si="13"/>
        <v>0</v>
      </c>
      <c r="O27" s="141">
        <f t="shared" si="13"/>
        <v>0</v>
      </c>
      <c r="P27" s="141">
        <f t="shared" si="13"/>
        <v>0</v>
      </c>
      <c r="Q27" s="141">
        <f t="shared" si="13"/>
        <v>0</v>
      </c>
      <c r="R27" s="141">
        <f t="shared" si="13"/>
        <v>0</v>
      </c>
      <c r="S27" s="141">
        <f t="shared" si="13"/>
        <v>0</v>
      </c>
      <c r="T27" s="141">
        <f t="shared" si="13"/>
        <v>0</v>
      </c>
      <c r="U27" s="141">
        <f t="shared" si="13"/>
        <v>0</v>
      </c>
      <c r="V27" s="141">
        <f t="shared" si="13"/>
        <v>0</v>
      </c>
      <c r="W27" s="141">
        <f t="shared" si="13"/>
        <v>46387</v>
      </c>
      <c r="X27" s="141">
        <f t="shared" si="13"/>
        <v>46568</v>
      </c>
      <c r="Y27" s="141">
        <f t="shared" si="13"/>
        <v>46752</v>
      </c>
      <c r="Z27" s="141">
        <f t="shared" si="13"/>
        <v>46934</v>
      </c>
      <c r="AA27" s="141">
        <f t="shared" si="13"/>
        <v>47118</v>
      </c>
      <c r="AB27" s="141">
        <f t="shared" si="13"/>
        <v>47299</v>
      </c>
      <c r="AC27" s="141">
        <f t="shared" si="13"/>
        <v>47483</v>
      </c>
      <c r="AD27" s="141">
        <f t="shared" si="13"/>
        <v>47664</v>
      </c>
      <c r="AE27" s="141">
        <f t="shared" si="13"/>
        <v>47848</v>
      </c>
      <c r="AF27" s="141">
        <f t="shared" si="13"/>
        <v>48029</v>
      </c>
      <c r="AG27" s="141">
        <f t="shared" si="13"/>
        <v>48213</v>
      </c>
      <c r="AH27" s="141">
        <f t="shared" si="13"/>
        <v>48395</v>
      </c>
      <c r="AI27" s="141">
        <f t="shared" si="13"/>
        <v>48579</v>
      </c>
      <c r="AJ27" s="141">
        <f t="shared" si="13"/>
        <v>48760</v>
      </c>
      <c r="AK27" s="141">
        <f t="shared" si="13"/>
        <v>48944</v>
      </c>
      <c r="AL27" s="141">
        <f t="shared" si="13"/>
        <v>49125</v>
      </c>
      <c r="AM27" s="141">
        <f t="shared" si="13"/>
        <v>49309</v>
      </c>
      <c r="AN27" s="141">
        <f t="shared" si="13"/>
        <v>49490</v>
      </c>
      <c r="AO27" s="141">
        <f t="shared" si="13"/>
        <v>49674</v>
      </c>
      <c r="AP27" s="141">
        <f t="shared" si="13"/>
        <v>49856</v>
      </c>
      <c r="AQ27" s="141">
        <f t="shared" si="13"/>
        <v>50040</v>
      </c>
      <c r="AR27" s="141">
        <f t="shared" si="13"/>
        <v>50221</v>
      </c>
      <c r="AS27" s="141">
        <f t="shared" si="13"/>
        <v>50405</v>
      </c>
      <c r="AT27" s="141">
        <f t="shared" si="13"/>
        <v>50586</v>
      </c>
      <c r="AU27" s="141">
        <f t="shared" si="13"/>
        <v>50770</v>
      </c>
      <c r="AV27" s="141">
        <f t="shared" si="13"/>
        <v>50951</v>
      </c>
      <c r="AW27" s="141">
        <f t="shared" si="13"/>
        <v>51135</v>
      </c>
      <c r="AX27" s="141">
        <f t="shared" si="13"/>
        <v>51317</v>
      </c>
      <c r="AY27" s="141">
        <f t="shared" si="13"/>
        <v>51501</v>
      </c>
      <c r="AZ27" s="141">
        <f t="shared" si="13"/>
        <v>51682</v>
      </c>
      <c r="BA27" s="141">
        <f t="shared" si="13"/>
        <v>51866</v>
      </c>
      <c r="BB27" s="141">
        <f t="shared" si="13"/>
        <v>52047</v>
      </c>
      <c r="BC27" s="141">
        <f t="shared" si="13"/>
        <v>52231</v>
      </c>
      <c r="BD27" s="141">
        <f t="shared" si="13"/>
        <v>52412</v>
      </c>
      <c r="BE27" s="141">
        <f t="shared" si="13"/>
        <v>52596</v>
      </c>
      <c r="BF27" s="141">
        <f t="shared" si="13"/>
        <v>52778</v>
      </c>
      <c r="BG27" s="141">
        <f t="shared" si="13"/>
        <v>52962</v>
      </c>
      <c r="BH27" s="141">
        <f t="shared" si="13"/>
        <v>53143</v>
      </c>
      <c r="BI27" s="141">
        <f t="shared" si="13"/>
        <v>53327</v>
      </c>
      <c r="BJ27" s="141">
        <f t="shared" ref="BJ27" si="14">IF(OR(BJ12&gt;0,BJ19&gt;0),0,EOMONTH($D$21,(BJ25-1)*$D$22))</f>
        <v>53508</v>
      </c>
    </row>
    <row r="28" spans="1:63" s="5" customFormat="1" ht="11.25" customHeight="1" x14ac:dyDescent="0.25">
      <c r="B28" s="6"/>
      <c r="C28" s="8"/>
      <c r="D28" s="81"/>
      <c r="E28" s="83">
        <f t="shared" si="7"/>
        <v>0</v>
      </c>
      <c r="F28" s="302"/>
      <c r="G28"/>
      <c r="BK28"/>
    </row>
    <row r="29" spans="1:63" ht="11.25" customHeight="1" x14ac:dyDescent="0.25">
      <c r="A29" s="5"/>
      <c r="B29" s="6" t="s">
        <v>342</v>
      </c>
      <c r="C29" s="8" t="s">
        <v>102</v>
      </c>
      <c r="D29" s="81"/>
      <c r="E29" s="83">
        <f t="shared" si="7"/>
        <v>24</v>
      </c>
      <c r="F29" s="302" t="s">
        <v>26</v>
      </c>
      <c r="G29" s="5">
        <f>IF(OR(G11&gt;0,G18&gt;0),0.25,0.5)</f>
        <v>0.25</v>
      </c>
      <c r="H29" s="5">
        <f t="shared" ref="H29:BI29" si="15">IF(OR(H11&gt;0,H18&gt;0),0.25,0.5)</f>
        <v>0.25</v>
      </c>
      <c r="I29" s="5">
        <f t="shared" si="15"/>
        <v>0.25</v>
      </c>
      <c r="J29" s="5">
        <f t="shared" si="15"/>
        <v>0.25</v>
      </c>
      <c r="K29" s="5">
        <f t="shared" si="15"/>
        <v>0.25</v>
      </c>
      <c r="L29" s="5">
        <f t="shared" si="15"/>
        <v>0.25</v>
      </c>
      <c r="M29" s="5">
        <f t="shared" si="15"/>
        <v>0.25</v>
      </c>
      <c r="N29" s="5">
        <f t="shared" si="15"/>
        <v>0.25</v>
      </c>
      <c r="O29" s="5">
        <f t="shared" si="15"/>
        <v>0.25</v>
      </c>
      <c r="P29" s="5">
        <f t="shared" si="15"/>
        <v>0.25</v>
      </c>
      <c r="Q29" s="5">
        <f t="shared" si="15"/>
        <v>0.25</v>
      </c>
      <c r="R29" s="5">
        <f t="shared" si="15"/>
        <v>0.25</v>
      </c>
      <c r="S29" s="5">
        <f t="shared" si="15"/>
        <v>0.25</v>
      </c>
      <c r="T29" s="5">
        <f t="shared" si="15"/>
        <v>0.25</v>
      </c>
      <c r="U29" s="5">
        <f t="shared" si="15"/>
        <v>0.25</v>
      </c>
      <c r="V29" s="5">
        <f t="shared" si="15"/>
        <v>0.25</v>
      </c>
      <c r="W29" s="5">
        <f t="shared" si="15"/>
        <v>0.5</v>
      </c>
      <c r="X29" s="5">
        <f t="shared" si="15"/>
        <v>0.5</v>
      </c>
      <c r="Y29" s="5">
        <f t="shared" si="15"/>
        <v>0.5</v>
      </c>
      <c r="Z29" s="5">
        <f t="shared" si="15"/>
        <v>0.5</v>
      </c>
      <c r="AA29" s="5">
        <f t="shared" si="15"/>
        <v>0.5</v>
      </c>
      <c r="AB29" s="5">
        <f t="shared" si="15"/>
        <v>0.5</v>
      </c>
      <c r="AC29" s="5">
        <f t="shared" si="15"/>
        <v>0.5</v>
      </c>
      <c r="AD29" s="5">
        <f t="shared" si="15"/>
        <v>0.5</v>
      </c>
      <c r="AE29" s="5">
        <f t="shared" si="15"/>
        <v>0.5</v>
      </c>
      <c r="AF29" s="5">
        <f t="shared" si="15"/>
        <v>0.5</v>
      </c>
      <c r="AG29" s="5">
        <f t="shared" si="15"/>
        <v>0.5</v>
      </c>
      <c r="AH29" s="5">
        <f t="shared" si="15"/>
        <v>0.5</v>
      </c>
      <c r="AI29" s="5">
        <f t="shared" si="15"/>
        <v>0.5</v>
      </c>
      <c r="AJ29" s="5">
        <f t="shared" si="15"/>
        <v>0.5</v>
      </c>
      <c r="AK29" s="5">
        <f t="shared" si="15"/>
        <v>0.5</v>
      </c>
      <c r="AL29" s="5">
        <f t="shared" si="15"/>
        <v>0.5</v>
      </c>
      <c r="AM29" s="5">
        <f t="shared" si="15"/>
        <v>0.5</v>
      </c>
      <c r="AN29" s="5">
        <f t="shared" si="15"/>
        <v>0.5</v>
      </c>
      <c r="AO29" s="5">
        <f t="shared" si="15"/>
        <v>0.5</v>
      </c>
      <c r="AP29" s="5">
        <f t="shared" si="15"/>
        <v>0.5</v>
      </c>
      <c r="AQ29" s="5">
        <f t="shared" si="15"/>
        <v>0.5</v>
      </c>
      <c r="AR29" s="5">
        <f t="shared" si="15"/>
        <v>0.5</v>
      </c>
      <c r="AS29" s="5">
        <f t="shared" si="15"/>
        <v>0.5</v>
      </c>
      <c r="AT29" s="5">
        <f t="shared" si="15"/>
        <v>0.5</v>
      </c>
      <c r="AU29" s="5">
        <f t="shared" si="15"/>
        <v>0.5</v>
      </c>
      <c r="AV29" s="5">
        <f t="shared" si="15"/>
        <v>0.5</v>
      </c>
      <c r="AW29" s="5">
        <f t="shared" si="15"/>
        <v>0.5</v>
      </c>
      <c r="AX29" s="5">
        <f t="shared" si="15"/>
        <v>0.5</v>
      </c>
      <c r="AY29" s="5">
        <f t="shared" si="15"/>
        <v>0.5</v>
      </c>
      <c r="AZ29" s="5">
        <f t="shared" si="15"/>
        <v>0.5</v>
      </c>
      <c r="BA29" s="5">
        <f t="shared" si="15"/>
        <v>0.5</v>
      </c>
      <c r="BB29" s="5">
        <f t="shared" si="15"/>
        <v>0.5</v>
      </c>
      <c r="BC29" s="5">
        <f t="shared" si="15"/>
        <v>0.5</v>
      </c>
      <c r="BD29" s="5">
        <f t="shared" si="15"/>
        <v>0.5</v>
      </c>
      <c r="BE29" s="5">
        <f t="shared" si="15"/>
        <v>0.5</v>
      </c>
      <c r="BF29" s="5">
        <f t="shared" si="15"/>
        <v>0.5</v>
      </c>
      <c r="BG29" s="5">
        <f t="shared" si="15"/>
        <v>0.5</v>
      </c>
      <c r="BH29" s="5">
        <f t="shared" si="15"/>
        <v>0.5</v>
      </c>
      <c r="BI29" s="5">
        <f t="shared" si="15"/>
        <v>0.5</v>
      </c>
      <c r="BJ29" s="5">
        <f t="shared" ref="BJ29" si="16">IF(OR(BJ11&gt;0,BJ18&gt;0),0.25,0.5)</f>
        <v>0.5</v>
      </c>
    </row>
    <row r="30" spans="1:63" ht="11.25" customHeight="1" x14ac:dyDescent="0.25">
      <c r="A30" s="5"/>
      <c r="B30" s="6"/>
      <c r="C30" s="8"/>
      <c r="D30" s="81"/>
      <c r="E30" s="83">
        <f t="shared" si="7"/>
        <v>0</v>
      </c>
      <c r="F30" s="302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</row>
    <row r="31" spans="1:63" ht="11.25" customHeight="1" x14ac:dyDescent="0.25">
      <c r="A31" s="3" t="s">
        <v>26</v>
      </c>
      <c r="B31" s="4" t="s">
        <v>321</v>
      </c>
      <c r="C31" s="8"/>
      <c r="D31" s="81"/>
      <c r="E31" s="83">
        <f t="shared" si="7"/>
        <v>0</v>
      </c>
      <c r="F31" s="302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</row>
    <row r="32" spans="1:63" ht="11.25" customHeight="1" x14ac:dyDescent="0.25">
      <c r="A32" s="5"/>
      <c r="B32" s="5" t="s">
        <v>55</v>
      </c>
      <c r="C32" s="7" t="s">
        <v>1</v>
      </c>
      <c r="D32" s="258">
        <f>Assumptions!D23</f>
        <v>305000</v>
      </c>
      <c r="E32" s="83">
        <f t="shared" si="7"/>
        <v>0</v>
      </c>
      <c r="F32" s="302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</row>
    <row r="33" spans="1:63" ht="11.25" customHeight="1" x14ac:dyDescent="0.25">
      <c r="A33" s="5"/>
      <c r="B33" s="5" t="s">
        <v>56</v>
      </c>
      <c r="C33" s="7" t="s">
        <v>1</v>
      </c>
      <c r="D33" s="258">
        <f>Assumptions!D24</f>
        <v>20000</v>
      </c>
      <c r="E33" s="83">
        <f t="shared" si="7"/>
        <v>0</v>
      </c>
      <c r="F33" s="302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</row>
    <row r="34" spans="1:63" ht="11.25" customHeight="1" x14ac:dyDescent="0.25">
      <c r="A34" s="5"/>
      <c r="B34" s="6" t="s">
        <v>33</v>
      </c>
      <c r="C34" s="7" t="s">
        <v>34</v>
      </c>
      <c r="D34" s="359">
        <f>Assumptions!D25</f>
        <v>0.16</v>
      </c>
      <c r="E34" s="83">
        <f t="shared" si="7"/>
        <v>0.16</v>
      </c>
      <c r="F34" s="302" t="s">
        <v>26</v>
      </c>
      <c r="G34" s="83">
        <f>IF(H19=$D$14,$D$34,)</f>
        <v>0</v>
      </c>
      <c r="H34" s="6">
        <f t="shared" ref="H34:BH34" si="17">IF(I19=$D$14,$D$34,)</f>
        <v>0.16</v>
      </c>
      <c r="I34" s="83">
        <f t="shared" si="17"/>
        <v>0</v>
      </c>
      <c r="J34" s="83">
        <f t="shared" si="17"/>
        <v>0</v>
      </c>
      <c r="K34" s="83">
        <f t="shared" si="17"/>
        <v>0</v>
      </c>
      <c r="L34" s="83">
        <f t="shared" si="17"/>
        <v>0</v>
      </c>
      <c r="M34" s="83">
        <f t="shared" si="17"/>
        <v>0</v>
      </c>
      <c r="N34" s="83">
        <f t="shared" si="17"/>
        <v>0</v>
      </c>
      <c r="O34" s="83">
        <f t="shared" si="17"/>
        <v>0</v>
      </c>
      <c r="P34" s="83">
        <f t="shared" si="17"/>
        <v>0</v>
      </c>
      <c r="Q34" s="83">
        <f t="shared" si="17"/>
        <v>0</v>
      </c>
      <c r="R34" s="83">
        <f t="shared" si="17"/>
        <v>0</v>
      </c>
      <c r="S34" s="83">
        <f t="shared" si="17"/>
        <v>0</v>
      </c>
      <c r="T34" s="83">
        <f t="shared" si="17"/>
        <v>0</v>
      </c>
      <c r="U34" s="83">
        <f t="shared" si="17"/>
        <v>0</v>
      </c>
      <c r="V34" s="83">
        <f t="shared" si="17"/>
        <v>0</v>
      </c>
      <c r="W34" s="83">
        <f t="shared" si="17"/>
        <v>0</v>
      </c>
      <c r="X34" s="83">
        <f t="shared" si="17"/>
        <v>0</v>
      </c>
      <c r="Y34" s="83">
        <f t="shared" si="17"/>
        <v>0</v>
      </c>
      <c r="Z34" s="83">
        <f t="shared" si="17"/>
        <v>0</v>
      </c>
      <c r="AA34" s="83">
        <f t="shared" si="17"/>
        <v>0</v>
      </c>
      <c r="AB34" s="83">
        <f t="shared" si="17"/>
        <v>0</v>
      </c>
      <c r="AC34" s="83">
        <f t="shared" si="17"/>
        <v>0</v>
      </c>
      <c r="AD34" s="83">
        <f t="shared" si="17"/>
        <v>0</v>
      </c>
      <c r="AE34" s="83">
        <f t="shared" si="17"/>
        <v>0</v>
      </c>
      <c r="AF34" s="83">
        <f t="shared" si="17"/>
        <v>0</v>
      </c>
      <c r="AG34" s="83">
        <f t="shared" si="17"/>
        <v>0</v>
      </c>
      <c r="AH34" s="83">
        <f t="shared" si="17"/>
        <v>0</v>
      </c>
      <c r="AI34" s="83">
        <f t="shared" si="17"/>
        <v>0</v>
      </c>
      <c r="AJ34" s="83">
        <f t="shared" si="17"/>
        <v>0</v>
      </c>
      <c r="AK34" s="83">
        <f t="shared" si="17"/>
        <v>0</v>
      </c>
      <c r="AL34" s="83">
        <f t="shared" si="17"/>
        <v>0</v>
      </c>
      <c r="AM34" s="83">
        <f t="shared" si="17"/>
        <v>0</v>
      </c>
      <c r="AN34" s="83">
        <f t="shared" si="17"/>
        <v>0</v>
      </c>
      <c r="AO34" s="83">
        <f t="shared" si="17"/>
        <v>0</v>
      </c>
      <c r="AP34" s="83">
        <f t="shared" si="17"/>
        <v>0</v>
      </c>
      <c r="AQ34" s="83">
        <f t="shared" si="17"/>
        <v>0</v>
      </c>
      <c r="AR34" s="83">
        <f t="shared" si="17"/>
        <v>0</v>
      </c>
      <c r="AS34" s="83">
        <f t="shared" si="17"/>
        <v>0</v>
      </c>
      <c r="AT34" s="83">
        <f t="shared" si="17"/>
        <v>0</v>
      </c>
      <c r="AU34" s="83">
        <f t="shared" si="17"/>
        <v>0</v>
      </c>
      <c r="AV34" s="83">
        <f t="shared" si="17"/>
        <v>0</v>
      </c>
      <c r="AW34" s="83">
        <f t="shared" si="17"/>
        <v>0</v>
      </c>
      <c r="AX34" s="83">
        <f t="shared" si="17"/>
        <v>0</v>
      </c>
      <c r="AY34" s="83">
        <f t="shared" si="17"/>
        <v>0</v>
      </c>
      <c r="AZ34" s="83">
        <f t="shared" si="17"/>
        <v>0</v>
      </c>
      <c r="BA34" s="83">
        <f t="shared" si="17"/>
        <v>0</v>
      </c>
      <c r="BB34" s="83">
        <f t="shared" si="17"/>
        <v>0</v>
      </c>
      <c r="BC34" s="83">
        <f t="shared" si="17"/>
        <v>0</v>
      </c>
      <c r="BD34" s="83">
        <f t="shared" si="17"/>
        <v>0</v>
      </c>
      <c r="BE34" s="83">
        <f t="shared" si="17"/>
        <v>0</v>
      </c>
      <c r="BF34" s="83">
        <f t="shared" si="17"/>
        <v>0</v>
      </c>
      <c r="BG34" s="83">
        <f t="shared" si="17"/>
        <v>0</v>
      </c>
      <c r="BH34" s="83">
        <f t="shared" si="17"/>
        <v>0</v>
      </c>
      <c r="BI34" s="83">
        <f>IF(BK19=$D$14,$D$34,)</f>
        <v>0</v>
      </c>
      <c r="BJ34" s="83">
        <f>IF(BL19=$D$14,$D$34,)</f>
        <v>0</v>
      </c>
    </row>
    <row r="35" spans="1:63" ht="11.25" customHeight="1" x14ac:dyDescent="0.25">
      <c r="A35" s="5"/>
      <c r="B35" s="6" t="s">
        <v>324</v>
      </c>
      <c r="C35" s="7"/>
      <c r="D35" s="81"/>
      <c r="E35" s="83">
        <f t="shared" si="7"/>
        <v>0</v>
      </c>
      <c r="F35" s="302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</row>
    <row r="36" spans="1:63" ht="11.25" customHeight="1" x14ac:dyDescent="0.25">
      <c r="A36" s="5"/>
      <c r="B36" s="132">
        <v>1</v>
      </c>
      <c r="C36" s="7" t="s">
        <v>34</v>
      </c>
      <c r="D36" s="359">
        <f>Assumptions!D27</f>
        <v>7.0000000000000007E-2</v>
      </c>
      <c r="E36" s="83">
        <f t="shared" si="7"/>
        <v>7.0000000000000007E-2</v>
      </c>
      <c r="F36" s="302" t="s">
        <v>26</v>
      </c>
      <c r="G36" s="83">
        <f>IF(G$18=$B36,$D36,)</f>
        <v>0</v>
      </c>
      <c r="H36" s="83">
        <f t="shared" ref="H36:BJ40" si="18">IF(H$18=$B36,$D36,)</f>
        <v>0</v>
      </c>
      <c r="I36" s="6">
        <f t="shared" si="18"/>
        <v>7.0000000000000007E-2</v>
      </c>
      <c r="J36" s="83">
        <f t="shared" si="18"/>
        <v>0</v>
      </c>
      <c r="K36" s="83">
        <f t="shared" si="18"/>
        <v>0</v>
      </c>
      <c r="L36" s="83">
        <f t="shared" si="18"/>
        <v>0</v>
      </c>
      <c r="M36" s="83">
        <f t="shared" si="18"/>
        <v>0</v>
      </c>
      <c r="N36" s="83">
        <f t="shared" si="18"/>
        <v>0</v>
      </c>
      <c r="O36" s="83">
        <f t="shared" si="18"/>
        <v>0</v>
      </c>
      <c r="P36" s="83">
        <f t="shared" si="18"/>
        <v>0</v>
      </c>
      <c r="Q36" s="83">
        <f t="shared" si="18"/>
        <v>0</v>
      </c>
      <c r="R36" s="83">
        <f t="shared" si="18"/>
        <v>0</v>
      </c>
      <c r="S36" s="83">
        <f t="shared" si="18"/>
        <v>0</v>
      </c>
      <c r="T36" s="83">
        <f t="shared" si="18"/>
        <v>0</v>
      </c>
      <c r="U36" s="83">
        <f t="shared" si="18"/>
        <v>0</v>
      </c>
      <c r="V36" s="83">
        <f t="shared" si="18"/>
        <v>0</v>
      </c>
      <c r="W36" s="83">
        <f t="shared" si="18"/>
        <v>0</v>
      </c>
      <c r="X36" s="83">
        <f t="shared" si="18"/>
        <v>0</v>
      </c>
      <c r="Y36" s="83">
        <f t="shared" si="18"/>
        <v>0</v>
      </c>
      <c r="Z36" s="83">
        <f t="shared" si="18"/>
        <v>0</v>
      </c>
      <c r="AA36" s="83">
        <f t="shared" si="18"/>
        <v>0</v>
      </c>
      <c r="AB36" s="83">
        <f t="shared" si="18"/>
        <v>0</v>
      </c>
      <c r="AC36" s="83">
        <f t="shared" si="18"/>
        <v>0</v>
      </c>
      <c r="AD36" s="83">
        <f t="shared" si="18"/>
        <v>0</v>
      </c>
      <c r="AE36" s="83">
        <f t="shared" si="18"/>
        <v>0</v>
      </c>
      <c r="AF36" s="83">
        <f t="shared" si="18"/>
        <v>0</v>
      </c>
      <c r="AG36" s="83">
        <f t="shared" si="18"/>
        <v>0</v>
      </c>
      <c r="AH36" s="83">
        <f t="shared" si="18"/>
        <v>0</v>
      </c>
      <c r="AI36" s="83">
        <f t="shared" si="18"/>
        <v>0</v>
      </c>
      <c r="AJ36" s="83">
        <f t="shared" si="18"/>
        <v>0</v>
      </c>
      <c r="AK36" s="83">
        <f t="shared" si="18"/>
        <v>0</v>
      </c>
      <c r="AL36" s="83">
        <f t="shared" si="18"/>
        <v>0</v>
      </c>
      <c r="AM36" s="83">
        <f t="shared" si="18"/>
        <v>0</v>
      </c>
      <c r="AN36" s="83">
        <f t="shared" si="18"/>
        <v>0</v>
      </c>
      <c r="AO36" s="83">
        <f t="shared" si="18"/>
        <v>0</v>
      </c>
      <c r="AP36" s="83">
        <f t="shared" si="18"/>
        <v>0</v>
      </c>
      <c r="AQ36" s="83">
        <f t="shared" si="18"/>
        <v>0</v>
      </c>
      <c r="AR36" s="83">
        <f t="shared" si="18"/>
        <v>0</v>
      </c>
      <c r="AS36" s="83">
        <f t="shared" si="18"/>
        <v>0</v>
      </c>
      <c r="AT36" s="83">
        <f t="shared" si="18"/>
        <v>0</v>
      </c>
      <c r="AU36" s="83">
        <f t="shared" si="18"/>
        <v>0</v>
      </c>
      <c r="AV36" s="83">
        <f t="shared" si="18"/>
        <v>0</v>
      </c>
      <c r="AW36" s="83">
        <f t="shared" si="18"/>
        <v>0</v>
      </c>
      <c r="AX36" s="83">
        <f t="shared" si="18"/>
        <v>0</v>
      </c>
      <c r="AY36" s="83">
        <f t="shared" si="18"/>
        <v>0</v>
      </c>
      <c r="AZ36" s="83">
        <f t="shared" si="18"/>
        <v>0</v>
      </c>
      <c r="BA36" s="83">
        <f t="shared" si="18"/>
        <v>0</v>
      </c>
      <c r="BB36" s="83">
        <f t="shared" si="18"/>
        <v>0</v>
      </c>
      <c r="BC36" s="83">
        <f t="shared" si="18"/>
        <v>0</v>
      </c>
      <c r="BD36" s="83">
        <f t="shared" si="18"/>
        <v>0</v>
      </c>
      <c r="BE36" s="83">
        <f t="shared" si="18"/>
        <v>0</v>
      </c>
      <c r="BF36" s="83">
        <f t="shared" si="18"/>
        <v>0</v>
      </c>
      <c r="BG36" s="83">
        <f t="shared" si="18"/>
        <v>0</v>
      </c>
      <c r="BH36" s="83">
        <f t="shared" si="18"/>
        <v>0</v>
      </c>
      <c r="BI36" s="83">
        <f t="shared" si="18"/>
        <v>0</v>
      </c>
      <c r="BJ36" s="83">
        <f t="shared" si="18"/>
        <v>0</v>
      </c>
    </row>
    <row r="37" spans="1:63" ht="11.25" customHeight="1" x14ac:dyDescent="0.25">
      <c r="A37" s="5"/>
      <c r="B37" s="132">
        <v>2</v>
      </c>
      <c r="C37" s="7" t="s">
        <v>34</v>
      </c>
      <c r="D37" s="359">
        <f>Assumptions!D28</f>
        <v>0.08</v>
      </c>
      <c r="E37" s="83">
        <f t="shared" si="7"/>
        <v>0.08</v>
      </c>
      <c r="F37" s="302" t="s">
        <v>26</v>
      </c>
      <c r="G37" s="83">
        <f>IF(G$18=$B37,$D37,)</f>
        <v>0</v>
      </c>
      <c r="H37" s="83">
        <f t="shared" si="18"/>
        <v>0</v>
      </c>
      <c r="I37" s="83">
        <f t="shared" si="18"/>
        <v>0</v>
      </c>
      <c r="J37" s="6">
        <f t="shared" si="18"/>
        <v>0.08</v>
      </c>
      <c r="K37" s="83">
        <f t="shared" si="18"/>
        <v>0</v>
      </c>
      <c r="L37" s="83">
        <f t="shared" si="18"/>
        <v>0</v>
      </c>
      <c r="M37" s="83">
        <f t="shared" si="18"/>
        <v>0</v>
      </c>
      <c r="N37" s="83">
        <f t="shared" si="18"/>
        <v>0</v>
      </c>
      <c r="O37" s="83">
        <f t="shared" si="18"/>
        <v>0</v>
      </c>
      <c r="P37" s="83">
        <f t="shared" si="18"/>
        <v>0</v>
      </c>
      <c r="Q37" s="83">
        <f t="shared" si="18"/>
        <v>0</v>
      </c>
      <c r="R37" s="83">
        <f t="shared" si="18"/>
        <v>0</v>
      </c>
      <c r="S37" s="83">
        <f t="shared" si="18"/>
        <v>0</v>
      </c>
      <c r="T37" s="83">
        <f t="shared" si="18"/>
        <v>0</v>
      </c>
      <c r="U37" s="83">
        <f t="shared" si="18"/>
        <v>0</v>
      </c>
      <c r="V37" s="83">
        <f t="shared" si="18"/>
        <v>0</v>
      </c>
      <c r="W37" s="83">
        <f t="shared" si="18"/>
        <v>0</v>
      </c>
      <c r="X37" s="83">
        <f t="shared" si="18"/>
        <v>0</v>
      </c>
      <c r="Y37" s="83">
        <f t="shared" si="18"/>
        <v>0</v>
      </c>
      <c r="Z37" s="83">
        <f t="shared" si="18"/>
        <v>0</v>
      </c>
      <c r="AA37" s="83">
        <f t="shared" si="18"/>
        <v>0</v>
      </c>
      <c r="AB37" s="83">
        <f t="shared" si="18"/>
        <v>0</v>
      </c>
      <c r="AC37" s="83">
        <f t="shared" si="18"/>
        <v>0</v>
      </c>
      <c r="AD37" s="83">
        <f t="shared" si="18"/>
        <v>0</v>
      </c>
      <c r="AE37" s="83">
        <f t="shared" si="18"/>
        <v>0</v>
      </c>
      <c r="AF37" s="83">
        <f t="shared" si="18"/>
        <v>0</v>
      </c>
      <c r="AG37" s="83">
        <f t="shared" si="18"/>
        <v>0</v>
      </c>
      <c r="AH37" s="83">
        <f t="shared" si="18"/>
        <v>0</v>
      </c>
      <c r="AI37" s="83">
        <f t="shared" si="18"/>
        <v>0</v>
      </c>
      <c r="AJ37" s="83">
        <f t="shared" si="18"/>
        <v>0</v>
      </c>
      <c r="AK37" s="83">
        <f t="shared" si="18"/>
        <v>0</v>
      </c>
      <c r="AL37" s="83">
        <f t="shared" si="18"/>
        <v>0</v>
      </c>
      <c r="AM37" s="83">
        <f t="shared" si="18"/>
        <v>0</v>
      </c>
      <c r="AN37" s="83">
        <f t="shared" si="18"/>
        <v>0</v>
      </c>
      <c r="AO37" s="83">
        <f t="shared" si="18"/>
        <v>0</v>
      </c>
      <c r="AP37" s="83">
        <f t="shared" si="18"/>
        <v>0</v>
      </c>
      <c r="AQ37" s="83">
        <f t="shared" si="18"/>
        <v>0</v>
      </c>
      <c r="AR37" s="83">
        <f t="shared" si="18"/>
        <v>0</v>
      </c>
      <c r="AS37" s="83">
        <f t="shared" si="18"/>
        <v>0</v>
      </c>
      <c r="AT37" s="83">
        <f t="shared" si="18"/>
        <v>0</v>
      </c>
      <c r="AU37" s="83">
        <f t="shared" si="18"/>
        <v>0</v>
      </c>
      <c r="AV37" s="83">
        <f t="shared" si="18"/>
        <v>0</v>
      </c>
      <c r="AW37" s="83">
        <f t="shared" si="18"/>
        <v>0</v>
      </c>
      <c r="AX37" s="83">
        <f t="shared" si="18"/>
        <v>0</v>
      </c>
      <c r="AY37" s="83">
        <f t="shared" si="18"/>
        <v>0</v>
      </c>
      <c r="AZ37" s="83">
        <f t="shared" si="18"/>
        <v>0</v>
      </c>
      <c r="BA37" s="83">
        <f t="shared" si="18"/>
        <v>0</v>
      </c>
      <c r="BB37" s="83">
        <f t="shared" si="18"/>
        <v>0</v>
      </c>
      <c r="BC37" s="83">
        <f t="shared" si="18"/>
        <v>0</v>
      </c>
      <c r="BD37" s="83">
        <f t="shared" si="18"/>
        <v>0</v>
      </c>
      <c r="BE37" s="83">
        <f t="shared" si="18"/>
        <v>0</v>
      </c>
      <c r="BF37" s="83">
        <f t="shared" si="18"/>
        <v>0</v>
      </c>
      <c r="BG37" s="83">
        <f t="shared" si="18"/>
        <v>0</v>
      </c>
      <c r="BH37" s="83">
        <f t="shared" si="18"/>
        <v>0</v>
      </c>
      <c r="BI37" s="83">
        <f t="shared" si="18"/>
        <v>0</v>
      </c>
      <c r="BJ37" s="83">
        <f t="shared" si="18"/>
        <v>0</v>
      </c>
    </row>
    <row r="38" spans="1:63" ht="11.25" customHeight="1" x14ac:dyDescent="0.25">
      <c r="A38" s="5"/>
      <c r="B38" s="132">
        <v>3</v>
      </c>
      <c r="C38" s="7" t="s">
        <v>34</v>
      </c>
      <c r="D38" s="359">
        <f>Assumptions!D29</f>
        <v>0.06</v>
      </c>
      <c r="E38" s="83">
        <f t="shared" si="7"/>
        <v>0.06</v>
      </c>
      <c r="F38" s="302" t="s">
        <v>26</v>
      </c>
      <c r="G38" s="83">
        <f t="shared" ref="G38:V49" si="19">IF(G$18=$B38,$D38,)</f>
        <v>0</v>
      </c>
      <c r="H38" s="83">
        <f t="shared" si="18"/>
        <v>0</v>
      </c>
      <c r="I38" s="83">
        <f t="shared" si="18"/>
        <v>0</v>
      </c>
      <c r="J38" s="83">
        <f t="shared" si="18"/>
        <v>0</v>
      </c>
      <c r="K38" s="6">
        <f t="shared" si="18"/>
        <v>0.06</v>
      </c>
      <c r="L38" s="83">
        <f t="shared" si="18"/>
        <v>0</v>
      </c>
      <c r="M38" s="83">
        <f t="shared" si="18"/>
        <v>0</v>
      </c>
      <c r="N38" s="83">
        <f t="shared" si="18"/>
        <v>0</v>
      </c>
      <c r="O38" s="83">
        <f t="shared" si="18"/>
        <v>0</v>
      </c>
      <c r="P38" s="83">
        <f t="shared" si="18"/>
        <v>0</v>
      </c>
      <c r="Q38" s="83">
        <f t="shared" si="18"/>
        <v>0</v>
      </c>
      <c r="R38" s="83">
        <f t="shared" si="18"/>
        <v>0</v>
      </c>
      <c r="S38" s="83">
        <f t="shared" si="18"/>
        <v>0</v>
      </c>
      <c r="T38" s="83">
        <f t="shared" si="18"/>
        <v>0</v>
      </c>
      <c r="U38" s="83">
        <f t="shared" si="18"/>
        <v>0</v>
      </c>
      <c r="V38" s="83">
        <f t="shared" si="18"/>
        <v>0</v>
      </c>
      <c r="W38" s="83">
        <f t="shared" si="18"/>
        <v>0</v>
      </c>
      <c r="X38" s="83">
        <f t="shared" si="18"/>
        <v>0</v>
      </c>
      <c r="Y38" s="83">
        <f t="shared" si="18"/>
        <v>0</v>
      </c>
      <c r="Z38" s="83">
        <f t="shared" si="18"/>
        <v>0</v>
      </c>
      <c r="AA38" s="83">
        <f t="shared" si="18"/>
        <v>0</v>
      </c>
      <c r="AB38" s="83">
        <f t="shared" si="18"/>
        <v>0</v>
      </c>
      <c r="AC38" s="83">
        <f t="shared" si="18"/>
        <v>0</v>
      </c>
      <c r="AD38" s="83">
        <f t="shared" si="18"/>
        <v>0</v>
      </c>
      <c r="AE38" s="83">
        <f t="shared" si="18"/>
        <v>0</v>
      </c>
      <c r="AF38" s="83">
        <f t="shared" si="18"/>
        <v>0</v>
      </c>
      <c r="AG38" s="83">
        <f t="shared" si="18"/>
        <v>0</v>
      </c>
      <c r="AH38" s="83">
        <f t="shared" si="18"/>
        <v>0</v>
      </c>
      <c r="AI38" s="83">
        <f t="shared" si="18"/>
        <v>0</v>
      </c>
      <c r="AJ38" s="83">
        <f t="shared" si="18"/>
        <v>0</v>
      </c>
      <c r="AK38" s="83">
        <f t="shared" si="18"/>
        <v>0</v>
      </c>
      <c r="AL38" s="83">
        <f t="shared" si="18"/>
        <v>0</v>
      </c>
      <c r="AM38" s="83">
        <f t="shared" si="18"/>
        <v>0</v>
      </c>
      <c r="AN38" s="83">
        <f t="shared" si="18"/>
        <v>0</v>
      </c>
      <c r="AO38" s="83">
        <f t="shared" si="18"/>
        <v>0</v>
      </c>
      <c r="AP38" s="83">
        <f t="shared" si="18"/>
        <v>0</v>
      </c>
      <c r="AQ38" s="83">
        <f t="shared" si="18"/>
        <v>0</v>
      </c>
      <c r="AR38" s="83">
        <f t="shared" si="18"/>
        <v>0</v>
      </c>
      <c r="AS38" s="83">
        <f t="shared" si="18"/>
        <v>0</v>
      </c>
      <c r="AT38" s="83">
        <f t="shared" si="18"/>
        <v>0</v>
      </c>
      <c r="AU38" s="83">
        <f t="shared" si="18"/>
        <v>0</v>
      </c>
      <c r="AV38" s="83">
        <f t="shared" si="18"/>
        <v>0</v>
      </c>
      <c r="AW38" s="83">
        <f t="shared" si="18"/>
        <v>0</v>
      </c>
      <c r="AX38" s="83">
        <f t="shared" si="18"/>
        <v>0</v>
      </c>
      <c r="AY38" s="83">
        <f t="shared" si="18"/>
        <v>0</v>
      </c>
      <c r="AZ38" s="83">
        <f t="shared" si="18"/>
        <v>0</v>
      </c>
      <c r="BA38" s="83">
        <f t="shared" si="18"/>
        <v>0</v>
      </c>
      <c r="BB38" s="83">
        <f t="shared" si="18"/>
        <v>0</v>
      </c>
      <c r="BC38" s="83">
        <f t="shared" si="18"/>
        <v>0</v>
      </c>
      <c r="BD38" s="83">
        <f t="shared" si="18"/>
        <v>0</v>
      </c>
      <c r="BE38" s="83">
        <f t="shared" si="18"/>
        <v>0</v>
      </c>
      <c r="BF38" s="83">
        <f t="shared" si="18"/>
        <v>0</v>
      </c>
      <c r="BG38" s="83">
        <f t="shared" si="18"/>
        <v>0</v>
      </c>
      <c r="BH38" s="83">
        <f t="shared" si="18"/>
        <v>0</v>
      </c>
      <c r="BI38" s="83">
        <f t="shared" si="18"/>
        <v>0</v>
      </c>
      <c r="BJ38" s="83">
        <f t="shared" si="18"/>
        <v>0</v>
      </c>
    </row>
    <row r="39" spans="1:63" ht="11.25" customHeight="1" x14ac:dyDescent="0.25">
      <c r="A39" s="5"/>
      <c r="B39" s="132">
        <v>4</v>
      </c>
      <c r="C39" s="7" t="s">
        <v>34</v>
      </c>
      <c r="D39" s="359">
        <f>Assumptions!D30</f>
        <v>0.03</v>
      </c>
      <c r="E39" s="83">
        <f t="shared" si="7"/>
        <v>0.03</v>
      </c>
      <c r="F39" s="302" t="s">
        <v>26</v>
      </c>
      <c r="G39" s="83">
        <f t="shared" si="19"/>
        <v>0</v>
      </c>
      <c r="H39" s="83">
        <f t="shared" si="18"/>
        <v>0</v>
      </c>
      <c r="I39" s="83">
        <f t="shared" si="18"/>
        <v>0</v>
      </c>
      <c r="J39" s="83">
        <f t="shared" si="18"/>
        <v>0</v>
      </c>
      <c r="K39" s="83">
        <f t="shared" si="18"/>
        <v>0</v>
      </c>
      <c r="L39" s="6">
        <f t="shared" si="18"/>
        <v>0.03</v>
      </c>
      <c r="M39" s="83">
        <f t="shared" si="18"/>
        <v>0</v>
      </c>
      <c r="N39" s="83">
        <f t="shared" si="18"/>
        <v>0</v>
      </c>
      <c r="O39" s="83">
        <f t="shared" si="18"/>
        <v>0</v>
      </c>
      <c r="P39" s="83">
        <f t="shared" si="18"/>
        <v>0</v>
      </c>
      <c r="Q39" s="83">
        <f t="shared" si="18"/>
        <v>0</v>
      </c>
      <c r="R39" s="83">
        <f t="shared" si="18"/>
        <v>0</v>
      </c>
      <c r="S39" s="83">
        <f t="shared" si="18"/>
        <v>0</v>
      </c>
      <c r="T39" s="83">
        <f t="shared" si="18"/>
        <v>0</v>
      </c>
      <c r="U39" s="83">
        <f t="shared" si="18"/>
        <v>0</v>
      </c>
      <c r="V39" s="83">
        <f t="shared" si="18"/>
        <v>0</v>
      </c>
      <c r="W39" s="83">
        <f t="shared" si="18"/>
        <v>0</v>
      </c>
      <c r="X39" s="83">
        <f t="shared" si="18"/>
        <v>0</v>
      </c>
      <c r="Y39" s="83">
        <f t="shared" si="18"/>
        <v>0</v>
      </c>
      <c r="Z39" s="83">
        <f t="shared" si="18"/>
        <v>0</v>
      </c>
      <c r="AA39" s="83">
        <f t="shared" si="18"/>
        <v>0</v>
      </c>
      <c r="AB39" s="83">
        <f t="shared" si="18"/>
        <v>0</v>
      </c>
      <c r="AC39" s="83">
        <f t="shared" si="18"/>
        <v>0</v>
      </c>
      <c r="AD39" s="83">
        <f t="shared" si="18"/>
        <v>0</v>
      </c>
      <c r="AE39" s="83">
        <f t="shared" si="18"/>
        <v>0</v>
      </c>
      <c r="AF39" s="83">
        <f t="shared" si="18"/>
        <v>0</v>
      </c>
      <c r="AG39" s="83">
        <f t="shared" si="18"/>
        <v>0</v>
      </c>
      <c r="AH39" s="83">
        <f t="shared" si="18"/>
        <v>0</v>
      </c>
      <c r="AI39" s="83">
        <f t="shared" si="18"/>
        <v>0</v>
      </c>
      <c r="AJ39" s="83">
        <f t="shared" si="18"/>
        <v>0</v>
      </c>
      <c r="AK39" s="83">
        <f t="shared" si="18"/>
        <v>0</v>
      </c>
      <c r="AL39" s="83">
        <f t="shared" si="18"/>
        <v>0</v>
      </c>
      <c r="AM39" s="83">
        <f t="shared" si="18"/>
        <v>0</v>
      </c>
      <c r="AN39" s="83">
        <f t="shared" si="18"/>
        <v>0</v>
      </c>
      <c r="AO39" s="83">
        <f t="shared" si="18"/>
        <v>0</v>
      </c>
      <c r="AP39" s="83">
        <f t="shared" si="18"/>
        <v>0</v>
      </c>
      <c r="AQ39" s="83">
        <f t="shared" si="18"/>
        <v>0</v>
      </c>
      <c r="AR39" s="83">
        <f t="shared" si="18"/>
        <v>0</v>
      </c>
      <c r="AS39" s="83">
        <f t="shared" si="18"/>
        <v>0</v>
      </c>
      <c r="AT39" s="83">
        <f t="shared" si="18"/>
        <v>0</v>
      </c>
      <c r="AU39" s="83">
        <f t="shared" si="18"/>
        <v>0</v>
      </c>
      <c r="AV39" s="83">
        <f t="shared" si="18"/>
        <v>0</v>
      </c>
      <c r="AW39" s="83">
        <f t="shared" si="18"/>
        <v>0</v>
      </c>
      <c r="AX39" s="83">
        <f t="shared" si="18"/>
        <v>0</v>
      </c>
      <c r="AY39" s="83">
        <f t="shared" si="18"/>
        <v>0</v>
      </c>
      <c r="AZ39" s="83">
        <f t="shared" si="18"/>
        <v>0</v>
      </c>
      <c r="BA39" s="83">
        <f t="shared" si="18"/>
        <v>0</v>
      </c>
      <c r="BB39" s="83">
        <f t="shared" si="18"/>
        <v>0</v>
      </c>
      <c r="BC39" s="83">
        <f t="shared" si="18"/>
        <v>0</v>
      </c>
      <c r="BD39" s="83">
        <f t="shared" si="18"/>
        <v>0</v>
      </c>
      <c r="BE39" s="83">
        <f t="shared" si="18"/>
        <v>0</v>
      </c>
      <c r="BF39" s="83">
        <f t="shared" si="18"/>
        <v>0</v>
      </c>
      <c r="BG39" s="83">
        <f t="shared" si="18"/>
        <v>0</v>
      </c>
      <c r="BH39" s="83">
        <f t="shared" si="18"/>
        <v>0</v>
      </c>
      <c r="BI39" s="83">
        <f t="shared" si="18"/>
        <v>0</v>
      </c>
      <c r="BJ39" s="83">
        <f t="shared" si="18"/>
        <v>0</v>
      </c>
    </row>
    <row r="40" spans="1:63" ht="11.25" customHeight="1" x14ac:dyDescent="0.25">
      <c r="A40" s="5"/>
      <c r="B40" s="132">
        <v>5</v>
      </c>
      <c r="C40" s="7" t="s">
        <v>34</v>
      </c>
      <c r="D40" s="359">
        <f>Assumptions!D31</f>
        <v>7.0000000000000007E-2</v>
      </c>
      <c r="E40" s="83">
        <f t="shared" si="7"/>
        <v>7.0000000000000007E-2</v>
      </c>
      <c r="F40" s="302" t="s">
        <v>26</v>
      </c>
      <c r="G40" s="83">
        <f t="shared" si="19"/>
        <v>0</v>
      </c>
      <c r="H40" s="83">
        <f t="shared" si="18"/>
        <v>0</v>
      </c>
      <c r="I40" s="83">
        <f t="shared" si="18"/>
        <v>0</v>
      </c>
      <c r="J40" s="83">
        <f t="shared" si="18"/>
        <v>0</v>
      </c>
      <c r="K40" s="83">
        <f t="shared" si="18"/>
        <v>0</v>
      </c>
      <c r="L40" s="83">
        <f t="shared" si="18"/>
        <v>0</v>
      </c>
      <c r="M40" s="6">
        <f t="shared" si="18"/>
        <v>7.0000000000000007E-2</v>
      </c>
      <c r="N40" s="83">
        <f t="shared" si="18"/>
        <v>0</v>
      </c>
      <c r="O40" s="83">
        <f t="shared" si="18"/>
        <v>0</v>
      </c>
      <c r="P40" s="83">
        <f t="shared" si="18"/>
        <v>0</v>
      </c>
      <c r="Q40" s="83">
        <f t="shared" si="18"/>
        <v>0</v>
      </c>
      <c r="R40" s="83">
        <f t="shared" si="18"/>
        <v>0</v>
      </c>
      <c r="S40" s="83">
        <f t="shared" si="18"/>
        <v>0</v>
      </c>
      <c r="T40" s="83">
        <f t="shared" si="18"/>
        <v>0</v>
      </c>
      <c r="U40" s="83">
        <f t="shared" si="18"/>
        <v>0</v>
      </c>
      <c r="V40" s="83">
        <f t="shared" si="18"/>
        <v>0</v>
      </c>
      <c r="W40" s="83">
        <f t="shared" si="18"/>
        <v>0</v>
      </c>
      <c r="X40" s="83">
        <f t="shared" si="18"/>
        <v>0</v>
      </c>
      <c r="Y40" s="83">
        <f t="shared" si="18"/>
        <v>0</v>
      </c>
      <c r="Z40" s="83">
        <f t="shared" si="18"/>
        <v>0</v>
      </c>
      <c r="AA40" s="83">
        <f t="shared" si="18"/>
        <v>0</v>
      </c>
      <c r="AB40" s="83">
        <f t="shared" si="18"/>
        <v>0</v>
      </c>
      <c r="AC40" s="83">
        <f t="shared" si="18"/>
        <v>0</v>
      </c>
      <c r="AD40" s="83">
        <f t="shared" si="18"/>
        <v>0</v>
      </c>
      <c r="AE40" s="83">
        <f t="shared" si="18"/>
        <v>0</v>
      </c>
      <c r="AF40" s="83">
        <f t="shared" si="18"/>
        <v>0</v>
      </c>
      <c r="AG40" s="83">
        <f t="shared" si="18"/>
        <v>0</v>
      </c>
      <c r="AH40" s="83">
        <f t="shared" si="18"/>
        <v>0</v>
      </c>
      <c r="AI40" s="83">
        <f t="shared" si="18"/>
        <v>0</v>
      </c>
      <c r="AJ40" s="83">
        <f t="shared" si="18"/>
        <v>0</v>
      </c>
      <c r="AK40" s="83">
        <f t="shared" si="18"/>
        <v>0</v>
      </c>
      <c r="AL40" s="83">
        <f t="shared" si="18"/>
        <v>0</v>
      </c>
      <c r="AM40" s="83">
        <f t="shared" si="18"/>
        <v>0</v>
      </c>
      <c r="AN40" s="83">
        <f t="shared" si="18"/>
        <v>0</v>
      </c>
      <c r="AO40" s="83">
        <f t="shared" si="18"/>
        <v>0</v>
      </c>
      <c r="AP40" s="83">
        <f t="shared" si="18"/>
        <v>0</v>
      </c>
      <c r="AQ40" s="83">
        <f t="shared" ref="AQ40:BF49" si="20">IF(AQ$18=$B40,$D40,)</f>
        <v>0</v>
      </c>
      <c r="AR40" s="83">
        <f t="shared" si="20"/>
        <v>0</v>
      </c>
      <c r="AS40" s="83">
        <f t="shared" si="20"/>
        <v>0</v>
      </c>
      <c r="AT40" s="83">
        <f t="shared" si="20"/>
        <v>0</v>
      </c>
      <c r="AU40" s="83">
        <f t="shared" si="20"/>
        <v>0</v>
      </c>
      <c r="AV40" s="83">
        <f t="shared" si="20"/>
        <v>0</v>
      </c>
      <c r="AW40" s="83">
        <f t="shared" si="20"/>
        <v>0</v>
      </c>
      <c r="AX40" s="83">
        <f t="shared" si="20"/>
        <v>0</v>
      </c>
      <c r="AY40" s="83">
        <f t="shared" si="20"/>
        <v>0</v>
      </c>
      <c r="AZ40" s="83">
        <f t="shared" si="20"/>
        <v>0</v>
      </c>
      <c r="BA40" s="83">
        <f t="shared" si="20"/>
        <v>0</v>
      </c>
      <c r="BB40" s="83">
        <f t="shared" si="20"/>
        <v>0</v>
      </c>
      <c r="BC40" s="83">
        <f t="shared" si="20"/>
        <v>0</v>
      </c>
      <c r="BD40" s="83">
        <f t="shared" si="20"/>
        <v>0</v>
      </c>
      <c r="BE40" s="83">
        <f t="shared" si="20"/>
        <v>0</v>
      </c>
      <c r="BF40" s="83">
        <f t="shared" si="20"/>
        <v>0</v>
      </c>
      <c r="BG40" s="83">
        <f t="shared" ref="BG40:BJ49" si="21">IF(BG$18=$B40,$D40,)</f>
        <v>0</v>
      </c>
      <c r="BH40" s="83">
        <f t="shared" si="21"/>
        <v>0</v>
      </c>
      <c r="BI40" s="83">
        <f t="shared" si="21"/>
        <v>0</v>
      </c>
      <c r="BJ40" s="83">
        <f t="shared" si="21"/>
        <v>0</v>
      </c>
    </row>
    <row r="41" spans="1:63" ht="11.25" customHeight="1" x14ac:dyDescent="0.25">
      <c r="A41" s="5"/>
      <c r="B41" s="132">
        <v>6</v>
      </c>
      <c r="C41" s="7" t="s">
        <v>34</v>
      </c>
      <c r="D41" s="359">
        <f>Assumptions!D32</f>
        <v>0.05</v>
      </c>
      <c r="E41" s="83">
        <f t="shared" si="7"/>
        <v>0.05</v>
      </c>
      <c r="F41" s="302" t="s">
        <v>26</v>
      </c>
      <c r="G41" s="83">
        <f t="shared" si="19"/>
        <v>0</v>
      </c>
      <c r="H41" s="83">
        <f t="shared" si="19"/>
        <v>0</v>
      </c>
      <c r="I41" s="83">
        <f t="shared" si="19"/>
        <v>0</v>
      </c>
      <c r="J41" s="83">
        <f t="shared" si="19"/>
        <v>0</v>
      </c>
      <c r="K41" s="83">
        <f t="shared" si="19"/>
        <v>0</v>
      </c>
      <c r="L41" s="83">
        <f t="shared" si="19"/>
        <v>0</v>
      </c>
      <c r="M41" s="83">
        <f t="shared" si="19"/>
        <v>0</v>
      </c>
      <c r="N41" s="6">
        <f t="shared" si="19"/>
        <v>0.05</v>
      </c>
      <c r="O41" s="83">
        <f t="shared" si="19"/>
        <v>0</v>
      </c>
      <c r="P41" s="83">
        <f t="shared" si="19"/>
        <v>0</v>
      </c>
      <c r="Q41" s="83">
        <f t="shared" si="19"/>
        <v>0</v>
      </c>
      <c r="R41" s="83">
        <f t="shared" si="19"/>
        <v>0</v>
      </c>
      <c r="S41" s="83">
        <f t="shared" si="19"/>
        <v>0</v>
      </c>
      <c r="T41" s="83">
        <f t="shared" si="19"/>
        <v>0</v>
      </c>
      <c r="U41" s="83">
        <f t="shared" si="19"/>
        <v>0</v>
      </c>
      <c r="V41" s="83">
        <f t="shared" si="19"/>
        <v>0</v>
      </c>
      <c r="W41" s="83">
        <f t="shared" ref="W41:AL49" si="22">IF(W$18=$B41,$D41,)</f>
        <v>0</v>
      </c>
      <c r="X41" s="83">
        <f t="shared" si="22"/>
        <v>0</v>
      </c>
      <c r="Y41" s="83">
        <f t="shared" si="22"/>
        <v>0</v>
      </c>
      <c r="Z41" s="83">
        <f t="shared" si="22"/>
        <v>0</v>
      </c>
      <c r="AA41" s="83">
        <f t="shared" si="22"/>
        <v>0</v>
      </c>
      <c r="AB41" s="83">
        <f t="shared" si="22"/>
        <v>0</v>
      </c>
      <c r="AC41" s="83">
        <f t="shared" si="22"/>
        <v>0</v>
      </c>
      <c r="AD41" s="83">
        <f t="shared" si="22"/>
        <v>0</v>
      </c>
      <c r="AE41" s="83">
        <f t="shared" si="22"/>
        <v>0</v>
      </c>
      <c r="AF41" s="83">
        <f t="shared" si="22"/>
        <v>0</v>
      </c>
      <c r="AG41" s="83">
        <f t="shared" si="22"/>
        <v>0</v>
      </c>
      <c r="AH41" s="83">
        <f t="shared" si="22"/>
        <v>0</v>
      </c>
      <c r="AI41" s="83">
        <f t="shared" si="22"/>
        <v>0</v>
      </c>
      <c r="AJ41" s="83">
        <f t="shared" si="22"/>
        <v>0</v>
      </c>
      <c r="AK41" s="83">
        <f t="shared" si="22"/>
        <v>0</v>
      </c>
      <c r="AL41" s="83">
        <f t="shared" si="22"/>
        <v>0</v>
      </c>
      <c r="AM41" s="83">
        <f t="shared" ref="AM41:AP49" si="23">IF(AM$18=$B41,$D41,)</f>
        <v>0</v>
      </c>
      <c r="AN41" s="83">
        <f t="shared" si="23"/>
        <v>0</v>
      </c>
      <c r="AO41" s="83">
        <f t="shared" si="23"/>
        <v>0</v>
      </c>
      <c r="AP41" s="83">
        <f t="shared" si="23"/>
        <v>0</v>
      </c>
      <c r="AQ41" s="83">
        <f t="shared" si="20"/>
        <v>0</v>
      </c>
      <c r="AR41" s="83">
        <f t="shared" si="20"/>
        <v>0</v>
      </c>
      <c r="AS41" s="83">
        <f t="shared" si="20"/>
        <v>0</v>
      </c>
      <c r="AT41" s="83">
        <f t="shared" si="20"/>
        <v>0</v>
      </c>
      <c r="AU41" s="83">
        <f t="shared" si="20"/>
        <v>0</v>
      </c>
      <c r="AV41" s="83">
        <f t="shared" si="20"/>
        <v>0</v>
      </c>
      <c r="AW41" s="83">
        <f t="shared" si="20"/>
        <v>0</v>
      </c>
      <c r="AX41" s="83">
        <f t="shared" si="20"/>
        <v>0</v>
      </c>
      <c r="AY41" s="83">
        <f t="shared" si="20"/>
        <v>0</v>
      </c>
      <c r="AZ41" s="83">
        <f t="shared" si="20"/>
        <v>0</v>
      </c>
      <c r="BA41" s="83">
        <f t="shared" si="20"/>
        <v>0</v>
      </c>
      <c r="BB41" s="83">
        <f t="shared" si="20"/>
        <v>0</v>
      </c>
      <c r="BC41" s="83">
        <f t="shared" si="20"/>
        <v>0</v>
      </c>
      <c r="BD41" s="83">
        <f t="shared" si="20"/>
        <v>0</v>
      </c>
      <c r="BE41" s="83">
        <f t="shared" si="20"/>
        <v>0</v>
      </c>
      <c r="BF41" s="83">
        <f t="shared" si="20"/>
        <v>0</v>
      </c>
      <c r="BG41" s="83">
        <f t="shared" si="21"/>
        <v>0</v>
      </c>
      <c r="BH41" s="83">
        <f t="shared" si="21"/>
        <v>0</v>
      </c>
      <c r="BI41" s="83">
        <f t="shared" si="21"/>
        <v>0</v>
      </c>
      <c r="BJ41" s="83">
        <f t="shared" si="21"/>
        <v>0</v>
      </c>
    </row>
    <row r="42" spans="1:63" ht="11.25" customHeight="1" x14ac:dyDescent="0.25">
      <c r="A42" s="5"/>
      <c r="B42" s="132">
        <v>7</v>
      </c>
      <c r="C42" s="7" t="s">
        <v>34</v>
      </c>
      <c r="D42" s="359">
        <f>Assumptions!D33</f>
        <v>0.08</v>
      </c>
      <c r="E42" s="83">
        <f t="shared" si="7"/>
        <v>0.08</v>
      </c>
      <c r="F42" s="302" t="s">
        <v>26</v>
      </c>
      <c r="G42" s="83">
        <f t="shared" si="19"/>
        <v>0</v>
      </c>
      <c r="H42" s="83">
        <f t="shared" si="19"/>
        <v>0</v>
      </c>
      <c r="I42" s="83">
        <f t="shared" si="19"/>
        <v>0</v>
      </c>
      <c r="J42" s="83">
        <f t="shared" si="19"/>
        <v>0</v>
      </c>
      <c r="K42" s="83">
        <f t="shared" si="19"/>
        <v>0</v>
      </c>
      <c r="L42" s="83">
        <f t="shared" si="19"/>
        <v>0</v>
      </c>
      <c r="M42" s="83">
        <f t="shared" si="19"/>
        <v>0</v>
      </c>
      <c r="N42" s="83">
        <f t="shared" si="19"/>
        <v>0</v>
      </c>
      <c r="O42" s="6">
        <f t="shared" si="19"/>
        <v>0.08</v>
      </c>
      <c r="P42" s="83">
        <f t="shared" si="19"/>
        <v>0</v>
      </c>
      <c r="Q42" s="83">
        <f t="shared" si="19"/>
        <v>0</v>
      </c>
      <c r="R42" s="83">
        <f t="shared" si="19"/>
        <v>0</v>
      </c>
      <c r="S42" s="83">
        <f t="shared" si="19"/>
        <v>0</v>
      </c>
      <c r="T42" s="83">
        <f t="shared" si="19"/>
        <v>0</v>
      </c>
      <c r="U42" s="83">
        <f t="shared" si="19"/>
        <v>0</v>
      </c>
      <c r="V42" s="83">
        <f t="shared" si="19"/>
        <v>0</v>
      </c>
      <c r="W42" s="83">
        <f t="shared" si="22"/>
        <v>0</v>
      </c>
      <c r="X42" s="83">
        <f t="shared" si="22"/>
        <v>0</v>
      </c>
      <c r="Y42" s="83">
        <f t="shared" si="22"/>
        <v>0</v>
      </c>
      <c r="Z42" s="83">
        <f t="shared" si="22"/>
        <v>0</v>
      </c>
      <c r="AA42" s="83">
        <f t="shared" si="22"/>
        <v>0</v>
      </c>
      <c r="AB42" s="83">
        <f t="shared" si="22"/>
        <v>0</v>
      </c>
      <c r="AC42" s="83">
        <f t="shared" si="22"/>
        <v>0</v>
      </c>
      <c r="AD42" s="83">
        <f t="shared" si="22"/>
        <v>0</v>
      </c>
      <c r="AE42" s="83">
        <f t="shared" si="22"/>
        <v>0</v>
      </c>
      <c r="AF42" s="83">
        <f t="shared" si="22"/>
        <v>0</v>
      </c>
      <c r="AG42" s="83">
        <f t="shared" si="22"/>
        <v>0</v>
      </c>
      <c r="AH42" s="83">
        <f t="shared" si="22"/>
        <v>0</v>
      </c>
      <c r="AI42" s="83">
        <f t="shared" si="22"/>
        <v>0</v>
      </c>
      <c r="AJ42" s="83">
        <f t="shared" si="22"/>
        <v>0</v>
      </c>
      <c r="AK42" s="83">
        <f t="shared" si="22"/>
        <v>0</v>
      </c>
      <c r="AL42" s="83">
        <f t="shared" si="22"/>
        <v>0</v>
      </c>
      <c r="AM42" s="83">
        <f t="shared" si="23"/>
        <v>0</v>
      </c>
      <c r="AN42" s="83">
        <f t="shared" si="23"/>
        <v>0</v>
      </c>
      <c r="AO42" s="83">
        <f t="shared" si="23"/>
        <v>0</v>
      </c>
      <c r="AP42" s="83">
        <f t="shared" si="23"/>
        <v>0</v>
      </c>
      <c r="AQ42" s="83">
        <f t="shared" si="20"/>
        <v>0</v>
      </c>
      <c r="AR42" s="83">
        <f t="shared" si="20"/>
        <v>0</v>
      </c>
      <c r="AS42" s="83">
        <f t="shared" si="20"/>
        <v>0</v>
      </c>
      <c r="AT42" s="83">
        <f t="shared" si="20"/>
        <v>0</v>
      </c>
      <c r="AU42" s="83">
        <f t="shared" si="20"/>
        <v>0</v>
      </c>
      <c r="AV42" s="83">
        <f t="shared" si="20"/>
        <v>0</v>
      </c>
      <c r="AW42" s="83">
        <f t="shared" si="20"/>
        <v>0</v>
      </c>
      <c r="AX42" s="83">
        <f t="shared" si="20"/>
        <v>0</v>
      </c>
      <c r="AY42" s="83">
        <f t="shared" si="20"/>
        <v>0</v>
      </c>
      <c r="AZ42" s="83">
        <f t="shared" si="20"/>
        <v>0</v>
      </c>
      <c r="BA42" s="83">
        <f t="shared" si="20"/>
        <v>0</v>
      </c>
      <c r="BB42" s="83">
        <f t="shared" si="20"/>
        <v>0</v>
      </c>
      <c r="BC42" s="83">
        <f t="shared" si="20"/>
        <v>0</v>
      </c>
      <c r="BD42" s="83">
        <f t="shared" si="20"/>
        <v>0</v>
      </c>
      <c r="BE42" s="83">
        <f t="shared" si="20"/>
        <v>0</v>
      </c>
      <c r="BF42" s="83">
        <f t="shared" si="20"/>
        <v>0</v>
      </c>
      <c r="BG42" s="83">
        <f t="shared" si="21"/>
        <v>0</v>
      </c>
      <c r="BH42" s="83">
        <f t="shared" si="21"/>
        <v>0</v>
      </c>
      <c r="BI42" s="83">
        <f t="shared" si="21"/>
        <v>0</v>
      </c>
      <c r="BJ42" s="83">
        <f t="shared" si="21"/>
        <v>0</v>
      </c>
    </row>
    <row r="43" spans="1:63" ht="11.25" customHeight="1" x14ac:dyDescent="0.25">
      <c r="A43" s="5"/>
      <c r="B43" s="132">
        <v>8</v>
      </c>
      <c r="C43" s="7" t="s">
        <v>34</v>
      </c>
      <c r="D43" s="359">
        <f>Assumptions!D34</f>
        <v>7.0000000000000007E-2</v>
      </c>
      <c r="E43" s="83">
        <f t="shared" si="7"/>
        <v>7.0000000000000007E-2</v>
      </c>
      <c r="F43" s="302" t="s">
        <v>26</v>
      </c>
      <c r="G43" s="83">
        <f t="shared" si="19"/>
        <v>0</v>
      </c>
      <c r="H43" s="83">
        <f t="shared" si="19"/>
        <v>0</v>
      </c>
      <c r="I43" s="83">
        <f t="shared" si="19"/>
        <v>0</v>
      </c>
      <c r="J43" s="83">
        <f t="shared" si="19"/>
        <v>0</v>
      </c>
      <c r="K43" s="83">
        <f t="shared" si="19"/>
        <v>0</v>
      </c>
      <c r="L43" s="83">
        <f t="shared" si="19"/>
        <v>0</v>
      </c>
      <c r="M43" s="83">
        <f t="shared" si="19"/>
        <v>0</v>
      </c>
      <c r="N43" s="83">
        <f t="shared" si="19"/>
        <v>0</v>
      </c>
      <c r="O43" s="83">
        <f t="shared" si="19"/>
        <v>0</v>
      </c>
      <c r="P43" s="6">
        <f t="shared" si="19"/>
        <v>7.0000000000000007E-2</v>
      </c>
      <c r="Q43" s="83">
        <f t="shared" si="19"/>
        <v>0</v>
      </c>
      <c r="R43" s="83">
        <f t="shared" si="19"/>
        <v>0</v>
      </c>
      <c r="S43" s="83">
        <f t="shared" si="19"/>
        <v>0</v>
      </c>
      <c r="T43" s="83">
        <f t="shared" si="19"/>
        <v>0</v>
      </c>
      <c r="U43" s="83">
        <f t="shared" si="19"/>
        <v>0</v>
      </c>
      <c r="V43" s="83">
        <f t="shared" si="19"/>
        <v>0</v>
      </c>
      <c r="W43" s="83">
        <f t="shared" si="22"/>
        <v>0</v>
      </c>
      <c r="X43" s="83">
        <f t="shared" si="22"/>
        <v>0</v>
      </c>
      <c r="Y43" s="83">
        <f t="shared" si="22"/>
        <v>0</v>
      </c>
      <c r="Z43" s="83">
        <f t="shared" si="22"/>
        <v>0</v>
      </c>
      <c r="AA43" s="83">
        <f t="shared" si="22"/>
        <v>0</v>
      </c>
      <c r="AB43" s="83">
        <f t="shared" si="22"/>
        <v>0</v>
      </c>
      <c r="AC43" s="83">
        <f t="shared" si="22"/>
        <v>0</v>
      </c>
      <c r="AD43" s="83">
        <f t="shared" si="22"/>
        <v>0</v>
      </c>
      <c r="AE43" s="83">
        <f t="shared" si="22"/>
        <v>0</v>
      </c>
      <c r="AF43" s="83">
        <f t="shared" si="22"/>
        <v>0</v>
      </c>
      <c r="AG43" s="83">
        <f t="shared" si="22"/>
        <v>0</v>
      </c>
      <c r="AH43" s="83">
        <f t="shared" si="22"/>
        <v>0</v>
      </c>
      <c r="AI43" s="83">
        <f t="shared" si="22"/>
        <v>0</v>
      </c>
      <c r="AJ43" s="83">
        <f t="shared" si="22"/>
        <v>0</v>
      </c>
      <c r="AK43" s="83">
        <f t="shared" si="22"/>
        <v>0</v>
      </c>
      <c r="AL43" s="83">
        <f t="shared" si="22"/>
        <v>0</v>
      </c>
      <c r="AM43" s="83">
        <f t="shared" si="23"/>
        <v>0</v>
      </c>
      <c r="AN43" s="83">
        <f t="shared" si="23"/>
        <v>0</v>
      </c>
      <c r="AO43" s="83">
        <f t="shared" si="23"/>
        <v>0</v>
      </c>
      <c r="AP43" s="83">
        <f t="shared" si="23"/>
        <v>0</v>
      </c>
      <c r="AQ43" s="83">
        <f t="shared" si="20"/>
        <v>0</v>
      </c>
      <c r="AR43" s="83">
        <f t="shared" si="20"/>
        <v>0</v>
      </c>
      <c r="AS43" s="83">
        <f t="shared" si="20"/>
        <v>0</v>
      </c>
      <c r="AT43" s="83">
        <f t="shared" si="20"/>
        <v>0</v>
      </c>
      <c r="AU43" s="83">
        <f t="shared" si="20"/>
        <v>0</v>
      </c>
      <c r="AV43" s="83">
        <f t="shared" si="20"/>
        <v>0</v>
      </c>
      <c r="AW43" s="83">
        <f t="shared" si="20"/>
        <v>0</v>
      </c>
      <c r="AX43" s="83">
        <f t="shared" si="20"/>
        <v>0</v>
      </c>
      <c r="AY43" s="83">
        <f t="shared" si="20"/>
        <v>0</v>
      </c>
      <c r="AZ43" s="83">
        <f t="shared" si="20"/>
        <v>0</v>
      </c>
      <c r="BA43" s="83">
        <f t="shared" si="20"/>
        <v>0</v>
      </c>
      <c r="BB43" s="83">
        <f t="shared" si="20"/>
        <v>0</v>
      </c>
      <c r="BC43" s="83">
        <f t="shared" si="20"/>
        <v>0</v>
      </c>
      <c r="BD43" s="83">
        <f t="shared" si="20"/>
        <v>0</v>
      </c>
      <c r="BE43" s="83">
        <f t="shared" si="20"/>
        <v>0</v>
      </c>
      <c r="BF43" s="83">
        <f t="shared" si="20"/>
        <v>0</v>
      </c>
      <c r="BG43" s="83">
        <f t="shared" si="21"/>
        <v>0</v>
      </c>
      <c r="BH43" s="83">
        <f t="shared" si="21"/>
        <v>0</v>
      </c>
      <c r="BI43" s="83">
        <f t="shared" si="21"/>
        <v>0</v>
      </c>
      <c r="BJ43" s="83">
        <f t="shared" si="21"/>
        <v>0</v>
      </c>
    </row>
    <row r="44" spans="1:63" ht="11.25" customHeight="1" x14ac:dyDescent="0.25">
      <c r="A44" s="5"/>
      <c r="B44" s="132">
        <v>9</v>
      </c>
      <c r="C44" s="7" t="s">
        <v>34</v>
      </c>
      <c r="D44" s="359">
        <f>Assumptions!D35</f>
        <v>0.06</v>
      </c>
      <c r="E44" s="83">
        <f t="shared" si="7"/>
        <v>0.06</v>
      </c>
      <c r="F44" s="302" t="s">
        <v>26</v>
      </c>
      <c r="G44" s="83">
        <f t="shared" si="19"/>
        <v>0</v>
      </c>
      <c r="H44" s="83">
        <f t="shared" si="19"/>
        <v>0</v>
      </c>
      <c r="I44" s="83">
        <f t="shared" si="19"/>
        <v>0</v>
      </c>
      <c r="J44" s="83">
        <f t="shared" si="19"/>
        <v>0</v>
      </c>
      <c r="K44" s="83">
        <f t="shared" si="19"/>
        <v>0</v>
      </c>
      <c r="L44" s="83">
        <f t="shared" si="19"/>
        <v>0</v>
      </c>
      <c r="M44" s="83">
        <f t="shared" si="19"/>
        <v>0</v>
      </c>
      <c r="N44" s="83">
        <f t="shared" si="19"/>
        <v>0</v>
      </c>
      <c r="O44" s="83">
        <f t="shared" si="19"/>
        <v>0</v>
      </c>
      <c r="P44" s="83">
        <f t="shared" si="19"/>
        <v>0</v>
      </c>
      <c r="Q44" s="6">
        <f t="shared" si="19"/>
        <v>0.06</v>
      </c>
      <c r="R44" s="83">
        <f t="shared" si="19"/>
        <v>0</v>
      </c>
      <c r="S44" s="83">
        <f t="shared" si="19"/>
        <v>0</v>
      </c>
      <c r="T44" s="83">
        <f t="shared" si="19"/>
        <v>0</v>
      </c>
      <c r="U44" s="83">
        <f t="shared" si="19"/>
        <v>0</v>
      </c>
      <c r="V44" s="83">
        <f t="shared" si="19"/>
        <v>0</v>
      </c>
      <c r="W44" s="83">
        <f t="shared" si="22"/>
        <v>0</v>
      </c>
      <c r="X44" s="83">
        <f t="shared" si="22"/>
        <v>0</v>
      </c>
      <c r="Y44" s="83">
        <f t="shared" si="22"/>
        <v>0</v>
      </c>
      <c r="Z44" s="83">
        <f t="shared" si="22"/>
        <v>0</v>
      </c>
      <c r="AA44" s="83">
        <f t="shared" si="22"/>
        <v>0</v>
      </c>
      <c r="AB44" s="83">
        <f t="shared" si="22"/>
        <v>0</v>
      </c>
      <c r="AC44" s="83">
        <f t="shared" si="22"/>
        <v>0</v>
      </c>
      <c r="AD44" s="83">
        <f t="shared" si="22"/>
        <v>0</v>
      </c>
      <c r="AE44" s="83">
        <f t="shared" si="22"/>
        <v>0</v>
      </c>
      <c r="AF44" s="83">
        <f t="shared" si="22"/>
        <v>0</v>
      </c>
      <c r="AG44" s="83">
        <f t="shared" si="22"/>
        <v>0</v>
      </c>
      <c r="AH44" s="83">
        <f t="shared" si="22"/>
        <v>0</v>
      </c>
      <c r="AI44" s="83">
        <f t="shared" si="22"/>
        <v>0</v>
      </c>
      <c r="AJ44" s="83">
        <f t="shared" si="22"/>
        <v>0</v>
      </c>
      <c r="AK44" s="83">
        <f t="shared" si="22"/>
        <v>0</v>
      </c>
      <c r="AL44" s="83">
        <f t="shared" si="22"/>
        <v>0</v>
      </c>
      <c r="AM44" s="83">
        <f t="shared" si="23"/>
        <v>0</v>
      </c>
      <c r="AN44" s="83">
        <f t="shared" si="23"/>
        <v>0</v>
      </c>
      <c r="AO44" s="83">
        <f t="shared" si="23"/>
        <v>0</v>
      </c>
      <c r="AP44" s="83">
        <f t="shared" si="23"/>
        <v>0</v>
      </c>
      <c r="AQ44" s="83">
        <f t="shared" si="20"/>
        <v>0</v>
      </c>
      <c r="AR44" s="83">
        <f t="shared" si="20"/>
        <v>0</v>
      </c>
      <c r="AS44" s="83">
        <f t="shared" si="20"/>
        <v>0</v>
      </c>
      <c r="AT44" s="83">
        <f t="shared" si="20"/>
        <v>0</v>
      </c>
      <c r="AU44" s="83">
        <f t="shared" si="20"/>
        <v>0</v>
      </c>
      <c r="AV44" s="83">
        <f t="shared" si="20"/>
        <v>0</v>
      </c>
      <c r="AW44" s="83">
        <f t="shared" si="20"/>
        <v>0</v>
      </c>
      <c r="AX44" s="83">
        <f t="shared" si="20"/>
        <v>0</v>
      </c>
      <c r="AY44" s="83">
        <f t="shared" si="20"/>
        <v>0</v>
      </c>
      <c r="AZ44" s="83">
        <f t="shared" si="20"/>
        <v>0</v>
      </c>
      <c r="BA44" s="83">
        <f t="shared" si="20"/>
        <v>0</v>
      </c>
      <c r="BB44" s="83">
        <f t="shared" si="20"/>
        <v>0</v>
      </c>
      <c r="BC44" s="83">
        <f t="shared" si="20"/>
        <v>0</v>
      </c>
      <c r="BD44" s="83">
        <f t="shared" si="20"/>
        <v>0</v>
      </c>
      <c r="BE44" s="83">
        <f t="shared" si="20"/>
        <v>0</v>
      </c>
      <c r="BF44" s="83">
        <f t="shared" si="20"/>
        <v>0</v>
      </c>
      <c r="BG44" s="83">
        <f t="shared" si="21"/>
        <v>0</v>
      </c>
      <c r="BH44" s="83">
        <f t="shared" si="21"/>
        <v>0</v>
      </c>
      <c r="BI44" s="83">
        <f t="shared" si="21"/>
        <v>0</v>
      </c>
      <c r="BJ44" s="83">
        <f t="shared" si="21"/>
        <v>0</v>
      </c>
    </row>
    <row r="45" spans="1:63" ht="11.25" customHeight="1" x14ac:dyDescent="0.25">
      <c r="A45" s="5"/>
      <c r="B45" s="132">
        <v>10</v>
      </c>
      <c r="C45" s="7" t="s">
        <v>34</v>
      </c>
      <c r="D45" s="359">
        <f>Assumptions!D36</f>
        <v>0.09</v>
      </c>
      <c r="E45" s="83">
        <f t="shared" si="7"/>
        <v>0.09</v>
      </c>
      <c r="F45" s="302" t="s">
        <v>26</v>
      </c>
      <c r="G45" s="83">
        <f t="shared" si="19"/>
        <v>0</v>
      </c>
      <c r="H45" s="83">
        <f t="shared" si="19"/>
        <v>0</v>
      </c>
      <c r="I45" s="83">
        <f t="shared" si="19"/>
        <v>0</v>
      </c>
      <c r="J45" s="83">
        <f t="shared" si="19"/>
        <v>0</v>
      </c>
      <c r="K45" s="83">
        <f t="shared" si="19"/>
        <v>0</v>
      </c>
      <c r="L45" s="83">
        <f t="shared" si="19"/>
        <v>0</v>
      </c>
      <c r="M45" s="83">
        <f t="shared" si="19"/>
        <v>0</v>
      </c>
      <c r="N45" s="83">
        <f t="shared" si="19"/>
        <v>0</v>
      </c>
      <c r="O45" s="83">
        <f t="shared" si="19"/>
        <v>0</v>
      </c>
      <c r="P45" s="83">
        <f t="shared" si="19"/>
        <v>0</v>
      </c>
      <c r="Q45" s="83">
        <f t="shared" si="19"/>
        <v>0</v>
      </c>
      <c r="R45" s="6">
        <f t="shared" si="19"/>
        <v>0.09</v>
      </c>
      <c r="S45" s="83">
        <f t="shared" si="19"/>
        <v>0</v>
      </c>
      <c r="T45" s="83">
        <f t="shared" si="19"/>
        <v>0</v>
      </c>
      <c r="U45" s="83">
        <f t="shared" si="19"/>
        <v>0</v>
      </c>
      <c r="V45" s="83">
        <f t="shared" si="19"/>
        <v>0</v>
      </c>
      <c r="W45" s="83">
        <f t="shared" si="22"/>
        <v>0</v>
      </c>
      <c r="X45" s="83">
        <f t="shared" si="22"/>
        <v>0</v>
      </c>
      <c r="Y45" s="83">
        <f t="shared" si="22"/>
        <v>0</v>
      </c>
      <c r="Z45" s="83">
        <f t="shared" si="22"/>
        <v>0</v>
      </c>
      <c r="AA45" s="83">
        <f t="shared" si="22"/>
        <v>0</v>
      </c>
      <c r="AB45" s="83">
        <f t="shared" si="22"/>
        <v>0</v>
      </c>
      <c r="AC45" s="83">
        <f t="shared" si="22"/>
        <v>0</v>
      </c>
      <c r="AD45" s="83">
        <f t="shared" si="22"/>
        <v>0</v>
      </c>
      <c r="AE45" s="83">
        <f t="shared" si="22"/>
        <v>0</v>
      </c>
      <c r="AF45" s="83">
        <f t="shared" si="22"/>
        <v>0</v>
      </c>
      <c r="AG45" s="83">
        <f t="shared" si="22"/>
        <v>0</v>
      </c>
      <c r="AH45" s="83">
        <f t="shared" si="22"/>
        <v>0</v>
      </c>
      <c r="AI45" s="83">
        <f t="shared" si="22"/>
        <v>0</v>
      </c>
      <c r="AJ45" s="83">
        <f t="shared" si="22"/>
        <v>0</v>
      </c>
      <c r="AK45" s="83">
        <f t="shared" si="22"/>
        <v>0</v>
      </c>
      <c r="AL45" s="83">
        <f t="shared" si="22"/>
        <v>0</v>
      </c>
      <c r="AM45" s="83">
        <f t="shared" si="23"/>
        <v>0</v>
      </c>
      <c r="AN45" s="83">
        <f t="shared" si="23"/>
        <v>0</v>
      </c>
      <c r="AO45" s="83">
        <f t="shared" si="23"/>
        <v>0</v>
      </c>
      <c r="AP45" s="83">
        <f t="shared" si="23"/>
        <v>0</v>
      </c>
      <c r="AQ45" s="83">
        <f t="shared" si="20"/>
        <v>0</v>
      </c>
      <c r="AR45" s="83">
        <f t="shared" si="20"/>
        <v>0</v>
      </c>
      <c r="AS45" s="83">
        <f t="shared" si="20"/>
        <v>0</v>
      </c>
      <c r="AT45" s="83">
        <f t="shared" si="20"/>
        <v>0</v>
      </c>
      <c r="AU45" s="83">
        <f t="shared" si="20"/>
        <v>0</v>
      </c>
      <c r="AV45" s="83">
        <f t="shared" si="20"/>
        <v>0</v>
      </c>
      <c r="AW45" s="83">
        <f t="shared" si="20"/>
        <v>0</v>
      </c>
      <c r="AX45" s="83">
        <f t="shared" si="20"/>
        <v>0</v>
      </c>
      <c r="AY45" s="83">
        <f t="shared" si="20"/>
        <v>0</v>
      </c>
      <c r="AZ45" s="83">
        <f t="shared" si="20"/>
        <v>0</v>
      </c>
      <c r="BA45" s="83">
        <f t="shared" si="20"/>
        <v>0</v>
      </c>
      <c r="BB45" s="83">
        <f t="shared" si="20"/>
        <v>0</v>
      </c>
      <c r="BC45" s="83">
        <f t="shared" si="20"/>
        <v>0</v>
      </c>
      <c r="BD45" s="83">
        <f t="shared" si="20"/>
        <v>0</v>
      </c>
      <c r="BE45" s="83">
        <f t="shared" si="20"/>
        <v>0</v>
      </c>
      <c r="BF45" s="83">
        <f t="shared" si="20"/>
        <v>0</v>
      </c>
      <c r="BG45" s="83">
        <f t="shared" si="21"/>
        <v>0</v>
      </c>
      <c r="BH45" s="83">
        <f t="shared" si="21"/>
        <v>0</v>
      </c>
      <c r="BI45" s="83">
        <f t="shared" si="21"/>
        <v>0</v>
      </c>
      <c r="BJ45" s="83">
        <f t="shared" si="21"/>
        <v>0</v>
      </c>
    </row>
    <row r="46" spans="1:63" ht="11.25" customHeight="1" x14ac:dyDescent="0.25">
      <c r="A46" s="5"/>
      <c r="B46" s="132">
        <v>11</v>
      </c>
      <c r="C46" s="7" t="s">
        <v>34</v>
      </c>
      <c r="D46" s="359">
        <f>Assumptions!D37</f>
        <v>0.03</v>
      </c>
      <c r="E46" s="83">
        <f t="shared" si="7"/>
        <v>0.03</v>
      </c>
      <c r="F46" s="302" t="s">
        <v>26</v>
      </c>
      <c r="G46" s="83">
        <f t="shared" si="19"/>
        <v>0</v>
      </c>
      <c r="H46" s="83">
        <f t="shared" si="19"/>
        <v>0</v>
      </c>
      <c r="I46" s="83">
        <f t="shared" si="19"/>
        <v>0</v>
      </c>
      <c r="J46" s="83">
        <f t="shared" si="19"/>
        <v>0</v>
      </c>
      <c r="K46" s="83">
        <f t="shared" si="19"/>
        <v>0</v>
      </c>
      <c r="L46" s="83">
        <f t="shared" si="19"/>
        <v>0</v>
      </c>
      <c r="M46" s="83">
        <f t="shared" si="19"/>
        <v>0</v>
      </c>
      <c r="N46" s="83">
        <f t="shared" si="19"/>
        <v>0</v>
      </c>
      <c r="O46" s="83">
        <f t="shared" si="19"/>
        <v>0</v>
      </c>
      <c r="P46" s="83">
        <f t="shared" si="19"/>
        <v>0</v>
      </c>
      <c r="Q46" s="83">
        <f t="shared" si="19"/>
        <v>0</v>
      </c>
      <c r="R46" s="83">
        <f t="shared" si="19"/>
        <v>0</v>
      </c>
      <c r="S46" s="6">
        <f t="shared" si="19"/>
        <v>0.03</v>
      </c>
      <c r="T46" s="83">
        <f t="shared" si="19"/>
        <v>0</v>
      </c>
      <c r="U46" s="83">
        <f t="shared" si="19"/>
        <v>0</v>
      </c>
      <c r="V46" s="83">
        <f t="shared" si="19"/>
        <v>0</v>
      </c>
      <c r="W46" s="83">
        <f t="shared" si="22"/>
        <v>0</v>
      </c>
      <c r="X46" s="83">
        <f t="shared" si="22"/>
        <v>0</v>
      </c>
      <c r="Y46" s="83">
        <f t="shared" si="22"/>
        <v>0</v>
      </c>
      <c r="Z46" s="83">
        <f t="shared" si="22"/>
        <v>0</v>
      </c>
      <c r="AA46" s="83">
        <f t="shared" si="22"/>
        <v>0</v>
      </c>
      <c r="AB46" s="83">
        <f t="shared" si="22"/>
        <v>0</v>
      </c>
      <c r="AC46" s="83">
        <f t="shared" si="22"/>
        <v>0</v>
      </c>
      <c r="AD46" s="83">
        <f t="shared" si="22"/>
        <v>0</v>
      </c>
      <c r="AE46" s="83">
        <f t="shared" si="22"/>
        <v>0</v>
      </c>
      <c r="AF46" s="83">
        <f t="shared" si="22"/>
        <v>0</v>
      </c>
      <c r="AG46" s="83">
        <f t="shared" si="22"/>
        <v>0</v>
      </c>
      <c r="AH46" s="83">
        <f t="shared" si="22"/>
        <v>0</v>
      </c>
      <c r="AI46" s="83">
        <f t="shared" si="22"/>
        <v>0</v>
      </c>
      <c r="AJ46" s="83">
        <f t="shared" si="22"/>
        <v>0</v>
      </c>
      <c r="AK46" s="83">
        <f t="shared" si="22"/>
        <v>0</v>
      </c>
      <c r="AL46" s="83">
        <f t="shared" si="22"/>
        <v>0</v>
      </c>
      <c r="AM46" s="83">
        <f t="shared" si="23"/>
        <v>0</v>
      </c>
      <c r="AN46" s="83">
        <f t="shared" si="23"/>
        <v>0</v>
      </c>
      <c r="AO46" s="83">
        <f t="shared" si="23"/>
        <v>0</v>
      </c>
      <c r="AP46" s="83">
        <f t="shared" si="23"/>
        <v>0</v>
      </c>
      <c r="AQ46" s="83">
        <f t="shared" si="20"/>
        <v>0</v>
      </c>
      <c r="AR46" s="83">
        <f t="shared" si="20"/>
        <v>0</v>
      </c>
      <c r="AS46" s="83">
        <f t="shared" si="20"/>
        <v>0</v>
      </c>
      <c r="AT46" s="83">
        <f t="shared" si="20"/>
        <v>0</v>
      </c>
      <c r="AU46" s="83">
        <f t="shared" si="20"/>
        <v>0</v>
      </c>
      <c r="AV46" s="83">
        <f t="shared" si="20"/>
        <v>0</v>
      </c>
      <c r="AW46" s="83">
        <f t="shared" si="20"/>
        <v>0</v>
      </c>
      <c r="AX46" s="83">
        <f t="shared" si="20"/>
        <v>0</v>
      </c>
      <c r="AY46" s="83">
        <f t="shared" si="20"/>
        <v>0</v>
      </c>
      <c r="AZ46" s="83">
        <f t="shared" si="20"/>
        <v>0</v>
      </c>
      <c r="BA46" s="83">
        <f t="shared" si="20"/>
        <v>0</v>
      </c>
      <c r="BB46" s="83">
        <f t="shared" si="20"/>
        <v>0</v>
      </c>
      <c r="BC46" s="83">
        <f t="shared" si="20"/>
        <v>0</v>
      </c>
      <c r="BD46" s="83">
        <f t="shared" si="20"/>
        <v>0</v>
      </c>
      <c r="BE46" s="83">
        <f t="shared" si="20"/>
        <v>0</v>
      </c>
      <c r="BF46" s="83">
        <f t="shared" si="20"/>
        <v>0</v>
      </c>
      <c r="BG46" s="83">
        <f t="shared" si="21"/>
        <v>0</v>
      </c>
      <c r="BH46" s="83">
        <f t="shared" si="21"/>
        <v>0</v>
      </c>
      <c r="BI46" s="83">
        <f t="shared" si="21"/>
        <v>0</v>
      </c>
      <c r="BJ46" s="83">
        <f t="shared" si="21"/>
        <v>0</v>
      </c>
    </row>
    <row r="47" spans="1:63" ht="11.25" customHeight="1" x14ac:dyDescent="0.25">
      <c r="A47" s="5"/>
      <c r="B47" s="132">
        <v>12</v>
      </c>
      <c r="C47" s="7" t="s">
        <v>34</v>
      </c>
      <c r="D47" s="359">
        <f>Assumptions!D38</f>
        <v>0.08</v>
      </c>
      <c r="E47" s="83">
        <f t="shared" si="7"/>
        <v>0.08</v>
      </c>
      <c r="F47" s="302" t="s">
        <v>26</v>
      </c>
      <c r="G47" s="83">
        <f t="shared" si="19"/>
        <v>0</v>
      </c>
      <c r="H47" s="83">
        <f t="shared" si="19"/>
        <v>0</v>
      </c>
      <c r="I47" s="83">
        <f t="shared" si="19"/>
        <v>0</v>
      </c>
      <c r="J47" s="83">
        <f t="shared" si="19"/>
        <v>0</v>
      </c>
      <c r="K47" s="83">
        <f t="shared" si="19"/>
        <v>0</v>
      </c>
      <c r="L47" s="83">
        <f t="shared" si="19"/>
        <v>0</v>
      </c>
      <c r="M47" s="83">
        <f t="shared" si="19"/>
        <v>0</v>
      </c>
      <c r="N47" s="83">
        <f t="shared" si="19"/>
        <v>0</v>
      </c>
      <c r="O47" s="83">
        <f t="shared" si="19"/>
        <v>0</v>
      </c>
      <c r="P47" s="83">
        <f t="shared" si="19"/>
        <v>0</v>
      </c>
      <c r="Q47" s="83">
        <f t="shared" si="19"/>
        <v>0</v>
      </c>
      <c r="R47" s="83">
        <f t="shared" si="19"/>
        <v>0</v>
      </c>
      <c r="S47" s="83">
        <f t="shared" si="19"/>
        <v>0</v>
      </c>
      <c r="T47" s="6">
        <f t="shared" si="19"/>
        <v>0.08</v>
      </c>
      <c r="U47" s="83">
        <f t="shared" si="19"/>
        <v>0</v>
      </c>
      <c r="V47" s="83">
        <f t="shared" si="19"/>
        <v>0</v>
      </c>
      <c r="W47" s="83">
        <f t="shared" si="22"/>
        <v>0</v>
      </c>
      <c r="X47" s="83">
        <f t="shared" si="22"/>
        <v>0</v>
      </c>
      <c r="Y47" s="83">
        <f t="shared" si="22"/>
        <v>0</v>
      </c>
      <c r="Z47" s="83">
        <f t="shared" si="22"/>
        <v>0</v>
      </c>
      <c r="AA47" s="83">
        <f t="shared" si="22"/>
        <v>0</v>
      </c>
      <c r="AB47" s="83">
        <f t="shared" si="22"/>
        <v>0</v>
      </c>
      <c r="AC47" s="83">
        <f t="shared" si="22"/>
        <v>0</v>
      </c>
      <c r="AD47" s="83">
        <f t="shared" si="22"/>
        <v>0</v>
      </c>
      <c r="AE47" s="83">
        <f t="shared" si="22"/>
        <v>0</v>
      </c>
      <c r="AF47" s="83">
        <f t="shared" si="22"/>
        <v>0</v>
      </c>
      <c r="AG47" s="83">
        <f t="shared" si="22"/>
        <v>0</v>
      </c>
      <c r="AH47" s="83">
        <f t="shared" si="22"/>
        <v>0</v>
      </c>
      <c r="AI47" s="83">
        <f t="shared" si="22"/>
        <v>0</v>
      </c>
      <c r="AJ47" s="83">
        <f t="shared" si="22"/>
        <v>0</v>
      </c>
      <c r="AK47" s="83">
        <f t="shared" si="22"/>
        <v>0</v>
      </c>
      <c r="AL47" s="83">
        <f t="shared" si="22"/>
        <v>0</v>
      </c>
      <c r="AM47" s="83">
        <f t="shared" si="23"/>
        <v>0</v>
      </c>
      <c r="AN47" s="83">
        <f t="shared" si="23"/>
        <v>0</v>
      </c>
      <c r="AO47" s="83">
        <f t="shared" si="23"/>
        <v>0</v>
      </c>
      <c r="AP47" s="83">
        <f t="shared" si="23"/>
        <v>0</v>
      </c>
      <c r="AQ47" s="83">
        <f t="shared" si="20"/>
        <v>0</v>
      </c>
      <c r="AR47" s="83">
        <f t="shared" si="20"/>
        <v>0</v>
      </c>
      <c r="AS47" s="83">
        <f t="shared" si="20"/>
        <v>0</v>
      </c>
      <c r="AT47" s="83">
        <f t="shared" si="20"/>
        <v>0</v>
      </c>
      <c r="AU47" s="83">
        <f t="shared" si="20"/>
        <v>0</v>
      </c>
      <c r="AV47" s="83">
        <f t="shared" si="20"/>
        <v>0</v>
      </c>
      <c r="AW47" s="83">
        <f t="shared" si="20"/>
        <v>0</v>
      </c>
      <c r="AX47" s="83">
        <f t="shared" si="20"/>
        <v>0</v>
      </c>
      <c r="AY47" s="83">
        <f t="shared" si="20"/>
        <v>0</v>
      </c>
      <c r="AZ47" s="83">
        <f t="shared" si="20"/>
        <v>0</v>
      </c>
      <c r="BA47" s="83">
        <f t="shared" si="20"/>
        <v>0</v>
      </c>
      <c r="BB47" s="83">
        <f t="shared" si="20"/>
        <v>0</v>
      </c>
      <c r="BC47" s="83">
        <f t="shared" si="20"/>
        <v>0</v>
      </c>
      <c r="BD47" s="83">
        <f t="shared" si="20"/>
        <v>0</v>
      </c>
      <c r="BE47" s="83">
        <f t="shared" si="20"/>
        <v>0</v>
      </c>
      <c r="BF47" s="83">
        <f t="shared" si="20"/>
        <v>0</v>
      </c>
      <c r="BG47" s="83">
        <f t="shared" si="21"/>
        <v>0</v>
      </c>
      <c r="BH47" s="83">
        <f t="shared" si="21"/>
        <v>0</v>
      </c>
      <c r="BI47" s="83">
        <f t="shared" si="21"/>
        <v>0</v>
      </c>
      <c r="BJ47" s="83">
        <f t="shared" si="21"/>
        <v>0</v>
      </c>
    </row>
    <row r="48" spans="1:63" s="83" customFormat="1" ht="11.25" customHeight="1" x14ac:dyDescent="0.25">
      <c r="A48" s="5"/>
      <c r="B48" s="132">
        <v>13</v>
      </c>
      <c r="C48" s="7" t="s">
        <v>34</v>
      </c>
      <c r="D48" s="359">
        <f>Assumptions!D39</f>
        <v>0.04</v>
      </c>
      <c r="E48" s="83">
        <f t="shared" si="7"/>
        <v>0.04</v>
      </c>
      <c r="F48" s="302" t="s">
        <v>26</v>
      </c>
      <c r="G48" s="83">
        <f t="shared" si="19"/>
        <v>0</v>
      </c>
      <c r="H48" s="83">
        <f t="shared" si="19"/>
        <v>0</v>
      </c>
      <c r="I48" s="83">
        <f t="shared" si="19"/>
        <v>0</v>
      </c>
      <c r="J48" s="83">
        <f t="shared" si="19"/>
        <v>0</v>
      </c>
      <c r="K48" s="83">
        <f t="shared" si="19"/>
        <v>0</v>
      </c>
      <c r="L48" s="83">
        <f t="shared" si="19"/>
        <v>0</v>
      </c>
      <c r="M48" s="83">
        <f t="shared" si="19"/>
        <v>0</v>
      </c>
      <c r="N48" s="83">
        <f t="shared" si="19"/>
        <v>0</v>
      </c>
      <c r="O48" s="83">
        <f t="shared" si="19"/>
        <v>0</v>
      </c>
      <c r="P48" s="83">
        <f t="shared" si="19"/>
        <v>0</v>
      </c>
      <c r="Q48" s="83">
        <f t="shared" si="19"/>
        <v>0</v>
      </c>
      <c r="R48" s="83">
        <f t="shared" si="19"/>
        <v>0</v>
      </c>
      <c r="S48" s="83">
        <f t="shared" si="19"/>
        <v>0</v>
      </c>
      <c r="T48" s="83">
        <f t="shared" si="19"/>
        <v>0</v>
      </c>
      <c r="U48" s="6">
        <f t="shared" si="19"/>
        <v>0.04</v>
      </c>
      <c r="V48" s="83">
        <f t="shared" si="19"/>
        <v>0</v>
      </c>
      <c r="W48" s="83">
        <f t="shared" si="22"/>
        <v>0</v>
      </c>
      <c r="X48" s="83">
        <f t="shared" si="22"/>
        <v>0</v>
      </c>
      <c r="Y48" s="83">
        <f t="shared" si="22"/>
        <v>0</v>
      </c>
      <c r="Z48" s="83">
        <f t="shared" si="22"/>
        <v>0</v>
      </c>
      <c r="AA48" s="83">
        <f t="shared" si="22"/>
        <v>0</v>
      </c>
      <c r="AB48" s="83">
        <f t="shared" si="22"/>
        <v>0</v>
      </c>
      <c r="AC48" s="83">
        <f t="shared" si="22"/>
        <v>0</v>
      </c>
      <c r="AD48" s="83">
        <f t="shared" si="22"/>
        <v>0</v>
      </c>
      <c r="AE48" s="83">
        <f t="shared" si="22"/>
        <v>0</v>
      </c>
      <c r="AF48" s="83">
        <f t="shared" si="22"/>
        <v>0</v>
      </c>
      <c r="AG48" s="83">
        <f t="shared" si="22"/>
        <v>0</v>
      </c>
      <c r="AH48" s="83">
        <f t="shared" si="22"/>
        <v>0</v>
      </c>
      <c r="AI48" s="83">
        <f t="shared" si="22"/>
        <v>0</v>
      </c>
      <c r="AJ48" s="83">
        <f t="shared" si="22"/>
        <v>0</v>
      </c>
      <c r="AK48" s="83">
        <f t="shared" si="22"/>
        <v>0</v>
      </c>
      <c r="AL48" s="83">
        <f t="shared" si="22"/>
        <v>0</v>
      </c>
      <c r="AM48" s="83">
        <f t="shared" si="23"/>
        <v>0</v>
      </c>
      <c r="AN48" s="83">
        <f t="shared" si="23"/>
        <v>0</v>
      </c>
      <c r="AO48" s="83">
        <f t="shared" si="23"/>
        <v>0</v>
      </c>
      <c r="AP48" s="83">
        <f t="shared" si="23"/>
        <v>0</v>
      </c>
      <c r="AQ48" s="83">
        <f t="shared" si="20"/>
        <v>0</v>
      </c>
      <c r="AR48" s="83">
        <f t="shared" si="20"/>
        <v>0</v>
      </c>
      <c r="AS48" s="83">
        <f t="shared" si="20"/>
        <v>0</v>
      </c>
      <c r="AT48" s="83">
        <f t="shared" si="20"/>
        <v>0</v>
      </c>
      <c r="AU48" s="83">
        <f t="shared" si="20"/>
        <v>0</v>
      </c>
      <c r="AV48" s="83">
        <f t="shared" si="20"/>
        <v>0</v>
      </c>
      <c r="AW48" s="83">
        <f t="shared" si="20"/>
        <v>0</v>
      </c>
      <c r="AX48" s="83">
        <f t="shared" si="20"/>
        <v>0</v>
      </c>
      <c r="AY48" s="83">
        <f t="shared" si="20"/>
        <v>0</v>
      </c>
      <c r="AZ48" s="83">
        <f t="shared" si="20"/>
        <v>0</v>
      </c>
      <c r="BA48" s="83">
        <f t="shared" si="20"/>
        <v>0</v>
      </c>
      <c r="BB48" s="83">
        <f t="shared" si="20"/>
        <v>0</v>
      </c>
      <c r="BC48" s="83">
        <f t="shared" si="20"/>
        <v>0</v>
      </c>
      <c r="BD48" s="83">
        <f t="shared" si="20"/>
        <v>0</v>
      </c>
      <c r="BE48" s="83">
        <f t="shared" si="20"/>
        <v>0</v>
      </c>
      <c r="BF48" s="83">
        <f t="shared" si="20"/>
        <v>0</v>
      </c>
      <c r="BG48" s="83">
        <f t="shared" si="21"/>
        <v>0</v>
      </c>
      <c r="BH48" s="83">
        <f t="shared" si="21"/>
        <v>0</v>
      </c>
      <c r="BI48" s="83">
        <f t="shared" si="21"/>
        <v>0</v>
      </c>
      <c r="BJ48" s="83">
        <f t="shared" si="21"/>
        <v>0</v>
      </c>
      <c r="BK48"/>
    </row>
    <row r="49" spans="1:63" s="83" customFormat="1" ht="11.25" customHeight="1" x14ac:dyDescent="0.25">
      <c r="A49" s="5"/>
      <c r="B49" s="132">
        <v>14</v>
      </c>
      <c r="C49" s="7" t="s">
        <v>34</v>
      </c>
      <c r="D49" s="359">
        <f>Assumptions!D40</f>
        <v>0.03</v>
      </c>
      <c r="E49" s="83">
        <f t="shared" si="7"/>
        <v>0.03</v>
      </c>
      <c r="F49" s="302" t="s">
        <v>26</v>
      </c>
      <c r="G49" s="83">
        <f t="shared" si="19"/>
        <v>0</v>
      </c>
      <c r="H49" s="83">
        <f t="shared" si="19"/>
        <v>0</v>
      </c>
      <c r="I49" s="83">
        <f t="shared" si="19"/>
        <v>0</v>
      </c>
      <c r="J49" s="83">
        <f t="shared" si="19"/>
        <v>0</v>
      </c>
      <c r="K49" s="83">
        <f t="shared" si="19"/>
        <v>0</v>
      </c>
      <c r="L49" s="83">
        <f t="shared" si="19"/>
        <v>0</v>
      </c>
      <c r="M49" s="83">
        <f t="shared" si="19"/>
        <v>0</v>
      </c>
      <c r="N49" s="83">
        <f t="shared" si="19"/>
        <v>0</v>
      </c>
      <c r="O49" s="83">
        <f t="shared" si="19"/>
        <v>0</v>
      </c>
      <c r="P49" s="83">
        <f t="shared" si="19"/>
        <v>0</v>
      </c>
      <c r="Q49" s="83">
        <f t="shared" si="19"/>
        <v>0</v>
      </c>
      <c r="R49" s="83">
        <f t="shared" si="19"/>
        <v>0</v>
      </c>
      <c r="S49" s="83">
        <f t="shared" si="19"/>
        <v>0</v>
      </c>
      <c r="T49" s="83">
        <f t="shared" si="19"/>
        <v>0</v>
      </c>
      <c r="U49" s="83">
        <f t="shared" si="19"/>
        <v>0</v>
      </c>
      <c r="V49" s="6">
        <f t="shared" si="19"/>
        <v>0.03</v>
      </c>
      <c r="W49" s="83">
        <f t="shared" si="22"/>
        <v>0</v>
      </c>
      <c r="X49" s="83">
        <f t="shared" si="22"/>
        <v>0</v>
      </c>
      <c r="Y49" s="83">
        <f t="shared" si="22"/>
        <v>0</v>
      </c>
      <c r="Z49" s="83">
        <f t="shared" si="22"/>
        <v>0</v>
      </c>
      <c r="AA49" s="83">
        <f t="shared" si="22"/>
        <v>0</v>
      </c>
      <c r="AB49" s="83">
        <f t="shared" si="22"/>
        <v>0</v>
      </c>
      <c r="AC49" s="83">
        <f t="shared" si="22"/>
        <v>0</v>
      </c>
      <c r="AD49" s="83">
        <f t="shared" si="22"/>
        <v>0</v>
      </c>
      <c r="AE49" s="83">
        <f t="shared" si="22"/>
        <v>0</v>
      </c>
      <c r="AF49" s="83">
        <f t="shared" si="22"/>
        <v>0</v>
      </c>
      <c r="AG49" s="83">
        <f t="shared" si="22"/>
        <v>0</v>
      </c>
      <c r="AH49" s="83">
        <f t="shared" si="22"/>
        <v>0</v>
      </c>
      <c r="AI49" s="83">
        <f t="shared" si="22"/>
        <v>0</v>
      </c>
      <c r="AJ49" s="83">
        <f t="shared" si="22"/>
        <v>0</v>
      </c>
      <c r="AK49" s="83">
        <f t="shared" si="22"/>
        <v>0</v>
      </c>
      <c r="AL49" s="83">
        <f t="shared" si="22"/>
        <v>0</v>
      </c>
      <c r="AM49" s="83">
        <f t="shared" si="23"/>
        <v>0</v>
      </c>
      <c r="AN49" s="83">
        <f t="shared" si="23"/>
        <v>0</v>
      </c>
      <c r="AO49" s="83">
        <f t="shared" si="23"/>
        <v>0</v>
      </c>
      <c r="AP49" s="83">
        <f t="shared" si="23"/>
        <v>0</v>
      </c>
      <c r="AQ49" s="83">
        <f t="shared" si="20"/>
        <v>0</v>
      </c>
      <c r="AR49" s="83">
        <f t="shared" si="20"/>
        <v>0</v>
      </c>
      <c r="AS49" s="83">
        <f t="shared" si="20"/>
        <v>0</v>
      </c>
      <c r="AT49" s="83">
        <f t="shared" si="20"/>
        <v>0</v>
      </c>
      <c r="AU49" s="83">
        <f t="shared" si="20"/>
        <v>0</v>
      </c>
      <c r="AV49" s="83">
        <f t="shared" si="20"/>
        <v>0</v>
      </c>
      <c r="AW49" s="83">
        <f t="shared" si="20"/>
        <v>0</v>
      </c>
      <c r="AX49" s="83">
        <f t="shared" si="20"/>
        <v>0</v>
      </c>
      <c r="AY49" s="83">
        <f t="shared" si="20"/>
        <v>0</v>
      </c>
      <c r="AZ49" s="83">
        <f t="shared" si="20"/>
        <v>0</v>
      </c>
      <c r="BA49" s="83">
        <f t="shared" si="20"/>
        <v>0</v>
      </c>
      <c r="BB49" s="83">
        <f t="shared" si="20"/>
        <v>0</v>
      </c>
      <c r="BC49" s="83">
        <f t="shared" si="20"/>
        <v>0</v>
      </c>
      <c r="BD49" s="83">
        <f t="shared" si="20"/>
        <v>0</v>
      </c>
      <c r="BE49" s="83">
        <f t="shared" si="20"/>
        <v>0</v>
      </c>
      <c r="BF49" s="83">
        <f t="shared" si="20"/>
        <v>0</v>
      </c>
      <c r="BG49" s="83">
        <f t="shared" si="21"/>
        <v>0</v>
      </c>
      <c r="BH49" s="83">
        <f t="shared" si="21"/>
        <v>0</v>
      </c>
      <c r="BI49" s="83">
        <f t="shared" si="21"/>
        <v>0</v>
      </c>
      <c r="BJ49" s="83">
        <f t="shared" si="21"/>
        <v>0</v>
      </c>
      <c r="BK49"/>
    </row>
    <row r="50" spans="1:63" ht="11.25" customHeight="1" x14ac:dyDescent="0.25">
      <c r="A50" s="5"/>
      <c r="B50" s="132" t="s">
        <v>106</v>
      </c>
      <c r="C50" s="7"/>
      <c r="D50" s="81"/>
      <c r="E50" s="6">
        <f t="shared" si="7"/>
        <v>1</v>
      </c>
      <c r="F50" s="302" t="s">
        <v>26</v>
      </c>
      <c r="G50" s="83">
        <f>SUM(G34:G49)</f>
        <v>0</v>
      </c>
      <c r="H50" s="6">
        <f t="shared" ref="H50:BI50" si="24">SUM(H34:H49)</f>
        <v>0.16</v>
      </c>
      <c r="I50" s="6">
        <f t="shared" si="24"/>
        <v>7.0000000000000007E-2</v>
      </c>
      <c r="J50" s="6">
        <f t="shared" si="24"/>
        <v>0.08</v>
      </c>
      <c r="K50" s="6">
        <f t="shared" si="24"/>
        <v>0.06</v>
      </c>
      <c r="L50" s="6">
        <f t="shared" si="24"/>
        <v>0.03</v>
      </c>
      <c r="M50" s="6">
        <f t="shared" si="24"/>
        <v>7.0000000000000007E-2</v>
      </c>
      <c r="N50" s="6">
        <f t="shared" si="24"/>
        <v>0.05</v>
      </c>
      <c r="O50" s="6">
        <f t="shared" si="24"/>
        <v>0.08</v>
      </c>
      <c r="P50" s="6">
        <f t="shared" si="24"/>
        <v>7.0000000000000007E-2</v>
      </c>
      <c r="Q50" s="6">
        <f t="shared" si="24"/>
        <v>0.06</v>
      </c>
      <c r="R50" s="6">
        <f t="shared" si="24"/>
        <v>0.09</v>
      </c>
      <c r="S50" s="6">
        <f t="shared" si="24"/>
        <v>0.03</v>
      </c>
      <c r="T50" s="6">
        <f t="shared" si="24"/>
        <v>0.08</v>
      </c>
      <c r="U50" s="6">
        <f t="shared" si="24"/>
        <v>0.04</v>
      </c>
      <c r="V50" s="6">
        <f t="shared" si="24"/>
        <v>0.03</v>
      </c>
      <c r="W50" s="83">
        <f t="shared" si="24"/>
        <v>0</v>
      </c>
      <c r="X50" s="83">
        <f t="shared" si="24"/>
        <v>0</v>
      </c>
      <c r="Y50" s="83">
        <f t="shared" si="24"/>
        <v>0</v>
      </c>
      <c r="Z50" s="83">
        <f t="shared" si="24"/>
        <v>0</v>
      </c>
      <c r="AA50" s="83">
        <f t="shared" si="24"/>
        <v>0</v>
      </c>
      <c r="AB50" s="83">
        <f t="shared" si="24"/>
        <v>0</v>
      </c>
      <c r="AC50" s="83">
        <f t="shared" si="24"/>
        <v>0</v>
      </c>
      <c r="AD50" s="83">
        <f t="shared" si="24"/>
        <v>0</v>
      </c>
      <c r="AE50" s="83">
        <f t="shared" si="24"/>
        <v>0</v>
      </c>
      <c r="AF50" s="83">
        <f t="shared" si="24"/>
        <v>0</v>
      </c>
      <c r="AG50" s="83">
        <f t="shared" si="24"/>
        <v>0</v>
      </c>
      <c r="AH50" s="83">
        <f t="shared" si="24"/>
        <v>0</v>
      </c>
      <c r="AI50" s="83">
        <f t="shared" si="24"/>
        <v>0</v>
      </c>
      <c r="AJ50" s="83">
        <f t="shared" si="24"/>
        <v>0</v>
      </c>
      <c r="AK50" s="83">
        <f t="shared" si="24"/>
        <v>0</v>
      </c>
      <c r="AL50" s="83">
        <f t="shared" si="24"/>
        <v>0</v>
      </c>
      <c r="AM50" s="83">
        <f t="shared" si="24"/>
        <v>0</v>
      </c>
      <c r="AN50" s="83">
        <f t="shared" si="24"/>
        <v>0</v>
      </c>
      <c r="AO50" s="83">
        <f t="shared" si="24"/>
        <v>0</v>
      </c>
      <c r="AP50" s="83">
        <f t="shared" si="24"/>
        <v>0</v>
      </c>
      <c r="AQ50" s="83">
        <f t="shared" si="24"/>
        <v>0</v>
      </c>
      <c r="AR50" s="83">
        <f t="shared" si="24"/>
        <v>0</v>
      </c>
      <c r="AS50" s="83">
        <f t="shared" si="24"/>
        <v>0</v>
      </c>
      <c r="AT50" s="83">
        <f t="shared" si="24"/>
        <v>0</v>
      </c>
      <c r="AU50" s="83">
        <f t="shared" si="24"/>
        <v>0</v>
      </c>
      <c r="AV50" s="83">
        <f t="shared" si="24"/>
        <v>0</v>
      </c>
      <c r="AW50" s="83">
        <f t="shared" si="24"/>
        <v>0</v>
      </c>
      <c r="AX50" s="83">
        <f t="shared" si="24"/>
        <v>0</v>
      </c>
      <c r="AY50" s="83">
        <f t="shared" si="24"/>
        <v>0</v>
      </c>
      <c r="AZ50" s="83">
        <f t="shared" si="24"/>
        <v>0</v>
      </c>
      <c r="BA50" s="83">
        <f t="shared" si="24"/>
        <v>0</v>
      </c>
      <c r="BB50" s="83">
        <f t="shared" si="24"/>
        <v>0</v>
      </c>
      <c r="BC50" s="83">
        <f t="shared" si="24"/>
        <v>0</v>
      </c>
      <c r="BD50" s="83">
        <f t="shared" si="24"/>
        <v>0</v>
      </c>
      <c r="BE50" s="83">
        <f t="shared" si="24"/>
        <v>0</v>
      </c>
      <c r="BF50" s="83">
        <f t="shared" si="24"/>
        <v>0</v>
      </c>
      <c r="BG50" s="83">
        <f t="shared" si="24"/>
        <v>0</v>
      </c>
      <c r="BH50" s="83">
        <f t="shared" si="24"/>
        <v>0</v>
      </c>
      <c r="BI50" s="83">
        <f t="shared" si="24"/>
        <v>0</v>
      </c>
      <c r="BJ50" s="83">
        <f t="shared" ref="BJ50" si="25">SUM(BJ34:BJ49)</f>
        <v>0</v>
      </c>
    </row>
    <row r="51" spans="1:63" ht="11.25" customHeight="1" x14ac:dyDescent="0.25">
      <c r="A51" s="5"/>
      <c r="B51" s="6"/>
      <c r="C51" s="7"/>
      <c r="D51" s="81"/>
      <c r="E51" s="83">
        <f t="shared" si="7"/>
        <v>0</v>
      </c>
      <c r="F51" s="302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</row>
    <row r="52" spans="1:63" ht="11.25" customHeight="1" x14ac:dyDescent="0.25">
      <c r="A52" s="3" t="s">
        <v>26</v>
      </c>
      <c r="B52" s="4" t="s">
        <v>19</v>
      </c>
      <c r="C52" s="7"/>
      <c r="D52" s="81"/>
      <c r="E52" s="83">
        <f t="shared" si="7"/>
        <v>0</v>
      </c>
      <c r="F52" s="302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</row>
    <row r="53" spans="1:63" ht="11.25" customHeight="1" x14ac:dyDescent="0.25">
      <c r="A53" s="5"/>
      <c r="B53" s="5" t="s">
        <v>35</v>
      </c>
      <c r="C53" s="7" t="s">
        <v>36</v>
      </c>
      <c r="D53" s="255">
        <f>Assumptions!D43</f>
        <v>305</v>
      </c>
      <c r="E53" s="83">
        <f t="shared" si="7"/>
        <v>0</v>
      </c>
      <c r="F53" s="302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</row>
    <row r="54" spans="1:63" ht="11.25" customHeight="1" x14ac:dyDescent="0.25">
      <c r="A54" s="5"/>
      <c r="B54" s="5" t="s">
        <v>37</v>
      </c>
      <c r="C54" s="7" t="s">
        <v>38</v>
      </c>
      <c r="D54" s="360">
        <f>Assumptions!D44</f>
        <v>8.0000000000000002E-3</v>
      </c>
      <c r="E54" s="83">
        <f t="shared" si="7"/>
        <v>0</v>
      </c>
      <c r="F54" s="302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</row>
    <row r="55" spans="1:63" ht="11.25" customHeight="1" x14ac:dyDescent="0.25">
      <c r="A55" s="5"/>
      <c r="B55" s="6" t="s">
        <v>41</v>
      </c>
      <c r="C55" s="7" t="s">
        <v>15</v>
      </c>
      <c r="D55" s="255">
        <f>Assumptions!D45</f>
        <v>8</v>
      </c>
      <c r="E55" s="83">
        <f t="shared" si="7"/>
        <v>0</v>
      </c>
      <c r="F55" s="302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  <c r="T55" s="126"/>
      <c r="U55" s="126"/>
      <c r="V55" s="126"/>
      <c r="W55" s="126"/>
      <c r="X55" s="126"/>
      <c r="Y55" s="126"/>
      <c r="Z55" s="126"/>
      <c r="AA55" s="126"/>
      <c r="AB55" s="126"/>
      <c r="AC55" s="126"/>
      <c r="AD55" s="367"/>
      <c r="AE55" s="126"/>
      <c r="AF55" s="126"/>
      <c r="AG55" s="126"/>
      <c r="AH55" s="126"/>
      <c r="AI55" s="126"/>
      <c r="AJ55" s="126"/>
      <c r="AK55" s="126"/>
      <c r="AL55" s="367"/>
      <c r="AM55" s="126"/>
      <c r="AN55" s="126"/>
      <c r="AO55" s="126"/>
      <c r="AP55" s="126"/>
      <c r="AQ55" s="126"/>
      <c r="AR55" s="126"/>
      <c r="AS55" s="126"/>
      <c r="AT55" s="367"/>
      <c r="AU55" s="126"/>
      <c r="AV55" s="126"/>
      <c r="AW55" s="126"/>
      <c r="AX55" s="126"/>
      <c r="AY55" s="126"/>
      <c r="AZ55" s="126"/>
      <c r="BA55" s="126"/>
      <c r="BB55" s="367"/>
      <c r="BC55" s="126"/>
      <c r="BD55" s="126"/>
      <c r="BE55" s="126"/>
      <c r="BF55" s="126"/>
      <c r="BG55" s="126"/>
      <c r="BH55" s="126"/>
      <c r="BI55" s="126"/>
      <c r="BJ55" s="126"/>
    </row>
    <row r="56" spans="1:63" ht="11.25" customHeight="1" x14ac:dyDescent="0.25">
      <c r="A56" s="5"/>
      <c r="B56" s="5" t="s">
        <v>42</v>
      </c>
      <c r="C56" s="7" t="s">
        <v>34</v>
      </c>
      <c r="D56" s="360">
        <f>Assumptions!D46</f>
        <v>3.7499999999999999E-2</v>
      </c>
      <c r="E56" s="6">
        <f t="shared" si="7"/>
        <v>0.1875</v>
      </c>
      <c r="F56" s="302" t="s">
        <v>26</v>
      </c>
      <c r="G56" s="126">
        <f>IF(G25=0,0,IF(MOD(G25,$D$55)=0,$D$56,0))</f>
        <v>0</v>
      </c>
      <c r="H56" s="126">
        <f t="shared" ref="H56:BJ56" si="26">IF(H25=0,0,IF(MOD(H25,$D$55)=0,$D$56,0))</f>
        <v>0</v>
      </c>
      <c r="I56" s="126">
        <f t="shared" si="26"/>
        <v>0</v>
      </c>
      <c r="J56" s="126">
        <f t="shared" si="26"/>
        <v>0</v>
      </c>
      <c r="K56" s="126">
        <f t="shared" si="26"/>
        <v>0</v>
      </c>
      <c r="L56" s="126">
        <f t="shared" si="26"/>
        <v>0</v>
      </c>
      <c r="M56" s="126">
        <f t="shared" si="26"/>
        <v>0</v>
      </c>
      <c r="N56" s="126">
        <f t="shared" si="26"/>
        <v>0</v>
      </c>
      <c r="O56" s="126">
        <f t="shared" si="26"/>
        <v>0</v>
      </c>
      <c r="P56" s="126">
        <f t="shared" si="26"/>
        <v>0</v>
      </c>
      <c r="Q56" s="126">
        <f t="shared" si="26"/>
        <v>0</v>
      </c>
      <c r="R56" s="126">
        <f t="shared" si="26"/>
        <v>0</v>
      </c>
      <c r="S56" s="126">
        <f t="shared" si="26"/>
        <v>0</v>
      </c>
      <c r="T56" s="126">
        <f t="shared" si="26"/>
        <v>0</v>
      </c>
      <c r="U56" s="126">
        <f t="shared" si="26"/>
        <v>0</v>
      </c>
      <c r="V56" s="126">
        <f t="shared" si="26"/>
        <v>0</v>
      </c>
      <c r="W56" s="126">
        <f t="shared" si="26"/>
        <v>0</v>
      </c>
      <c r="X56" s="126">
        <f t="shared" si="26"/>
        <v>0</v>
      </c>
      <c r="Y56" s="126">
        <f t="shared" si="26"/>
        <v>0</v>
      </c>
      <c r="Z56" s="126">
        <f t="shared" si="26"/>
        <v>0</v>
      </c>
      <c r="AA56" s="126">
        <f t="shared" si="26"/>
        <v>0</v>
      </c>
      <c r="AB56" s="126">
        <f t="shared" si="26"/>
        <v>0</v>
      </c>
      <c r="AC56" s="126">
        <f t="shared" si="26"/>
        <v>0</v>
      </c>
      <c r="AD56" s="367">
        <f t="shared" si="26"/>
        <v>3.7499999999999999E-2</v>
      </c>
      <c r="AE56" s="126">
        <f t="shared" si="26"/>
        <v>0</v>
      </c>
      <c r="AF56" s="126">
        <f t="shared" si="26"/>
        <v>0</v>
      </c>
      <c r="AG56" s="126">
        <f t="shared" si="26"/>
        <v>0</v>
      </c>
      <c r="AH56" s="126">
        <f t="shared" si="26"/>
        <v>0</v>
      </c>
      <c r="AI56" s="126">
        <f t="shared" si="26"/>
        <v>0</v>
      </c>
      <c r="AJ56" s="126">
        <f t="shared" si="26"/>
        <v>0</v>
      </c>
      <c r="AK56" s="126">
        <f t="shared" si="26"/>
        <v>0</v>
      </c>
      <c r="AL56" s="367">
        <f t="shared" si="26"/>
        <v>3.7499999999999999E-2</v>
      </c>
      <c r="AM56" s="126">
        <f t="shared" si="26"/>
        <v>0</v>
      </c>
      <c r="AN56" s="126">
        <f t="shared" si="26"/>
        <v>0</v>
      </c>
      <c r="AO56" s="126">
        <f t="shared" si="26"/>
        <v>0</v>
      </c>
      <c r="AP56" s="126">
        <f t="shared" si="26"/>
        <v>0</v>
      </c>
      <c r="AQ56" s="126">
        <f t="shared" si="26"/>
        <v>0</v>
      </c>
      <c r="AR56" s="126">
        <f t="shared" si="26"/>
        <v>0</v>
      </c>
      <c r="AS56" s="126">
        <f t="shared" si="26"/>
        <v>0</v>
      </c>
      <c r="AT56" s="367">
        <f t="shared" si="26"/>
        <v>3.7499999999999999E-2</v>
      </c>
      <c r="AU56" s="126">
        <f t="shared" si="26"/>
        <v>0</v>
      </c>
      <c r="AV56" s="126">
        <f t="shared" si="26"/>
        <v>0</v>
      </c>
      <c r="AW56" s="126">
        <f t="shared" si="26"/>
        <v>0</v>
      </c>
      <c r="AX56" s="126">
        <f t="shared" si="26"/>
        <v>0</v>
      </c>
      <c r="AY56" s="126">
        <f t="shared" si="26"/>
        <v>0</v>
      </c>
      <c r="AZ56" s="126">
        <f t="shared" si="26"/>
        <v>0</v>
      </c>
      <c r="BA56" s="126">
        <f t="shared" si="26"/>
        <v>0</v>
      </c>
      <c r="BB56" s="367">
        <f t="shared" si="26"/>
        <v>3.7499999999999999E-2</v>
      </c>
      <c r="BC56" s="126">
        <f t="shared" si="26"/>
        <v>0</v>
      </c>
      <c r="BD56" s="126">
        <f t="shared" si="26"/>
        <v>0</v>
      </c>
      <c r="BE56" s="126">
        <f t="shared" si="26"/>
        <v>0</v>
      </c>
      <c r="BF56" s="126">
        <f t="shared" si="26"/>
        <v>0</v>
      </c>
      <c r="BG56" s="126">
        <f t="shared" si="26"/>
        <v>0</v>
      </c>
      <c r="BH56" s="126">
        <f t="shared" si="26"/>
        <v>0</v>
      </c>
      <c r="BI56" s="126">
        <f t="shared" si="26"/>
        <v>0</v>
      </c>
      <c r="BJ56" s="367">
        <f t="shared" si="26"/>
        <v>3.7499999999999999E-2</v>
      </c>
    </row>
    <row r="57" spans="1:63" ht="11.25" customHeight="1" x14ac:dyDescent="0.25">
      <c r="D57" s="259"/>
      <c r="E57" s="83">
        <f t="shared" si="7"/>
        <v>0</v>
      </c>
    </row>
    <row r="58" spans="1:63" ht="11.25" customHeight="1" x14ac:dyDescent="0.25">
      <c r="A58" s="5"/>
      <c r="B58" s="5" t="s">
        <v>345</v>
      </c>
      <c r="C58" s="7" t="s">
        <v>108</v>
      </c>
      <c r="D58" s="81"/>
      <c r="E58" s="83">
        <f t="shared" si="7"/>
        <v>180</v>
      </c>
      <c r="F58" s="302"/>
      <c r="G58" s="83">
        <f>IF(G26=0,0,IF(F58&lt;$D$55,F58+1,1))</f>
        <v>0</v>
      </c>
      <c r="H58" s="83">
        <f t="shared" ref="H58:BJ58" si="27">IF(H26=0,0,IF(G58&lt;$D$55,G58+1,1))</f>
        <v>0</v>
      </c>
      <c r="I58" s="83">
        <f t="shared" si="27"/>
        <v>0</v>
      </c>
      <c r="J58" s="83">
        <f t="shared" si="27"/>
        <v>0</v>
      </c>
      <c r="K58" s="83">
        <f t="shared" si="27"/>
        <v>0</v>
      </c>
      <c r="L58" s="83">
        <f t="shared" si="27"/>
        <v>0</v>
      </c>
      <c r="M58" s="83">
        <f t="shared" si="27"/>
        <v>0</v>
      </c>
      <c r="N58" s="83">
        <f t="shared" si="27"/>
        <v>0</v>
      </c>
      <c r="O58" s="83">
        <f t="shared" si="27"/>
        <v>0</v>
      </c>
      <c r="P58" s="83">
        <f t="shared" si="27"/>
        <v>0</v>
      </c>
      <c r="Q58" s="83">
        <f t="shared" si="27"/>
        <v>0</v>
      </c>
      <c r="R58" s="83">
        <f t="shared" si="27"/>
        <v>0</v>
      </c>
      <c r="S58" s="83">
        <f t="shared" si="27"/>
        <v>0</v>
      </c>
      <c r="T58" s="83">
        <f t="shared" si="27"/>
        <v>0</v>
      </c>
      <c r="U58" s="83">
        <f t="shared" si="27"/>
        <v>0</v>
      </c>
      <c r="V58" s="83">
        <f t="shared" si="27"/>
        <v>0</v>
      </c>
      <c r="W58" s="83">
        <f t="shared" si="27"/>
        <v>1</v>
      </c>
      <c r="X58" s="83">
        <f t="shared" si="27"/>
        <v>2</v>
      </c>
      <c r="Y58" s="83">
        <f t="shared" si="27"/>
        <v>3</v>
      </c>
      <c r="Z58" s="83">
        <f t="shared" si="27"/>
        <v>4</v>
      </c>
      <c r="AA58" s="83">
        <f t="shared" si="27"/>
        <v>5</v>
      </c>
      <c r="AB58" s="83">
        <f t="shared" si="27"/>
        <v>6</v>
      </c>
      <c r="AC58" s="83">
        <f t="shared" si="27"/>
        <v>7</v>
      </c>
      <c r="AD58" s="83">
        <f t="shared" si="27"/>
        <v>8</v>
      </c>
      <c r="AE58" s="83">
        <f t="shared" si="27"/>
        <v>1</v>
      </c>
      <c r="AF58" s="83">
        <f t="shared" si="27"/>
        <v>2</v>
      </c>
      <c r="AG58" s="83">
        <f t="shared" si="27"/>
        <v>3</v>
      </c>
      <c r="AH58" s="83">
        <f t="shared" si="27"/>
        <v>4</v>
      </c>
      <c r="AI58" s="83">
        <f t="shared" si="27"/>
        <v>5</v>
      </c>
      <c r="AJ58" s="83">
        <f t="shared" si="27"/>
        <v>6</v>
      </c>
      <c r="AK58" s="83">
        <f t="shared" si="27"/>
        <v>7</v>
      </c>
      <c r="AL58" s="83">
        <f t="shared" si="27"/>
        <v>8</v>
      </c>
      <c r="AM58" s="83">
        <f t="shared" si="27"/>
        <v>1</v>
      </c>
      <c r="AN58" s="83">
        <f t="shared" si="27"/>
        <v>2</v>
      </c>
      <c r="AO58" s="83">
        <f t="shared" si="27"/>
        <v>3</v>
      </c>
      <c r="AP58" s="83">
        <f t="shared" si="27"/>
        <v>4</v>
      </c>
      <c r="AQ58" s="83">
        <f t="shared" si="27"/>
        <v>5</v>
      </c>
      <c r="AR58" s="83">
        <f t="shared" si="27"/>
        <v>6</v>
      </c>
      <c r="AS58" s="83">
        <f t="shared" si="27"/>
        <v>7</v>
      </c>
      <c r="AT58" s="83">
        <f t="shared" si="27"/>
        <v>8</v>
      </c>
      <c r="AU58" s="83">
        <f t="shared" si="27"/>
        <v>1</v>
      </c>
      <c r="AV58" s="83">
        <f t="shared" si="27"/>
        <v>2</v>
      </c>
      <c r="AW58" s="83">
        <f t="shared" si="27"/>
        <v>3</v>
      </c>
      <c r="AX58" s="83">
        <f t="shared" si="27"/>
        <v>4</v>
      </c>
      <c r="AY58" s="83">
        <f t="shared" si="27"/>
        <v>5</v>
      </c>
      <c r="AZ58" s="83">
        <f t="shared" si="27"/>
        <v>6</v>
      </c>
      <c r="BA58" s="83">
        <f t="shared" si="27"/>
        <v>7</v>
      </c>
      <c r="BB58" s="83">
        <f t="shared" si="27"/>
        <v>8</v>
      </c>
      <c r="BC58" s="83">
        <f t="shared" si="27"/>
        <v>1</v>
      </c>
      <c r="BD58" s="83">
        <f t="shared" si="27"/>
        <v>2</v>
      </c>
      <c r="BE58" s="83">
        <f t="shared" si="27"/>
        <v>3</v>
      </c>
      <c r="BF58" s="83">
        <f t="shared" si="27"/>
        <v>4</v>
      </c>
      <c r="BG58" s="83">
        <f t="shared" si="27"/>
        <v>5</v>
      </c>
      <c r="BH58" s="83">
        <f t="shared" si="27"/>
        <v>6</v>
      </c>
      <c r="BI58" s="83">
        <f t="shared" si="27"/>
        <v>7</v>
      </c>
      <c r="BJ58" s="83">
        <f t="shared" si="27"/>
        <v>8</v>
      </c>
    </row>
    <row r="59" spans="1:63" ht="11.25" customHeight="1" x14ac:dyDescent="0.25">
      <c r="A59" s="5"/>
      <c r="B59" s="5" t="s">
        <v>346</v>
      </c>
      <c r="C59" s="7" t="s">
        <v>36</v>
      </c>
      <c r="D59" s="81"/>
      <c r="E59" s="83">
        <f t="shared" si="7"/>
        <v>11238.652076625893</v>
      </c>
      <c r="F59" s="302"/>
      <c r="G59" s="83">
        <f>IF(G1=$D$21,$D$53,F61)</f>
        <v>0</v>
      </c>
      <c r="H59" s="83">
        <f t="shared" ref="H59:BJ59" si="28">IF(H1=$D$21,$D$53,G61)</f>
        <v>0</v>
      </c>
      <c r="I59" s="83">
        <f t="shared" si="28"/>
        <v>0</v>
      </c>
      <c r="J59" s="83">
        <f t="shared" si="28"/>
        <v>0</v>
      </c>
      <c r="K59" s="83">
        <f t="shared" si="28"/>
        <v>0</v>
      </c>
      <c r="L59" s="83">
        <f t="shared" si="28"/>
        <v>0</v>
      </c>
      <c r="M59" s="83">
        <f t="shared" si="28"/>
        <v>0</v>
      </c>
      <c r="N59" s="83">
        <f t="shared" si="28"/>
        <v>0</v>
      </c>
      <c r="O59" s="83">
        <f t="shared" si="28"/>
        <v>0</v>
      </c>
      <c r="P59" s="83">
        <f t="shared" si="28"/>
        <v>0</v>
      </c>
      <c r="Q59" s="83">
        <f t="shared" si="28"/>
        <v>0</v>
      </c>
      <c r="R59" s="83">
        <f t="shared" si="28"/>
        <v>0</v>
      </c>
      <c r="S59" s="83">
        <f t="shared" si="28"/>
        <v>0</v>
      </c>
      <c r="T59" s="83">
        <f t="shared" si="28"/>
        <v>0</v>
      </c>
      <c r="U59" s="83">
        <f t="shared" si="28"/>
        <v>0</v>
      </c>
      <c r="V59" s="83">
        <f t="shared" si="28"/>
        <v>0</v>
      </c>
      <c r="W59" s="83">
        <f t="shared" si="28"/>
        <v>305</v>
      </c>
      <c r="X59" s="83">
        <f t="shared" si="28"/>
        <v>302.56</v>
      </c>
      <c r="Y59" s="83">
        <f t="shared" si="28"/>
        <v>300.13952</v>
      </c>
      <c r="Z59" s="83">
        <f t="shared" si="28"/>
        <v>297.73840383999999</v>
      </c>
      <c r="AA59" s="83">
        <f t="shared" si="28"/>
        <v>295.35649660927999</v>
      </c>
      <c r="AB59" s="83">
        <f t="shared" si="28"/>
        <v>292.99364463640575</v>
      </c>
      <c r="AC59" s="83">
        <f t="shared" si="28"/>
        <v>290.64969547931452</v>
      </c>
      <c r="AD59" s="83">
        <f t="shared" si="28"/>
        <v>288.32449791547998</v>
      </c>
      <c r="AE59" s="83">
        <f t="shared" si="28"/>
        <v>296.74357325461204</v>
      </c>
      <c r="AF59" s="83">
        <f t="shared" si="28"/>
        <v>294.36962466857517</v>
      </c>
      <c r="AG59" s="83">
        <f t="shared" si="28"/>
        <v>292.01466767122656</v>
      </c>
      <c r="AH59" s="83">
        <f t="shared" si="28"/>
        <v>289.67855032985676</v>
      </c>
      <c r="AI59" s="83">
        <f t="shared" si="28"/>
        <v>287.36112192721788</v>
      </c>
      <c r="AJ59" s="83">
        <f t="shared" si="28"/>
        <v>285.06223295180013</v>
      </c>
      <c r="AK59" s="83">
        <f t="shared" si="28"/>
        <v>282.78173508818571</v>
      </c>
      <c r="AL59" s="83">
        <f t="shared" si="28"/>
        <v>280.51948120748023</v>
      </c>
      <c r="AM59" s="83">
        <f t="shared" si="28"/>
        <v>288.71065005873868</v>
      </c>
      <c r="AN59" s="83">
        <f t="shared" si="28"/>
        <v>286.40096485826876</v>
      </c>
      <c r="AO59" s="83">
        <f t="shared" si="28"/>
        <v>284.10975713940263</v>
      </c>
      <c r="AP59" s="83">
        <f t="shared" si="28"/>
        <v>281.8368790822874</v>
      </c>
      <c r="AQ59" s="83">
        <f t="shared" si="28"/>
        <v>279.58218404962912</v>
      </c>
      <c r="AR59" s="83">
        <f t="shared" si="28"/>
        <v>277.34552657723208</v>
      </c>
      <c r="AS59" s="83">
        <f t="shared" si="28"/>
        <v>275.12676236461419</v>
      </c>
      <c r="AT59" s="83">
        <f t="shared" si="28"/>
        <v>272.92574826569728</v>
      </c>
      <c r="AU59" s="83">
        <f t="shared" si="28"/>
        <v>280.89518011505567</v>
      </c>
      <c r="AV59" s="83">
        <f t="shared" si="28"/>
        <v>278.64801867413524</v>
      </c>
      <c r="AW59" s="83">
        <f t="shared" si="28"/>
        <v>276.41883452474218</v>
      </c>
      <c r="AX59" s="83">
        <f t="shared" si="28"/>
        <v>274.20748384854426</v>
      </c>
      <c r="AY59" s="83">
        <f t="shared" si="28"/>
        <v>272.01382397775592</v>
      </c>
      <c r="AZ59" s="83">
        <f t="shared" si="28"/>
        <v>269.83771338593385</v>
      </c>
      <c r="BA59" s="83">
        <f t="shared" si="28"/>
        <v>267.67901167884639</v>
      </c>
      <c r="BB59" s="83">
        <f t="shared" si="28"/>
        <v>265.53757958541564</v>
      </c>
      <c r="BC59" s="83">
        <f t="shared" si="28"/>
        <v>273.29127690930977</v>
      </c>
      <c r="BD59" s="83">
        <f t="shared" si="28"/>
        <v>271.10494669403528</v>
      </c>
      <c r="BE59" s="83">
        <f t="shared" si="28"/>
        <v>268.93610712048297</v>
      </c>
      <c r="BF59" s="83">
        <f t="shared" si="28"/>
        <v>266.78461826351912</v>
      </c>
      <c r="BG59" s="83">
        <f t="shared" si="28"/>
        <v>264.65034131741095</v>
      </c>
      <c r="BH59" s="83">
        <f t="shared" si="28"/>
        <v>262.53313858687164</v>
      </c>
      <c r="BI59" s="83">
        <f t="shared" si="28"/>
        <v>260.43287347817665</v>
      </c>
      <c r="BJ59" s="83">
        <f t="shared" si="28"/>
        <v>258.3494104903512</v>
      </c>
    </row>
    <row r="60" spans="1:63" ht="11.25" customHeight="1" x14ac:dyDescent="0.25">
      <c r="A60" s="5"/>
      <c r="B60" s="5" t="s">
        <v>348</v>
      </c>
      <c r="C60" s="7" t="s">
        <v>36</v>
      </c>
      <c r="D60" s="81"/>
      <c r="E60" s="83">
        <f t="shared" si="7"/>
        <v>11219.098683264227</v>
      </c>
      <c r="F60" s="302"/>
      <c r="G60" s="83">
        <f>AVERAGE(G59,G61)</f>
        <v>0</v>
      </c>
      <c r="H60" s="83">
        <f t="shared" ref="H60:BJ60" si="29">AVERAGE(H59,H61)</f>
        <v>0</v>
      </c>
      <c r="I60" s="83">
        <f t="shared" si="29"/>
        <v>0</v>
      </c>
      <c r="J60" s="83">
        <f t="shared" si="29"/>
        <v>0</v>
      </c>
      <c r="K60" s="83">
        <f t="shared" si="29"/>
        <v>0</v>
      </c>
      <c r="L60" s="83">
        <f t="shared" si="29"/>
        <v>0</v>
      </c>
      <c r="M60" s="83">
        <f t="shared" si="29"/>
        <v>0</v>
      </c>
      <c r="N60" s="83">
        <f t="shared" si="29"/>
        <v>0</v>
      </c>
      <c r="O60" s="83">
        <f t="shared" si="29"/>
        <v>0</v>
      </c>
      <c r="P60" s="83">
        <f t="shared" si="29"/>
        <v>0</v>
      </c>
      <c r="Q60" s="83">
        <f t="shared" si="29"/>
        <v>0</v>
      </c>
      <c r="R60" s="83">
        <f t="shared" si="29"/>
        <v>0</v>
      </c>
      <c r="S60" s="83">
        <f t="shared" si="29"/>
        <v>0</v>
      </c>
      <c r="T60" s="83">
        <f t="shared" si="29"/>
        <v>0</v>
      </c>
      <c r="U60" s="83">
        <f t="shared" si="29"/>
        <v>0</v>
      </c>
      <c r="V60" s="83">
        <f t="shared" si="29"/>
        <v>0</v>
      </c>
      <c r="W60" s="83">
        <f t="shared" si="29"/>
        <v>303.77999999999997</v>
      </c>
      <c r="X60" s="83">
        <f t="shared" si="29"/>
        <v>301.34976</v>
      </c>
      <c r="Y60" s="83">
        <f t="shared" si="29"/>
        <v>298.93896192</v>
      </c>
      <c r="Z60" s="83">
        <f t="shared" si="29"/>
        <v>296.54745022463999</v>
      </c>
      <c r="AA60" s="83">
        <f t="shared" si="29"/>
        <v>294.1750706228429</v>
      </c>
      <c r="AB60" s="83">
        <f t="shared" si="29"/>
        <v>291.82167005786016</v>
      </c>
      <c r="AC60" s="83">
        <f t="shared" si="29"/>
        <v>289.48709669739725</v>
      </c>
      <c r="AD60" s="83">
        <f t="shared" si="29"/>
        <v>292.53403558504601</v>
      </c>
      <c r="AE60" s="83">
        <f t="shared" si="29"/>
        <v>295.55659896159364</v>
      </c>
      <c r="AF60" s="83">
        <f t="shared" si="29"/>
        <v>293.19214616990087</v>
      </c>
      <c r="AG60" s="83">
        <f t="shared" si="29"/>
        <v>290.84660900054166</v>
      </c>
      <c r="AH60" s="83">
        <f t="shared" si="29"/>
        <v>288.51983612853735</v>
      </c>
      <c r="AI60" s="83">
        <f t="shared" si="29"/>
        <v>286.211677439509</v>
      </c>
      <c r="AJ60" s="83">
        <f t="shared" si="29"/>
        <v>283.92198401999292</v>
      </c>
      <c r="AK60" s="83">
        <f t="shared" si="29"/>
        <v>281.65060814783294</v>
      </c>
      <c r="AL60" s="83">
        <f t="shared" si="29"/>
        <v>284.61506563310945</v>
      </c>
      <c r="AM60" s="83">
        <f t="shared" si="29"/>
        <v>287.55580745850375</v>
      </c>
      <c r="AN60" s="83">
        <f t="shared" si="29"/>
        <v>285.25536099883573</v>
      </c>
      <c r="AO60" s="83">
        <f t="shared" si="29"/>
        <v>282.97331811084501</v>
      </c>
      <c r="AP60" s="83">
        <f t="shared" si="29"/>
        <v>280.70953156595829</v>
      </c>
      <c r="AQ60" s="83">
        <f t="shared" si="29"/>
        <v>278.4638553134306</v>
      </c>
      <c r="AR60" s="83">
        <f t="shared" si="29"/>
        <v>276.23614447092314</v>
      </c>
      <c r="AS60" s="83">
        <f t="shared" si="29"/>
        <v>274.02625531515571</v>
      </c>
      <c r="AT60" s="83">
        <f t="shared" si="29"/>
        <v>276.9104641903765</v>
      </c>
      <c r="AU60" s="83">
        <f t="shared" si="29"/>
        <v>279.77159939459546</v>
      </c>
      <c r="AV60" s="83">
        <f t="shared" si="29"/>
        <v>277.53342659943871</v>
      </c>
      <c r="AW60" s="83">
        <f t="shared" si="29"/>
        <v>275.31315918664325</v>
      </c>
      <c r="AX60" s="83">
        <f t="shared" si="29"/>
        <v>273.11065391315009</v>
      </c>
      <c r="AY60" s="83">
        <f t="shared" si="29"/>
        <v>270.92576868184489</v>
      </c>
      <c r="AZ60" s="83">
        <f t="shared" si="29"/>
        <v>268.75836253239015</v>
      </c>
      <c r="BA60" s="83">
        <f t="shared" si="29"/>
        <v>266.60829563213099</v>
      </c>
      <c r="BB60" s="83">
        <f t="shared" si="29"/>
        <v>269.41442824736271</v>
      </c>
      <c r="BC60" s="83">
        <f t="shared" si="29"/>
        <v>272.19811180167255</v>
      </c>
      <c r="BD60" s="83">
        <f t="shared" si="29"/>
        <v>270.02052690725912</v>
      </c>
      <c r="BE60" s="83">
        <f t="shared" si="29"/>
        <v>267.86036269200105</v>
      </c>
      <c r="BF60" s="83">
        <f t="shared" si="29"/>
        <v>265.71747979046506</v>
      </c>
      <c r="BG60" s="83">
        <f t="shared" si="29"/>
        <v>263.59173995214132</v>
      </c>
      <c r="BH60" s="83">
        <f t="shared" si="29"/>
        <v>261.48300603252414</v>
      </c>
      <c r="BI60" s="83">
        <f t="shared" si="29"/>
        <v>259.39114198426392</v>
      </c>
      <c r="BJ60" s="83">
        <f t="shared" si="29"/>
        <v>262.12131188351032</v>
      </c>
    </row>
    <row r="61" spans="1:63" ht="11.25" customHeight="1" x14ac:dyDescent="0.25">
      <c r="A61" s="5"/>
      <c r="B61" s="5" t="s">
        <v>347</v>
      </c>
      <c r="C61" s="7" t="s">
        <v>36</v>
      </c>
      <c r="D61" s="81"/>
      <c r="E61" s="83">
        <f t="shared" si="7"/>
        <v>11199.545289902562</v>
      </c>
      <c r="F61" s="302"/>
      <c r="G61" s="83">
        <f>IF(G58=$D$55,G59*(1+$D$56)*(1-$D$54),G59*(1-$D$54))</f>
        <v>0</v>
      </c>
      <c r="H61" s="83">
        <f t="shared" ref="H61:BJ61" si="30">IF(H58=$D$55,H59*(1+$D$56)*(1-$D$54),H59*(1-$D$54))</f>
        <v>0</v>
      </c>
      <c r="I61" s="83">
        <f t="shared" si="30"/>
        <v>0</v>
      </c>
      <c r="J61" s="83">
        <f t="shared" si="30"/>
        <v>0</v>
      </c>
      <c r="K61" s="83">
        <f t="shared" si="30"/>
        <v>0</v>
      </c>
      <c r="L61" s="83">
        <f t="shared" si="30"/>
        <v>0</v>
      </c>
      <c r="M61" s="83">
        <f t="shared" si="30"/>
        <v>0</v>
      </c>
      <c r="N61" s="83">
        <f t="shared" si="30"/>
        <v>0</v>
      </c>
      <c r="O61" s="83">
        <f t="shared" si="30"/>
        <v>0</v>
      </c>
      <c r="P61" s="83">
        <f t="shared" si="30"/>
        <v>0</v>
      </c>
      <c r="Q61" s="83">
        <f t="shared" si="30"/>
        <v>0</v>
      </c>
      <c r="R61" s="83">
        <f t="shared" si="30"/>
        <v>0</v>
      </c>
      <c r="S61" s="83">
        <f t="shared" si="30"/>
        <v>0</v>
      </c>
      <c r="T61" s="83">
        <f t="shared" si="30"/>
        <v>0</v>
      </c>
      <c r="U61" s="83">
        <f t="shared" si="30"/>
        <v>0</v>
      </c>
      <c r="V61" s="83">
        <f t="shared" si="30"/>
        <v>0</v>
      </c>
      <c r="W61" s="83">
        <f t="shared" si="30"/>
        <v>302.56</v>
      </c>
      <c r="X61" s="83">
        <f t="shared" si="30"/>
        <v>300.13952</v>
      </c>
      <c r="Y61" s="83">
        <f t="shared" si="30"/>
        <v>297.73840383999999</v>
      </c>
      <c r="Z61" s="83">
        <f t="shared" si="30"/>
        <v>295.35649660927999</v>
      </c>
      <c r="AA61" s="83">
        <f t="shared" si="30"/>
        <v>292.99364463640575</v>
      </c>
      <c r="AB61" s="83">
        <f t="shared" si="30"/>
        <v>290.64969547931452</v>
      </c>
      <c r="AC61" s="83">
        <f t="shared" si="30"/>
        <v>288.32449791547998</v>
      </c>
      <c r="AD61" s="83">
        <f t="shared" si="30"/>
        <v>296.74357325461204</v>
      </c>
      <c r="AE61" s="83">
        <f t="shared" si="30"/>
        <v>294.36962466857517</v>
      </c>
      <c r="AF61" s="83">
        <f t="shared" si="30"/>
        <v>292.01466767122656</v>
      </c>
      <c r="AG61" s="83">
        <f t="shared" si="30"/>
        <v>289.67855032985676</v>
      </c>
      <c r="AH61" s="83">
        <f t="shared" si="30"/>
        <v>287.36112192721788</v>
      </c>
      <c r="AI61" s="83">
        <f t="shared" si="30"/>
        <v>285.06223295180013</v>
      </c>
      <c r="AJ61" s="83">
        <f t="shared" si="30"/>
        <v>282.78173508818571</v>
      </c>
      <c r="AK61" s="83">
        <f t="shared" si="30"/>
        <v>280.51948120748023</v>
      </c>
      <c r="AL61" s="83">
        <f t="shared" si="30"/>
        <v>288.71065005873868</v>
      </c>
      <c r="AM61" s="83">
        <f t="shared" si="30"/>
        <v>286.40096485826876</v>
      </c>
      <c r="AN61" s="83">
        <f t="shared" si="30"/>
        <v>284.10975713940263</v>
      </c>
      <c r="AO61" s="83">
        <f t="shared" si="30"/>
        <v>281.8368790822874</v>
      </c>
      <c r="AP61" s="83">
        <f t="shared" si="30"/>
        <v>279.58218404962912</v>
      </c>
      <c r="AQ61" s="83">
        <f t="shared" si="30"/>
        <v>277.34552657723208</v>
      </c>
      <c r="AR61" s="83">
        <f t="shared" si="30"/>
        <v>275.12676236461419</v>
      </c>
      <c r="AS61" s="83">
        <f t="shared" si="30"/>
        <v>272.92574826569728</v>
      </c>
      <c r="AT61" s="83">
        <f t="shared" si="30"/>
        <v>280.89518011505567</v>
      </c>
      <c r="AU61" s="83">
        <f t="shared" si="30"/>
        <v>278.64801867413524</v>
      </c>
      <c r="AV61" s="83">
        <f t="shared" si="30"/>
        <v>276.41883452474218</v>
      </c>
      <c r="AW61" s="83">
        <f t="shared" si="30"/>
        <v>274.20748384854426</v>
      </c>
      <c r="AX61" s="83">
        <f t="shared" si="30"/>
        <v>272.01382397775592</v>
      </c>
      <c r="AY61" s="83">
        <f t="shared" si="30"/>
        <v>269.83771338593385</v>
      </c>
      <c r="AZ61" s="83">
        <f t="shared" si="30"/>
        <v>267.67901167884639</v>
      </c>
      <c r="BA61" s="83">
        <f t="shared" si="30"/>
        <v>265.53757958541564</v>
      </c>
      <c r="BB61" s="83">
        <f t="shared" si="30"/>
        <v>273.29127690930977</v>
      </c>
      <c r="BC61" s="83">
        <f t="shared" si="30"/>
        <v>271.10494669403528</v>
      </c>
      <c r="BD61" s="83">
        <f t="shared" si="30"/>
        <v>268.93610712048297</v>
      </c>
      <c r="BE61" s="83">
        <f t="shared" si="30"/>
        <v>266.78461826351912</v>
      </c>
      <c r="BF61" s="83">
        <f t="shared" si="30"/>
        <v>264.65034131741095</v>
      </c>
      <c r="BG61" s="83">
        <f t="shared" si="30"/>
        <v>262.53313858687164</v>
      </c>
      <c r="BH61" s="83">
        <f t="shared" si="30"/>
        <v>260.43287347817665</v>
      </c>
      <c r="BI61" s="83">
        <f t="shared" si="30"/>
        <v>258.3494104903512</v>
      </c>
      <c r="BJ61" s="83">
        <f t="shared" si="30"/>
        <v>265.89321327666948</v>
      </c>
    </row>
    <row r="62" spans="1:63" ht="11.25" customHeight="1" x14ac:dyDescent="0.25">
      <c r="A62" s="5"/>
      <c r="B62" s="9" t="s">
        <v>47</v>
      </c>
      <c r="C62" s="10" t="s">
        <v>48</v>
      </c>
      <c r="D62" s="260">
        <f>Assumptions!D48</f>
        <v>8760</v>
      </c>
      <c r="E62" s="83">
        <f t="shared" si="7"/>
        <v>0</v>
      </c>
      <c r="F62" s="302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117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</row>
    <row r="63" spans="1:63" ht="11.25" customHeight="1" x14ac:dyDescent="0.25">
      <c r="A63" s="5"/>
      <c r="B63" s="211" t="s">
        <v>353</v>
      </c>
      <c r="C63" s="212" t="s">
        <v>112</v>
      </c>
      <c r="D63" s="212"/>
      <c r="E63" s="83">
        <f t="shared" si="7"/>
        <v>37139.896263869756</v>
      </c>
      <c r="F63" s="340" t="s">
        <v>26</v>
      </c>
      <c r="G63" s="213">
        <f>($D$62*G94*G3)*G60/1000</f>
        <v>0</v>
      </c>
      <c r="H63" s="213">
        <f t="shared" ref="H63:BJ63" si="31">($D$62*H94*H3)*H60/1000</f>
        <v>0</v>
      </c>
      <c r="I63" s="213">
        <f t="shared" si="31"/>
        <v>0</v>
      </c>
      <c r="J63" s="213">
        <f t="shared" si="31"/>
        <v>0</v>
      </c>
      <c r="K63" s="213">
        <f t="shared" si="31"/>
        <v>0</v>
      </c>
      <c r="L63" s="213">
        <f t="shared" si="31"/>
        <v>0</v>
      </c>
      <c r="M63" s="213">
        <f t="shared" si="31"/>
        <v>0</v>
      </c>
      <c r="N63" s="213">
        <f t="shared" si="31"/>
        <v>0</v>
      </c>
      <c r="O63" s="213">
        <f t="shared" si="31"/>
        <v>0</v>
      </c>
      <c r="P63" s="213">
        <f t="shared" si="31"/>
        <v>0</v>
      </c>
      <c r="Q63" s="213">
        <f t="shared" si="31"/>
        <v>0</v>
      </c>
      <c r="R63" s="213">
        <f t="shared" si="31"/>
        <v>0</v>
      </c>
      <c r="S63" s="213">
        <f t="shared" si="31"/>
        <v>0</v>
      </c>
      <c r="T63" s="213">
        <f t="shared" si="31"/>
        <v>0</v>
      </c>
      <c r="U63" s="213">
        <f t="shared" si="31"/>
        <v>0</v>
      </c>
      <c r="V63" s="213">
        <f t="shared" si="31"/>
        <v>0</v>
      </c>
      <c r="W63" s="213">
        <f t="shared" si="31"/>
        <v>1042.1037474876</v>
      </c>
      <c r="X63" s="213">
        <f t="shared" si="31"/>
        <v>1033.7669175076992</v>
      </c>
      <c r="Y63" s="213">
        <f t="shared" si="31"/>
        <v>1025.4967821676378</v>
      </c>
      <c r="Z63" s="213">
        <f t="shared" si="31"/>
        <v>1017.2928079102965</v>
      </c>
      <c r="AA63" s="213">
        <f t="shared" si="31"/>
        <v>1009.1544654470142</v>
      </c>
      <c r="AB63" s="213">
        <f t="shared" si="31"/>
        <v>1001.0812297234381</v>
      </c>
      <c r="AC63" s="213">
        <f t="shared" si="31"/>
        <v>993.0725798856505</v>
      </c>
      <c r="AD63" s="213">
        <f t="shared" si="31"/>
        <v>907.8426781180857</v>
      </c>
      <c r="AE63" s="213">
        <f t="shared" si="31"/>
        <v>1013.8937368245653</v>
      </c>
      <c r="AF63" s="213">
        <f t="shared" si="31"/>
        <v>1005.7825869299688</v>
      </c>
      <c r="AG63" s="213">
        <f t="shared" si="31"/>
        <v>997.73632623452897</v>
      </c>
      <c r="AH63" s="213">
        <f t="shared" si="31"/>
        <v>989.75443562465284</v>
      </c>
      <c r="AI63" s="213">
        <f t="shared" si="31"/>
        <v>981.83640013965544</v>
      </c>
      <c r="AJ63" s="213">
        <f t="shared" si="31"/>
        <v>973.98170893853819</v>
      </c>
      <c r="AK63" s="213">
        <f t="shared" si="31"/>
        <v>956.40840566365137</v>
      </c>
      <c r="AL63" s="213">
        <f t="shared" si="31"/>
        <v>874.32518625407693</v>
      </c>
      <c r="AM63" s="213">
        <f t="shared" si="31"/>
        <v>976.46084686015809</v>
      </c>
      <c r="AN63" s="213">
        <f t="shared" si="31"/>
        <v>957.64178326612591</v>
      </c>
      <c r="AO63" s="213">
        <f t="shared" si="31"/>
        <v>949.98064899999679</v>
      </c>
      <c r="AP63" s="213">
        <f t="shared" si="31"/>
        <v>931.54884054583613</v>
      </c>
      <c r="AQ63" s="213">
        <f t="shared" si="31"/>
        <v>924.09644982146938</v>
      </c>
      <c r="AR63" s="213">
        <f t="shared" si="31"/>
        <v>906.04433312728258</v>
      </c>
      <c r="AS63" s="213">
        <f t="shared" si="31"/>
        <v>898.79597846226409</v>
      </c>
      <c r="AT63" s="213">
        <f t="shared" si="31"/>
        <v>821.65731357007485</v>
      </c>
      <c r="AU63" s="213">
        <f t="shared" si="31"/>
        <v>917.64049446509557</v>
      </c>
      <c r="AV63" s="213">
        <f t="shared" si="31"/>
        <v>910.29937050937485</v>
      </c>
      <c r="AW63" s="213">
        <f t="shared" si="31"/>
        <v>903.01697554530006</v>
      </c>
      <c r="AX63" s="213">
        <f t="shared" si="31"/>
        <v>895.79283974093755</v>
      </c>
      <c r="AY63" s="213">
        <f t="shared" si="31"/>
        <v>888.62649702301007</v>
      </c>
      <c r="AZ63" s="213">
        <f t="shared" si="31"/>
        <v>881.5174850468261</v>
      </c>
      <c r="BA63" s="213">
        <f t="shared" si="31"/>
        <v>874.46534516645124</v>
      </c>
      <c r="BB63" s="213">
        <f t="shared" si="31"/>
        <v>799.41484334285008</v>
      </c>
      <c r="BC63" s="213">
        <f t="shared" si="31"/>
        <v>892.79973537934927</v>
      </c>
      <c r="BD63" s="213">
        <f t="shared" si="31"/>
        <v>885.65733749631443</v>
      </c>
      <c r="BE63" s="213">
        <f t="shared" si="31"/>
        <v>878.57207879634393</v>
      </c>
      <c r="BF63" s="213">
        <f t="shared" si="31"/>
        <v>871.54350216597322</v>
      </c>
      <c r="BG63" s="213">
        <f t="shared" si="31"/>
        <v>864.57115414864541</v>
      </c>
      <c r="BH63" s="213">
        <f t="shared" si="31"/>
        <v>857.65458491545598</v>
      </c>
      <c r="BI63" s="213">
        <f t="shared" si="31"/>
        <v>850.79334823613226</v>
      </c>
      <c r="BJ63" s="213">
        <f t="shared" si="31"/>
        <v>777.77448238141994</v>
      </c>
    </row>
    <row r="64" spans="1:63" ht="11.25" customHeight="1" x14ac:dyDescent="0.25">
      <c r="A64" s="5"/>
      <c r="B64" s="5"/>
      <c r="C64" s="7"/>
      <c r="D64" s="81"/>
      <c r="E64" s="83">
        <f t="shared" si="7"/>
        <v>0</v>
      </c>
      <c r="F64" s="302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  <c r="Y64" s="83"/>
      <c r="Z64" s="83"/>
      <c r="AA64" s="83"/>
      <c r="AB64" s="83"/>
      <c r="AC64" s="83"/>
      <c r="AD64" s="83"/>
      <c r="AE64" s="83"/>
      <c r="AF64" s="83"/>
      <c r="AG64" s="83"/>
      <c r="AH64" s="83"/>
      <c r="AI64" s="83"/>
      <c r="AJ64" s="83"/>
      <c r="AK64" s="83"/>
      <c r="AL64" s="83"/>
      <c r="AM64" s="83"/>
      <c r="AN64" s="83"/>
      <c r="AO64" s="83"/>
      <c r="AP64" s="83"/>
      <c r="AQ64" s="83"/>
      <c r="AR64" s="83"/>
      <c r="AS64" s="83"/>
      <c r="AT64" s="5"/>
      <c r="AU64" s="5"/>
    </row>
    <row r="65" spans="1:62" ht="11.25" customHeight="1" x14ac:dyDescent="0.25">
      <c r="A65" s="3" t="s">
        <v>26</v>
      </c>
      <c r="B65" s="3" t="s">
        <v>18</v>
      </c>
      <c r="C65" s="7"/>
      <c r="D65" s="81"/>
      <c r="E65" s="83">
        <f t="shared" si="7"/>
        <v>0</v>
      </c>
      <c r="F65" s="302"/>
      <c r="G65" s="83"/>
      <c r="H65" s="83"/>
      <c r="I65" s="83"/>
      <c r="J65" s="83"/>
      <c r="K65" s="83"/>
      <c r="L65" s="83"/>
      <c r="M65" s="83"/>
      <c r="N65" s="83"/>
      <c r="O65" s="83"/>
      <c r="P65" s="83"/>
      <c r="Q65" s="83"/>
      <c r="R65" s="83"/>
      <c r="S65" s="83"/>
      <c r="T65" s="83"/>
      <c r="U65" s="83"/>
      <c r="V65" s="83"/>
      <c r="W65" s="83"/>
      <c r="X65" s="83"/>
      <c r="Y65" s="83"/>
      <c r="Z65" s="83"/>
      <c r="AA65" s="83"/>
      <c r="AB65" s="83"/>
      <c r="AC65" s="83"/>
      <c r="AD65" s="83"/>
      <c r="AE65" s="83"/>
      <c r="AF65" s="83"/>
      <c r="AG65" s="83"/>
      <c r="AH65" s="83"/>
      <c r="AI65" s="83"/>
      <c r="AJ65" s="83"/>
      <c r="AK65" s="83"/>
      <c r="AL65" s="83"/>
      <c r="AM65" s="83"/>
      <c r="AN65" s="83"/>
      <c r="AO65" s="83"/>
      <c r="AP65" s="83"/>
      <c r="AQ65" s="83"/>
      <c r="AR65" s="83"/>
      <c r="AS65" s="83"/>
      <c r="AT65" s="5"/>
      <c r="AU65" s="5"/>
    </row>
    <row r="66" spans="1:62" ht="11.25" customHeight="1" x14ac:dyDescent="0.25">
      <c r="A66" s="5"/>
      <c r="B66" s="5" t="s">
        <v>39</v>
      </c>
      <c r="C66" s="7" t="s">
        <v>107</v>
      </c>
      <c r="D66" s="258">
        <f>Assumptions!D53</f>
        <v>7315</v>
      </c>
      <c r="E66" s="83">
        <f t="shared" si="7"/>
        <v>0</v>
      </c>
      <c r="F66" s="302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</row>
    <row r="67" spans="1:62" ht="11.25" customHeight="1" x14ac:dyDescent="0.25">
      <c r="A67" s="5"/>
      <c r="B67" s="5" t="s">
        <v>40</v>
      </c>
      <c r="C67" s="7" t="s">
        <v>38</v>
      </c>
      <c r="D67" s="360">
        <f>Assumptions!D54</f>
        <v>5.4000000000000003E-3</v>
      </c>
      <c r="E67" s="83">
        <f t="shared" si="7"/>
        <v>0</v>
      </c>
      <c r="F67" s="302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</row>
    <row r="68" spans="1:62" ht="11.25" customHeight="1" x14ac:dyDescent="0.25">
      <c r="A68" s="5"/>
      <c r="B68" s="5" t="s">
        <v>43</v>
      </c>
      <c r="C68" s="7" t="s">
        <v>34</v>
      </c>
      <c r="D68" s="360">
        <f>Assumptions!D55</f>
        <v>9.4999999999999998E-3</v>
      </c>
      <c r="E68" s="83">
        <f t="shared" si="7"/>
        <v>4.7500000000000001E-2</v>
      </c>
      <c r="F68" s="302" t="s">
        <v>26</v>
      </c>
      <c r="G68" s="126">
        <f>IF(G25=0,0,IF(MOD(G25,$D$55)=0,$D$68,0))</f>
        <v>0</v>
      </c>
      <c r="H68" s="126">
        <f t="shared" ref="H68:BI68" si="32">IF(H25=0,0,IF(MOD(H25,$D$55)=0,$D$68,0))</f>
        <v>0</v>
      </c>
      <c r="I68" s="126">
        <f t="shared" si="32"/>
        <v>0</v>
      </c>
      <c r="J68" s="126">
        <f t="shared" si="32"/>
        <v>0</v>
      </c>
      <c r="K68" s="126">
        <f t="shared" si="32"/>
        <v>0</v>
      </c>
      <c r="L68" s="126">
        <f t="shared" si="32"/>
        <v>0</v>
      </c>
      <c r="M68" s="126">
        <f t="shared" si="32"/>
        <v>0</v>
      </c>
      <c r="N68" s="126">
        <f t="shared" si="32"/>
        <v>0</v>
      </c>
      <c r="O68" s="126">
        <f t="shared" si="32"/>
        <v>0</v>
      </c>
      <c r="P68" s="126">
        <f t="shared" si="32"/>
        <v>0</v>
      </c>
      <c r="Q68" s="126">
        <f t="shared" si="32"/>
        <v>0</v>
      </c>
      <c r="R68" s="126">
        <f t="shared" si="32"/>
        <v>0</v>
      </c>
      <c r="S68" s="126">
        <f t="shared" si="32"/>
        <v>0</v>
      </c>
      <c r="T68" s="126">
        <f t="shared" si="32"/>
        <v>0</v>
      </c>
      <c r="U68" s="126">
        <f t="shared" si="32"/>
        <v>0</v>
      </c>
      <c r="V68" s="126">
        <f t="shared" si="32"/>
        <v>0</v>
      </c>
      <c r="W68" s="126">
        <f t="shared" si="32"/>
        <v>0</v>
      </c>
      <c r="X68" s="126">
        <f t="shared" si="32"/>
        <v>0</v>
      </c>
      <c r="Y68" s="126">
        <f t="shared" si="32"/>
        <v>0</v>
      </c>
      <c r="Z68" s="126">
        <f t="shared" si="32"/>
        <v>0</v>
      </c>
      <c r="AA68" s="126">
        <f t="shared" si="32"/>
        <v>0</v>
      </c>
      <c r="AB68" s="126">
        <f t="shared" si="32"/>
        <v>0</v>
      </c>
      <c r="AC68" s="126">
        <f t="shared" si="32"/>
        <v>0</v>
      </c>
      <c r="AD68" s="367">
        <f t="shared" si="32"/>
        <v>9.4999999999999998E-3</v>
      </c>
      <c r="AE68" s="126">
        <f t="shared" si="32"/>
        <v>0</v>
      </c>
      <c r="AF68" s="126">
        <f t="shared" si="32"/>
        <v>0</v>
      </c>
      <c r="AG68" s="126">
        <f t="shared" si="32"/>
        <v>0</v>
      </c>
      <c r="AH68" s="126">
        <f t="shared" si="32"/>
        <v>0</v>
      </c>
      <c r="AI68" s="126">
        <f t="shared" si="32"/>
        <v>0</v>
      </c>
      <c r="AJ68" s="126">
        <f t="shared" si="32"/>
        <v>0</v>
      </c>
      <c r="AK68" s="126">
        <f t="shared" si="32"/>
        <v>0</v>
      </c>
      <c r="AL68" s="367">
        <f t="shared" si="32"/>
        <v>9.4999999999999998E-3</v>
      </c>
      <c r="AM68" s="126">
        <f t="shared" si="32"/>
        <v>0</v>
      </c>
      <c r="AN68" s="126">
        <f t="shared" si="32"/>
        <v>0</v>
      </c>
      <c r="AO68" s="126">
        <f t="shared" si="32"/>
        <v>0</v>
      </c>
      <c r="AP68" s="126">
        <f t="shared" si="32"/>
        <v>0</v>
      </c>
      <c r="AQ68" s="126">
        <f t="shared" si="32"/>
        <v>0</v>
      </c>
      <c r="AR68" s="126">
        <f t="shared" si="32"/>
        <v>0</v>
      </c>
      <c r="AS68" s="126">
        <f t="shared" si="32"/>
        <v>0</v>
      </c>
      <c r="AT68" s="367">
        <f t="shared" si="32"/>
        <v>9.4999999999999998E-3</v>
      </c>
      <c r="AU68" s="126">
        <f t="shared" si="32"/>
        <v>0</v>
      </c>
      <c r="AV68" s="126">
        <f t="shared" si="32"/>
        <v>0</v>
      </c>
      <c r="AW68" s="126">
        <f t="shared" si="32"/>
        <v>0</v>
      </c>
      <c r="AX68" s="126">
        <f t="shared" si="32"/>
        <v>0</v>
      </c>
      <c r="AY68" s="126">
        <f t="shared" si="32"/>
        <v>0</v>
      </c>
      <c r="AZ68" s="126">
        <f t="shared" si="32"/>
        <v>0</v>
      </c>
      <c r="BA68" s="126">
        <f t="shared" si="32"/>
        <v>0</v>
      </c>
      <c r="BB68" s="367">
        <f t="shared" si="32"/>
        <v>9.4999999999999998E-3</v>
      </c>
      <c r="BC68" s="126">
        <f t="shared" si="32"/>
        <v>0</v>
      </c>
      <c r="BD68" s="126">
        <f t="shared" si="32"/>
        <v>0</v>
      </c>
      <c r="BE68" s="126">
        <f t="shared" si="32"/>
        <v>0</v>
      </c>
      <c r="BF68" s="126">
        <f t="shared" si="32"/>
        <v>0</v>
      </c>
      <c r="BG68" s="126">
        <f t="shared" si="32"/>
        <v>0</v>
      </c>
      <c r="BH68" s="126">
        <f t="shared" si="32"/>
        <v>0</v>
      </c>
      <c r="BI68" s="126">
        <f t="shared" si="32"/>
        <v>0</v>
      </c>
      <c r="BJ68" s="367">
        <f t="shared" ref="BJ68" si="33">IF(BJ25=0,0,IF(MOD(BJ25,$D$55)=0,$D$68,0))</f>
        <v>9.4999999999999998E-3</v>
      </c>
    </row>
    <row r="69" spans="1:62" ht="11.25" customHeight="1" x14ac:dyDescent="0.25">
      <c r="A69" s="5"/>
      <c r="B69" s="5"/>
      <c r="C69" s="7"/>
      <c r="D69" s="81"/>
      <c r="E69" s="83">
        <f t="shared" si="7"/>
        <v>0</v>
      </c>
      <c r="F69" s="302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</row>
    <row r="70" spans="1:62" ht="11.25" customHeight="1" x14ac:dyDescent="0.25">
      <c r="A70" s="5"/>
      <c r="B70" s="5" t="s">
        <v>349</v>
      </c>
      <c r="C70" s="22" t="s">
        <v>107</v>
      </c>
      <c r="D70" s="81"/>
      <c r="E70" s="83">
        <f t="shared" si="7"/>
        <v>319236.76985624788</v>
      </c>
      <c r="F70" s="302"/>
      <c r="G70" s="83">
        <f>IF(G1=$D$21,$D$66,F72)</f>
        <v>0</v>
      </c>
      <c r="H70" s="83">
        <f t="shared" ref="H70:BJ70" si="34">IF(H1=$D$21,$D$66,G72)</f>
        <v>0</v>
      </c>
      <c r="I70" s="83">
        <f t="shared" si="34"/>
        <v>0</v>
      </c>
      <c r="J70" s="83">
        <f t="shared" si="34"/>
        <v>0</v>
      </c>
      <c r="K70" s="83">
        <f t="shared" si="34"/>
        <v>0</v>
      </c>
      <c r="L70" s="83">
        <f t="shared" si="34"/>
        <v>0</v>
      </c>
      <c r="M70" s="83">
        <f t="shared" si="34"/>
        <v>0</v>
      </c>
      <c r="N70" s="83">
        <f t="shared" si="34"/>
        <v>0</v>
      </c>
      <c r="O70" s="83">
        <f t="shared" si="34"/>
        <v>0</v>
      </c>
      <c r="P70" s="83">
        <f t="shared" si="34"/>
        <v>0</v>
      </c>
      <c r="Q70" s="83">
        <f t="shared" si="34"/>
        <v>0</v>
      </c>
      <c r="R70" s="83">
        <f t="shared" si="34"/>
        <v>0</v>
      </c>
      <c r="S70" s="83">
        <f t="shared" si="34"/>
        <v>0</v>
      </c>
      <c r="T70" s="83">
        <f t="shared" si="34"/>
        <v>0</v>
      </c>
      <c r="U70" s="83">
        <f t="shared" si="34"/>
        <v>0</v>
      </c>
      <c r="V70" s="83">
        <f t="shared" si="34"/>
        <v>0</v>
      </c>
      <c r="W70" s="83">
        <f t="shared" si="34"/>
        <v>7315</v>
      </c>
      <c r="X70" s="83">
        <f t="shared" si="34"/>
        <v>7354.5010000000002</v>
      </c>
      <c r="Y70" s="83">
        <f t="shared" si="34"/>
        <v>7394.2153054000009</v>
      </c>
      <c r="Z70" s="83">
        <f t="shared" si="34"/>
        <v>7434.1440680491614</v>
      </c>
      <c r="AA70" s="83">
        <f t="shared" si="34"/>
        <v>7474.2884460166279</v>
      </c>
      <c r="AB70" s="83">
        <f t="shared" si="34"/>
        <v>7514.6496036251183</v>
      </c>
      <c r="AC70" s="83">
        <f t="shared" si="34"/>
        <v>7555.228711484694</v>
      </c>
      <c r="AD70" s="83">
        <f t="shared" si="34"/>
        <v>7596.026946526712</v>
      </c>
      <c r="AE70" s="83">
        <f t="shared" si="34"/>
        <v>7564.4935598635966</v>
      </c>
      <c r="AF70" s="83">
        <f t="shared" si="34"/>
        <v>7605.3418250868608</v>
      </c>
      <c r="AG70" s="83">
        <f t="shared" si="34"/>
        <v>7646.4106709423304</v>
      </c>
      <c r="AH70" s="83">
        <f t="shared" si="34"/>
        <v>7687.7012885654194</v>
      </c>
      <c r="AI70" s="83">
        <f t="shared" si="34"/>
        <v>7729.2148755236731</v>
      </c>
      <c r="AJ70" s="83">
        <f t="shared" si="34"/>
        <v>7770.9526358515013</v>
      </c>
      <c r="AK70" s="83">
        <f t="shared" si="34"/>
        <v>7812.9157800850999</v>
      </c>
      <c r="AL70" s="83">
        <f t="shared" si="34"/>
        <v>7855.1055252975602</v>
      </c>
      <c r="AM70" s="83">
        <f t="shared" si="34"/>
        <v>7822.496625730394</v>
      </c>
      <c r="AN70" s="83">
        <f t="shared" si="34"/>
        <v>7864.738107509339</v>
      </c>
      <c r="AO70" s="83">
        <f t="shared" si="34"/>
        <v>7907.2076932898899</v>
      </c>
      <c r="AP70" s="83">
        <f t="shared" si="34"/>
        <v>7949.906614833656</v>
      </c>
      <c r="AQ70" s="83">
        <f t="shared" si="34"/>
        <v>7992.8361105537588</v>
      </c>
      <c r="AR70" s="83">
        <f t="shared" si="34"/>
        <v>8035.9974255507495</v>
      </c>
      <c r="AS70" s="83">
        <f t="shared" si="34"/>
        <v>8079.3918116487239</v>
      </c>
      <c r="AT70" s="83">
        <f t="shared" si="34"/>
        <v>8123.0205274316277</v>
      </c>
      <c r="AU70" s="83">
        <f t="shared" si="34"/>
        <v>8089.299432316101</v>
      </c>
      <c r="AV70" s="83">
        <f t="shared" si="34"/>
        <v>8132.9816492506088</v>
      </c>
      <c r="AW70" s="83">
        <f t="shared" si="34"/>
        <v>8176.8997501565627</v>
      </c>
      <c r="AX70" s="83">
        <f t="shared" si="34"/>
        <v>8221.0550088074087</v>
      </c>
      <c r="AY70" s="83">
        <f t="shared" si="34"/>
        <v>8265.4487058549694</v>
      </c>
      <c r="AZ70" s="83">
        <f t="shared" si="34"/>
        <v>8310.0821288665866</v>
      </c>
      <c r="BA70" s="83">
        <f t="shared" si="34"/>
        <v>8354.9565723624673</v>
      </c>
      <c r="BB70" s="83">
        <f t="shared" si="34"/>
        <v>8400.0733378532259</v>
      </c>
      <c r="BC70" s="83">
        <f t="shared" si="34"/>
        <v>8365.2021134057977</v>
      </c>
      <c r="BD70" s="83">
        <f t="shared" si="34"/>
        <v>8410.3742048181903</v>
      </c>
      <c r="BE70" s="83">
        <f t="shared" si="34"/>
        <v>8455.7902255242097</v>
      </c>
      <c r="BF70" s="83">
        <f t="shared" si="34"/>
        <v>8501.4514927420405</v>
      </c>
      <c r="BG70" s="83">
        <f t="shared" si="34"/>
        <v>8547.3593308028485</v>
      </c>
      <c r="BH70" s="83">
        <f t="shared" si="34"/>
        <v>8593.5150711891838</v>
      </c>
      <c r="BI70" s="83">
        <f t="shared" si="34"/>
        <v>8639.9200525736069</v>
      </c>
      <c r="BJ70" s="83">
        <f t="shared" si="34"/>
        <v>8686.5756208575058</v>
      </c>
    </row>
    <row r="71" spans="1:62" ht="11.25" customHeight="1" x14ac:dyDescent="0.25">
      <c r="A71" s="5"/>
      <c r="B71" s="5" t="s">
        <v>350</v>
      </c>
      <c r="C71" s="22" t="s">
        <v>107</v>
      </c>
      <c r="D71" s="81"/>
      <c r="E71" s="83">
        <f t="shared" si="7"/>
        <v>319904.52737598913</v>
      </c>
      <c r="F71" s="302"/>
      <c r="G71" s="83">
        <f>AVERAGE(G70,G72)</f>
        <v>0</v>
      </c>
      <c r="H71" s="83">
        <f t="shared" ref="H71:BJ71" si="35">AVERAGE(H70,H72)</f>
        <v>0</v>
      </c>
      <c r="I71" s="83">
        <f t="shared" si="35"/>
        <v>0</v>
      </c>
      <c r="J71" s="83">
        <f t="shared" si="35"/>
        <v>0</v>
      </c>
      <c r="K71" s="83">
        <f t="shared" si="35"/>
        <v>0</v>
      </c>
      <c r="L71" s="83">
        <f t="shared" si="35"/>
        <v>0</v>
      </c>
      <c r="M71" s="83">
        <f t="shared" si="35"/>
        <v>0</v>
      </c>
      <c r="N71" s="83">
        <f t="shared" si="35"/>
        <v>0</v>
      </c>
      <c r="O71" s="83">
        <f t="shared" si="35"/>
        <v>0</v>
      </c>
      <c r="P71" s="83">
        <f t="shared" si="35"/>
        <v>0</v>
      </c>
      <c r="Q71" s="83">
        <f t="shared" si="35"/>
        <v>0</v>
      </c>
      <c r="R71" s="83">
        <f t="shared" si="35"/>
        <v>0</v>
      </c>
      <c r="S71" s="83">
        <f t="shared" si="35"/>
        <v>0</v>
      </c>
      <c r="T71" s="83">
        <f t="shared" si="35"/>
        <v>0</v>
      </c>
      <c r="U71" s="83">
        <f t="shared" si="35"/>
        <v>0</v>
      </c>
      <c r="V71" s="83">
        <f t="shared" si="35"/>
        <v>0</v>
      </c>
      <c r="W71" s="83">
        <f t="shared" si="35"/>
        <v>7334.7505000000001</v>
      </c>
      <c r="X71" s="83">
        <f t="shared" si="35"/>
        <v>7374.3581527000006</v>
      </c>
      <c r="Y71" s="83">
        <f t="shared" si="35"/>
        <v>7414.1796867245812</v>
      </c>
      <c r="Z71" s="83">
        <f t="shared" si="35"/>
        <v>7454.2162570328946</v>
      </c>
      <c r="AA71" s="83">
        <f t="shared" si="35"/>
        <v>7494.4690248208735</v>
      </c>
      <c r="AB71" s="83">
        <f t="shared" si="35"/>
        <v>7534.9391575549062</v>
      </c>
      <c r="AC71" s="83">
        <f t="shared" si="35"/>
        <v>7575.6278290057035</v>
      </c>
      <c r="AD71" s="83">
        <f t="shared" si="35"/>
        <v>7580.2602531951543</v>
      </c>
      <c r="AE71" s="83">
        <f t="shared" si="35"/>
        <v>7584.9176924752283</v>
      </c>
      <c r="AF71" s="83">
        <f t="shared" si="35"/>
        <v>7625.8762480145961</v>
      </c>
      <c r="AG71" s="83">
        <f t="shared" si="35"/>
        <v>7667.0559797538754</v>
      </c>
      <c r="AH71" s="83">
        <f t="shared" si="35"/>
        <v>7708.4580820445462</v>
      </c>
      <c r="AI71" s="83">
        <f t="shared" si="35"/>
        <v>7750.0837556875867</v>
      </c>
      <c r="AJ71" s="83">
        <f t="shared" si="35"/>
        <v>7791.9342079683011</v>
      </c>
      <c r="AK71" s="83">
        <f t="shared" si="35"/>
        <v>7834.0106526913296</v>
      </c>
      <c r="AL71" s="83">
        <f t="shared" si="35"/>
        <v>7838.8010755139767</v>
      </c>
      <c r="AM71" s="83">
        <f t="shared" si="35"/>
        <v>7843.6173666198665</v>
      </c>
      <c r="AN71" s="83">
        <f t="shared" si="35"/>
        <v>7885.9729003996144</v>
      </c>
      <c r="AO71" s="83">
        <f t="shared" si="35"/>
        <v>7928.557154061773</v>
      </c>
      <c r="AP71" s="83">
        <f t="shared" si="35"/>
        <v>7971.3713626937079</v>
      </c>
      <c r="AQ71" s="83">
        <f t="shared" si="35"/>
        <v>8014.4167680522542</v>
      </c>
      <c r="AR71" s="83">
        <f t="shared" si="35"/>
        <v>8057.6946185997367</v>
      </c>
      <c r="AS71" s="83">
        <f t="shared" si="35"/>
        <v>8101.2061695401753</v>
      </c>
      <c r="AT71" s="83">
        <f t="shared" si="35"/>
        <v>8106.1599798738644</v>
      </c>
      <c r="AU71" s="83">
        <f t="shared" si="35"/>
        <v>8111.1405407833554</v>
      </c>
      <c r="AV71" s="83">
        <f t="shared" si="35"/>
        <v>8154.9406997035858</v>
      </c>
      <c r="AW71" s="83">
        <f t="shared" si="35"/>
        <v>8198.9773794819848</v>
      </c>
      <c r="AX71" s="83">
        <f t="shared" si="35"/>
        <v>8243.25185733119</v>
      </c>
      <c r="AY71" s="83">
        <f t="shared" si="35"/>
        <v>8287.7654173607771</v>
      </c>
      <c r="AZ71" s="83">
        <f t="shared" si="35"/>
        <v>8332.519350614526</v>
      </c>
      <c r="BA71" s="83">
        <f t="shared" si="35"/>
        <v>8377.5149551078466</v>
      </c>
      <c r="BB71" s="83">
        <f t="shared" si="35"/>
        <v>8382.6377256295127</v>
      </c>
      <c r="BC71" s="83">
        <f t="shared" si="35"/>
        <v>8387.7881591119949</v>
      </c>
      <c r="BD71" s="83">
        <f t="shared" si="35"/>
        <v>8433.0822151712</v>
      </c>
      <c r="BE71" s="83">
        <f t="shared" si="35"/>
        <v>8478.6208591331251</v>
      </c>
      <c r="BF71" s="83">
        <f t="shared" si="35"/>
        <v>8524.4054117724445</v>
      </c>
      <c r="BG71" s="83">
        <f t="shared" si="35"/>
        <v>8570.4372009960171</v>
      </c>
      <c r="BH71" s="83">
        <f t="shared" si="35"/>
        <v>8616.7175618813963</v>
      </c>
      <c r="BI71" s="83">
        <f t="shared" si="35"/>
        <v>8663.2478367155563</v>
      </c>
      <c r="BJ71" s="83">
        <f t="shared" si="35"/>
        <v>8668.5453301700727</v>
      </c>
    </row>
    <row r="72" spans="1:62" ht="11.25" customHeight="1" x14ac:dyDescent="0.25">
      <c r="A72" s="5"/>
      <c r="B72" s="5" t="s">
        <v>351</v>
      </c>
      <c r="C72" s="22" t="s">
        <v>107</v>
      </c>
      <c r="D72" s="81"/>
      <c r="E72" s="83">
        <f t="shared" si="7"/>
        <v>320572.28489573044</v>
      </c>
      <c r="F72" s="302"/>
      <c r="G72" s="83">
        <f>IF(G58=$D$55,G70*(1-$D$68)*(1+$D$67),G70*(1+$D$67))</f>
        <v>0</v>
      </c>
      <c r="H72" s="83">
        <f t="shared" ref="H72:BJ72" si="36">IF(H58=$D$55,H70*(1-$D$68)*(1+$D$67),H70*(1+$D$67))</f>
        <v>0</v>
      </c>
      <c r="I72" s="83">
        <f t="shared" si="36"/>
        <v>0</v>
      </c>
      <c r="J72" s="83">
        <f t="shared" si="36"/>
        <v>0</v>
      </c>
      <c r="K72" s="83">
        <f t="shared" si="36"/>
        <v>0</v>
      </c>
      <c r="L72" s="83">
        <f t="shared" si="36"/>
        <v>0</v>
      </c>
      <c r="M72" s="83">
        <f t="shared" si="36"/>
        <v>0</v>
      </c>
      <c r="N72" s="83">
        <f t="shared" si="36"/>
        <v>0</v>
      </c>
      <c r="O72" s="83">
        <f t="shared" si="36"/>
        <v>0</v>
      </c>
      <c r="P72" s="83">
        <f t="shared" si="36"/>
        <v>0</v>
      </c>
      <c r="Q72" s="83">
        <f t="shared" si="36"/>
        <v>0</v>
      </c>
      <c r="R72" s="83">
        <f t="shared" si="36"/>
        <v>0</v>
      </c>
      <c r="S72" s="83">
        <f t="shared" si="36"/>
        <v>0</v>
      </c>
      <c r="T72" s="83">
        <f t="shared" si="36"/>
        <v>0</v>
      </c>
      <c r="U72" s="83">
        <f t="shared" si="36"/>
        <v>0</v>
      </c>
      <c r="V72" s="83">
        <f t="shared" si="36"/>
        <v>0</v>
      </c>
      <c r="W72" s="83">
        <f t="shared" si="36"/>
        <v>7354.5010000000002</v>
      </c>
      <c r="X72" s="83">
        <f t="shared" si="36"/>
        <v>7394.2153054000009</v>
      </c>
      <c r="Y72" s="83">
        <f t="shared" si="36"/>
        <v>7434.1440680491614</v>
      </c>
      <c r="Z72" s="83">
        <f t="shared" si="36"/>
        <v>7474.2884460166279</v>
      </c>
      <c r="AA72" s="83">
        <f t="shared" si="36"/>
        <v>7514.6496036251183</v>
      </c>
      <c r="AB72" s="83">
        <f t="shared" si="36"/>
        <v>7555.228711484694</v>
      </c>
      <c r="AC72" s="83">
        <f t="shared" si="36"/>
        <v>7596.026946526712</v>
      </c>
      <c r="AD72" s="83">
        <f t="shared" si="36"/>
        <v>7564.4935598635966</v>
      </c>
      <c r="AE72" s="83">
        <f t="shared" si="36"/>
        <v>7605.3418250868608</v>
      </c>
      <c r="AF72" s="83">
        <f t="shared" si="36"/>
        <v>7646.4106709423304</v>
      </c>
      <c r="AG72" s="83">
        <f t="shared" si="36"/>
        <v>7687.7012885654194</v>
      </c>
      <c r="AH72" s="83">
        <f t="shared" si="36"/>
        <v>7729.2148755236731</v>
      </c>
      <c r="AI72" s="83">
        <f t="shared" si="36"/>
        <v>7770.9526358515013</v>
      </c>
      <c r="AJ72" s="83">
        <f t="shared" si="36"/>
        <v>7812.9157800850999</v>
      </c>
      <c r="AK72" s="83">
        <f t="shared" si="36"/>
        <v>7855.1055252975602</v>
      </c>
      <c r="AL72" s="83">
        <f t="shared" si="36"/>
        <v>7822.496625730394</v>
      </c>
      <c r="AM72" s="83">
        <f t="shared" si="36"/>
        <v>7864.738107509339</v>
      </c>
      <c r="AN72" s="83">
        <f t="shared" si="36"/>
        <v>7907.2076932898899</v>
      </c>
      <c r="AO72" s="83">
        <f t="shared" si="36"/>
        <v>7949.906614833656</v>
      </c>
      <c r="AP72" s="83">
        <f t="shared" si="36"/>
        <v>7992.8361105537588</v>
      </c>
      <c r="AQ72" s="83">
        <f t="shared" si="36"/>
        <v>8035.9974255507495</v>
      </c>
      <c r="AR72" s="83">
        <f t="shared" si="36"/>
        <v>8079.3918116487239</v>
      </c>
      <c r="AS72" s="83">
        <f t="shared" si="36"/>
        <v>8123.0205274316277</v>
      </c>
      <c r="AT72" s="83">
        <f t="shared" si="36"/>
        <v>8089.299432316101</v>
      </c>
      <c r="AU72" s="83">
        <f t="shared" si="36"/>
        <v>8132.9816492506088</v>
      </c>
      <c r="AV72" s="83">
        <f t="shared" si="36"/>
        <v>8176.8997501565627</v>
      </c>
      <c r="AW72" s="83">
        <f t="shared" si="36"/>
        <v>8221.0550088074087</v>
      </c>
      <c r="AX72" s="83">
        <f t="shared" si="36"/>
        <v>8265.4487058549694</v>
      </c>
      <c r="AY72" s="83">
        <f t="shared" si="36"/>
        <v>8310.0821288665866</v>
      </c>
      <c r="AZ72" s="83">
        <f t="shared" si="36"/>
        <v>8354.9565723624673</v>
      </c>
      <c r="BA72" s="83">
        <f t="shared" si="36"/>
        <v>8400.0733378532259</v>
      </c>
      <c r="BB72" s="83">
        <f t="shared" si="36"/>
        <v>8365.2021134057977</v>
      </c>
      <c r="BC72" s="83">
        <f t="shared" si="36"/>
        <v>8410.3742048181903</v>
      </c>
      <c r="BD72" s="83">
        <f t="shared" si="36"/>
        <v>8455.7902255242097</v>
      </c>
      <c r="BE72" s="83">
        <f t="shared" si="36"/>
        <v>8501.4514927420405</v>
      </c>
      <c r="BF72" s="83">
        <f t="shared" si="36"/>
        <v>8547.3593308028485</v>
      </c>
      <c r="BG72" s="83">
        <f t="shared" si="36"/>
        <v>8593.5150711891838</v>
      </c>
      <c r="BH72" s="83">
        <f t="shared" si="36"/>
        <v>8639.9200525736069</v>
      </c>
      <c r="BI72" s="83">
        <f t="shared" si="36"/>
        <v>8686.5756208575058</v>
      </c>
      <c r="BJ72" s="83">
        <f t="shared" si="36"/>
        <v>8650.5150394826414</v>
      </c>
    </row>
    <row r="73" spans="1:62" ht="11.25" customHeight="1" x14ac:dyDescent="0.25">
      <c r="A73" s="5"/>
      <c r="B73" s="208" t="s">
        <v>354</v>
      </c>
      <c r="C73" s="209" t="s">
        <v>352</v>
      </c>
      <c r="D73" s="209"/>
      <c r="E73" s="83">
        <f t="shared" si="7"/>
        <v>296105.86100308743</v>
      </c>
      <c r="F73" s="341" t="s">
        <v>26</v>
      </c>
      <c r="G73" s="210">
        <f>G71*G63/1000</f>
        <v>0</v>
      </c>
      <c r="H73" s="210">
        <f t="shared" ref="H73:BJ73" si="37">H71*H63/1000</f>
        <v>0</v>
      </c>
      <c r="I73" s="210">
        <f t="shared" si="37"/>
        <v>0</v>
      </c>
      <c r="J73" s="210">
        <f t="shared" si="37"/>
        <v>0</v>
      </c>
      <c r="K73" s="210">
        <f t="shared" si="37"/>
        <v>0</v>
      </c>
      <c r="L73" s="210">
        <f t="shared" si="37"/>
        <v>0</v>
      </c>
      <c r="M73" s="210">
        <f t="shared" si="37"/>
        <v>0</v>
      </c>
      <c r="N73" s="210">
        <f t="shared" si="37"/>
        <v>0</v>
      </c>
      <c r="O73" s="210">
        <f t="shared" si="37"/>
        <v>0</v>
      </c>
      <c r="P73" s="210">
        <f t="shared" si="37"/>
        <v>0</v>
      </c>
      <c r="Q73" s="210">
        <f t="shared" si="37"/>
        <v>0</v>
      </c>
      <c r="R73" s="210">
        <f t="shared" si="37"/>
        <v>0</v>
      </c>
      <c r="S73" s="210">
        <f t="shared" si="37"/>
        <v>0</v>
      </c>
      <c r="T73" s="210">
        <f t="shared" si="37"/>
        <v>0</v>
      </c>
      <c r="U73" s="210">
        <f t="shared" si="37"/>
        <v>0</v>
      </c>
      <c r="V73" s="210">
        <f t="shared" si="37"/>
        <v>0</v>
      </c>
      <c r="W73" s="210">
        <f t="shared" si="37"/>
        <v>7643.5709829365478</v>
      </c>
      <c r="X73" s="210">
        <f t="shared" si="37"/>
        <v>7623.3674961144507</v>
      </c>
      <c r="Y73" s="210">
        <f t="shared" si="37"/>
        <v>7603.217411148722</v>
      </c>
      <c r="Z73" s="210">
        <f t="shared" si="37"/>
        <v>7583.1205868875741</v>
      </c>
      <c r="AA73" s="210">
        <f t="shared" si="37"/>
        <v>7563.0768825523146</v>
      </c>
      <c r="AB73" s="210">
        <f t="shared" si="37"/>
        <v>7543.086157736353</v>
      </c>
      <c r="AC73" s="210">
        <f t="shared" si="37"/>
        <v>7523.1482724042235</v>
      </c>
      <c r="AD73" s="210">
        <f t="shared" si="37"/>
        <v>6881.6837690927678</v>
      </c>
      <c r="AE73" s="210">
        <f t="shared" si="37"/>
        <v>7690.3005427304679</v>
      </c>
      <c r="AF73" s="210">
        <f t="shared" si="37"/>
        <v>7669.9735403359255</v>
      </c>
      <c r="AG73" s="210">
        <f t="shared" si="37"/>
        <v>7649.7002662741088</v>
      </c>
      <c r="AH73" s="210">
        <f t="shared" si="37"/>
        <v>7629.4805785302942</v>
      </c>
      <c r="AI73" s="210">
        <f t="shared" si="37"/>
        <v>7609.3143354651211</v>
      </c>
      <c r="AJ73" s="210">
        <f t="shared" si="37"/>
        <v>7589.2013958136204</v>
      </c>
      <c r="AK73" s="210">
        <f t="shared" si="37"/>
        <v>7492.5136382925757</v>
      </c>
      <c r="AL73" s="210">
        <f t="shared" si="37"/>
        <v>6853.6612103574162</v>
      </c>
      <c r="AM73" s="210">
        <f t="shared" si="37"/>
        <v>7658.9852562566784</v>
      </c>
      <c r="AN73" s="210">
        <f t="shared" si="37"/>
        <v>7551.9371511270301</v>
      </c>
      <c r="AO73" s="210">
        <f t="shared" si="37"/>
        <v>7531.9758708491709</v>
      </c>
      <c r="AP73" s="210">
        <f t="shared" si="37"/>
        <v>7425.7217504776054</v>
      </c>
      <c r="AQ73" s="210">
        <f t="shared" si="37"/>
        <v>7406.0940827467421</v>
      </c>
      <c r="AR73" s="210">
        <f t="shared" si="37"/>
        <v>7300.6285472524924</v>
      </c>
      <c r="AS73" s="210">
        <f t="shared" si="37"/>
        <v>7281.3315258763923</v>
      </c>
      <c r="AT73" s="210">
        <f t="shared" si="37"/>
        <v>6660.4856324324119</v>
      </c>
      <c r="AU73" s="210">
        <f t="shared" si="37"/>
        <v>7443.1110165203218</v>
      </c>
      <c r="AV73" s="210">
        <f t="shared" si="37"/>
        <v>7423.4373854814557</v>
      </c>
      <c r="AW73" s="210">
        <f t="shared" si="37"/>
        <v>7403.8157557841523</v>
      </c>
      <c r="AX73" s="210">
        <f t="shared" si="37"/>
        <v>7384.2459899784644</v>
      </c>
      <c r="AY73" s="210">
        <f t="shared" si="37"/>
        <v>7364.7279509777518</v>
      </c>
      <c r="AZ73" s="210">
        <f t="shared" si="37"/>
        <v>7345.2615020577296</v>
      </c>
      <c r="BA73" s="210">
        <f t="shared" si="37"/>
        <v>7325.8465068554906</v>
      </c>
      <c r="BB73" s="210">
        <f t="shared" si="37"/>
        <v>6701.2050242339819</v>
      </c>
      <c r="BC73" s="210">
        <f t="shared" si="37"/>
        <v>7488.6150488732283</v>
      </c>
      <c r="BD73" s="210">
        <f t="shared" si="37"/>
        <v>7468.8211415760461</v>
      </c>
      <c r="BE73" s="210">
        <f t="shared" si="37"/>
        <v>7449.0795535346333</v>
      </c>
      <c r="BF73" s="210">
        <f t="shared" si="37"/>
        <v>7429.3901464587307</v>
      </c>
      <c r="BG73" s="210">
        <f t="shared" si="37"/>
        <v>7409.7527824236131</v>
      </c>
      <c r="BH73" s="210">
        <f t="shared" si="37"/>
        <v>7390.1673238691092</v>
      </c>
      <c r="BI73" s="210">
        <f t="shared" si="37"/>
        <v>7370.6336335986571</v>
      </c>
      <c r="BJ73" s="210">
        <f t="shared" si="37"/>
        <v>6742.1733571729037</v>
      </c>
    </row>
    <row r="74" spans="1:62" ht="11.25" customHeight="1" x14ac:dyDescent="0.25">
      <c r="A74" s="5"/>
      <c r="B74" s="144" t="s">
        <v>113</v>
      </c>
      <c r="C74" s="145" t="s">
        <v>352</v>
      </c>
      <c r="D74" s="145"/>
      <c r="E74" s="83">
        <f t="shared" si="7"/>
        <v>296105.86100308743</v>
      </c>
      <c r="F74" s="342"/>
      <c r="G74" s="146">
        <f>G73</f>
        <v>0</v>
      </c>
      <c r="H74" s="146">
        <f t="shared" ref="H74:BJ74" si="38">H73</f>
        <v>0</v>
      </c>
      <c r="I74" s="146">
        <f t="shared" si="38"/>
        <v>0</v>
      </c>
      <c r="J74" s="146">
        <f t="shared" si="38"/>
        <v>0</v>
      </c>
      <c r="K74" s="146">
        <f t="shared" si="38"/>
        <v>0</v>
      </c>
      <c r="L74" s="146">
        <f t="shared" si="38"/>
        <v>0</v>
      </c>
      <c r="M74" s="146">
        <f t="shared" si="38"/>
        <v>0</v>
      </c>
      <c r="N74" s="146">
        <f t="shared" si="38"/>
        <v>0</v>
      </c>
      <c r="O74" s="146">
        <f t="shared" si="38"/>
        <v>0</v>
      </c>
      <c r="P74" s="146">
        <f t="shared" si="38"/>
        <v>0</v>
      </c>
      <c r="Q74" s="146">
        <f t="shared" si="38"/>
        <v>0</v>
      </c>
      <c r="R74" s="146">
        <f t="shared" si="38"/>
        <v>0</v>
      </c>
      <c r="S74" s="146">
        <f t="shared" si="38"/>
        <v>0</v>
      </c>
      <c r="T74" s="146">
        <f t="shared" si="38"/>
        <v>0</v>
      </c>
      <c r="U74" s="146">
        <f t="shared" si="38"/>
        <v>0</v>
      </c>
      <c r="V74" s="146">
        <f t="shared" si="38"/>
        <v>0</v>
      </c>
      <c r="W74" s="146">
        <f t="shared" si="38"/>
        <v>7643.5709829365478</v>
      </c>
      <c r="X74" s="146">
        <f t="shared" si="38"/>
        <v>7623.3674961144507</v>
      </c>
      <c r="Y74" s="146">
        <f t="shared" si="38"/>
        <v>7603.217411148722</v>
      </c>
      <c r="Z74" s="146">
        <f t="shared" si="38"/>
        <v>7583.1205868875741</v>
      </c>
      <c r="AA74" s="146">
        <f t="shared" si="38"/>
        <v>7563.0768825523146</v>
      </c>
      <c r="AB74" s="146">
        <f t="shared" si="38"/>
        <v>7543.086157736353</v>
      </c>
      <c r="AC74" s="146">
        <f t="shared" si="38"/>
        <v>7523.1482724042235</v>
      </c>
      <c r="AD74" s="146">
        <f t="shared" si="38"/>
        <v>6881.6837690927678</v>
      </c>
      <c r="AE74" s="146">
        <f t="shared" si="38"/>
        <v>7690.3005427304679</v>
      </c>
      <c r="AF74" s="146">
        <f t="shared" si="38"/>
        <v>7669.9735403359255</v>
      </c>
      <c r="AG74" s="146">
        <f t="shared" si="38"/>
        <v>7649.7002662741088</v>
      </c>
      <c r="AH74" s="146">
        <f t="shared" si="38"/>
        <v>7629.4805785302942</v>
      </c>
      <c r="AI74" s="146">
        <f t="shared" si="38"/>
        <v>7609.3143354651211</v>
      </c>
      <c r="AJ74" s="146">
        <f t="shared" si="38"/>
        <v>7589.2013958136204</v>
      </c>
      <c r="AK74" s="146">
        <f t="shared" si="38"/>
        <v>7492.5136382925757</v>
      </c>
      <c r="AL74" s="146">
        <f t="shared" si="38"/>
        <v>6853.6612103574162</v>
      </c>
      <c r="AM74" s="146">
        <f t="shared" si="38"/>
        <v>7658.9852562566784</v>
      </c>
      <c r="AN74" s="146">
        <f t="shared" si="38"/>
        <v>7551.9371511270301</v>
      </c>
      <c r="AO74" s="146">
        <f t="shared" si="38"/>
        <v>7531.9758708491709</v>
      </c>
      <c r="AP74" s="146">
        <f t="shared" si="38"/>
        <v>7425.7217504776054</v>
      </c>
      <c r="AQ74" s="146">
        <f t="shared" si="38"/>
        <v>7406.0940827467421</v>
      </c>
      <c r="AR74" s="146">
        <f t="shared" si="38"/>
        <v>7300.6285472524924</v>
      </c>
      <c r="AS74" s="146">
        <f t="shared" si="38"/>
        <v>7281.3315258763923</v>
      </c>
      <c r="AT74" s="146">
        <f t="shared" si="38"/>
        <v>6660.4856324324119</v>
      </c>
      <c r="AU74" s="146">
        <f t="shared" si="38"/>
        <v>7443.1110165203218</v>
      </c>
      <c r="AV74" s="146">
        <f t="shared" si="38"/>
        <v>7423.4373854814557</v>
      </c>
      <c r="AW74" s="146">
        <f t="shared" si="38"/>
        <v>7403.8157557841523</v>
      </c>
      <c r="AX74" s="146">
        <f t="shared" si="38"/>
        <v>7384.2459899784644</v>
      </c>
      <c r="AY74" s="146">
        <f t="shared" si="38"/>
        <v>7364.7279509777518</v>
      </c>
      <c r="AZ74" s="146">
        <f t="shared" si="38"/>
        <v>7345.2615020577296</v>
      </c>
      <c r="BA74" s="146">
        <f t="shared" si="38"/>
        <v>7325.8465068554906</v>
      </c>
      <c r="BB74" s="146">
        <f t="shared" si="38"/>
        <v>6701.2050242339819</v>
      </c>
      <c r="BC74" s="146">
        <f t="shared" si="38"/>
        <v>7488.6150488732283</v>
      </c>
      <c r="BD74" s="146">
        <f t="shared" si="38"/>
        <v>7468.8211415760461</v>
      </c>
      <c r="BE74" s="146">
        <f t="shared" si="38"/>
        <v>7449.0795535346333</v>
      </c>
      <c r="BF74" s="146">
        <f t="shared" si="38"/>
        <v>7429.3901464587307</v>
      </c>
      <c r="BG74" s="146">
        <f t="shared" si="38"/>
        <v>7409.7527824236131</v>
      </c>
      <c r="BH74" s="146">
        <f t="shared" si="38"/>
        <v>7390.1673238691092</v>
      </c>
      <c r="BI74" s="146">
        <f t="shared" si="38"/>
        <v>7370.6336335986571</v>
      </c>
      <c r="BJ74" s="146">
        <f t="shared" si="38"/>
        <v>6742.1733571729037</v>
      </c>
    </row>
    <row r="75" spans="1:62" ht="11.25" customHeight="1" x14ac:dyDescent="0.25">
      <c r="A75" s="5"/>
      <c r="B75" s="144" t="s">
        <v>114</v>
      </c>
      <c r="C75" s="145" t="s">
        <v>112</v>
      </c>
      <c r="D75" s="145"/>
      <c r="E75" s="83">
        <f t="shared" si="7"/>
        <v>37139.896263869756</v>
      </c>
      <c r="F75" s="342"/>
      <c r="G75" s="146">
        <f>G63</f>
        <v>0</v>
      </c>
      <c r="H75" s="146">
        <f t="shared" ref="H75:BJ75" si="39">H63</f>
        <v>0</v>
      </c>
      <c r="I75" s="146">
        <f t="shared" si="39"/>
        <v>0</v>
      </c>
      <c r="J75" s="146">
        <f t="shared" si="39"/>
        <v>0</v>
      </c>
      <c r="K75" s="146">
        <f t="shared" si="39"/>
        <v>0</v>
      </c>
      <c r="L75" s="146">
        <f t="shared" si="39"/>
        <v>0</v>
      </c>
      <c r="M75" s="146">
        <f t="shared" si="39"/>
        <v>0</v>
      </c>
      <c r="N75" s="146">
        <f t="shared" si="39"/>
        <v>0</v>
      </c>
      <c r="O75" s="146">
        <f t="shared" si="39"/>
        <v>0</v>
      </c>
      <c r="P75" s="146">
        <f t="shared" si="39"/>
        <v>0</v>
      </c>
      <c r="Q75" s="146">
        <f t="shared" si="39"/>
        <v>0</v>
      </c>
      <c r="R75" s="146">
        <f t="shared" si="39"/>
        <v>0</v>
      </c>
      <c r="S75" s="146">
        <f t="shared" si="39"/>
        <v>0</v>
      </c>
      <c r="T75" s="146">
        <f t="shared" si="39"/>
        <v>0</v>
      </c>
      <c r="U75" s="146">
        <f t="shared" si="39"/>
        <v>0</v>
      </c>
      <c r="V75" s="146">
        <f t="shared" si="39"/>
        <v>0</v>
      </c>
      <c r="W75" s="146">
        <f>W63</f>
        <v>1042.1037474876</v>
      </c>
      <c r="X75" s="146">
        <f t="shared" si="39"/>
        <v>1033.7669175076992</v>
      </c>
      <c r="Y75" s="146">
        <f t="shared" si="39"/>
        <v>1025.4967821676378</v>
      </c>
      <c r="Z75" s="146">
        <f t="shared" si="39"/>
        <v>1017.2928079102965</v>
      </c>
      <c r="AA75" s="146">
        <f t="shared" si="39"/>
        <v>1009.1544654470142</v>
      </c>
      <c r="AB75" s="146">
        <f t="shared" si="39"/>
        <v>1001.0812297234381</v>
      </c>
      <c r="AC75" s="146">
        <f t="shared" si="39"/>
        <v>993.0725798856505</v>
      </c>
      <c r="AD75" s="146">
        <f t="shared" si="39"/>
        <v>907.8426781180857</v>
      </c>
      <c r="AE75" s="146">
        <f t="shared" si="39"/>
        <v>1013.8937368245653</v>
      </c>
      <c r="AF75" s="146">
        <f t="shared" si="39"/>
        <v>1005.7825869299688</v>
      </c>
      <c r="AG75" s="146">
        <f t="shared" si="39"/>
        <v>997.73632623452897</v>
      </c>
      <c r="AH75" s="146">
        <f t="shared" si="39"/>
        <v>989.75443562465284</v>
      </c>
      <c r="AI75" s="146">
        <f t="shared" si="39"/>
        <v>981.83640013965544</v>
      </c>
      <c r="AJ75" s="146">
        <f t="shared" si="39"/>
        <v>973.98170893853819</v>
      </c>
      <c r="AK75" s="146">
        <f t="shared" si="39"/>
        <v>956.40840566365137</v>
      </c>
      <c r="AL75" s="146">
        <f t="shared" si="39"/>
        <v>874.32518625407693</v>
      </c>
      <c r="AM75" s="146">
        <f t="shared" si="39"/>
        <v>976.46084686015809</v>
      </c>
      <c r="AN75" s="146">
        <f t="shared" si="39"/>
        <v>957.64178326612591</v>
      </c>
      <c r="AO75" s="146">
        <f t="shared" si="39"/>
        <v>949.98064899999679</v>
      </c>
      <c r="AP75" s="146">
        <f t="shared" si="39"/>
        <v>931.54884054583613</v>
      </c>
      <c r="AQ75" s="146">
        <f t="shared" si="39"/>
        <v>924.09644982146938</v>
      </c>
      <c r="AR75" s="146">
        <f t="shared" si="39"/>
        <v>906.04433312728258</v>
      </c>
      <c r="AS75" s="146">
        <f t="shared" si="39"/>
        <v>898.79597846226409</v>
      </c>
      <c r="AT75" s="146">
        <f t="shared" si="39"/>
        <v>821.65731357007485</v>
      </c>
      <c r="AU75" s="146">
        <f t="shared" si="39"/>
        <v>917.64049446509557</v>
      </c>
      <c r="AV75" s="146">
        <f t="shared" si="39"/>
        <v>910.29937050937485</v>
      </c>
      <c r="AW75" s="146">
        <f t="shared" si="39"/>
        <v>903.01697554530006</v>
      </c>
      <c r="AX75" s="146">
        <f t="shared" si="39"/>
        <v>895.79283974093755</v>
      </c>
      <c r="AY75" s="146">
        <f t="shared" si="39"/>
        <v>888.62649702301007</v>
      </c>
      <c r="AZ75" s="146">
        <f t="shared" si="39"/>
        <v>881.5174850468261</v>
      </c>
      <c r="BA75" s="146">
        <f t="shared" si="39"/>
        <v>874.46534516645124</v>
      </c>
      <c r="BB75" s="146">
        <f t="shared" si="39"/>
        <v>799.41484334285008</v>
      </c>
      <c r="BC75" s="146">
        <f t="shared" si="39"/>
        <v>892.79973537934927</v>
      </c>
      <c r="BD75" s="146">
        <f t="shared" si="39"/>
        <v>885.65733749631443</v>
      </c>
      <c r="BE75" s="146">
        <f t="shared" si="39"/>
        <v>878.57207879634393</v>
      </c>
      <c r="BF75" s="146">
        <f t="shared" si="39"/>
        <v>871.54350216597322</v>
      </c>
      <c r="BG75" s="146">
        <f t="shared" si="39"/>
        <v>864.57115414864541</v>
      </c>
      <c r="BH75" s="146">
        <f t="shared" si="39"/>
        <v>857.65458491545598</v>
      </c>
      <c r="BI75" s="146">
        <f t="shared" si="39"/>
        <v>850.79334823613226</v>
      </c>
      <c r="BJ75" s="146">
        <f t="shared" si="39"/>
        <v>777.77448238141994</v>
      </c>
    </row>
    <row r="76" spans="1:62" ht="11.25" customHeight="1" x14ac:dyDescent="0.25">
      <c r="A76" s="5"/>
      <c r="B76" s="5"/>
      <c r="D76" s="81"/>
      <c r="E76" s="83">
        <f t="shared" ref="E76:E139" si="40">SUM(G76:BJ76)</f>
        <v>0</v>
      </c>
      <c r="F76" s="302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</row>
    <row r="77" spans="1:62" ht="11.25" customHeight="1" x14ac:dyDescent="0.25">
      <c r="A77" s="3" t="s">
        <v>26</v>
      </c>
      <c r="B77" s="3" t="s">
        <v>427</v>
      </c>
      <c r="C77" s="7"/>
      <c r="D77" s="81"/>
      <c r="E77" s="83">
        <f t="shared" si="40"/>
        <v>0</v>
      </c>
      <c r="F77" s="302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</row>
    <row r="78" spans="1:62" ht="11.25" customHeight="1" x14ac:dyDescent="0.25">
      <c r="A78" s="3"/>
      <c r="B78" s="5" t="s">
        <v>420</v>
      </c>
      <c r="C78" s="7" t="s">
        <v>36</v>
      </c>
      <c r="D78" s="255">
        <f>Assumptions!D58</f>
        <v>305</v>
      </c>
      <c r="E78" s="83">
        <f t="shared" si="40"/>
        <v>0</v>
      </c>
      <c r="F78" s="302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</row>
    <row r="79" spans="1:62" ht="11.25" customHeight="1" x14ac:dyDescent="0.25">
      <c r="A79" s="5"/>
      <c r="B79" s="5" t="s">
        <v>421</v>
      </c>
      <c r="C79" s="7" t="s">
        <v>326</v>
      </c>
      <c r="D79" s="255">
        <f>Assumptions!D59</f>
        <v>250</v>
      </c>
      <c r="E79" s="83">
        <f t="shared" si="40"/>
        <v>0</v>
      </c>
      <c r="F79" s="302" t="s">
        <v>26</v>
      </c>
      <c r="G79" s="83">
        <f>IF(G25=0,0,IF($D$53&lt;$D$78,($D$78-$D$53)*$D$79,))</f>
        <v>0</v>
      </c>
      <c r="H79" s="83">
        <f t="shared" ref="H79:BJ79" si="41">IF(H25=0,0,IF($D$53&lt;$D$78,($D$78-$D$53)*$D$79,))</f>
        <v>0</v>
      </c>
      <c r="I79" s="83">
        <f t="shared" si="41"/>
        <v>0</v>
      </c>
      <c r="J79" s="83">
        <f t="shared" si="41"/>
        <v>0</v>
      </c>
      <c r="K79" s="83">
        <f t="shared" si="41"/>
        <v>0</v>
      </c>
      <c r="L79" s="83">
        <f t="shared" si="41"/>
        <v>0</v>
      </c>
      <c r="M79" s="83">
        <f t="shared" si="41"/>
        <v>0</v>
      </c>
      <c r="N79" s="83">
        <f t="shared" si="41"/>
        <v>0</v>
      </c>
      <c r="O79" s="83">
        <f t="shared" si="41"/>
        <v>0</v>
      </c>
      <c r="P79" s="83">
        <f t="shared" si="41"/>
        <v>0</v>
      </c>
      <c r="Q79" s="83">
        <f t="shared" si="41"/>
        <v>0</v>
      </c>
      <c r="R79" s="83">
        <f t="shared" si="41"/>
        <v>0</v>
      </c>
      <c r="S79" s="83">
        <f t="shared" si="41"/>
        <v>0</v>
      </c>
      <c r="T79" s="83">
        <f t="shared" si="41"/>
        <v>0</v>
      </c>
      <c r="U79" s="83">
        <f t="shared" si="41"/>
        <v>0</v>
      </c>
      <c r="V79" s="83">
        <f t="shared" si="41"/>
        <v>0</v>
      </c>
      <c r="W79" s="83">
        <f t="shared" si="41"/>
        <v>0</v>
      </c>
      <c r="X79" s="83">
        <f t="shared" si="41"/>
        <v>0</v>
      </c>
      <c r="Y79" s="83">
        <f t="shared" si="41"/>
        <v>0</v>
      </c>
      <c r="Z79" s="83">
        <f t="shared" si="41"/>
        <v>0</v>
      </c>
      <c r="AA79" s="83">
        <f t="shared" si="41"/>
        <v>0</v>
      </c>
      <c r="AB79" s="83">
        <f t="shared" si="41"/>
        <v>0</v>
      </c>
      <c r="AC79" s="83">
        <f t="shared" si="41"/>
        <v>0</v>
      </c>
      <c r="AD79" s="83">
        <f t="shared" si="41"/>
        <v>0</v>
      </c>
      <c r="AE79" s="83">
        <f t="shared" si="41"/>
        <v>0</v>
      </c>
      <c r="AF79" s="83">
        <f t="shared" si="41"/>
        <v>0</v>
      </c>
      <c r="AG79" s="83">
        <f t="shared" si="41"/>
        <v>0</v>
      </c>
      <c r="AH79" s="83">
        <f t="shared" si="41"/>
        <v>0</v>
      </c>
      <c r="AI79" s="83">
        <f t="shared" si="41"/>
        <v>0</v>
      </c>
      <c r="AJ79" s="83">
        <f t="shared" si="41"/>
        <v>0</v>
      </c>
      <c r="AK79" s="83">
        <f t="shared" si="41"/>
        <v>0</v>
      </c>
      <c r="AL79" s="83">
        <f t="shared" si="41"/>
        <v>0</v>
      </c>
      <c r="AM79" s="83">
        <f t="shared" si="41"/>
        <v>0</v>
      </c>
      <c r="AN79" s="83">
        <f t="shared" si="41"/>
        <v>0</v>
      </c>
      <c r="AO79" s="83">
        <f t="shared" si="41"/>
        <v>0</v>
      </c>
      <c r="AP79" s="83">
        <f t="shared" si="41"/>
        <v>0</v>
      </c>
      <c r="AQ79" s="83">
        <f t="shared" si="41"/>
        <v>0</v>
      </c>
      <c r="AR79" s="83">
        <f t="shared" si="41"/>
        <v>0</v>
      </c>
      <c r="AS79" s="83">
        <f t="shared" si="41"/>
        <v>0</v>
      </c>
      <c r="AT79" s="83">
        <f t="shared" si="41"/>
        <v>0</v>
      </c>
      <c r="AU79" s="83">
        <f t="shared" si="41"/>
        <v>0</v>
      </c>
      <c r="AV79" s="83">
        <f t="shared" si="41"/>
        <v>0</v>
      </c>
      <c r="AW79" s="83">
        <f t="shared" si="41"/>
        <v>0</v>
      </c>
      <c r="AX79" s="83">
        <f t="shared" si="41"/>
        <v>0</v>
      </c>
      <c r="AY79" s="83">
        <f t="shared" si="41"/>
        <v>0</v>
      </c>
      <c r="AZ79" s="83">
        <f t="shared" si="41"/>
        <v>0</v>
      </c>
      <c r="BA79" s="83">
        <f t="shared" si="41"/>
        <v>0</v>
      </c>
      <c r="BB79" s="83">
        <f t="shared" si="41"/>
        <v>0</v>
      </c>
      <c r="BC79" s="83">
        <f t="shared" si="41"/>
        <v>0</v>
      </c>
      <c r="BD79" s="83">
        <f t="shared" si="41"/>
        <v>0</v>
      </c>
      <c r="BE79" s="83">
        <f t="shared" si="41"/>
        <v>0</v>
      </c>
      <c r="BF79" s="83">
        <f t="shared" si="41"/>
        <v>0</v>
      </c>
      <c r="BG79" s="83">
        <f t="shared" si="41"/>
        <v>0</v>
      </c>
      <c r="BH79" s="83">
        <f t="shared" si="41"/>
        <v>0</v>
      </c>
      <c r="BI79" s="83">
        <f t="shared" si="41"/>
        <v>0</v>
      </c>
      <c r="BJ79" s="83">
        <f t="shared" si="41"/>
        <v>0</v>
      </c>
    </row>
    <row r="80" spans="1:62" ht="11.25" customHeight="1" x14ac:dyDescent="0.25">
      <c r="A80" s="5"/>
      <c r="B80" s="5" t="s">
        <v>423</v>
      </c>
      <c r="C80" s="7" t="s">
        <v>107</v>
      </c>
      <c r="D80" s="255">
        <f>Assumptions!D60</f>
        <v>7315</v>
      </c>
      <c r="E80" s="83">
        <f t="shared" si="40"/>
        <v>0</v>
      </c>
      <c r="F80" s="302"/>
      <c r="G80" s="83"/>
      <c r="H80" s="83"/>
      <c r="I80" s="83"/>
      <c r="J80" s="83"/>
      <c r="K80" s="83"/>
      <c r="L80" s="83"/>
      <c r="M80" s="83"/>
      <c r="N80" s="83"/>
      <c r="O80" s="83"/>
      <c r="P80" s="83"/>
      <c r="Q80" s="83"/>
      <c r="R80" s="83"/>
      <c r="S80" s="83"/>
      <c r="T80" s="83"/>
      <c r="U80" s="83"/>
      <c r="V80" s="83"/>
      <c r="W80" s="83"/>
      <c r="X80" s="83"/>
      <c r="Y80" s="83"/>
      <c r="Z80" s="83"/>
      <c r="AA80" s="83"/>
      <c r="AB80" s="83"/>
      <c r="AC80" s="83"/>
      <c r="AD80" s="83"/>
      <c r="AE80" s="83"/>
      <c r="AF80" s="83"/>
      <c r="AG80" s="83"/>
      <c r="AH80" s="83"/>
      <c r="AI80" s="83"/>
      <c r="AJ80" s="83"/>
      <c r="AK80" s="83"/>
      <c r="AL80" s="83"/>
      <c r="AM80" s="83"/>
      <c r="AN80" s="83"/>
      <c r="AO80" s="83"/>
      <c r="AP80" s="83"/>
      <c r="AQ80" s="83"/>
      <c r="AR80" s="83"/>
      <c r="AS80" s="83"/>
      <c r="AT80" s="83"/>
      <c r="AU80" s="83"/>
      <c r="AV80" s="83"/>
      <c r="AW80" s="83"/>
      <c r="AX80" s="83"/>
      <c r="AY80" s="83"/>
      <c r="AZ80" s="83"/>
      <c r="BA80" s="83"/>
      <c r="BB80" s="83"/>
      <c r="BC80" s="83"/>
      <c r="BD80" s="83"/>
      <c r="BE80" s="83"/>
      <c r="BF80" s="83"/>
      <c r="BG80" s="83"/>
      <c r="BH80" s="83"/>
      <c r="BI80" s="83"/>
      <c r="BJ80" s="83"/>
    </row>
    <row r="81" spans="1:62" ht="11.25" customHeight="1" x14ac:dyDescent="0.25">
      <c r="A81" s="5"/>
      <c r="B81" s="5" t="s">
        <v>422</v>
      </c>
      <c r="C81" s="7" t="s">
        <v>327</v>
      </c>
      <c r="D81" s="255">
        <f>Assumptions!D61</f>
        <v>45</v>
      </c>
      <c r="E81" s="83">
        <f t="shared" si="40"/>
        <v>0</v>
      </c>
      <c r="F81" s="302" t="s">
        <v>26</v>
      </c>
      <c r="G81" s="83">
        <f>IF(G25=0,0,IF($D$66&lt;$D$80,($D$80-$D$66)*$D$81,))</f>
        <v>0</v>
      </c>
      <c r="H81" s="83">
        <f t="shared" ref="H81:BJ81" si="42">IF(H25=0,0,IF($D$66&lt;$D$80,($D$80-$D$66)*$D$81,))</f>
        <v>0</v>
      </c>
      <c r="I81" s="83">
        <f t="shared" si="42"/>
        <v>0</v>
      </c>
      <c r="J81" s="83">
        <f t="shared" si="42"/>
        <v>0</v>
      </c>
      <c r="K81" s="83">
        <f t="shared" si="42"/>
        <v>0</v>
      </c>
      <c r="L81" s="83">
        <f t="shared" si="42"/>
        <v>0</v>
      </c>
      <c r="M81" s="83">
        <f t="shared" si="42"/>
        <v>0</v>
      </c>
      <c r="N81" s="83">
        <f t="shared" si="42"/>
        <v>0</v>
      </c>
      <c r="O81" s="83">
        <f t="shared" si="42"/>
        <v>0</v>
      </c>
      <c r="P81" s="83">
        <f t="shared" si="42"/>
        <v>0</v>
      </c>
      <c r="Q81" s="83">
        <f t="shared" si="42"/>
        <v>0</v>
      </c>
      <c r="R81" s="83">
        <f t="shared" si="42"/>
        <v>0</v>
      </c>
      <c r="S81" s="83">
        <f t="shared" si="42"/>
        <v>0</v>
      </c>
      <c r="T81" s="83">
        <f t="shared" si="42"/>
        <v>0</v>
      </c>
      <c r="U81" s="83">
        <f t="shared" si="42"/>
        <v>0</v>
      </c>
      <c r="V81" s="83">
        <f t="shared" si="42"/>
        <v>0</v>
      </c>
      <c r="W81" s="83">
        <f t="shared" si="42"/>
        <v>0</v>
      </c>
      <c r="X81" s="83">
        <f t="shared" si="42"/>
        <v>0</v>
      </c>
      <c r="Y81" s="83">
        <f t="shared" si="42"/>
        <v>0</v>
      </c>
      <c r="Z81" s="83">
        <f t="shared" si="42"/>
        <v>0</v>
      </c>
      <c r="AA81" s="83">
        <f t="shared" si="42"/>
        <v>0</v>
      </c>
      <c r="AB81" s="83">
        <f t="shared" si="42"/>
        <v>0</v>
      </c>
      <c r="AC81" s="83">
        <f t="shared" si="42"/>
        <v>0</v>
      </c>
      <c r="AD81" s="83">
        <f t="shared" si="42"/>
        <v>0</v>
      </c>
      <c r="AE81" s="83">
        <f t="shared" si="42"/>
        <v>0</v>
      </c>
      <c r="AF81" s="83">
        <f t="shared" si="42"/>
        <v>0</v>
      </c>
      <c r="AG81" s="83">
        <f t="shared" si="42"/>
        <v>0</v>
      </c>
      <c r="AH81" s="83">
        <f t="shared" si="42"/>
        <v>0</v>
      </c>
      <c r="AI81" s="83">
        <f t="shared" si="42"/>
        <v>0</v>
      </c>
      <c r="AJ81" s="83">
        <f t="shared" si="42"/>
        <v>0</v>
      </c>
      <c r="AK81" s="83">
        <f t="shared" si="42"/>
        <v>0</v>
      </c>
      <c r="AL81" s="83">
        <f t="shared" si="42"/>
        <v>0</v>
      </c>
      <c r="AM81" s="83">
        <f t="shared" si="42"/>
        <v>0</v>
      </c>
      <c r="AN81" s="83">
        <f t="shared" si="42"/>
        <v>0</v>
      </c>
      <c r="AO81" s="83">
        <f t="shared" si="42"/>
        <v>0</v>
      </c>
      <c r="AP81" s="83">
        <f t="shared" si="42"/>
        <v>0</v>
      </c>
      <c r="AQ81" s="83">
        <f t="shared" si="42"/>
        <v>0</v>
      </c>
      <c r="AR81" s="83">
        <f t="shared" si="42"/>
        <v>0</v>
      </c>
      <c r="AS81" s="83">
        <f t="shared" si="42"/>
        <v>0</v>
      </c>
      <c r="AT81" s="83">
        <f t="shared" si="42"/>
        <v>0</v>
      </c>
      <c r="AU81" s="83">
        <f t="shared" si="42"/>
        <v>0</v>
      </c>
      <c r="AV81" s="83">
        <f t="shared" si="42"/>
        <v>0</v>
      </c>
      <c r="AW81" s="83">
        <f t="shared" si="42"/>
        <v>0</v>
      </c>
      <c r="AX81" s="83">
        <f t="shared" si="42"/>
        <v>0</v>
      </c>
      <c r="AY81" s="83">
        <f t="shared" si="42"/>
        <v>0</v>
      </c>
      <c r="AZ81" s="83">
        <f t="shared" si="42"/>
        <v>0</v>
      </c>
      <c r="BA81" s="83">
        <f t="shared" si="42"/>
        <v>0</v>
      </c>
      <c r="BB81" s="83">
        <f t="shared" si="42"/>
        <v>0</v>
      </c>
      <c r="BC81" s="83">
        <f t="shared" si="42"/>
        <v>0</v>
      </c>
      <c r="BD81" s="83">
        <f t="shared" si="42"/>
        <v>0</v>
      </c>
      <c r="BE81" s="83">
        <f t="shared" si="42"/>
        <v>0</v>
      </c>
      <c r="BF81" s="83">
        <f t="shared" si="42"/>
        <v>0</v>
      </c>
      <c r="BG81" s="83">
        <f t="shared" si="42"/>
        <v>0</v>
      </c>
      <c r="BH81" s="83">
        <f t="shared" si="42"/>
        <v>0</v>
      </c>
      <c r="BI81" s="83">
        <f t="shared" si="42"/>
        <v>0</v>
      </c>
      <c r="BJ81" s="83">
        <f t="shared" si="42"/>
        <v>0</v>
      </c>
    </row>
    <row r="82" spans="1:62" ht="11.25" customHeight="1" x14ac:dyDescent="0.25">
      <c r="A82" s="5"/>
      <c r="B82" s="5" t="s">
        <v>424</v>
      </c>
      <c r="C82" s="7" t="s">
        <v>50</v>
      </c>
      <c r="D82" s="361">
        <f>Assumptions!D62</f>
        <v>46203</v>
      </c>
      <c r="E82" s="83">
        <f t="shared" si="40"/>
        <v>0</v>
      </c>
      <c r="F82" s="302"/>
      <c r="G82" s="83"/>
      <c r="H82" s="83"/>
      <c r="I82" s="83"/>
      <c r="J82" s="83"/>
      <c r="K82" s="83"/>
      <c r="L82" s="83"/>
      <c r="M82" s="83"/>
      <c r="N82" s="83"/>
      <c r="O82" s="83"/>
      <c r="P82" s="83"/>
      <c r="Q82" s="83"/>
      <c r="R82" s="83"/>
      <c r="S82" s="83"/>
      <c r="T82" s="83"/>
      <c r="U82" s="83"/>
      <c r="V82" s="83"/>
      <c r="W82" s="83"/>
      <c r="X82" s="83"/>
      <c r="Y82" s="83"/>
      <c r="Z82" s="83"/>
      <c r="AA82" s="83"/>
      <c r="AB82" s="83"/>
      <c r="AC82" s="83"/>
      <c r="AD82" s="83"/>
      <c r="AE82" s="83"/>
      <c r="AF82" s="83"/>
      <c r="AG82" s="83"/>
      <c r="AH82" s="83"/>
      <c r="AI82" s="83"/>
      <c r="AJ82" s="83"/>
      <c r="AK82" s="83"/>
      <c r="AL82" s="83"/>
      <c r="AM82" s="83"/>
      <c r="AN82" s="83"/>
      <c r="AO82" s="83"/>
      <c r="AP82" s="83"/>
      <c r="AQ82" s="83"/>
      <c r="AR82" s="83"/>
      <c r="AS82" s="83"/>
      <c r="AT82" s="83"/>
      <c r="AU82" s="83"/>
      <c r="AV82" s="83"/>
      <c r="AW82" s="83"/>
      <c r="AX82" s="83"/>
      <c r="AY82" s="83"/>
      <c r="AZ82" s="83"/>
      <c r="BA82" s="83"/>
      <c r="BB82" s="83"/>
      <c r="BC82" s="83"/>
      <c r="BD82" s="83"/>
      <c r="BE82" s="83"/>
      <c r="BF82" s="83"/>
      <c r="BG82" s="83"/>
      <c r="BH82" s="83"/>
      <c r="BI82" s="83"/>
      <c r="BJ82" s="83"/>
    </row>
    <row r="83" spans="1:62" ht="11.25" customHeight="1" x14ac:dyDescent="0.25">
      <c r="A83" s="5"/>
      <c r="B83" s="5" t="s">
        <v>325</v>
      </c>
      <c r="C83" s="7" t="s">
        <v>328</v>
      </c>
      <c r="D83" s="255">
        <f>Assumptions!D63</f>
        <v>55</v>
      </c>
      <c r="E83" s="83">
        <f t="shared" si="40"/>
        <v>0</v>
      </c>
      <c r="F83" s="302" t="s">
        <v>26</v>
      </c>
      <c r="G83" s="83">
        <f>IF(G18=0,0,IF($D$17&lt;$D$82,($D$17-$D$82)*$D$83,))</f>
        <v>0</v>
      </c>
      <c r="H83" s="83">
        <f t="shared" ref="H83:BJ83" si="43">IF(H18=0,0,IF($D$17&lt;$D$82,($D$17-$D$82)*$D$83,))</f>
        <v>0</v>
      </c>
      <c r="I83" s="83">
        <f t="shared" si="43"/>
        <v>0</v>
      </c>
      <c r="J83" s="83">
        <f t="shared" si="43"/>
        <v>0</v>
      </c>
      <c r="K83" s="83">
        <f t="shared" si="43"/>
        <v>0</v>
      </c>
      <c r="L83" s="83">
        <f t="shared" si="43"/>
        <v>0</v>
      </c>
      <c r="M83" s="83">
        <f t="shared" si="43"/>
        <v>0</v>
      </c>
      <c r="N83" s="83">
        <f t="shared" si="43"/>
        <v>0</v>
      </c>
      <c r="O83" s="83">
        <f t="shared" si="43"/>
        <v>0</v>
      </c>
      <c r="P83" s="83">
        <f t="shared" si="43"/>
        <v>0</v>
      </c>
      <c r="Q83" s="83">
        <f t="shared" si="43"/>
        <v>0</v>
      </c>
      <c r="R83" s="83">
        <f t="shared" si="43"/>
        <v>0</v>
      </c>
      <c r="S83" s="83">
        <f t="shared" si="43"/>
        <v>0</v>
      </c>
      <c r="T83" s="83">
        <f t="shared" si="43"/>
        <v>0</v>
      </c>
      <c r="U83" s="83">
        <f t="shared" si="43"/>
        <v>0</v>
      </c>
      <c r="V83" s="83">
        <f t="shared" si="43"/>
        <v>0</v>
      </c>
      <c r="W83" s="83">
        <f t="shared" si="43"/>
        <v>0</v>
      </c>
      <c r="X83" s="83">
        <f t="shared" si="43"/>
        <v>0</v>
      </c>
      <c r="Y83" s="83">
        <f t="shared" si="43"/>
        <v>0</v>
      </c>
      <c r="Z83" s="83">
        <f t="shared" si="43"/>
        <v>0</v>
      </c>
      <c r="AA83" s="83">
        <f t="shared" si="43"/>
        <v>0</v>
      </c>
      <c r="AB83" s="83">
        <f t="shared" si="43"/>
        <v>0</v>
      </c>
      <c r="AC83" s="83">
        <f t="shared" si="43"/>
        <v>0</v>
      </c>
      <c r="AD83" s="83">
        <f t="shared" si="43"/>
        <v>0</v>
      </c>
      <c r="AE83" s="83">
        <f t="shared" si="43"/>
        <v>0</v>
      </c>
      <c r="AF83" s="83">
        <f t="shared" si="43"/>
        <v>0</v>
      </c>
      <c r="AG83" s="83">
        <f t="shared" si="43"/>
        <v>0</v>
      </c>
      <c r="AH83" s="83">
        <f t="shared" si="43"/>
        <v>0</v>
      </c>
      <c r="AI83" s="83">
        <f t="shared" si="43"/>
        <v>0</v>
      </c>
      <c r="AJ83" s="83">
        <f t="shared" si="43"/>
        <v>0</v>
      </c>
      <c r="AK83" s="83">
        <f t="shared" si="43"/>
        <v>0</v>
      </c>
      <c r="AL83" s="83">
        <f t="shared" si="43"/>
        <v>0</v>
      </c>
      <c r="AM83" s="83">
        <f t="shared" si="43"/>
        <v>0</v>
      </c>
      <c r="AN83" s="83">
        <f t="shared" si="43"/>
        <v>0</v>
      </c>
      <c r="AO83" s="83">
        <f t="shared" si="43"/>
        <v>0</v>
      </c>
      <c r="AP83" s="83">
        <f t="shared" si="43"/>
        <v>0</v>
      </c>
      <c r="AQ83" s="83">
        <f t="shared" si="43"/>
        <v>0</v>
      </c>
      <c r="AR83" s="83">
        <f t="shared" si="43"/>
        <v>0</v>
      </c>
      <c r="AS83" s="83">
        <f t="shared" si="43"/>
        <v>0</v>
      </c>
      <c r="AT83" s="83">
        <f t="shared" si="43"/>
        <v>0</v>
      </c>
      <c r="AU83" s="83">
        <f t="shared" si="43"/>
        <v>0</v>
      </c>
      <c r="AV83" s="83">
        <f t="shared" si="43"/>
        <v>0</v>
      </c>
      <c r="AW83" s="83">
        <f t="shared" si="43"/>
        <v>0</v>
      </c>
      <c r="AX83" s="83">
        <f t="shared" si="43"/>
        <v>0</v>
      </c>
      <c r="AY83" s="83">
        <f t="shared" si="43"/>
        <v>0</v>
      </c>
      <c r="AZ83" s="83">
        <f t="shared" si="43"/>
        <v>0</v>
      </c>
      <c r="BA83" s="83">
        <f t="shared" si="43"/>
        <v>0</v>
      </c>
      <c r="BB83" s="83">
        <f t="shared" si="43"/>
        <v>0</v>
      </c>
      <c r="BC83" s="83">
        <f t="shared" si="43"/>
        <v>0</v>
      </c>
      <c r="BD83" s="83">
        <f t="shared" si="43"/>
        <v>0</v>
      </c>
      <c r="BE83" s="83">
        <f t="shared" si="43"/>
        <v>0</v>
      </c>
      <c r="BF83" s="83">
        <f t="shared" si="43"/>
        <v>0</v>
      </c>
      <c r="BG83" s="83">
        <f t="shared" si="43"/>
        <v>0</v>
      </c>
      <c r="BH83" s="83">
        <f t="shared" si="43"/>
        <v>0</v>
      </c>
      <c r="BI83" s="83">
        <f t="shared" si="43"/>
        <v>0</v>
      </c>
      <c r="BJ83" s="83">
        <f t="shared" si="43"/>
        <v>0</v>
      </c>
    </row>
    <row r="84" spans="1:62" ht="11.25" customHeight="1" x14ac:dyDescent="0.25">
      <c r="A84" s="5"/>
      <c r="B84" s="5" t="s">
        <v>365</v>
      </c>
      <c r="C84" s="7" t="s">
        <v>101</v>
      </c>
      <c r="D84" s="81"/>
      <c r="E84" s="83">
        <f t="shared" si="40"/>
        <v>1</v>
      </c>
      <c r="F84" s="302" t="s">
        <v>26</v>
      </c>
      <c r="G84" s="83">
        <f>IF(G18 =MAX($G$18:$BJ$18),1,0)</f>
        <v>0</v>
      </c>
      <c r="H84" s="83">
        <f t="shared" ref="H84:BJ84" si="44">IF(H18 =MAX($G$18:$BJ$18),1,0)</f>
        <v>0</v>
      </c>
      <c r="I84" s="83">
        <f t="shared" si="44"/>
        <v>0</v>
      </c>
      <c r="J84" s="83">
        <f t="shared" si="44"/>
        <v>0</v>
      </c>
      <c r="K84" s="83">
        <f t="shared" si="44"/>
        <v>0</v>
      </c>
      <c r="L84" s="83">
        <f t="shared" si="44"/>
        <v>0</v>
      </c>
      <c r="M84" s="83">
        <f t="shared" si="44"/>
        <v>0</v>
      </c>
      <c r="N84" s="83">
        <f t="shared" si="44"/>
        <v>0</v>
      </c>
      <c r="O84" s="83">
        <f t="shared" si="44"/>
        <v>0</v>
      </c>
      <c r="P84" s="83">
        <f t="shared" si="44"/>
        <v>0</v>
      </c>
      <c r="Q84" s="83">
        <f t="shared" si="44"/>
        <v>0</v>
      </c>
      <c r="R84" s="83">
        <f t="shared" si="44"/>
        <v>0</v>
      </c>
      <c r="S84" s="83">
        <f t="shared" si="44"/>
        <v>0</v>
      </c>
      <c r="T84" s="83">
        <f t="shared" si="44"/>
        <v>0</v>
      </c>
      <c r="U84" s="83">
        <f t="shared" si="44"/>
        <v>0</v>
      </c>
      <c r="V84" s="83">
        <f t="shared" si="44"/>
        <v>1</v>
      </c>
      <c r="W84" s="83">
        <f t="shared" si="44"/>
        <v>0</v>
      </c>
      <c r="X84" s="83">
        <f t="shared" si="44"/>
        <v>0</v>
      </c>
      <c r="Y84" s="83">
        <f t="shared" si="44"/>
        <v>0</v>
      </c>
      <c r="Z84" s="83">
        <f t="shared" si="44"/>
        <v>0</v>
      </c>
      <c r="AA84" s="83">
        <f t="shared" si="44"/>
        <v>0</v>
      </c>
      <c r="AB84" s="83">
        <f t="shared" si="44"/>
        <v>0</v>
      </c>
      <c r="AC84" s="83">
        <f t="shared" si="44"/>
        <v>0</v>
      </c>
      <c r="AD84" s="83">
        <f t="shared" si="44"/>
        <v>0</v>
      </c>
      <c r="AE84" s="83">
        <f t="shared" si="44"/>
        <v>0</v>
      </c>
      <c r="AF84" s="83">
        <f t="shared" si="44"/>
        <v>0</v>
      </c>
      <c r="AG84" s="83">
        <f t="shared" si="44"/>
        <v>0</v>
      </c>
      <c r="AH84" s="83">
        <f t="shared" si="44"/>
        <v>0</v>
      </c>
      <c r="AI84" s="83">
        <f t="shared" si="44"/>
        <v>0</v>
      </c>
      <c r="AJ84" s="83">
        <f t="shared" si="44"/>
        <v>0</v>
      </c>
      <c r="AK84" s="83">
        <f t="shared" si="44"/>
        <v>0</v>
      </c>
      <c r="AL84" s="83">
        <f t="shared" si="44"/>
        <v>0</v>
      </c>
      <c r="AM84" s="83">
        <f t="shared" si="44"/>
        <v>0</v>
      </c>
      <c r="AN84" s="83">
        <f t="shared" si="44"/>
        <v>0</v>
      </c>
      <c r="AO84" s="83">
        <f t="shared" si="44"/>
        <v>0</v>
      </c>
      <c r="AP84" s="83">
        <f t="shared" si="44"/>
        <v>0</v>
      </c>
      <c r="AQ84" s="83">
        <f t="shared" si="44"/>
        <v>0</v>
      </c>
      <c r="AR84" s="83">
        <f t="shared" si="44"/>
        <v>0</v>
      </c>
      <c r="AS84" s="83">
        <f t="shared" si="44"/>
        <v>0</v>
      </c>
      <c r="AT84" s="83">
        <f t="shared" si="44"/>
        <v>0</v>
      </c>
      <c r="AU84" s="83">
        <f t="shared" si="44"/>
        <v>0</v>
      </c>
      <c r="AV84" s="83">
        <f t="shared" si="44"/>
        <v>0</v>
      </c>
      <c r="AW84" s="83">
        <f t="shared" si="44"/>
        <v>0</v>
      </c>
      <c r="AX84" s="83">
        <f t="shared" si="44"/>
        <v>0</v>
      </c>
      <c r="AY84" s="83">
        <f t="shared" si="44"/>
        <v>0</v>
      </c>
      <c r="AZ84" s="83">
        <f t="shared" si="44"/>
        <v>0</v>
      </c>
      <c r="BA84" s="83">
        <f t="shared" si="44"/>
        <v>0</v>
      </c>
      <c r="BB84" s="83">
        <f t="shared" si="44"/>
        <v>0</v>
      </c>
      <c r="BC84" s="83">
        <f t="shared" si="44"/>
        <v>0</v>
      </c>
      <c r="BD84" s="83">
        <f t="shared" si="44"/>
        <v>0</v>
      </c>
      <c r="BE84" s="83">
        <f t="shared" si="44"/>
        <v>0</v>
      </c>
      <c r="BF84" s="83">
        <f t="shared" si="44"/>
        <v>0</v>
      </c>
      <c r="BG84" s="83">
        <f t="shared" si="44"/>
        <v>0</v>
      </c>
      <c r="BH84" s="83">
        <f t="shared" si="44"/>
        <v>0</v>
      </c>
      <c r="BI84" s="83">
        <f t="shared" si="44"/>
        <v>0</v>
      </c>
      <c r="BJ84" s="83">
        <f t="shared" si="44"/>
        <v>0</v>
      </c>
    </row>
    <row r="85" spans="1:62" ht="11.25" customHeight="1" x14ac:dyDescent="0.25">
      <c r="A85" s="5"/>
      <c r="B85" s="5" t="s">
        <v>366</v>
      </c>
      <c r="C85" s="7" t="s">
        <v>1</v>
      </c>
      <c r="D85" s="81"/>
      <c r="E85" s="83">
        <f t="shared" si="40"/>
        <v>0</v>
      </c>
      <c r="F85" s="302" t="s">
        <v>26</v>
      </c>
      <c r="G85" s="83">
        <f>SUM(G79,G81,G83)</f>
        <v>0</v>
      </c>
      <c r="H85" s="83">
        <f t="shared" ref="H85:BJ85" si="45">SUM(H79,H81,H83)</f>
        <v>0</v>
      </c>
      <c r="I85" s="83">
        <f t="shared" si="45"/>
        <v>0</v>
      </c>
      <c r="J85" s="83">
        <f t="shared" si="45"/>
        <v>0</v>
      </c>
      <c r="K85" s="83">
        <f t="shared" si="45"/>
        <v>0</v>
      </c>
      <c r="L85" s="83">
        <f t="shared" si="45"/>
        <v>0</v>
      </c>
      <c r="M85" s="83">
        <f t="shared" si="45"/>
        <v>0</v>
      </c>
      <c r="N85" s="83">
        <f t="shared" si="45"/>
        <v>0</v>
      </c>
      <c r="O85" s="83">
        <f t="shared" si="45"/>
        <v>0</v>
      </c>
      <c r="P85" s="83">
        <f t="shared" si="45"/>
        <v>0</v>
      </c>
      <c r="Q85" s="83">
        <f t="shared" si="45"/>
        <v>0</v>
      </c>
      <c r="R85" s="83">
        <f t="shared" si="45"/>
        <v>0</v>
      </c>
      <c r="S85" s="83">
        <f t="shared" si="45"/>
        <v>0</v>
      </c>
      <c r="T85" s="83">
        <f t="shared" si="45"/>
        <v>0</v>
      </c>
      <c r="U85" s="83">
        <f t="shared" si="45"/>
        <v>0</v>
      </c>
      <c r="V85" s="83">
        <f t="shared" si="45"/>
        <v>0</v>
      </c>
      <c r="W85" s="83">
        <f t="shared" si="45"/>
        <v>0</v>
      </c>
      <c r="X85" s="83">
        <f t="shared" si="45"/>
        <v>0</v>
      </c>
      <c r="Y85" s="83">
        <f t="shared" si="45"/>
        <v>0</v>
      </c>
      <c r="Z85" s="83">
        <f t="shared" si="45"/>
        <v>0</v>
      </c>
      <c r="AA85" s="83">
        <f t="shared" si="45"/>
        <v>0</v>
      </c>
      <c r="AB85" s="83">
        <f t="shared" si="45"/>
        <v>0</v>
      </c>
      <c r="AC85" s="83">
        <f t="shared" si="45"/>
        <v>0</v>
      </c>
      <c r="AD85" s="83">
        <f t="shared" si="45"/>
        <v>0</v>
      </c>
      <c r="AE85" s="83">
        <f t="shared" si="45"/>
        <v>0</v>
      </c>
      <c r="AF85" s="83">
        <f t="shared" si="45"/>
        <v>0</v>
      </c>
      <c r="AG85" s="83">
        <f t="shared" si="45"/>
        <v>0</v>
      </c>
      <c r="AH85" s="83">
        <f t="shared" si="45"/>
        <v>0</v>
      </c>
      <c r="AI85" s="83">
        <f t="shared" si="45"/>
        <v>0</v>
      </c>
      <c r="AJ85" s="83">
        <f t="shared" si="45"/>
        <v>0</v>
      </c>
      <c r="AK85" s="83">
        <f t="shared" si="45"/>
        <v>0</v>
      </c>
      <c r="AL85" s="83">
        <f t="shared" si="45"/>
        <v>0</v>
      </c>
      <c r="AM85" s="83">
        <f t="shared" si="45"/>
        <v>0</v>
      </c>
      <c r="AN85" s="83">
        <f t="shared" si="45"/>
        <v>0</v>
      </c>
      <c r="AO85" s="83">
        <f t="shared" si="45"/>
        <v>0</v>
      </c>
      <c r="AP85" s="83">
        <f t="shared" si="45"/>
        <v>0</v>
      </c>
      <c r="AQ85" s="83">
        <f t="shared" si="45"/>
        <v>0</v>
      </c>
      <c r="AR85" s="83">
        <f t="shared" si="45"/>
        <v>0</v>
      </c>
      <c r="AS85" s="83">
        <f t="shared" si="45"/>
        <v>0</v>
      </c>
      <c r="AT85" s="83">
        <f t="shared" si="45"/>
        <v>0</v>
      </c>
      <c r="AU85" s="83">
        <f t="shared" si="45"/>
        <v>0</v>
      </c>
      <c r="AV85" s="83">
        <f t="shared" si="45"/>
        <v>0</v>
      </c>
      <c r="AW85" s="83">
        <f t="shared" si="45"/>
        <v>0</v>
      </c>
      <c r="AX85" s="83">
        <f t="shared" si="45"/>
        <v>0</v>
      </c>
      <c r="AY85" s="83">
        <f t="shared" si="45"/>
        <v>0</v>
      </c>
      <c r="AZ85" s="83">
        <f t="shared" si="45"/>
        <v>0</v>
      </c>
      <c r="BA85" s="83">
        <f t="shared" si="45"/>
        <v>0</v>
      </c>
      <c r="BB85" s="83">
        <f t="shared" si="45"/>
        <v>0</v>
      </c>
      <c r="BC85" s="83">
        <f t="shared" si="45"/>
        <v>0</v>
      </c>
      <c r="BD85" s="83">
        <f t="shared" si="45"/>
        <v>0</v>
      </c>
      <c r="BE85" s="83">
        <f t="shared" si="45"/>
        <v>0</v>
      </c>
      <c r="BF85" s="83">
        <f t="shared" si="45"/>
        <v>0</v>
      </c>
      <c r="BG85" s="83">
        <f t="shared" si="45"/>
        <v>0</v>
      </c>
      <c r="BH85" s="83">
        <f t="shared" si="45"/>
        <v>0</v>
      </c>
      <c r="BI85" s="83">
        <f t="shared" si="45"/>
        <v>0</v>
      </c>
      <c r="BJ85" s="83">
        <f t="shared" si="45"/>
        <v>0</v>
      </c>
    </row>
    <row r="86" spans="1:62" ht="11.25" customHeight="1" x14ac:dyDescent="0.25">
      <c r="A86" s="5"/>
      <c r="B86" s="5"/>
      <c r="C86" s="7"/>
      <c r="D86" s="81"/>
      <c r="E86" s="83">
        <f t="shared" si="40"/>
        <v>0</v>
      </c>
      <c r="F86" s="302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</row>
    <row r="87" spans="1:62" ht="11.25" customHeight="1" x14ac:dyDescent="0.25">
      <c r="A87" s="3" t="s">
        <v>26</v>
      </c>
      <c r="B87" s="4" t="s">
        <v>109</v>
      </c>
      <c r="C87" s="7"/>
      <c r="D87" s="81"/>
      <c r="E87" s="83">
        <f t="shared" si="40"/>
        <v>0</v>
      </c>
      <c r="F87" s="302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</row>
    <row r="88" spans="1:62" ht="11.25" customHeight="1" x14ac:dyDescent="0.25">
      <c r="A88" s="5"/>
      <c r="B88" s="9" t="s">
        <v>45</v>
      </c>
      <c r="C88" s="10" t="str">
        <f>'Time &amp; Technical'!C41</f>
        <v>%</v>
      </c>
      <c r="D88" s="362">
        <f>Assumptions!D66</f>
        <v>7.5999999999999998E-2</v>
      </c>
      <c r="E88" s="6">
        <f t="shared" si="40"/>
        <v>3.0400000000000014</v>
      </c>
      <c r="F88" s="302" t="s">
        <v>26</v>
      </c>
      <c r="G88" s="143">
        <f>IF(G25&gt;0,$D$88,0)</f>
        <v>0</v>
      </c>
      <c r="H88" s="143">
        <f t="shared" ref="H88:BJ88" si="46">IF(H25&gt;0,$D$88,0)</f>
        <v>0</v>
      </c>
      <c r="I88" s="143">
        <f t="shared" si="46"/>
        <v>0</v>
      </c>
      <c r="J88" s="143">
        <f t="shared" si="46"/>
        <v>0</v>
      </c>
      <c r="K88" s="143">
        <f t="shared" si="46"/>
        <v>0</v>
      </c>
      <c r="L88" s="143">
        <f t="shared" si="46"/>
        <v>0</v>
      </c>
      <c r="M88" s="143">
        <f t="shared" si="46"/>
        <v>0</v>
      </c>
      <c r="N88" s="143">
        <f t="shared" si="46"/>
        <v>0</v>
      </c>
      <c r="O88" s="143">
        <f t="shared" si="46"/>
        <v>0</v>
      </c>
      <c r="P88" s="143">
        <f t="shared" si="46"/>
        <v>0</v>
      </c>
      <c r="Q88" s="143">
        <f t="shared" si="46"/>
        <v>0</v>
      </c>
      <c r="R88" s="143">
        <f t="shared" si="46"/>
        <v>0</v>
      </c>
      <c r="S88" s="143">
        <f t="shared" si="46"/>
        <v>0</v>
      </c>
      <c r="T88" s="143">
        <f t="shared" si="46"/>
        <v>0</v>
      </c>
      <c r="U88" s="143">
        <f t="shared" si="46"/>
        <v>0</v>
      </c>
      <c r="V88" s="143">
        <f t="shared" si="46"/>
        <v>0</v>
      </c>
      <c r="W88" s="369">
        <f t="shared" si="46"/>
        <v>7.5999999999999998E-2</v>
      </c>
      <c r="X88" s="369">
        <f t="shared" si="46"/>
        <v>7.5999999999999998E-2</v>
      </c>
      <c r="Y88" s="369">
        <f t="shared" si="46"/>
        <v>7.5999999999999998E-2</v>
      </c>
      <c r="Z88" s="369">
        <f t="shared" si="46"/>
        <v>7.5999999999999998E-2</v>
      </c>
      <c r="AA88" s="369">
        <f t="shared" si="46"/>
        <v>7.5999999999999998E-2</v>
      </c>
      <c r="AB88" s="369">
        <f t="shared" si="46"/>
        <v>7.5999999999999998E-2</v>
      </c>
      <c r="AC88" s="369">
        <f t="shared" si="46"/>
        <v>7.5999999999999998E-2</v>
      </c>
      <c r="AD88" s="369">
        <f t="shared" si="46"/>
        <v>7.5999999999999998E-2</v>
      </c>
      <c r="AE88" s="369">
        <f t="shared" si="46"/>
        <v>7.5999999999999998E-2</v>
      </c>
      <c r="AF88" s="369">
        <f t="shared" si="46"/>
        <v>7.5999999999999998E-2</v>
      </c>
      <c r="AG88" s="369">
        <f t="shared" si="46"/>
        <v>7.5999999999999998E-2</v>
      </c>
      <c r="AH88" s="369">
        <f t="shared" si="46"/>
        <v>7.5999999999999998E-2</v>
      </c>
      <c r="AI88" s="369">
        <f t="shared" si="46"/>
        <v>7.5999999999999998E-2</v>
      </c>
      <c r="AJ88" s="369">
        <f t="shared" si="46"/>
        <v>7.5999999999999998E-2</v>
      </c>
      <c r="AK88" s="369">
        <f t="shared" si="46"/>
        <v>7.5999999999999998E-2</v>
      </c>
      <c r="AL88" s="369">
        <f t="shared" si="46"/>
        <v>7.5999999999999998E-2</v>
      </c>
      <c r="AM88" s="369">
        <f t="shared" si="46"/>
        <v>7.5999999999999998E-2</v>
      </c>
      <c r="AN88" s="369">
        <f t="shared" si="46"/>
        <v>7.5999999999999998E-2</v>
      </c>
      <c r="AO88" s="369">
        <f t="shared" si="46"/>
        <v>7.5999999999999998E-2</v>
      </c>
      <c r="AP88" s="369">
        <f t="shared" si="46"/>
        <v>7.5999999999999998E-2</v>
      </c>
      <c r="AQ88" s="369">
        <f t="shared" si="46"/>
        <v>7.5999999999999998E-2</v>
      </c>
      <c r="AR88" s="369">
        <f t="shared" si="46"/>
        <v>7.5999999999999998E-2</v>
      </c>
      <c r="AS88" s="369">
        <f t="shared" si="46"/>
        <v>7.5999999999999998E-2</v>
      </c>
      <c r="AT88" s="369">
        <f t="shared" si="46"/>
        <v>7.5999999999999998E-2</v>
      </c>
      <c r="AU88" s="369">
        <f t="shared" si="46"/>
        <v>7.5999999999999998E-2</v>
      </c>
      <c r="AV88" s="369">
        <f t="shared" si="46"/>
        <v>7.5999999999999998E-2</v>
      </c>
      <c r="AW88" s="369">
        <f t="shared" si="46"/>
        <v>7.5999999999999998E-2</v>
      </c>
      <c r="AX88" s="369">
        <f t="shared" si="46"/>
        <v>7.5999999999999998E-2</v>
      </c>
      <c r="AY88" s="369">
        <f t="shared" si="46"/>
        <v>7.5999999999999998E-2</v>
      </c>
      <c r="AZ88" s="369">
        <f t="shared" si="46"/>
        <v>7.5999999999999998E-2</v>
      </c>
      <c r="BA88" s="369">
        <f t="shared" si="46"/>
        <v>7.5999999999999998E-2</v>
      </c>
      <c r="BB88" s="369">
        <f t="shared" si="46"/>
        <v>7.5999999999999998E-2</v>
      </c>
      <c r="BC88" s="369">
        <f t="shared" si="46"/>
        <v>7.5999999999999998E-2</v>
      </c>
      <c r="BD88" s="369">
        <f t="shared" si="46"/>
        <v>7.5999999999999998E-2</v>
      </c>
      <c r="BE88" s="369">
        <f t="shared" si="46"/>
        <v>7.5999999999999998E-2</v>
      </c>
      <c r="BF88" s="369">
        <f t="shared" si="46"/>
        <v>7.5999999999999998E-2</v>
      </c>
      <c r="BG88" s="369">
        <f t="shared" si="46"/>
        <v>7.5999999999999998E-2</v>
      </c>
      <c r="BH88" s="369">
        <f t="shared" si="46"/>
        <v>7.5999999999999998E-2</v>
      </c>
      <c r="BI88" s="369">
        <f t="shared" si="46"/>
        <v>7.5999999999999998E-2</v>
      </c>
      <c r="BJ88" s="369">
        <f t="shared" si="46"/>
        <v>7.5999999999999998E-2</v>
      </c>
    </row>
    <row r="89" spans="1:62" ht="11.25" customHeight="1" x14ac:dyDescent="0.25">
      <c r="A89" s="5"/>
      <c r="B89" s="9" t="s">
        <v>329</v>
      </c>
      <c r="C89" s="10" t="str">
        <f>'Time &amp; Technical'!C42</f>
        <v>%</v>
      </c>
      <c r="D89" s="362">
        <f>Assumptions!D67</f>
        <v>4.2999999999999997E-2</v>
      </c>
      <c r="E89" s="6">
        <f t="shared" si="40"/>
        <v>1.5049999999999994</v>
      </c>
      <c r="F89" s="302" t="s">
        <v>26</v>
      </c>
      <c r="G89" s="143">
        <f>IF(G25&gt;0,IF(G58&lt;$D$55,$D$89,0),)</f>
        <v>0</v>
      </c>
      <c r="H89" s="143">
        <f t="shared" ref="H89:BJ89" si="47">IF(H25&gt;0,IF(H58&lt;$D$55,$D$89,0),)</f>
        <v>0</v>
      </c>
      <c r="I89" s="143">
        <f t="shared" si="47"/>
        <v>0</v>
      </c>
      <c r="J89" s="143">
        <f t="shared" si="47"/>
        <v>0</v>
      </c>
      <c r="K89" s="143">
        <f t="shared" si="47"/>
        <v>0</v>
      </c>
      <c r="L89" s="143">
        <f t="shared" si="47"/>
        <v>0</v>
      </c>
      <c r="M89" s="143">
        <f t="shared" si="47"/>
        <v>0</v>
      </c>
      <c r="N89" s="143">
        <f t="shared" si="47"/>
        <v>0</v>
      </c>
      <c r="O89" s="143">
        <f t="shared" si="47"/>
        <v>0</v>
      </c>
      <c r="P89" s="143">
        <f t="shared" si="47"/>
        <v>0</v>
      </c>
      <c r="Q89" s="143">
        <f t="shared" si="47"/>
        <v>0</v>
      </c>
      <c r="R89" s="143">
        <f t="shared" si="47"/>
        <v>0</v>
      </c>
      <c r="S89" s="143">
        <f t="shared" si="47"/>
        <v>0</v>
      </c>
      <c r="T89" s="143">
        <f t="shared" si="47"/>
        <v>0</v>
      </c>
      <c r="U89" s="143">
        <f t="shared" si="47"/>
        <v>0</v>
      </c>
      <c r="V89" s="143">
        <f t="shared" si="47"/>
        <v>0</v>
      </c>
      <c r="W89" s="369">
        <f t="shared" si="47"/>
        <v>4.2999999999999997E-2</v>
      </c>
      <c r="X89" s="369">
        <f t="shared" si="47"/>
        <v>4.2999999999999997E-2</v>
      </c>
      <c r="Y89" s="369">
        <f t="shared" si="47"/>
        <v>4.2999999999999997E-2</v>
      </c>
      <c r="Z89" s="369">
        <f t="shared" si="47"/>
        <v>4.2999999999999997E-2</v>
      </c>
      <c r="AA89" s="369">
        <f t="shared" si="47"/>
        <v>4.2999999999999997E-2</v>
      </c>
      <c r="AB89" s="369">
        <f t="shared" si="47"/>
        <v>4.2999999999999997E-2</v>
      </c>
      <c r="AC89" s="369">
        <f t="shared" si="47"/>
        <v>4.2999999999999997E-2</v>
      </c>
      <c r="AD89" s="369">
        <f t="shared" si="47"/>
        <v>0</v>
      </c>
      <c r="AE89" s="369">
        <f t="shared" si="47"/>
        <v>4.2999999999999997E-2</v>
      </c>
      <c r="AF89" s="369">
        <f t="shared" si="47"/>
        <v>4.2999999999999997E-2</v>
      </c>
      <c r="AG89" s="369">
        <f t="shared" si="47"/>
        <v>4.2999999999999997E-2</v>
      </c>
      <c r="AH89" s="369">
        <f t="shared" si="47"/>
        <v>4.2999999999999997E-2</v>
      </c>
      <c r="AI89" s="369">
        <f t="shared" si="47"/>
        <v>4.2999999999999997E-2</v>
      </c>
      <c r="AJ89" s="369">
        <f t="shared" si="47"/>
        <v>4.2999999999999997E-2</v>
      </c>
      <c r="AK89" s="369">
        <f t="shared" si="47"/>
        <v>4.2999999999999997E-2</v>
      </c>
      <c r="AL89" s="369">
        <f t="shared" si="47"/>
        <v>0</v>
      </c>
      <c r="AM89" s="369">
        <f t="shared" si="47"/>
        <v>4.2999999999999997E-2</v>
      </c>
      <c r="AN89" s="369">
        <f t="shared" si="47"/>
        <v>4.2999999999999997E-2</v>
      </c>
      <c r="AO89" s="369">
        <f t="shared" si="47"/>
        <v>4.2999999999999997E-2</v>
      </c>
      <c r="AP89" s="369">
        <f t="shared" si="47"/>
        <v>4.2999999999999997E-2</v>
      </c>
      <c r="AQ89" s="369">
        <f t="shared" si="47"/>
        <v>4.2999999999999997E-2</v>
      </c>
      <c r="AR89" s="369">
        <f t="shared" si="47"/>
        <v>4.2999999999999997E-2</v>
      </c>
      <c r="AS89" s="369">
        <f t="shared" si="47"/>
        <v>4.2999999999999997E-2</v>
      </c>
      <c r="AT89" s="369">
        <f t="shared" si="47"/>
        <v>0</v>
      </c>
      <c r="AU89" s="369">
        <f t="shared" si="47"/>
        <v>4.2999999999999997E-2</v>
      </c>
      <c r="AV89" s="369">
        <f t="shared" si="47"/>
        <v>4.2999999999999997E-2</v>
      </c>
      <c r="AW89" s="369">
        <f t="shared" si="47"/>
        <v>4.2999999999999997E-2</v>
      </c>
      <c r="AX89" s="369">
        <f t="shared" si="47"/>
        <v>4.2999999999999997E-2</v>
      </c>
      <c r="AY89" s="369">
        <f t="shared" si="47"/>
        <v>4.2999999999999997E-2</v>
      </c>
      <c r="AZ89" s="369">
        <f t="shared" si="47"/>
        <v>4.2999999999999997E-2</v>
      </c>
      <c r="BA89" s="369">
        <f t="shared" si="47"/>
        <v>4.2999999999999997E-2</v>
      </c>
      <c r="BB89" s="369">
        <f t="shared" si="47"/>
        <v>0</v>
      </c>
      <c r="BC89" s="369">
        <f t="shared" si="47"/>
        <v>4.2999999999999997E-2</v>
      </c>
      <c r="BD89" s="369">
        <f t="shared" si="47"/>
        <v>4.2999999999999997E-2</v>
      </c>
      <c r="BE89" s="369">
        <f t="shared" si="47"/>
        <v>4.2999999999999997E-2</v>
      </c>
      <c r="BF89" s="369">
        <f t="shared" si="47"/>
        <v>4.2999999999999997E-2</v>
      </c>
      <c r="BG89" s="369">
        <f t="shared" si="47"/>
        <v>4.2999999999999997E-2</v>
      </c>
      <c r="BH89" s="369">
        <f t="shared" si="47"/>
        <v>4.2999999999999997E-2</v>
      </c>
      <c r="BI89" s="369">
        <f t="shared" si="47"/>
        <v>4.2999999999999997E-2</v>
      </c>
      <c r="BJ89" s="369">
        <f t="shared" si="47"/>
        <v>0</v>
      </c>
    </row>
    <row r="90" spans="1:62" ht="11.25" customHeight="1" x14ac:dyDescent="0.25">
      <c r="A90" s="5"/>
      <c r="B90" s="9" t="s">
        <v>46</v>
      </c>
      <c r="C90" s="10" t="str">
        <f>'Time &amp; Technical'!C43</f>
        <v>%</v>
      </c>
      <c r="D90" s="362">
        <f>Assumptions!D68</f>
        <v>0.127</v>
      </c>
      <c r="E90" s="6">
        <f t="shared" si="40"/>
        <v>0.63500000000000001</v>
      </c>
      <c r="F90" s="302" t="s">
        <v>26</v>
      </c>
      <c r="G90" s="143">
        <f>IF(G25&gt;0,IF(G58=$D$55,$D$90,0),)</f>
        <v>0</v>
      </c>
      <c r="H90" s="143">
        <f t="shared" ref="H90:BJ90" si="48">IF(H25&gt;0,IF(H58=$D$55,$D$90,0),)</f>
        <v>0</v>
      </c>
      <c r="I90" s="143">
        <f t="shared" si="48"/>
        <v>0</v>
      </c>
      <c r="J90" s="143">
        <f t="shared" si="48"/>
        <v>0</v>
      </c>
      <c r="K90" s="143">
        <f t="shared" si="48"/>
        <v>0</v>
      </c>
      <c r="L90" s="143">
        <f t="shared" si="48"/>
        <v>0</v>
      </c>
      <c r="M90" s="143">
        <f t="shared" si="48"/>
        <v>0</v>
      </c>
      <c r="N90" s="143">
        <f t="shared" si="48"/>
        <v>0</v>
      </c>
      <c r="O90" s="143">
        <f t="shared" si="48"/>
        <v>0</v>
      </c>
      <c r="P90" s="143">
        <f t="shared" si="48"/>
        <v>0</v>
      </c>
      <c r="Q90" s="143">
        <f t="shared" si="48"/>
        <v>0</v>
      </c>
      <c r="R90" s="143">
        <f t="shared" si="48"/>
        <v>0</v>
      </c>
      <c r="S90" s="143">
        <f t="shared" si="48"/>
        <v>0</v>
      </c>
      <c r="T90" s="143">
        <f t="shared" si="48"/>
        <v>0</v>
      </c>
      <c r="U90" s="143">
        <f t="shared" si="48"/>
        <v>0</v>
      </c>
      <c r="V90" s="143">
        <f t="shared" si="48"/>
        <v>0</v>
      </c>
      <c r="W90" s="369">
        <f t="shared" si="48"/>
        <v>0</v>
      </c>
      <c r="X90" s="369">
        <f t="shared" si="48"/>
        <v>0</v>
      </c>
      <c r="Y90" s="369">
        <f t="shared" si="48"/>
        <v>0</v>
      </c>
      <c r="Z90" s="369">
        <f t="shared" si="48"/>
        <v>0</v>
      </c>
      <c r="AA90" s="369">
        <f t="shared" si="48"/>
        <v>0</v>
      </c>
      <c r="AB90" s="369">
        <f t="shared" si="48"/>
        <v>0</v>
      </c>
      <c r="AC90" s="369">
        <f t="shared" si="48"/>
        <v>0</v>
      </c>
      <c r="AD90" s="369">
        <f t="shared" si="48"/>
        <v>0.127</v>
      </c>
      <c r="AE90" s="369">
        <f t="shared" si="48"/>
        <v>0</v>
      </c>
      <c r="AF90" s="369">
        <f t="shared" si="48"/>
        <v>0</v>
      </c>
      <c r="AG90" s="369">
        <f t="shared" si="48"/>
        <v>0</v>
      </c>
      <c r="AH90" s="369">
        <f t="shared" si="48"/>
        <v>0</v>
      </c>
      <c r="AI90" s="369">
        <f t="shared" si="48"/>
        <v>0</v>
      </c>
      <c r="AJ90" s="369">
        <f t="shared" si="48"/>
        <v>0</v>
      </c>
      <c r="AK90" s="369">
        <f t="shared" si="48"/>
        <v>0</v>
      </c>
      <c r="AL90" s="369">
        <f t="shared" si="48"/>
        <v>0.127</v>
      </c>
      <c r="AM90" s="369">
        <f t="shared" si="48"/>
        <v>0</v>
      </c>
      <c r="AN90" s="369">
        <f t="shared" si="48"/>
        <v>0</v>
      </c>
      <c r="AO90" s="369">
        <f t="shared" si="48"/>
        <v>0</v>
      </c>
      <c r="AP90" s="369">
        <f t="shared" si="48"/>
        <v>0</v>
      </c>
      <c r="AQ90" s="369">
        <f t="shared" si="48"/>
        <v>0</v>
      </c>
      <c r="AR90" s="369">
        <f t="shared" si="48"/>
        <v>0</v>
      </c>
      <c r="AS90" s="369">
        <f t="shared" si="48"/>
        <v>0</v>
      </c>
      <c r="AT90" s="369">
        <f t="shared" si="48"/>
        <v>0.127</v>
      </c>
      <c r="AU90" s="369">
        <f t="shared" si="48"/>
        <v>0</v>
      </c>
      <c r="AV90" s="369">
        <f t="shared" si="48"/>
        <v>0</v>
      </c>
      <c r="AW90" s="369">
        <f t="shared" si="48"/>
        <v>0</v>
      </c>
      <c r="AX90" s="369">
        <f t="shared" si="48"/>
        <v>0</v>
      </c>
      <c r="AY90" s="369">
        <f t="shared" si="48"/>
        <v>0</v>
      </c>
      <c r="AZ90" s="369">
        <f t="shared" si="48"/>
        <v>0</v>
      </c>
      <c r="BA90" s="369">
        <f t="shared" si="48"/>
        <v>0</v>
      </c>
      <c r="BB90" s="369">
        <f t="shared" si="48"/>
        <v>0.127</v>
      </c>
      <c r="BC90" s="369">
        <f t="shared" si="48"/>
        <v>0</v>
      </c>
      <c r="BD90" s="369">
        <f t="shared" si="48"/>
        <v>0</v>
      </c>
      <c r="BE90" s="369">
        <f t="shared" si="48"/>
        <v>0</v>
      </c>
      <c r="BF90" s="369">
        <f t="shared" si="48"/>
        <v>0</v>
      </c>
      <c r="BG90" s="369">
        <f t="shared" si="48"/>
        <v>0</v>
      </c>
      <c r="BH90" s="369">
        <f t="shared" si="48"/>
        <v>0</v>
      </c>
      <c r="BI90" s="369">
        <f t="shared" si="48"/>
        <v>0</v>
      </c>
      <c r="BJ90" s="369">
        <f t="shared" si="48"/>
        <v>0.127</v>
      </c>
    </row>
    <row r="91" spans="1:62" ht="11.25" customHeight="1" x14ac:dyDescent="0.25">
      <c r="A91" s="5"/>
      <c r="B91" s="9" t="s">
        <v>367</v>
      </c>
      <c r="C91" s="10" t="s">
        <v>34</v>
      </c>
      <c r="D91" s="81"/>
      <c r="E91" s="6">
        <f t="shared" si="40"/>
        <v>5.1799999999999962</v>
      </c>
      <c r="F91" s="302" t="s">
        <v>26</v>
      </c>
      <c r="G91" s="143">
        <f>SUM(G88:G90)</f>
        <v>0</v>
      </c>
      <c r="H91" s="143">
        <f t="shared" ref="H91:BJ91" si="49">SUM(H88:H90)</f>
        <v>0</v>
      </c>
      <c r="I91" s="143">
        <f t="shared" si="49"/>
        <v>0</v>
      </c>
      <c r="J91" s="143">
        <f t="shared" si="49"/>
        <v>0</v>
      </c>
      <c r="K91" s="143">
        <f t="shared" si="49"/>
        <v>0</v>
      </c>
      <c r="L91" s="143">
        <f t="shared" si="49"/>
        <v>0</v>
      </c>
      <c r="M91" s="143">
        <f t="shared" si="49"/>
        <v>0</v>
      </c>
      <c r="N91" s="143">
        <f t="shared" si="49"/>
        <v>0</v>
      </c>
      <c r="O91" s="143">
        <f t="shared" si="49"/>
        <v>0</v>
      </c>
      <c r="P91" s="143">
        <f t="shared" si="49"/>
        <v>0</v>
      </c>
      <c r="Q91" s="143">
        <f t="shared" si="49"/>
        <v>0</v>
      </c>
      <c r="R91" s="143">
        <f t="shared" si="49"/>
        <v>0</v>
      </c>
      <c r="S91" s="143">
        <f t="shared" si="49"/>
        <v>0</v>
      </c>
      <c r="T91" s="143">
        <f t="shared" si="49"/>
        <v>0</v>
      </c>
      <c r="U91" s="143">
        <f t="shared" si="49"/>
        <v>0</v>
      </c>
      <c r="V91" s="143">
        <f t="shared" si="49"/>
        <v>0</v>
      </c>
      <c r="W91" s="369">
        <f t="shared" si="49"/>
        <v>0.11899999999999999</v>
      </c>
      <c r="X91" s="369">
        <f t="shared" si="49"/>
        <v>0.11899999999999999</v>
      </c>
      <c r="Y91" s="369">
        <f t="shared" si="49"/>
        <v>0.11899999999999999</v>
      </c>
      <c r="Z91" s="369">
        <f t="shared" si="49"/>
        <v>0.11899999999999999</v>
      </c>
      <c r="AA91" s="369">
        <f t="shared" si="49"/>
        <v>0.11899999999999999</v>
      </c>
      <c r="AB91" s="369">
        <f t="shared" si="49"/>
        <v>0.11899999999999999</v>
      </c>
      <c r="AC91" s="369">
        <f t="shared" si="49"/>
        <v>0.11899999999999999</v>
      </c>
      <c r="AD91" s="369">
        <f t="shared" si="49"/>
        <v>0.20300000000000001</v>
      </c>
      <c r="AE91" s="369">
        <f t="shared" si="49"/>
        <v>0.11899999999999999</v>
      </c>
      <c r="AF91" s="369">
        <f t="shared" si="49"/>
        <v>0.11899999999999999</v>
      </c>
      <c r="AG91" s="369">
        <f t="shared" si="49"/>
        <v>0.11899999999999999</v>
      </c>
      <c r="AH91" s="369">
        <f t="shared" si="49"/>
        <v>0.11899999999999999</v>
      </c>
      <c r="AI91" s="369">
        <f t="shared" si="49"/>
        <v>0.11899999999999999</v>
      </c>
      <c r="AJ91" s="369">
        <f t="shared" si="49"/>
        <v>0.11899999999999999</v>
      </c>
      <c r="AK91" s="369">
        <f t="shared" si="49"/>
        <v>0.11899999999999999</v>
      </c>
      <c r="AL91" s="369">
        <f t="shared" si="49"/>
        <v>0.20300000000000001</v>
      </c>
      <c r="AM91" s="369">
        <f t="shared" si="49"/>
        <v>0.11899999999999999</v>
      </c>
      <c r="AN91" s="369">
        <f t="shared" si="49"/>
        <v>0.11899999999999999</v>
      </c>
      <c r="AO91" s="369">
        <f t="shared" si="49"/>
        <v>0.11899999999999999</v>
      </c>
      <c r="AP91" s="369">
        <f t="shared" si="49"/>
        <v>0.11899999999999999</v>
      </c>
      <c r="AQ91" s="369">
        <f t="shared" si="49"/>
        <v>0.11899999999999999</v>
      </c>
      <c r="AR91" s="369">
        <f t="shared" si="49"/>
        <v>0.11899999999999999</v>
      </c>
      <c r="AS91" s="369">
        <f t="shared" si="49"/>
        <v>0.11899999999999999</v>
      </c>
      <c r="AT91" s="369">
        <f t="shared" si="49"/>
        <v>0.20300000000000001</v>
      </c>
      <c r="AU91" s="369">
        <f t="shared" si="49"/>
        <v>0.11899999999999999</v>
      </c>
      <c r="AV91" s="369">
        <f t="shared" si="49"/>
        <v>0.11899999999999999</v>
      </c>
      <c r="AW91" s="369">
        <f t="shared" si="49"/>
        <v>0.11899999999999999</v>
      </c>
      <c r="AX91" s="369">
        <f t="shared" si="49"/>
        <v>0.11899999999999999</v>
      </c>
      <c r="AY91" s="369">
        <f t="shared" si="49"/>
        <v>0.11899999999999999</v>
      </c>
      <c r="AZ91" s="369">
        <f t="shared" si="49"/>
        <v>0.11899999999999999</v>
      </c>
      <c r="BA91" s="369">
        <f t="shared" si="49"/>
        <v>0.11899999999999999</v>
      </c>
      <c r="BB91" s="369">
        <f t="shared" si="49"/>
        <v>0.20300000000000001</v>
      </c>
      <c r="BC91" s="369">
        <f t="shared" si="49"/>
        <v>0.11899999999999999</v>
      </c>
      <c r="BD91" s="369">
        <f t="shared" si="49"/>
        <v>0.11899999999999999</v>
      </c>
      <c r="BE91" s="369">
        <f t="shared" si="49"/>
        <v>0.11899999999999999</v>
      </c>
      <c r="BF91" s="369">
        <f t="shared" si="49"/>
        <v>0.11899999999999999</v>
      </c>
      <c r="BG91" s="369">
        <f t="shared" si="49"/>
        <v>0.11899999999999999</v>
      </c>
      <c r="BH91" s="369">
        <f t="shared" si="49"/>
        <v>0.11899999999999999</v>
      </c>
      <c r="BI91" s="369">
        <f t="shared" si="49"/>
        <v>0.11899999999999999</v>
      </c>
      <c r="BJ91" s="369">
        <f t="shared" si="49"/>
        <v>0.20300000000000001</v>
      </c>
    </row>
    <row r="92" spans="1:62" ht="11.25" customHeight="1" x14ac:dyDescent="0.25">
      <c r="A92" s="5"/>
      <c r="B92" s="9" t="s">
        <v>110</v>
      </c>
      <c r="C92" s="10" t="str">
        <f>'Time &amp; Technical'!C44</f>
        <v>%</v>
      </c>
      <c r="D92" s="81"/>
      <c r="E92" s="6">
        <f t="shared" si="40"/>
        <v>34.82</v>
      </c>
      <c r="F92" s="302" t="s">
        <v>26</v>
      </c>
      <c r="G92" s="143">
        <f>IF(G25&gt;0,1-G91,0)</f>
        <v>0</v>
      </c>
      <c r="H92" s="143">
        <f t="shared" ref="H92:BJ92" si="50">IF(H25&gt;0,1-H91,0)</f>
        <v>0</v>
      </c>
      <c r="I92" s="143">
        <f t="shared" si="50"/>
        <v>0</v>
      </c>
      <c r="J92" s="143">
        <f t="shared" si="50"/>
        <v>0</v>
      </c>
      <c r="K92" s="143">
        <f t="shared" si="50"/>
        <v>0</v>
      </c>
      <c r="L92" s="143">
        <f t="shared" si="50"/>
        <v>0</v>
      </c>
      <c r="M92" s="143">
        <f t="shared" si="50"/>
        <v>0</v>
      </c>
      <c r="N92" s="143">
        <f t="shared" si="50"/>
        <v>0</v>
      </c>
      <c r="O92" s="143">
        <f t="shared" si="50"/>
        <v>0</v>
      </c>
      <c r="P92" s="143">
        <f t="shared" si="50"/>
        <v>0</v>
      </c>
      <c r="Q92" s="143">
        <f t="shared" si="50"/>
        <v>0</v>
      </c>
      <c r="R92" s="143">
        <f t="shared" si="50"/>
        <v>0</v>
      </c>
      <c r="S92" s="143">
        <f t="shared" si="50"/>
        <v>0</v>
      </c>
      <c r="T92" s="143">
        <f t="shared" si="50"/>
        <v>0</v>
      </c>
      <c r="U92" s="143">
        <f t="shared" si="50"/>
        <v>0</v>
      </c>
      <c r="V92" s="143">
        <f t="shared" si="50"/>
        <v>0</v>
      </c>
      <c r="W92" s="369">
        <f t="shared" si="50"/>
        <v>0.88100000000000001</v>
      </c>
      <c r="X92" s="369">
        <f t="shared" si="50"/>
        <v>0.88100000000000001</v>
      </c>
      <c r="Y92" s="369">
        <f t="shared" si="50"/>
        <v>0.88100000000000001</v>
      </c>
      <c r="Z92" s="369">
        <f t="shared" si="50"/>
        <v>0.88100000000000001</v>
      </c>
      <c r="AA92" s="369">
        <f t="shared" si="50"/>
        <v>0.88100000000000001</v>
      </c>
      <c r="AB92" s="369">
        <f t="shared" si="50"/>
        <v>0.88100000000000001</v>
      </c>
      <c r="AC92" s="369">
        <f t="shared" si="50"/>
        <v>0.88100000000000001</v>
      </c>
      <c r="AD92" s="369">
        <f t="shared" si="50"/>
        <v>0.79699999999999993</v>
      </c>
      <c r="AE92" s="369">
        <f t="shared" si="50"/>
        <v>0.88100000000000001</v>
      </c>
      <c r="AF92" s="369">
        <f t="shared" si="50"/>
        <v>0.88100000000000001</v>
      </c>
      <c r="AG92" s="369">
        <f t="shared" si="50"/>
        <v>0.88100000000000001</v>
      </c>
      <c r="AH92" s="369">
        <f t="shared" si="50"/>
        <v>0.88100000000000001</v>
      </c>
      <c r="AI92" s="369">
        <f t="shared" si="50"/>
        <v>0.88100000000000001</v>
      </c>
      <c r="AJ92" s="369">
        <f t="shared" si="50"/>
        <v>0.88100000000000001</v>
      </c>
      <c r="AK92" s="369">
        <f t="shared" si="50"/>
        <v>0.88100000000000001</v>
      </c>
      <c r="AL92" s="369">
        <f t="shared" si="50"/>
        <v>0.79699999999999993</v>
      </c>
      <c r="AM92" s="369">
        <f t="shared" si="50"/>
        <v>0.88100000000000001</v>
      </c>
      <c r="AN92" s="369">
        <f t="shared" si="50"/>
        <v>0.88100000000000001</v>
      </c>
      <c r="AO92" s="369">
        <f t="shared" si="50"/>
        <v>0.88100000000000001</v>
      </c>
      <c r="AP92" s="369">
        <f t="shared" si="50"/>
        <v>0.88100000000000001</v>
      </c>
      <c r="AQ92" s="369">
        <f t="shared" si="50"/>
        <v>0.88100000000000001</v>
      </c>
      <c r="AR92" s="369">
        <f t="shared" si="50"/>
        <v>0.88100000000000001</v>
      </c>
      <c r="AS92" s="369">
        <f t="shared" si="50"/>
        <v>0.88100000000000001</v>
      </c>
      <c r="AT92" s="369">
        <f t="shared" si="50"/>
        <v>0.79699999999999993</v>
      </c>
      <c r="AU92" s="369">
        <f t="shared" si="50"/>
        <v>0.88100000000000001</v>
      </c>
      <c r="AV92" s="369">
        <f t="shared" si="50"/>
        <v>0.88100000000000001</v>
      </c>
      <c r="AW92" s="369">
        <f t="shared" si="50"/>
        <v>0.88100000000000001</v>
      </c>
      <c r="AX92" s="369">
        <f t="shared" si="50"/>
        <v>0.88100000000000001</v>
      </c>
      <c r="AY92" s="369">
        <f t="shared" si="50"/>
        <v>0.88100000000000001</v>
      </c>
      <c r="AZ92" s="369">
        <f t="shared" si="50"/>
        <v>0.88100000000000001</v>
      </c>
      <c r="BA92" s="369">
        <f t="shared" si="50"/>
        <v>0.88100000000000001</v>
      </c>
      <c r="BB92" s="369">
        <f t="shared" si="50"/>
        <v>0.79699999999999993</v>
      </c>
      <c r="BC92" s="369">
        <f t="shared" si="50"/>
        <v>0.88100000000000001</v>
      </c>
      <c r="BD92" s="369">
        <f t="shared" si="50"/>
        <v>0.88100000000000001</v>
      </c>
      <c r="BE92" s="369">
        <f t="shared" si="50"/>
        <v>0.88100000000000001</v>
      </c>
      <c r="BF92" s="369">
        <f t="shared" si="50"/>
        <v>0.88100000000000001</v>
      </c>
      <c r="BG92" s="369">
        <f t="shared" si="50"/>
        <v>0.88100000000000001</v>
      </c>
      <c r="BH92" s="369">
        <f t="shared" si="50"/>
        <v>0.88100000000000001</v>
      </c>
      <c r="BI92" s="369">
        <f t="shared" si="50"/>
        <v>0.88100000000000001</v>
      </c>
      <c r="BJ92" s="369">
        <f t="shared" si="50"/>
        <v>0.79699999999999993</v>
      </c>
    </row>
    <row r="93" spans="1:62" ht="11.25" customHeight="1" x14ac:dyDescent="0.25">
      <c r="A93" s="5"/>
      <c r="B93" s="9" t="s">
        <v>44</v>
      </c>
      <c r="C93" s="10" t="str">
        <f>'Time &amp; Technical'!C45</f>
        <v>%</v>
      </c>
      <c r="D93" s="81"/>
      <c r="E93" s="6">
        <f t="shared" si="40"/>
        <v>34.696000000000026</v>
      </c>
      <c r="F93" s="302" t="s">
        <v>26</v>
      </c>
      <c r="G93" s="143">
        <f>G122</f>
        <v>0</v>
      </c>
      <c r="H93" s="143">
        <f t="shared" ref="H93:BJ93" si="51">H122</f>
        <v>0</v>
      </c>
      <c r="I93" s="143">
        <f t="shared" si="51"/>
        <v>0</v>
      </c>
      <c r="J93" s="143">
        <f t="shared" si="51"/>
        <v>0</v>
      </c>
      <c r="K93" s="143">
        <f t="shared" si="51"/>
        <v>0</v>
      </c>
      <c r="L93" s="143">
        <f t="shared" si="51"/>
        <v>0</v>
      </c>
      <c r="M93" s="143">
        <f t="shared" si="51"/>
        <v>0</v>
      </c>
      <c r="N93" s="143">
        <f t="shared" si="51"/>
        <v>0</v>
      </c>
      <c r="O93" s="143">
        <f t="shared" si="51"/>
        <v>0</v>
      </c>
      <c r="P93" s="143">
        <f t="shared" si="51"/>
        <v>0</v>
      </c>
      <c r="Q93" s="143">
        <f t="shared" si="51"/>
        <v>0</v>
      </c>
      <c r="R93" s="143">
        <f t="shared" si="51"/>
        <v>0</v>
      </c>
      <c r="S93" s="143">
        <f t="shared" si="51"/>
        <v>0</v>
      </c>
      <c r="T93" s="143">
        <f t="shared" si="51"/>
        <v>0</v>
      </c>
      <c r="U93" s="143">
        <f t="shared" si="51"/>
        <v>0</v>
      </c>
      <c r="V93" s="143">
        <f t="shared" si="51"/>
        <v>0</v>
      </c>
      <c r="W93" s="369">
        <f t="shared" si="51"/>
        <v>0.88900000000000001</v>
      </c>
      <c r="X93" s="369">
        <f t="shared" si="51"/>
        <v>0.88900000000000001</v>
      </c>
      <c r="Y93" s="369">
        <f t="shared" si="51"/>
        <v>0.88900000000000001</v>
      </c>
      <c r="Z93" s="369">
        <f t="shared" si="51"/>
        <v>0.88900000000000001</v>
      </c>
      <c r="AA93" s="369">
        <f t="shared" si="51"/>
        <v>0.88900000000000001</v>
      </c>
      <c r="AB93" s="369">
        <f t="shared" si="51"/>
        <v>0.88900000000000001</v>
      </c>
      <c r="AC93" s="369">
        <f t="shared" si="51"/>
        <v>0.88900000000000001</v>
      </c>
      <c r="AD93" s="369">
        <f t="shared" si="51"/>
        <v>0.88900000000000001</v>
      </c>
      <c r="AE93" s="369">
        <f t="shared" si="51"/>
        <v>0.88900000000000001</v>
      </c>
      <c r="AF93" s="369">
        <f t="shared" si="51"/>
        <v>0.88900000000000001</v>
      </c>
      <c r="AG93" s="369">
        <f t="shared" si="51"/>
        <v>0.88900000000000001</v>
      </c>
      <c r="AH93" s="369">
        <f t="shared" si="51"/>
        <v>0.88900000000000001</v>
      </c>
      <c r="AI93" s="369">
        <f t="shared" si="51"/>
        <v>0.88900000000000001</v>
      </c>
      <c r="AJ93" s="369">
        <f t="shared" si="51"/>
        <v>0.88900000000000001</v>
      </c>
      <c r="AK93" s="369">
        <f t="shared" si="51"/>
        <v>0.88</v>
      </c>
      <c r="AL93" s="369">
        <f t="shared" si="51"/>
        <v>0.88</v>
      </c>
      <c r="AM93" s="369">
        <f t="shared" si="51"/>
        <v>0.88</v>
      </c>
      <c r="AN93" s="369">
        <f t="shared" si="51"/>
        <v>0.87</v>
      </c>
      <c r="AO93" s="369">
        <f t="shared" si="51"/>
        <v>0.87</v>
      </c>
      <c r="AP93" s="369">
        <f t="shared" si="51"/>
        <v>0.86</v>
      </c>
      <c r="AQ93" s="369">
        <f t="shared" si="51"/>
        <v>0.86</v>
      </c>
      <c r="AR93" s="369">
        <f t="shared" si="51"/>
        <v>0.85</v>
      </c>
      <c r="AS93" s="369">
        <f t="shared" si="51"/>
        <v>0.85</v>
      </c>
      <c r="AT93" s="369">
        <f t="shared" si="51"/>
        <v>0.85</v>
      </c>
      <c r="AU93" s="369">
        <f t="shared" si="51"/>
        <v>0.85</v>
      </c>
      <c r="AV93" s="369">
        <f t="shared" si="51"/>
        <v>0.85</v>
      </c>
      <c r="AW93" s="369">
        <f t="shared" si="51"/>
        <v>0.85</v>
      </c>
      <c r="AX93" s="369">
        <f t="shared" si="51"/>
        <v>0.85</v>
      </c>
      <c r="AY93" s="369">
        <f t="shared" si="51"/>
        <v>0.85</v>
      </c>
      <c r="AZ93" s="369">
        <f t="shared" si="51"/>
        <v>0.85</v>
      </c>
      <c r="BA93" s="369">
        <f t="shared" si="51"/>
        <v>0.85</v>
      </c>
      <c r="BB93" s="369">
        <f t="shared" si="51"/>
        <v>0.85</v>
      </c>
      <c r="BC93" s="369">
        <f t="shared" si="51"/>
        <v>0.85</v>
      </c>
      <c r="BD93" s="369">
        <f t="shared" si="51"/>
        <v>0.85</v>
      </c>
      <c r="BE93" s="369">
        <f t="shared" si="51"/>
        <v>0.85</v>
      </c>
      <c r="BF93" s="369">
        <f t="shared" si="51"/>
        <v>0.85</v>
      </c>
      <c r="BG93" s="369">
        <f t="shared" si="51"/>
        <v>0.85</v>
      </c>
      <c r="BH93" s="369">
        <f t="shared" si="51"/>
        <v>0.85</v>
      </c>
      <c r="BI93" s="369">
        <f t="shared" si="51"/>
        <v>0.85</v>
      </c>
      <c r="BJ93" s="369">
        <f t="shared" si="51"/>
        <v>0.85</v>
      </c>
    </row>
    <row r="94" spans="1:62" ht="11.25" customHeight="1" x14ac:dyDescent="0.25">
      <c r="A94" s="5"/>
      <c r="B94" s="9" t="s">
        <v>111</v>
      </c>
      <c r="C94" s="10" t="str">
        <f>'Time &amp; Technical'!C46</f>
        <v>%</v>
      </c>
      <c r="D94" s="81"/>
      <c r="E94" s="6">
        <f t="shared" si="40"/>
        <v>30.204380000000015</v>
      </c>
      <c r="F94" s="302" t="s">
        <v>26</v>
      </c>
      <c r="G94" s="143">
        <f>G92*G93</f>
        <v>0</v>
      </c>
      <c r="H94" s="143">
        <f t="shared" ref="H94:BJ94" si="52">H92*H93</f>
        <v>0</v>
      </c>
      <c r="I94" s="143">
        <f t="shared" si="52"/>
        <v>0</v>
      </c>
      <c r="J94" s="143">
        <f t="shared" si="52"/>
        <v>0</v>
      </c>
      <c r="K94" s="143">
        <f t="shared" si="52"/>
        <v>0</v>
      </c>
      <c r="L94" s="143">
        <f t="shared" si="52"/>
        <v>0</v>
      </c>
      <c r="M94" s="143">
        <f t="shared" si="52"/>
        <v>0</v>
      </c>
      <c r="N94" s="143">
        <f t="shared" si="52"/>
        <v>0</v>
      </c>
      <c r="O94" s="143">
        <f t="shared" si="52"/>
        <v>0</v>
      </c>
      <c r="P94" s="143">
        <f t="shared" si="52"/>
        <v>0</v>
      </c>
      <c r="Q94" s="143">
        <f t="shared" si="52"/>
        <v>0</v>
      </c>
      <c r="R94" s="143">
        <f t="shared" si="52"/>
        <v>0</v>
      </c>
      <c r="S94" s="143">
        <f t="shared" si="52"/>
        <v>0</v>
      </c>
      <c r="T94" s="143">
        <f t="shared" si="52"/>
        <v>0</v>
      </c>
      <c r="U94" s="143">
        <f t="shared" si="52"/>
        <v>0</v>
      </c>
      <c r="V94" s="143">
        <f t="shared" si="52"/>
        <v>0</v>
      </c>
      <c r="W94" s="369">
        <f t="shared" si="52"/>
        <v>0.78320900000000004</v>
      </c>
      <c r="X94" s="369">
        <f t="shared" si="52"/>
        <v>0.78320900000000004</v>
      </c>
      <c r="Y94" s="369">
        <f t="shared" si="52"/>
        <v>0.78320900000000004</v>
      </c>
      <c r="Z94" s="369">
        <f t="shared" si="52"/>
        <v>0.78320900000000004</v>
      </c>
      <c r="AA94" s="369">
        <f t="shared" si="52"/>
        <v>0.78320900000000004</v>
      </c>
      <c r="AB94" s="369">
        <f t="shared" si="52"/>
        <v>0.78320900000000004</v>
      </c>
      <c r="AC94" s="369">
        <f t="shared" si="52"/>
        <v>0.78320900000000004</v>
      </c>
      <c r="AD94" s="369">
        <f t="shared" si="52"/>
        <v>0.70853299999999997</v>
      </c>
      <c r="AE94" s="369">
        <f t="shared" si="52"/>
        <v>0.78320900000000004</v>
      </c>
      <c r="AF94" s="369">
        <f t="shared" si="52"/>
        <v>0.78320900000000004</v>
      </c>
      <c r="AG94" s="369">
        <f t="shared" si="52"/>
        <v>0.78320900000000004</v>
      </c>
      <c r="AH94" s="369">
        <f t="shared" si="52"/>
        <v>0.78320900000000004</v>
      </c>
      <c r="AI94" s="369">
        <f t="shared" si="52"/>
        <v>0.78320900000000004</v>
      </c>
      <c r="AJ94" s="369">
        <f t="shared" si="52"/>
        <v>0.78320900000000004</v>
      </c>
      <c r="AK94" s="369">
        <f t="shared" si="52"/>
        <v>0.77527999999999997</v>
      </c>
      <c r="AL94" s="369">
        <f t="shared" si="52"/>
        <v>0.70135999999999998</v>
      </c>
      <c r="AM94" s="369">
        <f t="shared" si="52"/>
        <v>0.77527999999999997</v>
      </c>
      <c r="AN94" s="369">
        <f t="shared" si="52"/>
        <v>0.76646999999999998</v>
      </c>
      <c r="AO94" s="369">
        <f t="shared" si="52"/>
        <v>0.76646999999999998</v>
      </c>
      <c r="AP94" s="369">
        <f t="shared" si="52"/>
        <v>0.75766</v>
      </c>
      <c r="AQ94" s="369">
        <f t="shared" si="52"/>
        <v>0.75766</v>
      </c>
      <c r="AR94" s="369">
        <f t="shared" si="52"/>
        <v>0.74885000000000002</v>
      </c>
      <c r="AS94" s="369">
        <f t="shared" si="52"/>
        <v>0.74885000000000002</v>
      </c>
      <c r="AT94" s="369">
        <f t="shared" si="52"/>
        <v>0.67744999999999989</v>
      </c>
      <c r="AU94" s="369">
        <f t="shared" si="52"/>
        <v>0.74885000000000002</v>
      </c>
      <c r="AV94" s="369">
        <f t="shared" si="52"/>
        <v>0.74885000000000002</v>
      </c>
      <c r="AW94" s="369">
        <f t="shared" si="52"/>
        <v>0.74885000000000002</v>
      </c>
      <c r="AX94" s="369">
        <f t="shared" si="52"/>
        <v>0.74885000000000002</v>
      </c>
      <c r="AY94" s="369">
        <f t="shared" si="52"/>
        <v>0.74885000000000002</v>
      </c>
      <c r="AZ94" s="369">
        <f t="shared" si="52"/>
        <v>0.74885000000000002</v>
      </c>
      <c r="BA94" s="369">
        <f t="shared" si="52"/>
        <v>0.74885000000000002</v>
      </c>
      <c r="BB94" s="369">
        <f t="shared" si="52"/>
        <v>0.67744999999999989</v>
      </c>
      <c r="BC94" s="369">
        <f t="shared" si="52"/>
        <v>0.74885000000000002</v>
      </c>
      <c r="BD94" s="369">
        <f t="shared" si="52"/>
        <v>0.74885000000000002</v>
      </c>
      <c r="BE94" s="369">
        <f t="shared" si="52"/>
        <v>0.74885000000000002</v>
      </c>
      <c r="BF94" s="369">
        <f t="shared" si="52"/>
        <v>0.74885000000000002</v>
      </c>
      <c r="BG94" s="369">
        <f t="shared" si="52"/>
        <v>0.74885000000000002</v>
      </c>
      <c r="BH94" s="369">
        <f t="shared" si="52"/>
        <v>0.74885000000000002</v>
      </c>
      <c r="BI94" s="369">
        <f t="shared" si="52"/>
        <v>0.74885000000000002</v>
      </c>
      <c r="BJ94" s="369">
        <f t="shared" si="52"/>
        <v>0.67744999999999989</v>
      </c>
    </row>
    <row r="95" spans="1:62" ht="11.25" customHeight="1" x14ac:dyDescent="0.25">
      <c r="A95" s="5"/>
      <c r="D95" s="259"/>
      <c r="E95" s="83">
        <f t="shared" si="40"/>
        <v>0</v>
      </c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</row>
    <row r="96" spans="1:62" ht="11.25" customHeight="1" x14ac:dyDescent="0.25">
      <c r="A96" s="3" t="s">
        <v>26</v>
      </c>
      <c r="B96" s="133" t="s">
        <v>330</v>
      </c>
      <c r="C96" s="10"/>
      <c r="D96" s="81"/>
      <c r="E96" s="83">
        <f t="shared" si="40"/>
        <v>0</v>
      </c>
      <c r="F96" s="302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</row>
    <row r="97" spans="1:62" ht="11.25" customHeight="1" x14ac:dyDescent="0.25">
      <c r="A97" s="5"/>
      <c r="B97" s="6" t="s">
        <v>331</v>
      </c>
      <c r="C97" s="7" t="s">
        <v>52</v>
      </c>
      <c r="D97" s="359">
        <f>Assumptions!D71</f>
        <v>0.88900000000000001</v>
      </c>
      <c r="E97" s="83">
        <f t="shared" si="40"/>
        <v>0</v>
      </c>
      <c r="F97" s="302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</row>
    <row r="98" spans="1:62" ht="11.25" customHeight="1" x14ac:dyDescent="0.25">
      <c r="A98" s="5"/>
      <c r="B98" s="5" t="s">
        <v>332</v>
      </c>
      <c r="C98" s="7" t="s">
        <v>442</v>
      </c>
      <c r="D98" s="363">
        <f>Assumptions!D72</f>
        <v>89</v>
      </c>
      <c r="E98" s="83">
        <f t="shared" si="40"/>
        <v>0</v>
      </c>
      <c r="F98" s="302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</row>
    <row r="99" spans="1:62" ht="11.25" customHeight="1" x14ac:dyDescent="0.25">
      <c r="A99" s="5"/>
      <c r="B99" s="6" t="s">
        <v>333</v>
      </c>
      <c r="C99" s="7"/>
      <c r="D99" s="81"/>
      <c r="E99" s="83">
        <f t="shared" si="40"/>
        <v>0</v>
      </c>
      <c r="F99" s="302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</row>
    <row r="100" spans="1:62" ht="11.25" customHeight="1" x14ac:dyDescent="0.25">
      <c r="A100" s="5"/>
      <c r="B100" s="293">
        <f>Assumptions!B74</f>
        <v>2026</v>
      </c>
      <c r="C100" s="7" t="s">
        <v>443</v>
      </c>
      <c r="D100" s="255">
        <f>Assumptions!D74</f>
        <v>55.42</v>
      </c>
      <c r="E100" s="83">
        <f t="shared" si="40"/>
        <v>55.42</v>
      </c>
      <c r="F100" s="302" t="s">
        <v>26</v>
      </c>
      <c r="G100" s="143">
        <f>IF(G$115=1,IF(AND(G$2=$B100,G$1&gt;=$D$21),$D100,),0)</f>
        <v>0</v>
      </c>
      <c r="H100" s="143">
        <f t="shared" ref="H100:W107" si="53">IF(H$115=1,IF(AND(H$2=$B100,H$1&gt;=$D$21),$D100,),0)</f>
        <v>0</v>
      </c>
      <c r="I100" s="143">
        <f t="shared" si="53"/>
        <v>0</v>
      </c>
      <c r="J100" s="143">
        <f t="shared" si="53"/>
        <v>0</v>
      </c>
      <c r="K100" s="143">
        <f t="shared" si="53"/>
        <v>0</v>
      </c>
      <c r="L100" s="143">
        <f t="shared" si="53"/>
        <v>0</v>
      </c>
      <c r="M100" s="143">
        <f t="shared" si="53"/>
        <v>0</v>
      </c>
      <c r="N100" s="143">
        <f t="shared" si="53"/>
        <v>0</v>
      </c>
      <c r="O100" s="143">
        <f t="shared" si="53"/>
        <v>0</v>
      </c>
      <c r="P100" s="143">
        <f t="shared" si="53"/>
        <v>0</v>
      </c>
      <c r="Q100" s="143">
        <f t="shared" si="53"/>
        <v>0</v>
      </c>
      <c r="R100" s="143">
        <f t="shared" si="53"/>
        <v>0</v>
      </c>
      <c r="S100" s="143">
        <f t="shared" si="53"/>
        <v>0</v>
      </c>
      <c r="T100" s="143">
        <f t="shared" si="53"/>
        <v>0</v>
      </c>
      <c r="U100" s="143">
        <f t="shared" si="53"/>
        <v>0</v>
      </c>
      <c r="V100" s="143">
        <f t="shared" si="53"/>
        <v>0</v>
      </c>
      <c r="W100" s="143">
        <f t="shared" si="53"/>
        <v>55.42</v>
      </c>
      <c r="X100" s="143">
        <f t="shared" ref="X100:AM107" si="54">IF(X$115=1,IF(AND(X$2=$B100,X$1&gt;=$D$21),$D100,),0)</f>
        <v>0</v>
      </c>
      <c r="Y100" s="143">
        <f t="shared" si="54"/>
        <v>0</v>
      </c>
      <c r="Z100" s="143">
        <f t="shared" si="54"/>
        <v>0</v>
      </c>
      <c r="AA100" s="143">
        <f t="shared" si="54"/>
        <v>0</v>
      </c>
      <c r="AB100" s="143">
        <f t="shared" si="54"/>
        <v>0</v>
      </c>
      <c r="AC100" s="143">
        <f t="shared" si="54"/>
        <v>0</v>
      </c>
      <c r="AD100" s="143">
        <f t="shared" si="54"/>
        <v>0</v>
      </c>
      <c r="AE100" s="143">
        <f t="shared" si="54"/>
        <v>0</v>
      </c>
      <c r="AF100" s="143">
        <f t="shared" si="54"/>
        <v>0</v>
      </c>
      <c r="AG100" s="143">
        <f t="shared" si="54"/>
        <v>0</v>
      </c>
      <c r="AH100" s="143">
        <f t="shared" si="54"/>
        <v>0</v>
      </c>
      <c r="AI100" s="143">
        <f t="shared" si="54"/>
        <v>0</v>
      </c>
      <c r="AJ100" s="143">
        <f t="shared" si="54"/>
        <v>0</v>
      </c>
      <c r="AK100" s="143">
        <f t="shared" si="54"/>
        <v>0</v>
      </c>
      <c r="AL100" s="143">
        <f t="shared" si="54"/>
        <v>0</v>
      </c>
      <c r="AM100" s="143">
        <f t="shared" si="54"/>
        <v>0</v>
      </c>
      <c r="AN100" s="143">
        <f t="shared" ref="AN100:BC107" si="55">IF(AN$115=1,IF(AND(AN$2=$B100,AN$1&gt;=$D$21),$D100,),0)</f>
        <v>0</v>
      </c>
      <c r="AO100" s="143">
        <f t="shared" si="55"/>
        <v>0</v>
      </c>
      <c r="AP100" s="143">
        <f t="shared" si="55"/>
        <v>0</v>
      </c>
      <c r="AQ100" s="143">
        <f t="shared" si="55"/>
        <v>0</v>
      </c>
      <c r="AR100" s="143">
        <f t="shared" si="55"/>
        <v>0</v>
      </c>
      <c r="AS100" s="143">
        <f t="shared" si="55"/>
        <v>0</v>
      </c>
      <c r="AT100" s="143">
        <f t="shared" si="55"/>
        <v>0</v>
      </c>
      <c r="AU100" s="143">
        <f t="shared" si="55"/>
        <v>0</v>
      </c>
      <c r="AV100" s="143">
        <f t="shared" si="55"/>
        <v>0</v>
      </c>
      <c r="AW100" s="143">
        <f t="shared" si="55"/>
        <v>0</v>
      </c>
      <c r="AX100" s="143">
        <f t="shared" si="55"/>
        <v>0</v>
      </c>
      <c r="AY100" s="143">
        <f t="shared" si="55"/>
        <v>0</v>
      </c>
      <c r="AZ100" s="143">
        <f t="shared" si="55"/>
        <v>0</v>
      </c>
      <c r="BA100" s="143">
        <f t="shared" si="55"/>
        <v>0</v>
      </c>
      <c r="BB100" s="143">
        <f t="shared" si="55"/>
        <v>0</v>
      </c>
      <c r="BC100" s="143">
        <f t="shared" si="55"/>
        <v>0</v>
      </c>
      <c r="BD100" s="143">
        <f t="shared" ref="BD100:BJ107" si="56">IF(BD$115=1,IF(AND(BD$2=$B100,BD$1&gt;=$D$21),$D100,),0)</f>
        <v>0</v>
      </c>
      <c r="BE100" s="143">
        <f t="shared" si="56"/>
        <v>0</v>
      </c>
      <c r="BF100" s="143">
        <f t="shared" si="56"/>
        <v>0</v>
      </c>
      <c r="BG100" s="143">
        <f t="shared" si="56"/>
        <v>0</v>
      </c>
      <c r="BH100" s="143">
        <f t="shared" si="56"/>
        <v>0</v>
      </c>
      <c r="BI100" s="143">
        <f t="shared" si="56"/>
        <v>0</v>
      </c>
      <c r="BJ100" s="143">
        <f t="shared" si="56"/>
        <v>0</v>
      </c>
    </row>
    <row r="101" spans="1:62" ht="11.25" customHeight="1" x14ac:dyDescent="0.25">
      <c r="A101" s="5"/>
      <c r="B101" s="134">
        <f t="shared" ref="B101:B106" si="57">B100+1</f>
        <v>2027</v>
      </c>
      <c r="C101" s="7" t="s">
        <v>443</v>
      </c>
      <c r="D101" s="255">
        <f>Assumptions!D75</f>
        <v>54.88</v>
      </c>
      <c r="E101" s="83">
        <f t="shared" si="40"/>
        <v>109.76</v>
      </c>
      <c r="F101" s="302" t="s">
        <v>26</v>
      </c>
      <c r="G101" s="143">
        <f t="shared" ref="G101:G107" si="58">IF(G$115=1,IF(AND(G$2=$B101,G$1&gt;=$D$21),$D101,),0)</f>
        <v>0</v>
      </c>
      <c r="H101" s="143">
        <f t="shared" si="53"/>
        <v>0</v>
      </c>
      <c r="I101" s="143">
        <f t="shared" si="53"/>
        <v>0</v>
      </c>
      <c r="J101" s="143">
        <f t="shared" si="53"/>
        <v>0</v>
      </c>
      <c r="K101" s="143">
        <f t="shared" si="53"/>
        <v>0</v>
      </c>
      <c r="L101" s="143">
        <f t="shared" si="53"/>
        <v>0</v>
      </c>
      <c r="M101" s="143">
        <f t="shared" si="53"/>
        <v>0</v>
      </c>
      <c r="N101" s="143">
        <f t="shared" si="53"/>
        <v>0</v>
      </c>
      <c r="O101" s="143">
        <f t="shared" si="53"/>
        <v>0</v>
      </c>
      <c r="P101" s="143">
        <f t="shared" si="53"/>
        <v>0</v>
      </c>
      <c r="Q101" s="143">
        <f t="shared" si="53"/>
        <v>0</v>
      </c>
      <c r="R101" s="143">
        <f t="shared" si="53"/>
        <v>0</v>
      </c>
      <c r="S101" s="143">
        <f t="shared" si="53"/>
        <v>0</v>
      </c>
      <c r="T101" s="143">
        <f t="shared" si="53"/>
        <v>0</v>
      </c>
      <c r="U101" s="143">
        <f t="shared" si="53"/>
        <v>0</v>
      </c>
      <c r="V101" s="143">
        <f t="shared" si="53"/>
        <v>0</v>
      </c>
      <c r="W101" s="143">
        <f t="shared" si="53"/>
        <v>0</v>
      </c>
      <c r="X101" s="143">
        <f t="shared" si="54"/>
        <v>54.88</v>
      </c>
      <c r="Y101" s="143">
        <f t="shared" si="54"/>
        <v>54.88</v>
      </c>
      <c r="Z101" s="143">
        <f t="shared" si="54"/>
        <v>0</v>
      </c>
      <c r="AA101" s="143">
        <f t="shared" si="54"/>
        <v>0</v>
      </c>
      <c r="AB101" s="143">
        <f t="shared" si="54"/>
        <v>0</v>
      </c>
      <c r="AC101" s="143">
        <f t="shared" si="54"/>
        <v>0</v>
      </c>
      <c r="AD101" s="143">
        <f t="shared" si="54"/>
        <v>0</v>
      </c>
      <c r="AE101" s="143">
        <f t="shared" si="54"/>
        <v>0</v>
      </c>
      <c r="AF101" s="143">
        <f t="shared" si="54"/>
        <v>0</v>
      </c>
      <c r="AG101" s="143">
        <f t="shared" si="54"/>
        <v>0</v>
      </c>
      <c r="AH101" s="143">
        <f t="shared" si="54"/>
        <v>0</v>
      </c>
      <c r="AI101" s="143">
        <f t="shared" si="54"/>
        <v>0</v>
      </c>
      <c r="AJ101" s="143">
        <f t="shared" si="54"/>
        <v>0</v>
      </c>
      <c r="AK101" s="143">
        <f t="shared" si="54"/>
        <v>0</v>
      </c>
      <c r="AL101" s="143">
        <f t="shared" si="54"/>
        <v>0</v>
      </c>
      <c r="AM101" s="143">
        <f t="shared" si="54"/>
        <v>0</v>
      </c>
      <c r="AN101" s="143">
        <f t="shared" si="55"/>
        <v>0</v>
      </c>
      <c r="AO101" s="143">
        <f t="shared" si="55"/>
        <v>0</v>
      </c>
      <c r="AP101" s="143">
        <f t="shared" si="55"/>
        <v>0</v>
      </c>
      <c r="AQ101" s="143">
        <f t="shared" si="55"/>
        <v>0</v>
      </c>
      <c r="AR101" s="143">
        <f t="shared" si="55"/>
        <v>0</v>
      </c>
      <c r="AS101" s="143">
        <f t="shared" si="55"/>
        <v>0</v>
      </c>
      <c r="AT101" s="143">
        <f t="shared" si="55"/>
        <v>0</v>
      </c>
      <c r="AU101" s="143">
        <f t="shared" si="55"/>
        <v>0</v>
      </c>
      <c r="AV101" s="143">
        <f t="shared" si="55"/>
        <v>0</v>
      </c>
      <c r="AW101" s="143">
        <f t="shared" si="55"/>
        <v>0</v>
      </c>
      <c r="AX101" s="143">
        <f t="shared" si="55"/>
        <v>0</v>
      </c>
      <c r="AY101" s="143">
        <f t="shared" si="55"/>
        <v>0</v>
      </c>
      <c r="AZ101" s="143">
        <f t="shared" si="55"/>
        <v>0</v>
      </c>
      <c r="BA101" s="143">
        <f t="shared" si="55"/>
        <v>0</v>
      </c>
      <c r="BB101" s="143">
        <f t="shared" si="55"/>
        <v>0</v>
      </c>
      <c r="BC101" s="143">
        <f t="shared" si="55"/>
        <v>0</v>
      </c>
      <c r="BD101" s="143">
        <f t="shared" si="56"/>
        <v>0</v>
      </c>
      <c r="BE101" s="143">
        <f t="shared" si="56"/>
        <v>0</v>
      </c>
      <c r="BF101" s="143">
        <f t="shared" si="56"/>
        <v>0</v>
      </c>
      <c r="BG101" s="143">
        <f t="shared" si="56"/>
        <v>0</v>
      </c>
      <c r="BH101" s="143">
        <f t="shared" si="56"/>
        <v>0</v>
      </c>
      <c r="BI101" s="143">
        <f t="shared" si="56"/>
        <v>0</v>
      </c>
      <c r="BJ101" s="143">
        <f t="shared" si="56"/>
        <v>0</v>
      </c>
    </row>
    <row r="102" spans="1:62" ht="11.25" customHeight="1" x14ac:dyDescent="0.25">
      <c r="A102" s="5"/>
      <c r="B102" s="134">
        <f t="shared" si="57"/>
        <v>2028</v>
      </c>
      <c r="C102" s="7" t="s">
        <v>443</v>
      </c>
      <c r="D102" s="255">
        <f>Assumptions!D76</f>
        <v>54.61</v>
      </c>
      <c r="E102" s="83">
        <f t="shared" si="40"/>
        <v>109.22</v>
      </c>
      <c r="F102" s="302" t="s">
        <v>26</v>
      </c>
      <c r="G102" s="143">
        <f t="shared" si="58"/>
        <v>0</v>
      </c>
      <c r="H102" s="143">
        <f t="shared" si="53"/>
        <v>0</v>
      </c>
      <c r="I102" s="143">
        <f t="shared" si="53"/>
        <v>0</v>
      </c>
      <c r="J102" s="143">
        <f t="shared" si="53"/>
        <v>0</v>
      </c>
      <c r="K102" s="143">
        <f t="shared" si="53"/>
        <v>0</v>
      </c>
      <c r="L102" s="143">
        <f t="shared" si="53"/>
        <v>0</v>
      </c>
      <c r="M102" s="143">
        <f t="shared" si="53"/>
        <v>0</v>
      </c>
      <c r="N102" s="143">
        <f t="shared" si="53"/>
        <v>0</v>
      </c>
      <c r="O102" s="143">
        <f t="shared" si="53"/>
        <v>0</v>
      </c>
      <c r="P102" s="143">
        <f t="shared" si="53"/>
        <v>0</v>
      </c>
      <c r="Q102" s="143">
        <f t="shared" si="53"/>
        <v>0</v>
      </c>
      <c r="R102" s="143">
        <f t="shared" si="53"/>
        <v>0</v>
      </c>
      <c r="S102" s="143">
        <f t="shared" si="53"/>
        <v>0</v>
      </c>
      <c r="T102" s="143">
        <f t="shared" si="53"/>
        <v>0</v>
      </c>
      <c r="U102" s="143">
        <f t="shared" si="53"/>
        <v>0</v>
      </c>
      <c r="V102" s="143">
        <f t="shared" si="53"/>
        <v>0</v>
      </c>
      <c r="W102" s="143">
        <f t="shared" si="53"/>
        <v>0</v>
      </c>
      <c r="X102" s="143">
        <f t="shared" si="54"/>
        <v>0</v>
      </c>
      <c r="Y102" s="143">
        <f t="shared" si="54"/>
        <v>0</v>
      </c>
      <c r="Z102" s="143">
        <f t="shared" si="54"/>
        <v>54.61</v>
      </c>
      <c r="AA102" s="143">
        <f t="shared" si="54"/>
        <v>54.61</v>
      </c>
      <c r="AB102" s="143">
        <f t="shared" si="54"/>
        <v>0</v>
      </c>
      <c r="AC102" s="143">
        <f t="shared" si="54"/>
        <v>0</v>
      </c>
      <c r="AD102" s="143">
        <f t="shared" si="54"/>
        <v>0</v>
      </c>
      <c r="AE102" s="143">
        <f t="shared" si="54"/>
        <v>0</v>
      </c>
      <c r="AF102" s="143">
        <f t="shared" si="54"/>
        <v>0</v>
      </c>
      <c r="AG102" s="143">
        <f t="shared" si="54"/>
        <v>0</v>
      </c>
      <c r="AH102" s="143">
        <f t="shared" si="54"/>
        <v>0</v>
      </c>
      <c r="AI102" s="143">
        <f t="shared" si="54"/>
        <v>0</v>
      </c>
      <c r="AJ102" s="143">
        <f t="shared" si="54"/>
        <v>0</v>
      </c>
      <c r="AK102" s="143">
        <f t="shared" si="54"/>
        <v>0</v>
      </c>
      <c r="AL102" s="143">
        <f t="shared" si="54"/>
        <v>0</v>
      </c>
      <c r="AM102" s="143">
        <f t="shared" si="54"/>
        <v>0</v>
      </c>
      <c r="AN102" s="143">
        <f t="shared" si="55"/>
        <v>0</v>
      </c>
      <c r="AO102" s="143">
        <f t="shared" si="55"/>
        <v>0</v>
      </c>
      <c r="AP102" s="143">
        <f t="shared" si="55"/>
        <v>0</v>
      </c>
      <c r="AQ102" s="143">
        <f t="shared" si="55"/>
        <v>0</v>
      </c>
      <c r="AR102" s="143">
        <f t="shared" si="55"/>
        <v>0</v>
      </c>
      <c r="AS102" s="143">
        <f t="shared" si="55"/>
        <v>0</v>
      </c>
      <c r="AT102" s="143">
        <f t="shared" si="55"/>
        <v>0</v>
      </c>
      <c r="AU102" s="143">
        <f t="shared" si="55"/>
        <v>0</v>
      </c>
      <c r="AV102" s="143">
        <f t="shared" si="55"/>
        <v>0</v>
      </c>
      <c r="AW102" s="143">
        <f t="shared" si="55"/>
        <v>0</v>
      </c>
      <c r="AX102" s="143">
        <f t="shared" si="55"/>
        <v>0</v>
      </c>
      <c r="AY102" s="143">
        <f t="shared" si="55"/>
        <v>0</v>
      </c>
      <c r="AZ102" s="143">
        <f t="shared" si="55"/>
        <v>0</v>
      </c>
      <c r="BA102" s="143">
        <f t="shared" si="55"/>
        <v>0</v>
      </c>
      <c r="BB102" s="143">
        <f t="shared" si="55"/>
        <v>0</v>
      </c>
      <c r="BC102" s="143">
        <f t="shared" si="55"/>
        <v>0</v>
      </c>
      <c r="BD102" s="143">
        <f t="shared" si="56"/>
        <v>0</v>
      </c>
      <c r="BE102" s="143">
        <f t="shared" si="56"/>
        <v>0</v>
      </c>
      <c r="BF102" s="143">
        <f t="shared" si="56"/>
        <v>0</v>
      </c>
      <c r="BG102" s="143">
        <f t="shared" si="56"/>
        <v>0</v>
      </c>
      <c r="BH102" s="143">
        <f t="shared" si="56"/>
        <v>0</v>
      </c>
      <c r="BI102" s="143">
        <f t="shared" si="56"/>
        <v>0</v>
      </c>
      <c r="BJ102" s="143">
        <f t="shared" si="56"/>
        <v>0</v>
      </c>
    </row>
    <row r="103" spans="1:62" ht="11.25" customHeight="1" x14ac:dyDescent="0.25">
      <c r="A103" s="5"/>
      <c r="B103" s="134">
        <f t="shared" si="57"/>
        <v>2029</v>
      </c>
      <c r="C103" s="7" t="s">
        <v>443</v>
      </c>
      <c r="D103" s="255">
        <f>Assumptions!D77</f>
        <v>54.34</v>
      </c>
      <c r="E103" s="83">
        <f t="shared" si="40"/>
        <v>108.68</v>
      </c>
      <c r="F103" s="302" t="s">
        <v>26</v>
      </c>
      <c r="G103" s="143">
        <f t="shared" si="58"/>
        <v>0</v>
      </c>
      <c r="H103" s="143">
        <f t="shared" si="53"/>
        <v>0</v>
      </c>
      <c r="I103" s="143">
        <f t="shared" si="53"/>
        <v>0</v>
      </c>
      <c r="J103" s="143">
        <f t="shared" si="53"/>
        <v>0</v>
      </c>
      <c r="K103" s="143">
        <f t="shared" si="53"/>
        <v>0</v>
      </c>
      <c r="L103" s="143">
        <f t="shared" si="53"/>
        <v>0</v>
      </c>
      <c r="M103" s="143">
        <f t="shared" si="53"/>
        <v>0</v>
      </c>
      <c r="N103" s="143">
        <f t="shared" si="53"/>
        <v>0</v>
      </c>
      <c r="O103" s="143">
        <f t="shared" si="53"/>
        <v>0</v>
      </c>
      <c r="P103" s="143">
        <f t="shared" si="53"/>
        <v>0</v>
      </c>
      <c r="Q103" s="143">
        <f t="shared" si="53"/>
        <v>0</v>
      </c>
      <c r="R103" s="143">
        <f t="shared" si="53"/>
        <v>0</v>
      </c>
      <c r="S103" s="143">
        <f t="shared" si="53"/>
        <v>0</v>
      </c>
      <c r="T103" s="143">
        <f t="shared" si="53"/>
        <v>0</v>
      </c>
      <c r="U103" s="143">
        <f t="shared" si="53"/>
        <v>0</v>
      </c>
      <c r="V103" s="143">
        <f t="shared" si="53"/>
        <v>0</v>
      </c>
      <c r="W103" s="143">
        <f t="shared" si="53"/>
        <v>0</v>
      </c>
      <c r="X103" s="143">
        <f t="shared" si="54"/>
        <v>0</v>
      </c>
      <c r="Y103" s="143">
        <f t="shared" si="54"/>
        <v>0</v>
      </c>
      <c r="Z103" s="143">
        <f t="shared" si="54"/>
        <v>0</v>
      </c>
      <c r="AA103" s="143">
        <f t="shared" si="54"/>
        <v>0</v>
      </c>
      <c r="AB103" s="143">
        <f t="shared" si="54"/>
        <v>54.34</v>
      </c>
      <c r="AC103" s="143">
        <f t="shared" si="54"/>
        <v>54.34</v>
      </c>
      <c r="AD103" s="143">
        <f t="shared" si="54"/>
        <v>0</v>
      </c>
      <c r="AE103" s="143">
        <f t="shared" si="54"/>
        <v>0</v>
      </c>
      <c r="AF103" s="143">
        <f t="shared" si="54"/>
        <v>0</v>
      </c>
      <c r="AG103" s="143">
        <f t="shared" si="54"/>
        <v>0</v>
      </c>
      <c r="AH103" s="143">
        <f t="shared" si="54"/>
        <v>0</v>
      </c>
      <c r="AI103" s="143">
        <f t="shared" si="54"/>
        <v>0</v>
      </c>
      <c r="AJ103" s="143">
        <f t="shared" si="54"/>
        <v>0</v>
      </c>
      <c r="AK103" s="143">
        <f t="shared" si="54"/>
        <v>0</v>
      </c>
      <c r="AL103" s="143">
        <f t="shared" si="54"/>
        <v>0</v>
      </c>
      <c r="AM103" s="143">
        <f t="shared" si="54"/>
        <v>0</v>
      </c>
      <c r="AN103" s="143">
        <f t="shared" si="55"/>
        <v>0</v>
      </c>
      <c r="AO103" s="143">
        <f t="shared" si="55"/>
        <v>0</v>
      </c>
      <c r="AP103" s="143">
        <f t="shared" si="55"/>
        <v>0</v>
      </c>
      <c r="AQ103" s="143">
        <f t="shared" si="55"/>
        <v>0</v>
      </c>
      <c r="AR103" s="143">
        <f t="shared" si="55"/>
        <v>0</v>
      </c>
      <c r="AS103" s="143">
        <f t="shared" si="55"/>
        <v>0</v>
      </c>
      <c r="AT103" s="143">
        <f t="shared" si="55"/>
        <v>0</v>
      </c>
      <c r="AU103" s="143">
        <f t="shared" si="55"/>
        <v>0</v>
      </c>
      <c r="AV103" s="143">
        <f t="shared" si="55"/>
        <v>0</v>
      </c>
      <c r="AW103" s="143">
        <f t="shared" si="55"/>
        <v>0</v>
      </c>
      <c r="AX103" s="143">
        <f t="shared" si="55"/>
        <v>0</v>
      </c>
      <c r="AY103" s="143">
        <f t="shared" si="55"/>
        <v>0</v>
      </c>
      <c r="AZ103" s="143">
        <f t="shared" si="55"/>
        <v>0</v>
      </c>
      <c r="BA103" s="143">
        <f t="shared" si="55"/>
        <v>0</v>
      </c>
      <c r="BB103" s="143">
        <f t="shared" si="55"/>
        <v>0</v>
      </c>
      <c r="BC103" s="143">
        <f t="shared" si="55"/>
        <v>0</v>
      </c>
      <c r="BD103" s="143">
        <f t="shared" si="56"/>
        <v>0</v>
      </c>
      <c r="BE103" s="143">
        <f t="shared" si="56"/>
        <v>0</v>
      </c>
      <c r="BF103" s="143">
        <f t="shared" si="56"/>
        <v>0</v>
      </c>
      <c r="BG103" s="143">
        <f t="shared" si="56"/>
        <v>0</v>
      </c>
      <c r="BH103" s="143">
        <f t="shared" si="56"/>
        <v>0</v>
      </c>
      <c r="BI103" s="143">
        <f t="shared" si="56"/>
        <v>0</v>
      </c>
      <c r="BJ103" s="143">
        <f t="shared" si="56"/>
        <v>0</v>
      </c>
    </row>
    <row r="104" spans="1:62" ht="11.25" customHeight="1" x14ac:dyDescent="0.25">
      <c r="A104" s="5"/>
      <c r="B104" s="134">
        <f t="shared" si="57"/>
        <v>2030</v>
      </c>
      <c r="C104" s="7" t="s">
        <v>443</v>
      </c>
      <c r="D104" s="255">
        <f>Assumptions!D78</f>
        <v>54.07</v>
      </c>
      <c r="E104" s="83">
        <f t="shared" si="40"/>
        <v>108.14</v>
      </c>
      <c r="F104" s="302" t="s">
        <v>26</v>
      </c>
      <c r="G104" s="143">
        <f t="shared" si="58"/>
        <v>0</v>
      </c>
      <c r="H104" s="143">
        <f t="shared" si="53"/>
        <v>0</v>
      </c>
      <c r="I104" s="143">
        <f t="shared" si="53"/>
        <v>0</v>
      </c>
      <c r="J104" s="143">
        <f t="shared" si="53"/>
        <v>0</v>
      </c>
      <c r="K104" s="143">
        <f t="shared" si="53"/>
        <v>0</v>
      </c>
      <c r="L104" s="143">
        <f t="shared" si="53"/>
        <v>0</v>
      </c>
      <c r="M104" s="143">
        <f t="shared" si="53"/>
        <v>0</v>
      </c>
      <c r="N104" s="143">
        <f t="shared" si="53"/>
        <v>0</v>
      </c>
      <c r="O104" s="143">
        <f t="shared" si="53"/>
        <v>0</v>
      </c>
      <c r="P104" s="143">
        <f t="shared" si="53"/>
        <v>0</v>
      </c>
      <c r="Q104" s="143">
        <f t="shared" si="53"/>
        <v>0</v>
      </c>
      <c r="R104" s="143">
        <f t="shared" si="53"/>
        <v>0</v>
      </c>
      <c r="S104" s="143">
        <f t="shared" si="53"/>
        <v>0</v>
      </c>
      <c r="T104" s="143">
        <f t="shared" si="53"/>
        <v>0</v>
      </c>
      <c r="U104" s="143">
        <f t="shared" si="53"/>
        <v>0</v>
      </c>
      <c r="V104" s="143">
        <f t="shared" si="53"/>
        <v>0</v>
      </c>
      <c r="W104" s="143">
        <f t="shared" si="53"/>
        <v>0</v>
      </c>
      <c r="X104" s="143">
        <f t="shared" si="54"/>
        <v>0</v>
      </c>
      <c r="Y104" s="143">
        <f t="shared" si="54"/>
        <v>0</v>
      </c>
      <c r="Z104" s="143">
        <f t="shared" si="54"/>
        <v>0</v>
      </c>
      <c r="AA104" s="143">
        <f t="shared" si="54"/>
        <v>0</v>
      </c>
      <c r="AB104" s="143">
        <f t="shared" si="54"/>
        <v>0</v>
      </c>
      <c r="AC104" s="143">
        <f t="shared" si="54"/>
        <v>0</v>
      </c>
      <c r="AD104" s="143">
        <f t="shared" si="54"/>
        <v>54.07</v>
      </c>
      <c r="AE104" s="143">
        <f t="shared" si="54"/>
        <v>54.07</v>
      </c>
      <c r="AF104" s="143">
        <f t="shared" si="54"/>
        <v>0</v>
      </c>
      <c r="AG104" s="143">
        <f t="shared" si="54"/>
        <v>0</v>
      </c>
      <c r="AH104" s="143">
        <f t="shared" si="54"/>
        <v>0</v>
      </c>
      <c r="AI104" s="143">
        <f t="shared" si="54"/>
        <v>0</v>
      </c>
      <c r="AJ104" s="143">
        <f t="shared" si="54"/>
        <v>0</v>
      </c>
      <c r="AK104" s="143">
        <f t="shared" si="54"/>
        <v>0</v>
      </c>
      <c r="AL104" s="143">
        <f t="shared" si="54"/>
        <v>0</v>
      </c>
      <c r="AM104" s="143">
        <f t="shared" si="54"/>
        <v>0</v>
      </c>
      <c r="AN104" s="143">
        <f t="shared" si="55"/>
        <v>0</v>
      </c>
      <c r="AO104" s="143">
        <f t="shared" si="55"/>
        <v>0</v>
      </c>
      <c r="AP104" s="143">
        <f t="shared" si="55"/>
        <v>0</v>
      </c>
      <c r="AQ104" s="143">
        <f t="shared" si="55"/>
        <v>0</v>
      </c>
      <c r="AR104" s="143">
        <f t="shared" si="55"/>
        <v>0</v>
      </c>
      <c r="AS104" s="143">
        <f t="shared" si="55"/>
        <v>0</v>
      </c>
      <c r="AT104" s="143">
        <f t="shared" si="55"/>
        <v>0</v>
      </c>
      <c r="AU104" s="143">
        <f t="shared" si="55"/>
        <v>0</v>
      </c>
      <c r="AV104" s="143">
        <f t="shared" si="55"/>
        <v>0</v>
      </c>
      <c r="AW104" s="143">
        <f t="shared" si="55"/>
        <v>0</v>
      </c>
      <c r="AX104" s="143">
        <f t="shared" si="55"/>
        <v>0</v>
      </c>
      <c r="AY104" s="143">
        <f t="shared" si="55"/>
        <v>0</v>
      </c>
      <c r="AZ104" s="143">
        <f t="shared" si="55"/>
        <v>0</v>
      </c>
      <c r="BA104" s="143">
        <f t="shared" si="55"/>
        <v>0</v>
      </c>
      <c r="BB104" s="143">
        <f t="shared" si="55"/>
        <v>0</v>
      </c>
      <c r="BC104" s="143">
        <f t="shared" si="55"/>
        <v>0</v>
      </c>
      <c r="BD104" s="143">
        <f t="shared" si="56"/>
        <v>0</v>
      </c>
      <c r="BE104" s="143">
        <f t="shared" si="56"/>
        <v>0</v>
      </c>
      <c r="BF104" s="143">
        <f t="shared" si="56"/>
        <v>0</v>
      </c>
      <c r="BG104" s="143">
        <f t="shared" si="56"/>
        <v>0</v>
      </c>
      <c r="BH104" s="143">
        <f t="shared" si="56"/>
        <v>0</v>
      </c>
      <c r="BI104" s="143">
        <f t="shared" si="56"/>
        <v>0</v>
      </c>
      <c r="BJ104" s="143">
        <f t="shared" si="56"/>
        <v>0</v>
      </c>
    </row>
    <row r="105" spans="1:62" ht="11.25" customHeight="1" x14ac:dyDescent="0.25">
      <c r="A105" s="5"/>
      <c r="B105" s="134">
        <f t="shared" si="57"/>
        <v>2031</v>
      </c>
      <c r="C105" s="7" t="s">
        <v>443</v>
      </c>
      <c r="D105" s="255">
        <f>Assumptions!D79</f>
        <v>53.02</v>
      </c>
      <c r="E105" s="83">
        <f t="shared" si="40"/>
        <v>106.04</v>
      </c>
      <c r="F105" s="302" t="s">
        <v>26</v>
      </c>
      <c r="G105" s="143">
        <f t="shared" si="58"/>
        <v>0</v>
      </c>
      <c r="H105" s="143">
        <f t="shared" si="53"/>
        <v>0</v>
      </c>
      <c r="I105" s="143">
        <f t="shared" si="53"/>
        <v>0</v>
      </c>
      <c r="J105" s="143">
        <f t="shared" si="53"/>
        <v>0</v>
      </c>
      <c r="K105" s="143">
        <f t="shared" si="53"/>
        <v>0</v>
      </c>
      <c r="L105" s="143">
        <f t="shared" si="53"/>
        <v>0</v>
      </c>
      <c r="M105" s="143">
        <f t="shared" si="53"/>
        <v>0</v>
      </c>
      <c r="N105" s="143">
        <f t="shared" si="53"/>
        <v>0</v>
      </c>
      <c r="O105" s="143">
        <f t="shared" si="53"/>
        <v>0</v>
      </c>
      <c r="P105" s="143">
        <f t="shared" si="53"/>
        <v>0</v>
      </c>
      <c r="Q105" s="143">
        <f t="shared" si="53"/>
        <v>0</v>
      </c>
      <c r="R105" s="143">
        <f t="shared" si="53"/>
        <v>0</v>
      </c>
      <c r="S105" s="143">
        <f t="shared" si="53"/>
        <v>0</v>
      </c>
      <c r="T105" s="143">
        <f t="shared" si="53"/>
        <v>0</v>
      </c>
      <c r="U105" s="143">
        <f t="shared" si="53"/>
        <v>0</v>
      </c>
      <c r="V105" s="143">
        <f t="shared" si="53"/>
        <v>0</v>
      </c>
      <c r="W105" s="143">
        <f t="shared" si="53"/>
        <v>0</v>
      </c>
      <c r="X105" s="143">
        <f t="shared" si="54"/>
        <v>0</v>
      </c>
      <c r="Y105" s="143">
        <f t="shared" si="54"/>
        <v>0</v>
      </c>
      <c r="Z105" s="143">
        <f t="shared" si="54"/>
        <v>0</v>
      </c>
      <c r="AA105" s="143">
        <f t="shared" si="54"/>
        <v>0</v>
      </c>
      <c r="AB105" s="143">
        <f t="shared" si="54"/>
        <v>0</v>
      </c>
      <c r="AC105" s="143">
        <f t="shared" si="54"/>
        <v>0</v>
      </c>
      <c r="AD105" s="143">
        <f t="shared" si="54"/>
        <v>0</v>
      </c>
      <c r="AE105" s="143">
        <f t="shared" si="54"/>
        <v>0</v>
      </c>
      <c r="AF105" s="143">
        <f t="shared" si="54"/>
        <v>53.02</v>
      </c>
      <c r="AG105" s="143">
        <f t="shared" si="54"/>
        <v>53.02</v>
      </c>
      <c r="AH105" s="143">
        <f t="shared" si="54"/>
        <v>0</v>
      </c>
      <c r="AI105" s="143">
        <f t="shared" si="54"/>
        <v>0</v>
      </c>
      <c r="AJ105" s="143">
        <f t="shared" si="54"/>
        <v>0</v>
      </c>
      <c r="AK105" s="143">
        <f t="shared" si="54"/>
        <v>0</v>
      </c>
      <c r="AL105" s="143">
        <f t="shared" si="54"/>
        <v>0</v>
      </c>
      <c r="AM105" s="143">
        <f t="shared" si="54"/>
        <v>0</v>
      </c>
      <c r="AN105" s="143">
        <f t="shared" si="55"/>
        <v>0</v>
      </c>
      <c r="AO105" s="143">
        <f t="shared" si="55"/>
        <v>0</v>
      </c>
      <c r="AP105" s="143">
        <f t="shared" si="55"/>
        <v>0</v>
      </c>
      <c r="AQ105" s="143">
        <f t="shared" si="55"/>
        <v>0</v>
      </c>
      <c r="AR105" s="143">
        <f t="shared" si="55"/>
        <v>0</v>
      </c>
      <c r="AS105" s="143">
        <f t="shared" si="55"/>
        <v>0</v>
      </c>
      <c r="AT105" s="143">
        <f t="shared" si="55"/>
        <v>0</v>
      </c>
      <c r="AU105" s="143">
        <f t="shared" si="55"/>
        <v>0</v>
      </c>
      <c r="AV105" s="143">
        <f t="shared" si="55"/>
        <v>0</v>
      </c>
      <c r="AW105" s="143">
        <f t="shared" si="55"/>
        <v>0</v>
      </c>
      <c r="AX105" s="143">
        <f t="shared" si="55"/>
        <v>0</v>
      </c>
      <c r="AY105" s="143">
        <f t="shared" si="55"/>
        <v>0</v>
      </c>
      <c r="AZ105" s="143">
        <f t="shared" si="55"/>
        <v>0</v>
      </c>
      <c r="BA105" s="143">
        <f t="shared" si="55"/>
        <v>0</v>
      </c>
      <c r="BB105" s="143">
        <f t="shared" si="55"/>
        <v>0</v>
      </c>
      <c r="BC105" s="143">
        <f t="shared" si="55"/>
        <v>0</v>
      </c>
      <c r="BD105" s="143">
        <f t="shared" si="56"/>
        <v>0</v>
      </c>
      <c r="BE105" s="143">
        <f t="shared" si="56"/>
        <v>0</v>
      </c>
      <c r="BF105" s="143">
        <f t="shared" si="56"/>
        <v>0</v>
      </c>
      <c r="BG105" s="143">
        <f t="shared" si="56"/>
        <v>0</v>
      </c>
      <c r="BH105" s="143">
        <f t="shared" si="56"/>
        <v>0</v>
      </c>
      <c r="BI105" s="143">
        <f t="shared" si="56"/>
        <v>0</v>
      </c>
      <c r="BJ105" s="143">
        <f t="shared" si="56"/>
        <v>0</v>
      </c>
    </row>
    <row r="106" spans="1:62" ht="11.25" customHeight="1" x14ac:dyDescent="0.25">
      <c r="A106" s="5"/>
      <c r="B106" s="134">
        <f t="shared" si="57"/>
        <v>2032</v>
      </c>
      <c r="C106" s="7" t="s">
        <v>443</v>
      </c>
      <c r="D106" s="255">
        <f>Assumptions!D80</f>
        <v>52.27</v>
      </c>
      <c r="E106" s="83">
        <f t="shared" si="40"/>
        <v>104.54</v>
      </c>
      <c r="F106" s="302" t="s">
        <v>26</v>
      </c>
      <c r="G106" s="143">
        <f t="shared" si="58"/>
        <v>0</v>
      </c>
      <c r="H106" s="143">
        <f t="shared" si="53"/>
        <v>0</v>
      </c>
      <c r="I106" s="143">
        <f t="shared" si="53"/>
        <v>0</v>
      </c>
      <c r="J106" s="143">
        <f t="shared" si="53"/>
        <v>0</v>
      </c>
      <c r="K106" s="143">
        <f t="shared" si="53"/>
        <v>0</v>
      </c>
      <c r="L106" s="143">
        <f t="shared" si="53"/>
        <v>0</v>
      </c>
      <c r="M106" s="143">
        <f t="shared" si="53"/>
        <v>0</v>
      </c>
      <c r="N106" s="143">
        <f t="shared" si="53"/>
        <v>0</v>
      </c>
      <c r="O106" s="143">
        <f t="shared" si="53"/>
        <v>0</v>
      </c>
      <c r="P106" s="143">
        <f t="shared" si="53"/>
        <v>0</v>
      </c>
      <c r="Q106" s="143">
        <f t="shared" si="53"/>
        <v>0</v>
      </c>
      <c r="R106" s="143">
        <f t="shared" si="53"/>
        <v>0</v>
      </c>
      <c r="S106" s="143">
        <f t="shared" si="53"/>
        <v>0</v>
      </c>
      <c r="T106" s="143">
        <f t="shared" si="53"/>
        <v>0</v>
      </c>
      <c r="U106" s="143">
        <f t="shared" si="53"/>
        <v>0</v>
      </c>
      <c r="V106" s="143">
        <f t="shared" si="53"/>
        <v>0</v>
      </c>
      <c r="W106" s="143">
        <f t="shared" si="53"/>
        <v>0</v>
      </c>
      <c r="X106" s="143">
        <f t="shared" si="54"/>
        <v>0</v>
      </c>
      <c r="Y106" s="143">
        <f t="shared" si="54"/>
        <v>0</v>
      </c>
      <c r="Z106" s="143">
        <f t="shared" si="54"/>
        <v>0</v>
      </c>
      <c r="AA106" s="143">
        <f t="shared" si="54"/>
        <v>0</v>
      </c>
      <c r="AB106" s="143">
        <f t="shared" si="54"/>
        <v>0</v>
      </c>
      <c r="AC106" s="143">
        <f t="shared" si="54"/>
        <v>0</v>
      </c>
      <c r="AD106" s="143">
        <f t="shared" si="54"/>
        <v>0</v>
      </c>
      <c r="AE106" s="143">
        <f t="shared" si="54"/>
        <v>0</v>
      </c>
      <c r="AF106" s="143">
        <f t="shared" si="54"/>
        <v>0</v>
      </c>
      <c r="AG106" s="143">
        <f t="shared" si="54"/>
        <v>0</v>
      </c>
      <c r="AH106" s="143">
        <f t="shared" si="54"/>
        <v>52.27</v>
      </c>
      <c r="AI106" s="143">
        <f t="shared" si="54"/>
        <v>52.27</v>
      </c>
      <c r="AJ106" s="143">
        <f t="shared" si="54"/>
        <v>0</v>
      </c>
      <c r="AK106" s="143">
        <f t="shared" si="54"/>
        <v>0</v>
      </c>
      <c r="AL106" s="143">
        <f t="shared" si="54"/>
        <v>0</v>
      </c>
      <c r="AM106" s="143">
        <f t="shared" si="54"/>
        <v>0</v>
      </c>
      <c r="AN106" s="143">
        <f t="shared" si="55"/>
        <v>0</v>
      </c>
      <c r="AO106" s="143">
        <f t="shared" si="55"/>
        <v>0</v>
      </c>
      <c r="AP106" s="143">
        <f t="shared" si="55"/>
        <v>0</v>
      </c>
      <c r="AQ106" s="143">
        <f t="shared" si="55"/>
        <v>0</v>
      </c>
      <c r="AR106" s="143">
        <f t="shared" si="55"/>
        <v>0</v>
      </c>
      <c r="AS106" s="143">
        <f t="shared" si="55"/>
        <v>0</v>
      </c>
      <c r="AT106" s="143">
        <f t="shared" si="55"/>
        <v>0</v>
      </c>
      <c r="AU106" s="143">
        <f t="shared" si="55"/>
        <v>0</v>
      </c>
      <c r="AV106" s="143">
        <f t="shared" si="55"/>
        <v>0</v>
      </c>
      <c r="AW106" s="143">
        <f t="shared" si="55"/>
        <v>0</v>
      </c>
      <c r="AX106" s="143">
        <f t="shared" si="55"/>
        <v>0</v>
      </c>
      <c r="AY106" s="143">
        <f t="shared" si="55"/>
        <v>0</v>
      </c>
      <c r="AZ106" s="143">
        <f t="shared" si="55"/>
        <v>0</v>
      </c>
      <c r="BA106" s="143">
        <f t="shared" si="55"/>
        <v>0</v>
      </c>
      <c r="BB106" s="143">
        <f t="shared" si="55"/>
        <v>0</v>
      </c>
      <c r="BC106" s="143">
        <f t="shared" si="55"/>
        <v>0</v>
      </c>
      <c r="BD106" s="143">
        <f t="shared" si="56"/>
        <v>0</v>
      </c>
      <c r="BE106" s="143">
        <f t="shared" si="56"/>
        <v>0</v>
      </c>
      <c r="BF106" s="143">
        <f t="shared" si="56"/>
        <v>0</v>
      </c>
      <c r="BG106" s="143">
        <f t="shared" si="56"/>
        <v>0</v>
      </c>
      <c r="BH106" s="143">
        <f t="shared" si="56"/>
        <v>0</v>
      </c>
      <c r="BI106" s="143">
        <f t="shared" si="56"/>
        <v>0</v>
      </c>
      <c r="BJ106" s="143">
        <f t="shared" si="56"/>
        <v>0</v>
      </c>
    </row>
    <row r="107" spans="1:62" ht="11.25" customHeight="1" x14ac:dyDescent="0.25">
      <c r="A107" s="5"/>
      <c r="B107" s="134">
        <v>2033</v>
      </c>
      <c r="C107" s="7" t="s">
        <v>443</v>
      </c>
      <c r="D107" s="255">
        <f>Assumptions!D80</f>
        <v>52.27</v>
      </c>
      <c r="E107" s="83">
        <f t="shared" si="40"/>
        <v>52.27</v>
      </c>
      <c r="F107" s="302" t="s">
        <v>26</v>
      </c>
      <c r="G107" s="143">
        <f t="shared" si="58"/>
        <v>0</v>
      </c>
      <c r="H107" s="143">
        <f t="shared" si="53"/>
        <v>0</v>
      </c>
      <c r="I107" s="143">
        <f t="shared" si="53"/>
        <v>0</v>
      </c>
      <c r="J107" s="143">
        <f t="shared" si="53"/>
        <v>0</v>
      </c>
      <c r="K107" s="143">
        <f t="shared" si="53"/>
        <v>0</v>
      </c>
      <c r="L107" s="143">
        <f t="shared" si="53"/>
        <v>0</v>
      </c>
      <c r="M107" s="143">
        <f t="shared" si="53"/>
        <v>0</v>
      </c>
      <c r="N107" s="143">
        <f t="shared" si="53"/>
        <v>0</v>
      </c>
      <c r="O107" s="143">
        <f t="shared" si="53"/>
        <v>0</v>
      </c>
      <c r="P107" s="143">
        <f t="shared" si="53"/>
        <v>0</v>
      </c>
      <c r="Q107" s="143">
        <f t="shared" si="53"/>
        <v>0</v>
      </c>
      <c r="R107" s="143">
        <f t="shared" si="53"/>
        <v>0</v>
      </c>
      <c r="S107" s="143">
        <f t="shared" si="53"/>
        <v>0</v>
      </c>
      <c r="T107" s="143">
        <f t="shared" si="53"/>
        <v>0</v>
      </c>
      <c r="U107" s="143">
        <f t="shared" si="53"/>
        <v>0</v>
      </c>
      <c r="V107" s="143">
        <f t="shared" si="53"/>
        <v>0</v>
      </c>
      <c r="W107" s="143">
        <f t="shared" si="53"/>
        <v>0</v>
      </c>
      <c r="X107" s="143">
        <f t="shared" si="54"/>
        <v>0</v>
      </c>
      <c r="Y107" s="143">
        <f t="shared" si="54"/>
        <v>0</v>
      </c>
      <c r="Z107" s="143">
        <f t="shared" si="54"/>
        <v>0</v>
      </c>
      <c r="AA107" s="143">
        <f t="shared" si="54"/>
        <v>0</v>
      </c>
      <c r="AB107" s="143">
        <f t="shared" si="54"/>
        <v>0</v>
      </c>
      <c r="AC107" s="143">
        <f t="shared" si="54"/>
        <v>0</v>
      </c>
      <c r="AD107" s="143">
        <f t="shared" si="54"/>
        <v>0</v>
      </c>
      <c r="AE107" s="143">
        <f t="shared" si="54"/>
        <v>0</v>
      </c>
      <c r="AF107" s="143">
        <f t="shared" si="54"/>
        <v>0</v>
      </c>
      <c r="AG107" s="143">
        <f t="shared" si="54"/>
        <v>0</v>
      </c>
      <c r="AH107" s="143">
        <f t="shared" si="54"/>
        <v>0</v>
      </c>
      <c r="AI107" s="143">
        <f t="shared" si="54"/>
        <v>0</v>
      </c>
      <c r="AJ107" s="143">
        <f t="shared" si="54"/>
        <v>52.27</v>
      </c>
      <c r="AK107" s="143">
        <f t="shared" si="54"/>
        <v>0</v>
      </c>
      <c r="AL107" s="143">
        <f t="shared" si="54"/>
        <v>0</v>
      </c>
      <c r="AM107" s="143">
        <f t="shared" si="54"/>
        <v>0</v>
      </c>
      <c r="AN107" s="143">
        <f t="shared" si="55"/>
        <v>0</v>
      </c>
      <c r="AO107" s="143">
        <f t="shared" si="55"/>
        <v>0</v>
      </c>
      <c r="AP107" s="143">
        <f t="shared" si="55"/>
        <v>0</v>
      </c>
      <c r="AQ107" s="143">
        <f t="shared" si="55"/>
        <v>0</v>
      </c>
      <c r="AR107" s="143">
        <f t="shared" si="55"/>
        <v>0</v>
      </c>
      <c r="AS107" s="143">
        <f t="shared" si="55"/>
        <v>0</v>
      </c>
      <c r="AT107" s="143">
        <f t="shared" si="55"/>
        <v>0</v>
      </c>
      <c r="AU107" s="143">
        <f t="shared" si="55"/>
        <v>0</v>
      </c>
      <c r="AV107" s="143">
        <f t="shared" si="55"/>
        <v>0</v>
      </c>
      <c r="AW107" s="143">
        <f t="shared" si="55"/>
        <v>0</v>
      </c>
      <c r="AX107" s="143">
        <f t="shared" si="55"/>
        <v>0</v>
      </c>
      <c r="AY107" s="143">
        <f t="shared" si="55"/>
        <v>0</v>
      </c>
      <c r="AZ107" s="143">
        <f t="shared" si="55"/>
        <v>0</v>
      </c>
      <c r="BA107" s="143">
        <f t="shared" si="55"/>
        <v>0</v>
      </c>
      <c r="BB107" s="143">
        <f t="shared" si="55"/>
        <v>0</v>
      </c>
      <c r="BC107" s="143">
        <f t="shared" si="55"/>
        <v>0</v>
      </c>
      <c r="BD107" s="143">
        <f t="shared" si="56"/>
        <v>0</v>
      </c>
      <c r="BE107" s="143">
        <f t="shared" si="56"/>
        <v>0</v>
      </c>
      <c r="BF107" s="143">
        <f t="shared" si="56"/>
        <v>0</v>
      </c>
      <c r="BG107" s="143">
        <f t="shared" si="56"/>
        <v>0</v>
      </c>
      <c r="BH107" s="143">
        <f t="shared" si="56"/>
        <v>0</v>
      </c>
      <c r="BI107" s="143">
        <f t="shared" si="56"/>
        <v>0</v>
      </c>
      <c r="BJ107" s="143">
        <f t="shared" si="56"/>
        <v>0</v>
      </c>
    </row>
    <row r="108" spans="1:62" ht="11.25" customHeight="1" x14ac:dyDescent="0.25">
      <c r="A108" s="5"/>
      <c r="B108" s="132" t="s">
        <v>355</v>
      </c>
      <c r="C108" s="7" t="s">
        <v>443</v>
      </c>
      <c r="D108" s="81"/>
      <c r="E108" s="83">
        <f t="shared" si="40"/>
        <v>754.06999999999994</v>
      </c>
      <c r="F108" s="302" t="s">
        <v>26</v>
      </c>
      <c r="G108" s="143">
        <f>SUM(G100:G107)</f>
        <v>0</v>
      </c>
      <c r="H108" s="143">
        <f t="shared" ref="H108:BJ108" si="59">SUM(H100:H107)</f>
        <v>0</v>
      </c>
      <c r="I108" s="143">
        <f t="shared" si="59"/>
        <v>0</v>
      </c>
      <c r="J108" s="143">
        <f t="shared" si="59"/>
        <v>0</v>
      </c>
      <c r="K108" s="143">
        <f t="shared" si="59"/>
        <v>0</v>
      </c>
      <c r="L108" s="143">
        <f t="shared" si="59"/>
        <v>0</v>
      </c>
      <c r="M108" s="143">
        <f t="shared" si="59"/>
        <v>0</v>
      </c>
      <c r="N108" s="143">
        <f t="shared" si="59"/>
        <v>0</v>
      </c>
      <c r="O108" s="143">
        <f t="shared" si="59"/>
        <v>0</v>
      </c>
      <c r="P108" s="143">
        <f t="shared" si="59"/>
        <v>0</v>
      </c>
      <c r="Q108" s="143">
        <f t="shared" si="59"/>
        <v>0</v>
      </c>
      <c r="R108" s="143">
        <f t="shared" si="59"/>
        <v>0</v>
      </c>
      <c r="S108" s="143">
        <f t="shared" si="59"/>
        <v>0</v>
      </c>
      <c r="T108" s="143">
        <f t="shared" si="59"/>
        <v>0</v>
      </c>
      <c r="U108" s="143">
        <f t="shared" si="59"/>
        <v>0</v>
      </c>
      <c r="V108" s="143">
        <f t="shared" si="59"/>
        <v>0</v>
      </c>
      <c r="W108" s="143">
        <f t="shared" si="59"/>
        <v>55.42</v>
      </c>
      <c r="X108" s="143">
        <f t="shared" si="59"/>
        <v>54.88</v>
      </c>
      <c r="Y108" s="143">
        <f t="shared" si="59"/>
        <v>54.88</v>
      </c>
      <c r="Z108" s="143">
        <f t="shared" si="59"/>
        <v>54.61</v>
      </c>
      <c r="AA108" s="143">
        <f t="shared" si="59"/>
        <v>54.61</v>
      </c>
      <c r="AB108" s="143">
        <f t="shared" si="59"/>
        <v>54.34</v>
      </c>
      <c r="AC108" s="143">
        <f t="shared" si="59"/>
        <v>54.34</v>
      </c>
      <c r="AD108" s="143">
        <f t="shared" si="59"/>
        <v>54.07</v>
      </c>
      <c r="AE108" s="143">
        <f t="shared" si="59"/>
        <v>54.07</v>
      </c>
      <c r="AF108" s="143">
        <f t="shared" si="59"/>
        <v>53.02</v>
      </c>
      <c r="AG108" s="143">
        <f t="shared" si="59"/>
        <v>53.02</v>
      </c>
      <c r="AH108" s="143">
        <f t="shared" si="59"/>
        <v>52.27</v>
      </c>
      <c r="AI108" s="143">
        <f t="shared" si="59"/>
        <v>52.27</v>
      </c>
      <c r="AJ108" s="143">
        <f t="shared" si="59"/>
        <v>52.27</v>
      </c>
      <c r="AK108" s="143">
        <f t="shared" si="59"/>
        <v>0</v>
      </c>
      <c r="AL108" s="143">
        <f t="shared" si="59"/>
        <v>0</v>
      </c>
      <c r="AM108" s="143">
        <f t="shared" si="59"/>
        <v>0</v>
      </c>
      <c r="AN108" s="143">
        <f t="shared" si="59"/>
        <v>0</v>
      </c>
      <c r="AO108" s="143">
        <f t="shared" si="59"/>
        <v>0</v>
      </c>
      <c r="AP108" s="143">
        <f t="shared" si="59"/>
        <v>0</v>
      </c>
      <c r="AQ108" s="143">
        <f t="shared" si="59"/>
        <v>0</v>
      </c>
      <c r="AR108" s="143">
        <f t="shared" si="59"/>
        <v>0</v>
      </c>
      <c r="AS108" s="143">
        <f t="shared" si="59"/>
        <v>0</v>
      </c>
      <c r="AT108" s="143">
        <f t="shared" si="59"/>
        <v>0</v>
      </c>
      <c r="AU108" s="143">
        <f t="shared" si="59"/>
        <v>0</v>
      </c>
      <c r="AV108" s="143">
        <f t="shared" si="59"/>
        <v>0</v>
      </c>
      <c r="AW108" s="143">
        <f t="shared" si="59"/>
        <v>0</v>
      </c>
      <c r="AX108" s="143">
        <f t="shared" si="59"/>
        <v>0</v>
      </c>
      <c r="AY108" s="143">
        <f t="shared" si="59"/>
        <v>0</v>
      </c>
      <c r="AZ108" s="143">
        <f t="shared" si="59"/>
        <v>0</v>
      </c>
      <c r="BA108" s="143">
        <f t="shared" si="59"/>
        <v>0</v>
      </c>
      <c r="BB108" s="143">
        <f t="shared" si="59"/>
        <v>0</v>
      </c>
      <c r="BC108" s="143">
        <f t="shared" si="59"/>
        <v>0</v>
      </c>
      <c r="BD108" s="143">
        <f t="shared" si="59"/>
        <v>0</v>
      </c>
      <c r="BE108" s="143">
        <f t="shared" si="59"/>
        <v>0</v>
      </c>
      <c r="BF108" s="143">
        <f t="shared" si="59"/>
        <v>0</v>
      </c>
      <c r="BG108" s="143">
        <f t="shared" si="59"/>
        <v>0</v>
      </c>
      <c r="BH108" s="143">
        <f t="shared" si="59"/>
        <v>0</v>
      </c>
      <c r="BI108" s="143">
        <f t="shared" si="59"/>
        <v>0</v>
      </c>
      <c r="BJ108" s="143">
        <f t="shared" si="59"/>
        <v>0</v>
      </c>
    </row>
    <row r="109" spans="1:62" ht="11.25" customHeight="1" x14ac:dyDescent="0.25">
      <c r="D109" s="259"/>
      <c r="E109" s="83">
        <f t="shared" si="40"/>
        <v>0</v>
      </c>
    </row>
    <row r="110" spans="1:62" ht="11.25" customHeight="1" x14ac:dyDescent="0.25">
      <c r="A110" s="5" t="s">
        <v>26</v>
      </c>
      <c r="B110" s="3" t="s">
        <v>336</v>
      </c>
      <c r="C110" s="5"/>
      <c r="D110" s="12"/>
      <c r="E110" s="83">
        <f t="shared" si="40"/>
        <v>0</v>
      </c>
      <c r="F110" s="302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</row>
    <row r="111" spans="1:62" ht="11.25" customHeight="1" x14ac:dyDescent="0.25">
      <c r="A111" s="5"/>
      <c r="B111" s="127" t="s">
        <v>316</v>
      </c>
      <c r="C111" s="128" t="s">
        <v>317</v>
      </c>
      <c r="D111" s="363">
        <f>Assumptions!D83</f>
        <v>2.85</v>
      </c>
      <c r="E111" s="83">
        <f t="shared" si="40"/>
        <v>0</v>
      </c>
      <c r="F111" s="302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</row>
    <row r="112" spans="1:62" ht="11.25" customHeight="1" x14ac:dyDescent="0.25">
      <c r="A112" s="5"/>
      <c r="B112" s="127" t="s">
        <v>318</v>
      </c>
      <c r="C112" s="128" t="s">
        <v>319</v>
      </c>
      <c r="D112" s="363">
        <f>Assumptions!D84</f>
        <v>14</v>
      </c>
      <c r="E112" s="83">
        <f t="shared" si="40"/>
        <v>0</v>
      </c>
      <c r="F112" s="302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</row>
    <row r="113" spans="1:62" ht="11.25" customHeight="1" x14ac:dyDescent="0.25">
      <c r="A113" s="5"/>
      <c r="B113" s="127" t="s">
        <v>320</v>
      </c>
      <c r="C113" s="128" t="s">
        <v>102</v>
      </c>
      <c r="D113" s="261">
        <f>Assumptions!D85</f>
        <v>71.52</v>
      </c>
      <c r="E113" s="83">
        <f t="shared" si="40"/>
        <v>0</v>
      </c>
      <c r="F113" s="302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</row>
    <row r="114" spans="1:62" ht="11.25" customHeight="1" x14ac:dyDescent="0.25">
      <c r="A114" s="5"/>
      <c r="B114" s="5" t="s">
        <v>119</v>
      </c>
      <c r="C114" s="16" t="s">
        <v>117</v>
      </c>
      <c r="D114" s="255">
        <f>Assumptions!D86</f>
        <v>2033</v>
      </c>
      <c r="E114" s="83">
        <f t="shared" si="40"/>
        <v>0</v>
      </c>
      <c r="F114" s="302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</row>
    <row r="115" spans="1:62" ht="11.25" customHeight="1" x14ac:dyDescent="0.25">
      <c r="A115" s="5"/>
      <c r="B115" s="5" t="s">
        <v>356</v>
      </c>
      <c r="C115" s="16" t="s">
        <v>101</v>
      </c>
      <c r="D115" s="76"/>
      <c r="E115" s="83">
        <f t="shared" si="40"/>
        <v>14</v>
      </c>
      <c r="F115" s="302"/>
      <c r="G115" s="83">
        <f>IF(AND(0&lt;G25,G25&lt;(($D$114-YEAR($D$21))*2+1)),1,0)</f>
        <v>0</v>
      </c>
      <c r="H115" s="83">
        <f t="shared" ref="H115:BJ115" si="60">IF(AND(0&lt;H25,H25&lt;(($D$114-YEAR($D$21))*2+1)),1,0)</f>
        <v>0</v>
      </c>
      <c r="I115" s="83">
        <f t="shared" si="60"/>
        <v>0</v>
      </c>
      <c r="J115" s="83">
        <f t="shared" si="60"/>
        <v>0</v>
      </c>
      <c r="K115" s="83">
        <f t="shared" si="60"/>
        <v>0</v>
      </c>
      <c r="L115" s="83">
        <f t="shared" si="60"/>
        <v>0</v>
      </c>
      <c r="M115" s="83">
        <f t="shared" si="60"/>
        <v>0</v>
      </c>
      <c r="N115" s="83">
        <f t="shared" si="60"/>
        <v>0</v>
      </c>
      <c r="O115" s="83">
        <f t="shared" si="60"/>
        <v>0</v>
      </c>
      <c r="P115" s="83">
        <f t="shared" si="60"/>
        <v>0</v>
      </c>
      <c r="Q115" s="83">
        <f t="shared" si="60"/>
        <v>0</v>
      </c>
      <c r="R115" s="83">
        <f t="shared" si="60"/>
        <v>0</v>
      </c>
      <c r="S115" s="83">
        <f t="shared" si="60"/>
        <v>0</v>
      </c>
      <c r="T115" s="83">
        <f t="shared" si="60"/>
        <v>0</v>
      </c>
      <c r="U115" s="83">
        <f t="shared" si="60"/>
        <v>0</v>
      </c>
      <c r="V115" s="83">
        <f t="shared" si="60"/>
        <v>0</v>
      </c>
      <c r="W115" s="83">
        <f t="shared" si="60"/>
        <v>1</v>
      </c>
      <c r="X115" s="83">
        <f t="shared" si="60"/>
        <v>1</v>
      </c>
      <c r="Y115" s="83">
        <f t="shared" si="60"/>
        <v>1</v>
      </c>
      <c r="Z115" s="83">
        <f t="shared" si="60"/>
        <v>1</v>
      </c>
      <c r="AA115" s="83">
        <f t="shared" si="60"/>
        <v>1</v>
      </c>
      <c r="AB115" s="83">
        <f t="shared" si="60"/>
        <v>1</v>
      </c>
      <c r="AC115" s="83">
        <f t="shared" si="60"/>
        <v>1</v>
      </c>
      <c r="AD115" s="83">
        <f t="shared" si="60"/>
        <v>1</v>
      </c>
      <c r="AE115" s="83">
        <f t="shared" si="60"/>
        <v>1</v>
      </c>
      <c r="AF115" s="83">
        <f t="shared" si="60"/>
        <v>1</v>
      </c>
      <c r="AG115" s="83">
        <f t="shared" si="60"/>
        <v>1</v>
      </c>
      <c r="AH115" s="83">
        <f t="shared" si="60"/>
        <v>1</v>
      </c>
      <c r="AI115" s="83">
        <f t="shared" si="60"/>
        <v>1</v>
      </c>
      <c r="AJ115" s="83">
        <f t="shared" si="60"/>
        <v>1</v>
      </c>
      <c r="AK115" s="83">
        <f t="shared" si="60"/>
        <v>0</v>
      </c>
      <c r="AL115" s="83">
        <f t="shared" si="60"/>
        <v>0</v>
      </c>
      <c r="AM115" s="83">
        <f t="shared" si="60"/>
        <v>0</v>
      </c>
      <c r="AN115" s="83">
        <f t="shared" si="60"/>
        <v>0</v>
      </c>
      <c r="AO115" s="83">
        <f t="shared" si="60"/>
        <v>0</v>
      </c>
      <c r="AP115" s="83">
        <f t="shared" si="60"/>
        <v>0</v>
      </c>
      <c r="AQ115" s="83">
        <f t="shared" si="60"/>
        <v>0</v>
      </c>
      <c r="AR115" s="83">
        <f t="shared" si="60"/>
        <v>0</v>
      </c>
      <c r="AS115" s="83">
        <f t="shared" si="60"/>
        <v>0</v>
      </c>
      <c r="AT115" s="83">
        <f t="shared" si="60"/>
        <v>0</v>
      </c>
      <c r="AU115" s="83">
        <f t="shared" si="60"/>
        <v>0</v>
      </c>
      <c r="AV115" s="83">
        <f t="shared" si="60"/>
        <v>0</v>
      </c>
      <c r="AW115" s="83">
        <f t="shared" si="60"/>
        <v>0</v>
      </c>
      <c r="AX115" s="83">
        <f t="shared" si="60"/>
        <v>0</v>
      </c>
      <c r="AY115" s="83">
        <f t="shared" si="60"/>
        <v>0</v>
      </c>
      <c r="AZ115" s="83">
        <f t="shared" si="60"/>
        <v>0</v>
      </c>
      <c r="BA115" s="83">
        <f t="shared" si="60"/>
        <v>0</v>
      </c>
      <c r="BB115" s="83">
        <f t="shared" si="60"/>
        <v>0</v>
      </c>
      <c r="BC115" s="83">
        <f t="shared" si="60"/>
        <v>0</v>
      </c>
      <c r="BD115" s="83">
        <f t="shared" si="60"/>
        <v>0</v>
      </c>
      <c r="BE115" s="83">
        <f t="shared" si="60"/>
        <v>0</v>
      </c>
      <c r="BF115" s="83">
        <f t="shared" si="60"/>
        <v>0</v>
      </c>
      <c r="BG115" s="83">
        <f t="shared" si="60"/>
        <v>0</v>
      </c>
      <c r="BH115" s="83">
        <f t="shared" si="60"/>
        <v>0</v>
      </c>
      <c r="BI115" s="83">
        <f t="shared" si="60"/>
        <v>0</v>
      </c>
      <c r="BJ115" s="83">
        <f t="shared" si="60"/>
        <v>0</v>
      </c>
    </row>
    <row r="116" spans="1:62" ht="11.25" customHeight="1" x14ac:dyDescent="0.25">
      <c r="A116" s="5"/>
      <c r="B116" s="13" t="s">
        <v>433</v>
      </c>
      <c r="C116" s="14" t="s">
        <v>447</v>
      </c>
      <c r="D116" s="364">
        <f>Assumptions!D87</f>
        <v>75</v>
      </c>
      <c r="E116" s="83">
        <f t="shared" si="40"/>
        <v>0</v>
      </c>
      <c r="F116" s="302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</row>
    <row r="117" spans="1:62" ht="11.25" customHeight="1" x14ac:dyDescent="0.25">
      <c r="A117" s="5"/>
      <c r="B117" s="6" t="s">
        <v>434</v>
      </c>
      <c r="C117" s="7" t="s">
        <v>448</v>
      </c>
      <c r="D117" s="364">
        <f>Assumptions!D88</f>
        <v>53.15</v>
      </c>
      <c r="E117" s="83">
        <f t="shared" si="40"/>
        <v>0</v>
      </c>
      <c r="F117" s="302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</row>
    <row r="118" spans="1:62" ht="11.25" customHeight="1" x14ac:dyDescent="0.25">
      <c r="A118" s="5"/>
      <c r="B118" s="6" t="s">
        <v>334</v>
      </c>
      <c r="C118" s="7" t="s">
        <v>440</v>
      </c>
      <c r="D118" s="262">
        <f>Assumptions!D89</f>
        <v>155</v>
      </c>
      <c r="E118" s="83">
        <f t="shared" si="40"/>
        <v>0</v>
      </c>
      <c r="F118" s="302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</row>
    <row r="119" spans="1:62" ht="11.25" customHeight="1" x14ac:dyDescent="0.25">
      <c r="A119" s="5"/>
      <c r="B119" s="6" t="s">
        <v>435</v>
      </c>
      <c r="C119" s="7" t="s">
        <v>335</v>
      </c>
      <c r="D119" s="364">
        <f>Assumptions!D90</f>
        <v>7</v>
      </c>
      <c r="E119" s="83">
        <f t="shared" si="40"/>
        <v>0</v>
      </c>
      <c r="F119" s="302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</row>
    <row r="120" spans="1:62" ht="11.25" customHeight="1" x14ac:dyDescent="0.25">
      <c r="A120" s="5"/>
      <c r="B120" s="6"/>
      <c r="C120" s="7"/>
      <c r="D120" s="81"/>
      <c r="E120" s="83">
        <f t="shared" si="40"/>
        <v>0</v>
      </c>
      <c r="F120" s="302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</row>
    <row r="121" spans="1:62" ht="11.25" customHeight="1" x14ac:dyDescent="0.25">
      <c r="A121" s="3" t="s">
        <v>26</v>
      </c>
      <c r="B121" s="4" t="s">
        <v>337</v>
      </c>
      <c r="C121" s="7"/>
      <c r="D121" s="81"/>
      <c r="E121" s="83">
        <f t="shared" si="40"/>
        <v>0</v>
      </c>
      <c r="F121" s="302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</row>
    <row r="122" spans="1:62" ht="11.25" customHeight="1" x14ac:dyDescent="0.25">
      <c r="A122" s="5"/>
      <c r="B122" s="6" t="s">
        <v>44</v>
      </c>
      <c r="C122" s="7"/>
      <c r="D122" s="81"/>
      <c r="E122" s="83">
        <f t="shared" si="40"/>
        <v>34.696000000000026</v>
      </c>
      <c r="F122" s="302" t="s">
        <v>26</v>
      </c>
      <c r="G122" s="381">
        <f>IF(G115&gt;0,$D$97,IF(G2&gt;=$B$127,$D$127,_xlfn.IFNA(INDEX($D$123:$D$127,MATCH(G2,$B123:$B127,0),1),0)))</f>
        <v>0</v>
      </c>
      <c r="H122" s="381">
        <f t="shared" ref="H122:BJ122" si="61">IF(H115&gt;0,$D$97,IF(H2&gt;=$B$127,$D$127,_xlfn.IFNA(INDEX($D$123:$D$127,MATCH(H2,$B123:$B127,0),1),0)))</f>
        <v>0</v>
      </c>
      <c r="I122" s="381">
        <f t="shared" si="61"/>
        <v>0</v>
      </c>
      <c r="J122" s="381">
        <f t="shared" si="61"/>
        <v>0</v>
      </c>
      <c r="K122" s="381">
        <f t="shared" si="61"/>
        <v>0</v>
      </c>
      <c r="L122" s="381">
        <f t="shared" si="61"/>
        <v>0</v>
      </c>
      <c r="M122" s="381">
        <f t="shared" si="61"/>
        <v>0</v>
      </c>
      <c r="N122" s="381">
        <f t="shared" si="61"/>
        <v>0</v>
      </c>
      <c r="O122" s="381">
        <f t="shared" si="61"/>
        <v>0</v>
      </c>
      <c r="P122" s="381">
        <f t="shared" si="61"/>
        <v>0</v>
      </c>
      <c r="Q122" s="381">
        <f t="shared" si="61"/>
        <v>0</v>
      </c>
      <c r="R122" s="381">
        <f t="shared" si="61"/>
        <v>0</v>
      </c>
      <c r="S122" s="381">
        <f t="shared" si="61"/>
        <v>0</v>
      </c>
      <c r="T122" s="381">
        <f t="shared" si="61"/>
        <v>0</v>
      </c>
      <c r="U122" s="381">
        <f t="shared" si="61"/>
        <v>0</v>
      </c>
      <c r="V122" s="381">
        <f t="shared" si="61"/>
        <v>0</v>
      </c>
      <c r="W122" s="6">
        <f t="shared" si="61"/>
        <v>0.88900000000000001</v>
      </c>
      <c r="X122" s="6">
        <f t="shared" si="61"/>
        <v>0.88900000000000001</v>
      </c>
      <c r="Y122" s="6">
        <f t="shared" si="61"/>
        <v>0.88900000000000001</v>
      </c>
      <c r="Z122" s="6">
        <f t="shared" si="61"/>
        <v>0.88900000000000001</v>
      </c>
      <c r="AA122" s="6">
        <f t="shared" si="61"/>
        <v>0.88900000000000001</v>
      </c>
      <c r="AB122" s="6">
        <f t="shared" si="61"/>
        <v>0.88900000000000001</v>
      </c>
      <c r="AC122" s="6">
        <f t="shared" si="61"/>
        <v>0.88900000000000001</v>
      </c>
      <c r="AD122" s="6">
        <f t="shared" si="61"/>
        <v>0.88900000000000001</v>
      </c>
      <c r="AE122" s="6">
        <f t="shared" si="61"/>
        <v>0.88900000000000001</v>
      </c>
      <c r="AF122" s="6">
        <f t="shared" si="61"/>
        <v>0.88900000000000001</v>
      </c>
      <c r="AG122" s="6">
        <f t="shared" si="61"/>
        <v>0.88900000000000001</v>
      </c>
      <c r="AH122" s="6">
        <f t="shared" si="61"/>
        <v>0.88900000000000001</v>
      </c>
      <c r="AI122" s="6">
        <f t="shared" si="61"/>
        <v>0.88900000000000001</v>
      </c>
      <c r="AJ122" s="6">
        <f t="shared" si="61"/>
        <v>0.88900000000000001</v>
      </c>
      <c r="AK122" s="6">
        <f t="shared" si="61"/>
        <v>0.88</v>
      </c>
      <c r="AL122" s="6">
        <f t="shared" si="61"/>
        <v>0.88</v>
      </c>
      <c r="AM122" s="6">
        <f t="shared" si="61"/>
        <v>0.88</v>
      </c>
      <c r="AN122" s="6">
        <f t="shared" si="61"/>
        <v>0.87</v>
      </c>
      <c r="AO122" s="6">
        <f t="shared" si="61"/>
        <v>0.87</v>
      </c>
      <c r="AP122" s="6">
        <f t="shared" si="61"/>
        <v>0.86</v>
      </c>
      <c r="AQ122" s="6">
        <f t="shared" si="61"/>
        <v>0.86</v>
      </c>
      <c r="AR122" s="6">
        <f t="shared" si="61"/>
        <v>0.85</v>
      </c>
      <c r="AS122" s="6">
        <f t="shared" si="61"/>
        <v>0.85</v>
      </c>
      <c r="AT122" s="6">
        <f t="shared" si="61"/>
        <v>0.85</v>
      </c>
      <c r="AU122" s="6">
        <f t="shared" si="61"/>
        <v>0.85</v>
      </c>
      <c r="AV122" s="6">
        <f t="shared" si="61"/>
        <v>0.85</v>
      </c>
      <c r="AW122" s="6">
        <f t="shared" si="61"/>
        <v>0.85</v>
      </c>
      <c r="AX122" s="6">
        <f t="shared" si="61"/>
        <v>0.85</v>
      </c>
      <c r="AY122" s="6">
        <f t="shared" si="61"/>
        <v>0.85</v>
      </c>
      <c r="AZ122" s="6">
        <f t="shared" si="61"/>
        <v>0.85</v>
      </c>
      <c r="BA122" s="6">
        <f t="shared" si="61"/>
        <v>0.85</v>
      </c>
      <c r="BB122" s="6">
        <f t="shared" si="61"/>
        <v>0.85</v>
      </c>
      <c r="BC122" s="6">
        <f t="shared" si="61"/>
        <v>0.85</v>
      </c>
      <c r="BD122" s="6">
        <f t="shared" si="61"/>
        <v>0.85</v>
      </c>
      <c r="BE122" s="6">
        <f t="shared" si="61"/>
        <v>0.85</v>
      </c>
      <c r="BF122" s="6">
        <f t="shared" si="61"/>
        <v>0.85</v>
      </c>
      <c r="BG122" s="6">
        <f t="shared" si="61"/>
        <v>0.85</v>
      </c>
      <c r="BH122" s="6">
        <f t="shared" si="61"/>
        <v>0.85</v>
      </c>
      <c r="BI122" s="6">
        <f t="shared" si="61"/>
        <v>0.85</v>
      </c>
      <c r="BJ122" s="6">
        <f t="shared" si="61"/>
        <v>0.85</v>
      </c>
    </row>
    <row r="123" spans="1:62" ht="11.25" customHeight="1" x14ac:dyDescent="0.25">
      <c r="A123" s="5"/>
      <c r="B123" s="293">
        <f>Assumptions!B94</f>
        <v>2033</v>
      </c>
      <c r="C123" s="7" t="s">
        <v>34</v>
      </c>
      <c r="D123" s="365">
        <f>Assumptions!D94</f>
        <v>0.88</v>
      </c>
      <c r="E123" s="83">
        <f t="shared" si="40"/>
        <v>0</v>
      </c>
      <c r="F123" s="302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</row>
    <row r="124" spans="1:62" ht="11.25" customHeight="1" x14ac:dyDescent="0.25">
      <c r="A124" s="5"/>
      <c r="B124" s="150">
        <f>B123+1</f>
        <v>2034</v>
      </c>
      <c r="C124" s="7" t="s">
        <v>34</v>
      </c>
      <c r="D124" s="365">
        <f>Assumptions!D95</f>
        <v>0.88</v>
      </c>
      <c r="E124" s="83">
        <f t="shared" si="40"/>
        <v>0</v>
      </c>
      <c r="F124" s="302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</row>
    <row r="125" spans="1:62" ht="11.25" customHeight="1" x14ac:dyDescent="0.25">
      <c r="A125" s="5"/>
      <c r="B125" s="150">
        <f>B124+1</f>
        <v>2035</v>
      </c>
      <c r="C125" s="7" t="s">
        <v>34</v>
      </c>
      <c r="D125" s="365">
        <f>Assumptions!D96</f>
        <v>0.87</v>
      </c>
      <c r="E125" s="83">
        <f t="shared" si="40"/>
        <v>0</v>
      </c>
      <c r="F125" s="302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</row>
    <row r="126" spans="1:62" ht="11.25" customHeight="1" x14ac:dyDescent="0.25">
      <c r="A126" s="5"/>
      <c r="B126" s="150">
        <f>B125+1</f>
        <v>2036</v>
      </c>
      <c r="C126" s="7" t="s">
        <v>34</v>
      </c>
      <c r="D126" s="365">
        <f>Assumptions!D97</f>
        <v>0.86</v>
      </c>
      <c r="E126" s="83">
        <f t="shared" si="40"/>
        <v>0</v>
      </c>
      <c r="F126" s="302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</row>
    <row r="127" spans="1:62" ht="11.25" customHeight="1" x14ac:dyDescent="0.25">
      <c r="A127" s="5"/>
      <c r="B127" s="150">
        <f>B126+1</f>
        <v>2037</v>
      </c>
      <c r="C127" s="7" t="s">
        <v>34</v>
      </c>
      <c r="D127" s="365">
        <f>Assumptions!D98</f>
        <v>0.85</v>
      </c>
      <c r="E127" s="83">
        <f t="shared" si="40"/>
        <v>0</v>
      </c>
      <c r="F127" s="302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</row>
    <row r="128" spans="1:62" ht="11.25" customHeight="1" x14ac:dyDescent="0.25">
      <c r="A128" s="5"/>
      <c r="B128" s="132"/>
      <c r="C128" s="7"/>
      <c r="D128" s="81"/>
      <c r="E128" s="83">
        <f t="shared" si="40"/>
        <v>0</v>
      </c>
      <c r="F128" s="302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</row>
    <row r="129" spans="1:62" ht="11.25" customHeight="1" x14ac:dyDescent="0.25">
      <c r="A129" s="5"/>
      <c r="B129" s="132" t="s">
        <v>338</v>
      </c>
      <c r="C129" s="7"/>
      <c r="D129" s="81"/>
      <c r="E129" s="83">
        <f t="shared" si="40"/>
        <v>51071000</v>
      </c>
      <c r="F129" s="302" t="s">
        <v>26</v>
      </c>
      <c r="G129" s="83">
        <f t="shared" ref="G129:AI129" si="62">IF(G115=1,0,IF(G2&gt;=$B$134,$D$134,_xlfn.IFNA(INDEX($D$130:$D$134,MATCH(G2,$B130:$B134,0),1),0)))</f>
        <v>0</v>
      </c>
      <c r="H129" s="83">
        <f t="shared" si="62"/>
        <v>0</v>
      </c>
      <c r="I129" s="83">
        <f t="shared" si="62"/>
        <v>0</v>
      </c>
      <c r="J129" s="83">
        <f t="shared" si="62"/>
        <v>0</v>
      </c>
      <c r="K129" s="83">
        <f t="shared" si="62"/>
        <v>0</v>
      </c>
      <c r="L129" s="83">
        <f t="shared" si="62"/>
        <v>0</v>
      </c>
      <c r="M129" s="83">
        <f t="shared" si="62"/>
        <v>0</v>
      </c>
      <c r="N129" s="83">
        <f t="shared" si="62"/>
        <v>0</v>
      </c>
      <c r="O129" s="83">
        <f t="shared" si="62"/>
        <v>0</v>
      </c>
      <c r="P129" s="83">
        <f t="shared" si="62"/>
        <v>0</v>
      </c>
      <c r="Q129" s="83">
        <f t="shared" si="62"/>
        <v>0</v>
      </c>
      <c r="R129" s="83">
        <f t="shared" si="62"/>
        <v>0</v>
      </c>
      <c r="S129" s="83">
        <f t="shared" si="62"/>
        <v>0</v>
      </c>
      <c r="T129" s="83">
        <f t="shared" si="62"/>
        <v>0</v>
      </c>
      <c r="U129" s="83">
        <f t="shared" si="62"/>
        <v>0</v>
      </c>
      <c r="V129" s="83">
        <f t="shared" si="62"/>
        <v>0</v>
      </c>
      <c r="W129" s="83">
        <f t="shared" si="62"/>
        <v>0</v>
      </c>
      <c r="X129" s="83">
        <f t="shared" si="62"/>
        <v>0</v>
      </c>
      <c r="Y129" s="83">
        <f t="shared" si="62"/>
        <v>0</v>
      </c>
      <c r="Z129" s="83">
        <f t="shared" si="62"/>
        <v>0</v>
      </c>
      <c r="AA129" s="83">
        <f t="shared" si="62"/>
        <v>0</v>
      </c>
      <c r="AB129" s="83">
        <f t="shared" si="62"/>
        <v>0</v>
      </c>
      <c r="AC129" s="83">
        <f t="shared" si="62"/>
        <v>0</v>
      </c>
      <c r="AD129" s="83">
        <f t="shared" si="62"/>
        <v>0</v>
      </c>
      <c r="AE129" s="83">
        <f t="shared" si="62"/>
        <v>0</v>
      </c>
      <c r="AF129" s="83">
        <f t="shared" si="62"/>
        <v>0</v>
      </c>
      <c r="AG129" s="83">
        <f t="shared" si="62"/>
        <v>0</v>
      </c>
      <c r="AH129" s="83">
        <f t="shared" si="62"/>
        <v>0</v>
      </c>
      <c r="AI129" s="83">
        <f t="shared" si="62"/>
        <v>0</v>
      </c>
      <c r="AJ129" s="83">
        <f>IF(AJ115=1,0,IF(AJ2&gt;=$B$134,$D$134,_xlfn.IFNA(INDEX($D$130:$D$134,MATCH(AJ2,$B130:$B134,0),1),0)))</f>
        <v>0</v>
      </c>
      <c r="AK129" s="83">
        <f t="shared" ref="AK129:BJ129" si="63">IF(AK115=1,0,IF(AK2&gt;=$B$134,$D$134,_xlfn.IFNA(INDEX($D$130:$D$134,MATCH(AK2,$B130:$B134,0),1),0)))</f>
        <v>1829000</v>
      </c>
      <c r="AL129" s="83">
        <f t="shared" si="63"/>
        <v>1931000</v>
      </c>
      <c r="AM129" s="83">
        <f t="shared" si="63"/>
        <v>1931000</v>
      </c>
      <c r="AN129" s="83">
        <f t="shared" si="63"/>
        <v>1953000</v>
      </c>
      <c r="AO129" s="83">
        <f t="shared" si="63"/>
        <v>1953000</v>
      </c>
      <c r="AP129" s="83">
        <f t="shared" si="63"/>
        <v>1965000</v>
      </c>
      <c r="AQ129" s="83">
        <f t="shared" si="63"/>
        <v>1965000</v>
      </c>
      <c r="AR129" s="83">
        <f t="shared" si="63"/>
        <v>1976000</v>
      </c>
      <c r="AS129" s="83">
        <f t="shared" si="63"/>
        <v>1976000</v>
      </c>
      <c r="AT129" s="83">
        <f t="shared" si="63"/>
        <v>1976000</v>
      </c>
      <c r="AU129" s="83">
        <f t="shared" si="63"/>
        <v>1976000</v>
      </c>
      <c r="AV129" s="83">
        <f t="shared" si="63"/>
        <v>1976000</v>
      </c>
      <c r="AW129" s="83">
        <f t="shared" si="63"/>
        <v>1976000</v>
      </c>
      <c r="AX129" s="83">
        <f t="shared" si="63"/>
        <v>1976000</v>
      </c>
      <c r="AY129" s="83">
        <f t="shared" si="63"/>
        <v>1976000</v>
      </c>
      <c r="AZ129" s="83">
        <f t="shared" si="63"/>
        <v>1976000</v>
      </c>
      <c r="BA129" s="83">
        <f t="shared" si="63"/>
        <v>1976000</v>
      </c>
      <c r="BB129" s="83">
        <f t="shared" si="63"/>
        <v>1976000</v>
      </c>
      <c r="BC129" s="83">
        <f t="shared" si="63"/>
        <v>1976000</v>
      </c>
      <c r="BD129" s="83">
        <f t="shared" si="63"/>
        <v>1976000</v>
      </c>
      <c r="BE129" s="83">
        <f t="shared" si="63"/>
        <v>1976000</v>
      </c>
      <c r="BF129" s="83">
        <f t="shared" si="63"/>
        <v>1976000</v>
      </c>
      <c r="BG129" s="83">
        <f t="shared" si="63"/>
        <v>1976000</v>
      </c>
      <c r="BH129" s="83">
        <f t="shared" si="63"/>
        <v>1976000</v>
      </c>
      <c r="BI129" s="83">
        <f t="shared" si="63"/>
        <v>1976000</v>
      </c>
      <c r="BJ129" s="83">
        <f t="shared" si="63"/>
        <v>1976000</v>
      </c>
    </row>
    <row r="130" spans="1:62" ht="11.25" customHeight="1" x14ac:dyDescent="0.25">
      <c r="A130" s="5"/>
      <c r="B130" s="134">
        <f>B123</f>
        <v>2033</v>
      </c>
      <c r="C130" s="7" t="s">
        <v>475</v>
      </c>
      <c r="D130" s="255">
        <f>Assumptions!D101</f>
        <v>1829000</v>
      </c>
      <c r="E130" s="83">
        <f t="shared" si="40"/>
        <v>0</v>
      </c>
      <c r="F130" s="302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</row>
    <row r="131" spans="1:62" ht="11.25" customHeight="1" x14ac:dyDescent="0.25">
      <c r="A131" s="5"/>
      <c r="B131" s="134">
        <f>B124</f>
        <v>2034</v>
      </c>
      <c r="C131" s="7" t="s">
        <v>475</v>
      </c>
      <c r="D131" s="255">
        <f>Assumptions!D102</f>
        <v>1931000</v>
      </c>
      <c r="E131" s="83">
        <f t="shared" si="40"/>
        <v>0</v>
      </c>
      <c r="F131" s="302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</row>
    <row r="132" spans="1:62" ht="11.25" customHeight="1" x14ac:dyDescent="0.25">
      <c r="A132" s="5"/>
      <c r="B132" s="134">
        <f>B125</f>
        <v>2035</v>
      </c>
      <c r="C132" s="7" t="s">
        <v>475</v>
      </c>
      <c r="D132" s="255">
        <f>Assumptions!D103</f>
        <v>1953000</v>
      </c>
      <c r="E132" s="83">
        <f t="shared" si="40"/>
        <v>0</v>
      </c>
      <c r="F132" s="302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</row>
    <row r="133" spans="1:62" ht="11.25" customHeight="1" x14ac:dyDescent="0.25">
      <c r="A133" s="5"/>
      <c r="B133" s="134">
        <f>B126</f>
        <v>2036</v>
      </c>
      <c r="C133" s="7" t="s">
        <v>475</v>
      </c>
      <c r="D133" s="255">
        <f>Assumptions!D104</f>
        <v>1965000</v>
      </c>
      <c r="E133" s="83">
        <f t="shared" si="40"/>
        <v>0</v>
      </c>
      <c r="F133" s="302"/>
      <c r="G133" s="13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</row>
    <row r="134" spans="1:62" ht="11.25" customHeight="1" x14ac:dyDescent="0.25">
      <c r="A134" s="5"/>
      <c r="B134" s="134">
        <f>B127</f>
        <v>2037</v>
      </c>
      <c r="C134" s="7" t="s">
        <v>475</v>
      </c>
      <c r="D134" s="255">
        <f>Assumptions!D105</f>
        <v>1976000</v>
      </c>
      <c r="E134" s="83">
        <f t="shared" si="40"/>
        <v>0</v>
      </c>
      <c r="F134" s="302"/>
      <c r="G134" s="13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</row>
    <row r="135" spans="1:62" ht="11.25" customHeight="1" x14ac:dyDescent="0.25">
      <c r="A135" s="5"/>
      <c r="B135" s="132"/>
      <c r="C135" s="7"/>
      <c r="D135" s="81"/>
      <c r="E135" s="83">
        <f t="shared" si="40"/>
        <v>0</v>
      </c>
      <c r="F135" s="302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</row>
    <row r="136" spans="1:62" ht="11.25" customHeight="1" x14ac:dyDescent="0.25">
      <c r="A136" s="5"/>
      <c r="B136" s="132" t="s">
        <v>339</v>
      </c>
      <c r="C136" s="7"/>
      <c r="D136" s="81"/>
      <c r="E136" s="83">
        <f t="shared" si="40"/>
        <v>182</v>
      </c>
      <c r="F136" s="302" t="s">
        <v>26</v>
      </c>
      <c r="G136" s="83">
        <f>IF(G115=1,0,IF(G2&gt;=$B$141,$D$141,_xlfn.IFNA(INDEX($D$137:$D$141,MATCH(G2,$B137:$B141,0),1),0)))</f>
        <v>0</v>
      </c>
      <c r="H136" s="83">
        <f t="shared" ref="H136:BJ136" si="64">IF(H115=1,0,IF(H2&gt;=$B$141,$D$141,_xlfn.IFNA(INDEX($D$137:$D$141,MATCH(H2,$B137:$B141,0),1),0)))</f>
        <v>0</v>
      </c>
      <c r="I136" s="83">
        <f t="shared" si="64"/>
        <v>0</v>
      </c>
      <c r="J136" s="83">
        <f t="shared" si="64"/>
        <v>0</v>
      </c>
      <c r="K136" s="83">
        <f t="shared" si="64"/>
        <v>0</v>
      </c>
      <c r="L136" s="83">
        <f t="shared" si="64"/>
        <v>0</v>
      </c>
      <c r="M136" s="83">
        <f t="shared" si="64"/>
        <v>0</v>
      </c>
      <c r="N136" s="83">
        <f t="shared" si="64"/>
        <v>0</v>
      </c>
      <c r="O136" s="83">
        <f t="shared" si="64"/>
        <v>0</v>
      </c>
      <c r="P136" s="83">
        <f t="shared" si="64"/>
        <v>0</v>
      </c>
      <c r="Q136" s="83">
        <f t="shared" si="64"/>
        <v>0</v>
      </c>
      <c r="R136" s="83">
        <f t="shared" si="64"/>
        <v>0</v>
      </c>
      <c r="S136" s="83">
        <f t="shared" si="64"/>
        <v>0</v>
      </c>
      <c r="T136" s="83">
        <f t="shared" si="64"/>
        <v>0</v>
      </c>
      <c r="U136" s="83">
        <f t="shared" si="64"/>
        <v>0</v>
      </c>
      <c r="V136" s="83">
        <f t="shared" si="64"/>
        <v>0</v>
      </c>
      <c r="W136" s="83">
        <f t="shared" si="64"/>
        <v>0</v>
      </c>
      <c r="X136" s="83">
        <f t="shared" si="64"/>
        <v>0</v>
      </c>
      <c r="Y136" s="83">
        <f t="shared" si="64"/>
        <v>0</v>
      </c>
      <c r="Z136" s="83">
        <f t="shared" si="64"/>
        <v>0</v>
      </c>
      <c r="AA136" s="83">
        <f t="shared" si="64"/>
        <v>0</v>
      </c>
      <c r="AB136" s="83">
        <f t="shared" si="64"/>
        <v>0</v>
      </c>
      <c r="AC136" s="83">
        <f t="shared" si="64"/>
        <v>0</v>
      </c>
      <c r="AD136" s="83">
        <f t="shared" si="64"/>
        <v>0</v>
      </c>
      <c r="AE136" s="83">
        <f t="shared" si="64"/>
        <v>0</v>
      </c>
      <c r="AF136" s="83">
        <f t="shared" si="64"/>
        <v>0</v>
      </c>
      <c r="AG136" s="83">
        <f t="shared" si="64"/>
        <v>0</v>
      </c>
      <c r="AH136" s="83">
        <f t="shared" si="64"/>
        <v>0</v>
      </c>
      <c r="AI136" s="83">
        <f t="shared" si="64"/>
        <v>0</v>
      </c>
      <c r="AJ136" s="83">
        <f t="shared" si="64"/>
        <v>0</v>
      </c>
      <c r="AK136" s="83">
        <f t="shared" si="64"/>
        <v>7</v>
      </c>
      <c r="AL136" s="83">
        <f t="shared" si="64"/>
        <v>7</v>
      </c>
      <c r="AM136" s="83">
        <f t="shared" si="64"/>
        <v>7</v>
      </c>
      <c r="AN136" s="83">
        <f t="shared" si="64"/>
        <v>7</v>
      </c>
      <c r="AO136" s="83">
        <f t="shared" si="64"/>
        <v>7</v>
      </c>
      <c r="AP136" s="83">
        <f t="shared" si="64"/>
        <v>7</v>
      </c>
      <c r="AQ136" s="83">
        <f t="shared" si="64"/>
        <v>7</v>
      </c>
      <c r="AR136" s="83">
        <f t="shared" si="64"/>
        <v>7</v>
      </c>
      <c r="AS136" s="83">
        <f t="shared" si="64"/>
        <v>7</v>
      </c>
      <c r="AT136" s="83">
        <f t="shared" si="64"/>
        <v>7</v>
      </c>
      <c r="AU136" s="83">
        <f t="shared" si="64"/>
        <v>7</v>
      </c>
      <c r="AV136" s="83">
        <f t="shared" si="64"/>
        <v>7</v>
      </c>
      <c r="AW136" s="83">
        <f t="shared" si="64"/>
        <v>7</v>
      </c>
      <c r="AX136" s="83">
        <f t="shared" si="64"/>
        <v>7</v>
      </c>
      <c r="AY136" s="83">
        <f t="shared" si="64"/>
        <v>7</v>
      </c>
      <c r="AZ136" s="83">
        <f t="shared" si="64"/>
        <v>7</v>
      </c>
      <c r="BA136" s="83">
        <f t="shared" si="64"/>
        <v>7</v>
      </c>
      <c r="BB136" s="83">
        <f t="shared" si="64"/>
        <v>7</v>
      </c>
      <c r="BC136" s="83">
        <f t="shared" si="64"/>
        <v>7</v>
      </c>
      <c r="BD136" s="83">
        <f t="shared" si="64"/>
        <v>7</v>
      </c>
      <c r="BE136" s="83">
        <f t="shared" si="64"/>
        <v>7</v>
      </c>
      <c r="BF136" s="83">
        <f t="shared" si="64"/>
        <v>7</v>
      </c>
      <c r="BG136" s="83">
        <f t="shared" si="64"/>
        <v>7</v>
      </c>
      <c r="BH136" s="83">
        <f t="shared" si="64"/>
        <v>7</v>
      </c>
      <c r="BI136" s="83">
        <f t="shared" si="64"/>
        <v>7</v>
      </c>
      <c r="BJ136" s="83">
        <f t="shared" si="64"/>
        <v>7</v>
      </c>
    </row>
    <row r="137" spans="1:62" ht="11.25" customHeight="1" x14ac:dyDescent="0.25">
      <c r="A137" s="5"/>
      <c r="B137" s="134">
        <f>B130</f>
        <v>2033</v>
      </c>
      <c r="C137" s="7" t="s">
        <v>449</v>
      </c>
      <c r="D137" s="255">
        <f>Assumptions!D108</f>
        <v>7</v>
      </c>
      <c r="E137" s="83">
        <f t="shared" si="40"/>
        <v>0</v>
      </c>
      <c r="F137" s="302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</row>
    <row r="138" spans="1:62" ht="11.25" customHeight="1" x14ac:dyDescent="0.25">
      <c r="A138" s="5"/>
      <c r="B138" s="134">
        <f>B131</f>
        <v>2034</v>
      </c>
      <c r="C138" s="7" t="s">
        <v>449</v>
      </c>
      <c r="D138" s="255">
        <f>Assumptions!D109</f>
        <v>7</v>
      </c>
      <c r="E138" s="83">
        <f t="shared" si="40"/>
        <v>0</v>
      </c>
      <c r="F138" s="302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</row>
    <row r="139" spans="1:62" ht="11.25" customHeight="1" x14ac:dyDescent="0.25">
      <c r="A139" s="5"/>
      <c r="B139" s="134">
        <f>B132</f>
        <v>2035</v>
      </c>
      <c r="C139" s="7" t="s">
        <v>449</v>
      </c>
      <c r="D139" s="255">
        <f>Assumptions!D110</f>
        <v>7</v>
      </c>
      <c r="E139" s="83">
        <f t="shared" si="40"/>
        <v>0</v>
      </c>
      <c r="F139" s="302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</row>
    <row r="140" spans="1:62" ht="11.25" customHeight="1" x14ac:dyDescent="0.25">
      <c r="A140" s="5"/>
      <c r="B140" s="134">
        <f>B133</f>
        <v>2036</v>
      </c>
      <c r="C140" s="7" t="s">
        <v>449</v>
      </c>
      <c r="D140" s="255">
        <f>Assumptions!D111</f>
        <v>7</v>
      </c>
      <c r="E140" s="83">
        <f t="shared" ref="E140:E181" si="65">SUM(G140:BJ140)</f>
        <v>0</v>
      </c>
      <c r="F140" s="302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</row>
    <row r="141" spans="1:62" ht="11.25" customHeight="1" x14ac:dyDescent="0.25">
      <c r="A141" s="5"/>
      <c r="B141" s="134">
        <f>B134</f>
        <v>2037</v>
      </c>
      <c r="C141" s="7" t="s">
        <v>449</v>
      </c>
      <c r="D141" s="255">
        <f>Assumptions!D112</f>
        <v>7</v>
      </c>
      <c r="E141" s="83">
        <f t="shared" si="65"/>
        <v>0</v>
      </c>
      <c r="F141" s="302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</row>
    <row r="142" spans="1:62" ht="11.25" customHeight="1" x14ac:dyDescent="0.25">
      <c r="A142" s="5"/>
      <c r="B142" s="132"/>
      <c r="C142" s="7"/>
      <c r="D142" s="135"/>
      <c r="E142" s="83">
        <f t="shared" si="65"/>
        <v>0</v>
      </c>
      <c r="F142" s="302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</row>
    <row r="143" spans="1:62" ht="11.25" customHeight="1" x14ac:dyDescent="0.25">
      <c r="A143" s="3" t="s">
        <v>26</v>
      </c>
      <c r="B143" s="136" t="s">
        <v>340</v>
      </c>
      <c r="C143" s="7"/>
      <c r="D143" s="135"/>
      <c r="E143" s="83">
        <f t="shared" si="65"/>
        <v>0</v>
      </c>
      <c r="F143" s="302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</row>
    <row r="144" spans="1:62" ht="11.25" customHeight="1" x14ac:dyDescent="0.25">
      <c r="A144" s="5"/>
      <c r="B144" s="5" t="s">
        <v>80</v>
      </c>
      <c r="C144" s="15" t="s">
        <v>475</v>
      </c>
      <c r="D144" s="258">
        <f>Assumptions!D115</f>
        <v>60000</v>
      </c>
      <c r="E144" s="83">
        <f t="shared" si="65"/>
        <v>0</v>
      </c>
      <c r="F144" s="302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</row>
    <row r="145" spans="1:69" ht="11.25" customHeight="1" x14ac:dyDescent="0.25">
      <c r="A145" s="5"/>
      <c r="B145" s="5" t="s">
        <v>81</v>
      </c>
      <c r="C145" s="15" t="s">
        <v>476</v>
      </c>
      <c r="D145" s="258">
        <f>Assumptions!D116</f>
        <v>153500000</v>
      </c>
      <c r="E145" s="83">
        <f t="shared" si="65"/>
        <v>0</v>
      </c>
      <c r="F145" s="302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</row>
    <row r="146" spans="1:69" ht="11.25" customHeight="1" x14ac:dyDescent="0.25">
      <c r="A146" s="5"/>
      <c r="B146" s="5" t="s">
        <v>83</v>
      </c>
      <c r="C146" s="15" t="s">
        <v>458</v>
      </c>
      <c r="D146" s="258">
        <f>Assumptions!D117</f>
        <v>65000000</v>
      </c>
      <c r="E146" s="83">
        <f t="shared" si="65"/>
        <v>0</v>
      </c>
      <c r="F146" s="302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</row>
    <row r="147" spans="1:69" ht="11.25" customHeight="1" x14ac:dyDescent="0.25">
      <c r="A147" s="5"/>
      <c r="B147" s="5" t="s">
        <v>82</v>
      </c>
      <c r="C147" s="15" t="s">
        <v>446</v>
      </c>
      <c r="D147" s="258">
        <f>Assumptions!D118</f>
        <v>10585</v>
      </c>
      <c r="E147" s="83">
        <f t="shared" si="65"/>
        <v>0</v>
      </c>
      <c r="F147" s="302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</row>
    <row r="148" spans="1:69" ht="11.25" customHeight="1" x14ac:dyDescent="0.25">
      <c r="A148" s="5"/>
      <c r="B148" s="5" t="s">
        <v>71</v>
      </c>
      <c r="C148" s="15" t="s">
        <v>446</v>
      </c>
      <c r="D148" s="258">
        <f>Assumptions!D119</f>
        <v>4550</v>
      </c>
      <c r="E148" s="83">
        <f t="shared" si="65"/>
        <v>0</v>
      </c>
      <c r="F148" s="302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</row>
    <row r="149" spans="1:69" ht="11.25" customHeight="1" x14ac:dyDescent="0.25">
      <c r="A149" s="5"/>
      <c r="B149" s="5" t="s">
        <v>49</v>
      </c>
      <c r="C149" s="8" t="s">
        <v>15</v>
      </c>
      <c r="D149" s="258">
        <f>Assumptions!D120</f>
        <v>16</v>
      </c>
      <c r="E149" s="83">
        <f t="shared" si="65"/>
        <v>0</v>
      </c>
      <c r="F149" s="302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</row>
    <row r="150" spans="1:69" ht="11.25" customHeight="1" x14ac:dyDescent="0.25">
      <c r="A150" s="5"/>
      <c r="B150" s="5" t="s">
        <v>116</v>
      </c>
      <c r="C150" s="8" t="s">
        <v>108</v>
      </c>
      <c r="D150" s="264"/>
      <c r="E150" s="83">
        <f t="shared" si="65"/>
        <v>308</v>
      </c>
      <c r="F150" s="302"/>
      <c r="G150" s="83">
        <f>IF(G26=0,0,IF(F150&lt;$D$149,F150+1,1))</f>
        <v>0</v>
      </c>
      <c r="H150" s="83">
        <f t="shared" ref="H150:BJ150" si="66">IF(H26=0,0,IF(G150&lt;$D$149,G150+1,1))</f>
        <v>0</v>
      </c>
      <c r="I150" s="83">
        <f t="shared" si="66"/>
        <v>0</v>
      </c>
      <c r="J150" s="83">
        <f t="shared" si="66"/>
        <v>0</v>
      </c>
      <c r="K150" s="83">
        <f t="shared" si="66"/>
        <v>0</v>
      </c>
      <c r="L150" s="83">
        <f t="shared" si="66"/>
        <v>0</v>
      </c>
      <c r="M150" s="83">
        <f t="shared" si="66"/>
        <v>0</v>
      </c>
      <c r="N150" s="83">
        <f t="shared" si="66"/>
        <v>0</v>
      </c>
      <c r="O150" s="83">
        <f t="shared" si="66"/>
        <v>0</v>
      </c>
      <c r="P150" s="83">
        <f t="shared" si="66"/>
        <v>0</v>
      </c>
      <c r="Q150" s="83">
        <f t="shared" si="66"/>
        <v>0</v>
      </c>
      <c r="R150" s="83">
        <f t="shared" si="66"/>
        <v>0</v>
      </c>
      <c r="S150" s="83">
        <f t="shared" si="66"/>
        <v>0</v>
      </c>
      <c r="T150" s="83">
        <f t="shared" si="66"/>
        <v>0</v>
      </c>
      <c r="U150" s="83">
        <f t="shared" si="66"/>
        <v>0</v>
      </c>
      <c r="V150" s="83">
        <f t="shared" si="66"/>
        <v>0</v>
      </c>
      <c r="W150" s="83">
        <f t="shared" si="66"/>
        <v>1</v>
      </c>
      <c r="X150" s="83">
        <f t="shared" si="66"/>
        <v>2</v>
      </c>
      <c r="Y150" s="83">
        <f t="shared" si="66"/>
        <v>3</v>
      </c>
      <c r="Z150" s="83">
        <f t="shared" si="66"/>
        <v>4</v>
      </c>
      <c r="AA150" s="83">
        <f t="shared" si="66"/>
        <v>5</v>
      </c>
      <c r="AB150" s="83">
        <f t="shared" si="66"/>
        <v>6</v>
      </c>
      <c r="AC150" s="83">
        <f t="shared" si="66"/>
        <v>7</v>
      </c>
      <c r="AD150" s="83">
        <f t="shared" si="66"/>
        <v>8</v>
      </c>
      <c r="AE150" s="83">
        <f t="shared" si="66"/>
        <v>9</v>
      </c>
      <c r="AF150" s="83">
        <f t="shared" si="66"/>
        <v>10</v>
      </c>
      <c r="AG150" s="83">
        <f t="shared" si="66"/>
        <v>11</v>
      </c>
      <c r="AH150" s="83">
        <f t="shared" si="66"/>
        <v>12</v>
      </c>
      <c r="AI150" s="83">
        <f t="shared" si="66"/>
        <v>13</v>
      </c>
      <c r="AJ150" s="83">
        <f t="shared" si="66"/>
        <v>14</v>
      </c>
      <c r="AK150" s="83">
        <f t="shared" si="66"/>
        <v>15</v>
      </c>
      <c r="AL150" s="83">
        <f t="shared" si="66"/>
        <v>16</v>
      </c>
      <c r="AM150" s="83">
        <f t="shared" si="66"/>
        <v>1</v>
      </c>
      <c r="AN150" s="83">
        <f t="shared" si="66"/>
        <v>2</v>
      </c>
      <c r="AO150" s="83">
        <f t="shared" si="66"/>
        <v>3</v>
      </c>
      <c r="AP150" s="83">
        <f t="shared" si="66"/>
        <v>4</v>
      </c>
      <c r="AQ150" s="83">
        <f t="shared" si="66"/>
        <v>5</v>
      </c>
      <c r="AR150" s="83">
        <f t="shared" si="66"/>
        <v>6</v>
      </c>
      <c r="AS150" s="83">
        <f t="shared" si="66"/>
        <v>7</v>
      </c>
      <c r="AT150" s="83">
        <f t="shared" si="66"/>
        <v>8</v>
      </c>
      <c r="AU150" s="83">
        <f t="shared" si="66"/>
        <v>9</v>
      </c>
      <c r="AV150" s="83">
        <f t="shared" si="66"/>
        <v>10</v>
      </c>
      <c r="AW150" s="83">
        <f t="shared" si="66"/>
        <v>11</v>
      </c>
      <c r="AX150" s="83">
        <f t="shared" si="66"/>
        <v>12</v>
      </c>
      <c r="AY150" s="83">
        <f t="shared" si="66"/>
        <v>13</v>
      </c>
      <c r="AZ150" s="83">
        <f t="shared" si="66"/>
        <v>14</v>
      </c>
      <c r="BA150" s="83">
        <f t="shared" si="66"/>
        <v>15</v>
      </c>
      <c r="BB150" s="83">
        <f t="shared" si="66"/>
        <v>16</v>
      </c>
      <c r="BC150" s="83">
        <f t="shared" si="66"/>
        <v>1</v>
      </c>
      <c r="BD150" s="83">
        <f t="shared" si="66"/>
        <v>2</v>
      </c>
      <c r="BE150" s="83">
        <f t="shared" si="66"/>
        <v>3</v>
      </c>
      <c r="BF150" s="83">
        <f t="shared" si="66"/>
        <v>4</v>
      </c>
      <c r="BG150" s="83">
        <f t="shared" si="66"/>
        <v>5</v>
      </c>
      <c r="BH150" s="83">
        <f t="shared" si="66"/>
        <v>6</v>
      </c>
      <c r="BI150" s="83">
        <f t="shared" si="66"/>
        <v>7</v>
      </c>
      <c r="BJ150" s="83">
        <f t="shared" si="66"/>
        <v>8</v>
      </c>
      <c r="BL150" s="83"/>
      <c r="BM150" s="83"/>
      <c r="BN150" s="83"/>
      <c r="BO150" s="83"/>
      <c r="BP150" s="83"/>
      <c r="BQ150" s="83"/>
    </row>
    <row r="151" spans="1:69" ht="11.25" customHeight="1" x14ac:dyDescent="0.25">
      <c r="A151" s="5"/>
      <c r="B151" s="5" t="s">
        <v>361</v>
      </c>
      <c r="C151" s="8" t="s">
        <v>101</v>
      </c>
      <c r="D151" s="265"/>
      <c r="E151" s="83">
        <f t="shared" si="65"/>
        <v>40</v>
      </c>
      <c r="F151" s="302" t="s">
        <v>26</v>
      </c>
      <c r="G151" s="83">
        <f>IF(G150&gt;0,1,0)</f>
        <v>0</v>
      </c>
      <c r="H151" s="83">
        <f t="shared" ref="H151:BJ151" si="67">IF(H150&gt;0,1,0)</f>
        <v>0</v>
      </c>
      <c r="I151" s="83">
        <f t="shared" si="67"/>
        <v>0</v>
      </c>
      <c r="J151" s="83">
        <f t="shared" si="67"/>
        <v>0</v>
      </c>
      <c r="K151" s="83">
        <f t="shared" si="67"/>
        <v>0</v>
      </c>
      <c r="L151" s="83">
        <f t="shared" si="67"/>
        <v>0</v>
      </c>
      <c r="M151" s="83">
        <f t="shared" si="67"/>
        <v>0</v>
      </c>
      <c r="N151" s="83">
        <f t="shared" si="67"/>
        <v>0</v>
      </c>
      <c r="O151" s="83">
        <f t="shared" si="67"/>
        <v>0</v>
      </c>
      <c r="P151" s="83">
        <f t="shared" si="67"/>
        <v>0</v>
      </c>
      <c r="Q151" s="83">
        <f t="shared" si="67"/>
        <v>0</v>
      </c>
      <c r="R151" s="83">
        <f t="shared" si="67"/>
        <v>0</v>
      </c>
      <c r="S151" s="83">
        <f t="shared" si="67"/>
        <v>0</v>
      </c>
      <c r="T151" s="83">
        <f t="shared" si="67"/>
        <v>0</v>
      </c>
      <c r="U151" s="83">
        <f t="shared" si="67"/>
        <v>0</v>
      </c>
      <c r="V151" s="83">
        <f t="shared" si="67"/>
        <v>0</v>
      </c>
      <c r="W151" s="83">
        <f t="shared" si="67"/>
        <v>1</v>
      </c>
      <c r="X151" s="83">
        <f t="shared" si="67"/>
        <v>1</v>
      </c>
      <c r="Y151" s="83">
        <f t="shared" si="67"/>
        <v>1</v>
      </c>
      <c r="Z151" s="83">
        <f t="shared" si="67"/>
        <v>1</v>
      </c>
      <c r="AA151" s="83">
        <f t="shared" si="67"/>
        <v>1</v>
      </c>
      <c r="AB151" s="83">
        <f t="shared" si="67"/>
        <v>1</v>
      </c>
      <c r="AC151" s="83">
        <f t="shared" si="67"/>
        <v>1</v>
      </c>
      <c r="AD151" s="83">
        <f t="shared" si="67"/>
        <v>1</v>
      </c>
      <c r="AE151" s="83">
        <f t="shared" si="67"/>
        <v>1</v>
      </c>
      <c r="AF151" s="83">
        <f t="shared" si="67"/>
        <v>1</v>
      </c>
      <c r="AG151" s="83">
        <f t="shared" si="67"/>
        <v>1</v>
      </c>
      <c r="AH151" s="83">
        <f t="shared" si="67"/>
        <v>1</v>
      </c>
      <c r="AI151" s="83">
        <f t="shared" si="67"/>
        <v>1</v>
      </c>
      <c r="AJ151" s="83">
        <f t="shared" si="67"/>
        <v>1</v>
      </c>
      <c r="AK151" s="83">
        <f t="shared" si="67"/>
        <v>1</v>
      </c>
      <c r="AL151" s="83">
        <f t="shared" si="67"/>
        <v>1</v>
      </c>
      <c r="AM151" s="83">
        <f t="shared" si="67"/>
        <v>1</v>
      </c>
      <c r="AN151" s="83">
        <f t="shared" si="67"/>
        <v>1</v>
      </c>
      <c r="AO151" s="83">
        <f t="shared" si="67"/>
        <v>1</v>
      </c>
      <c r="AP151" s="83">
        <f t="shared" si="67"/>
        <v>1</v>
      </c>
      <c r="AQ151" s="83">
        <f t="shared" si="67"/>
        <v>1</v>
      </c>
      <c r="AR151" s="83">
        <f t="shared" si="67"/>
        <v>1</v>
      </c>
      <c r="AS151" s="83">
        <f t="shared" si="67"/>
        <v>1</v>
      </c>
      <c r="AT151" s="83">
        <f t="shared" si="67"/>
        <v>1</v>
      </c>
      <c r="AU151" s="83">
        <f t="shared" si="67"/>
        <v>1</v>
      </c>
      <c r="AV151" s="83">
        <f t="shared" si="67"/>
        <v>1</v>
      </c>
      <c r="AW151" s="83">
        <f t="shared" si="67"/>
        <v>1</v>
      </c>
      <c r="AX151" s="83">
        <f t="shared" si="67"/>
        <v>1</v>
      </c>
      <c r="AY151" s="83">
        <f t="shared" si="67"/>
        <v>1</v>
      </c>
      <c r="AZ151" s="83">
        <f t="shared" si="67"/>
        <v>1</v>
      </c>
      <c r="BA151" s="83">
        <f t="shared" si="67"/>
        <v>1</v>
      </c>
      <c r="BB151" s="83">
        <f t="shared" si="67"/>
        <v>1</v>
      </c>
      <c r="BC151" s="83">
        <f t="shared" si="67"/>
        <v>1</v>
      </c>
      <c r="BD151" s="83">
        <f t="shared" si="67"/>
        <v>1</v>
      </c>
      <c r="BE151" s="83">
        <f t="shared" si="67"/>
        <v>1</v>
      </c>
      <c r="BF151" s="83">
        <f t="shared" si="67"/>
        <v>1</v>
      </c>
      <c r="BG151" s="83">
        <f t="shared" si="67"/>
        <v>1</v>
      </c>
      <c r="BH151" s="83">
        <f t="shared" si="67"/>
        <v>1</v>
      </c>
      <c r="BI151" s="83">
        <f t="shared" si="67"/>
        <v>1</v>
      </c>
      <c r="BJ151" s="83">
        <f t="shared" si="67"/>
        <v>1</v>
      </c>
      <c r="BL151" s="83"/>
      <c r="BM151" s="83"/>
      <c r="BN151" s="83"/>
      <c r="BO151" s="83"/>
      <c r="BP151" s="83"/>
      <c r="BQ151" s="83"/>
    </row>
    <row r="152" spans="1:69" ht="11.1" customHeight="1" x14ac:dyDescent="0.25">
      <c r="A152" s="5"/>
      <c r="B152" s="5" t="s">
        <v>396</v>
      </c>
      <c r="C152" s="8" t="s">
        <v>101</v>
      </c>
      <c r="D152" s="265"/>
      <c r="E152" s="83">
        <f t="shared" si="65"/>
        <v>2</v>
      </c>
      <c r="F152" s="302" t="s">
        <v>26</v>
      </c>
      <c r="G152" s="83">
        <f>IF(G25=0,0,IF(MOD(G25,$D$149)=0,1,0))</f>
        <v>0</v>
      </c>
      <c r="H152" s="83">
        <f t="shared" ref="H152:BJ152" si="68">IF(H25=0,0,IF(MOD(H25,$D$149)=0,1,0))</f>
        <v>0</v>
      </c>
      <c r="I152" s="83">
        <f t="shared" si="68"/>
        <v>0</v>
      </c>
      <c r="J152" s="83">
        <f t="shared" si="68"/>
        <v>0</v>
      </c>
      <c r="K152" s="83">
        <f t="shared" si="68"/>
        <v>0</v>
      </c>
      <c r="L152" s="83">
        <f t="shared" si="68"/>
        <v>0</v>
      </c>
      <c r="M152" s="83">
        <f t="shared" si="68"/>
        <v>0</v>
      </c>
      <c r="N152" s="83">
        <f t="shared" si="68"/>
        <v>0</v>
      </c>
      <c r="O152" s="83">
        <f t="shared" si="68"/>
        <v>0</v>
      </c>
      <c r="P152" s="83">
        <f t="shared" si="68"/>
        <v>0</v>
      </c>
      <c r="Q152" s="83">
        <f t="shared" si="68"/>
        <v>0</v>
      </c>
      <c r="R152" s="83">
        <f t="shared" si="68"/>
        <v>0</v>
      </c>
      <c r="S152" s="83">
        <f t="shared" si="68"/>
        <v>0</v>
      </c>
      <c r="T152" s="83">
        <f t="shared" si="68"/>
        <v>0</v>
      </c>
      <c r="U152" s="83">
        <f t="shared" si="68"/>
        <v>0</v>
      </c>
      <c r="V152" s="83">
        <f t="shared" si="68"/>
        <v>0</v>
      </c>
      <c r="W152" s="83">
        <f t="shared" si="68"/>
        <v>0</v>
      </c>
      <c r="X152" s="83">
        <f t="shared" si="68"/>
        <v>0</v>
      </c>
      <c r="Y152" s="83">
        <f t="shared" si="68"/>
        <v>0</v>
      </c>
      <c r="Z152" s="83">
        <f t="shared" si="68"/>
        <v>0</v>
      </c>
      <c r="AA152" s="83">
        <f t="shared" si="68"/>
        <v>0</v>
      </c>
      <c r="AB152" s="83">
        <f t="shared" si="68"/>
        <v>0</v>
      </c>
      <c r="AC152" s="83">
        <f t="shared" si="68"/>
        <v>0</v>
      </c>
      <c r="AD152" s="83">
        <f t="shared" si="68"/>
        <v>0</v>
      </c>
      <c r="AE152" s="83">
        <f t="shared" si="68"/>
        <v>0</v>
      </c>
      <c r="AF152" s="83">
        <f t="shared" si="68"/>
        <v>0</v>
      </c>
      <c r="AG152" s="83">
        <f t="shared" si="68"/>
        <v>0</v>
      </c>
      <c r="AH152" s="83">
        <f t="shared" si="68"/>
        <v>0</v>
      </c>
      <c r="AI152" s="83">
        <f t="shared" si="68"/>
        <v>0</v>
      </c>
      <c r="AJ152" s="83">
        <f t="shared" si="68"/>
        <v>0</v>
      </c>
      <c r="AK152" s="83">
        <f t="shared" si="68"/>
        <v>0</v>
      </c>
      <c r="AL152" s="83">
        <f t="shared" si="68"/>
        <v>1</v>
      </c>
      <c r="AM152" s="83">
        <f t="shared" si="68"/>
        <v>0</v>
      </c>
      <c r="AN152" s="83">
        <f t="shared" si="68"/>
        <v>0</v>
      </c>
      <c r="AO152" s="83">
        <f t="shared" si="68"/>
        <v>0</v>
      </c>
      <c r="AP152" s="83">
        <f t="shared" si="68"/>
        <v>0</v>
      </c>
      <c r="AQ152" s="83">
        <f t="shared" si="68"/>
        <v>0</v>
      </c>
      <c r="AR152" s="83">
        <f t="shared" si="68"/>
        <v>0</v>
      </c>
      <c r="AS152" s="83">
        <f t="shared" si="68"/>
        <v>0</v>
      </c>
      <c r="AT152" s="83">
        <f t="shared" si="68"/>
        <v>0</v>
      </c>
      <c r="AU152" s="83">
        <f t="shared" si="68"/>
        <v>0</v>
      </c>
      <c r="AV152" s="83">
        <f t="shared" si="68"/>
        <v>0</v>
      </c>
      <c r="AW152" s="83">
        <f t="shared" si="68"/>
        <v>0</v>
      </c>
      <c r="AX152" s="83">
        <f t="shared" si="68"/>
        <v>0</v>
      </c>
      <c r="AY152" s="83">
        <f t="shared" si="68"/>
        <v>0</v>
      </c>
      <c r="AZ152" s="83">
        <f t="shared" si="68"/>
        <v>0</v>
      </c>
      <c r="BA152" s="83">
        <f t="shared" si="68"/>
        <v>0</v>
      </c>
      <c r="BB152" s="83">
        <f t="shared" si="68"/>
        <v>1</v>
      </c>
      <c r="BC152" s="83">
        <f t="shared" si="68"/>
        <v>0</v>
      </c>
      <c r="BD152" s="83">
        <f t="shared" si="68"/>
        <v>0</v>
      </c>
      <c r="BE152" s="83">
        <f t="shared" si="68"/>
        <v>0</v>
      </c>
      <c r="BF152" s="83">
        <f t="shared" si="68"/>
        <v>0</v>
      </c>
      <c r="BG152" s="83">
        <f t="shared" si="68"/>
        <v>0</v>
      </c>
      <c r="BH152" s="83">
        <f t="shared" si="68"/>
        <v>0</v>
      </c>
      <c r="BI152" s="83">
        <f t="shared" si="68"/>
        <v>0</v>
      </c>
      <c r="BJ152" s="83">
        <f t="shared" si="68"/>
        <v>0</v>
      </c>
      <c r="BL152" s="83"/>
      <c r="BM152" s="83"/>
      <c r="BN152" s="83"/>
      <c r="BO152" s="83"/>
      <c r="BP152" s="83"/>
      <c r="BQ152" s="83"/>
    </row>
    <row r="153" spans="1:69" ht="11.25" customHeight="1" x14ac:dyDescent="0.25">
      <c r="A153" s="5"/>
      <c r="B153" s="132"/>
      <c r="C153" s="7"/>
      <c r="D153" s="135"/>
      <c r="E153" s="83">
        <f t="shared" si="65"/>
        <v>0</v>
      </c>
      <c r="F153" s="302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</row>
    <row r="154" spans="1:69" ht="11.25" customHeight="1" x14ac:dyDescent="0.25">
      <c r="A154" s="3" t="s">
        <v>26</v>
      </c>
      <c r="B154" s="136" t="s">
        <v>341</v>
      </c>
      <c r="C154" s="7"/>
      <c r="D154" s="135"/>
      <c r="E154" s="83">
        <f t="shared" si="65"/>
        <v>0</v>
      </c>
      <c r="F154" s="302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</row>
    <row r="155" spans="1:69" ht="11.25" customHeight="1" x14ac:dyDescent="0.25">
      <c r="A155" s="5"/>
      <c r="B155" s="12" t="str">
        <f>Assumptions!B123</f>
        <v>Vietnam Inflation Start</v>
      </c>
      <c r="C155" s="8" t="s">
        <v>50</v>
      </c>
      <c r="D155" s="257">
        <f>Assumptions!D123</f>
        <v>44562</v>
      </c>
      <c r="E155" s="83">
        <f t="shared" si="65"/>
        <v>0</v>
      </c>
      <c r="F155" s="302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</row>
    <row r="156" spans="1:69" ht="11.25" customHeight="1" x14ac:dyDescent="0.25">
      <c r="A156" s="5"/>
      <c r="B156" s="12" t="str">
        <f>Assumptions!B124</f>
        <v>US Inflation Start</v>
      </c>
      <c r="C156" s="8" t="s">
        <v>50</v>
      </c>
      <c r="D156" s="257">
        <f>Assumptions!D124</f>
        <v>44743</v>
      </c>
      <c r="E156" s="83">
        <f t="shared" si="65"/>
        <v>0</v>
      </c>
      <c r="F156" s="302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</row>
    <row r="157" spans="1:69" ht="11.25" customHeight="1" x14ac:dyDescent="0.25">
      <c r="A157" s="5"/>
      <c r="B157" s="12" t="str">
        <f>Assumptions!B125</f>
        <v>Vietnam inflation (2022-2027)</v>
      </c>
      <c r="C157" s="7" t="s">
        <v>34</v>
      </c>
      <c r="D157" s="366">
        <f>Assumptions!D125</f>
        <v>3.4500000000000003E-2</v>
      </c>
      <c r="E157" s="83">
        <f t="shared" si="65"/>
        <v>0</v>
      </c>
      <c r="F157" s="302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</row>
    <row r="158" spans="1:69" ht="11.25" customHeight="1" x14ac:dyDescent="0.25">
      <c r="A158" s="5"/>
      <c r="B158" s="12" t="str">
        <f>Assumptions!B126</f>
        <v>Vietnam inflation (2027 - )</v>
      </c>
      <c r="C158" s="7" t="s">
        <v>34</v>
      </c>
      <c r="D158" s="366">
        <f>Assumptions!D126</f>
        <v>4.4999999999999998E-2</v>
      </c>
      <c r="E158" s="83">
        <f t="shared" si="65"/>
        <v>0</v>
      </c>
      <c r="F158" s="302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</row>
    <row r="159" spans="1:69" ht="11.25" customHeight="1" x14ac:dyDescent="0.25">
      <c r="A159" s="5"/>
      <c r="B159" s="12" t="str">
        <f>Assumptions!B127</f>
        <v>Vietnamese inflation change after</v>
      </c>
      <c r="C159" s="7" t="s">
        <v>50</v>
      </c>
      <c r="D159" s="257">
        <f>Assumptions!D127</f>
        <v>46418</v>
      </c>
      <c r="E159" s="83">
        <f t="shared" si="65"/>
        <v>0</v>
      </c>
      <c r="F159" s="302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</row>
    <row r="160" spans="1:69" ht="11.25" customHeight="1" x14ac:dyDescent="0.25">
      <c r="A160" s="5"/>
      <c r="B160" s="12" t="str">
        <f>Assumptions!B128</f>
        <v>US inflation (2022-2029)</v>
      </c>
      <c r="C160" s="7" t="s">
        <v>34</v>
      </c>
      <c r="D160" s="366">
        <f>Assumptions!D128</f>
        <v>0.03</v>
      </c>
      <c r="E160" s="83">
        <f t="shared" si="65"/>
        <v>0</v>
      </c>
      <c r="F160" s="302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</row>
    <row r="161" spans="1:69" ht="11.25" customHeight="1" x14ac:dyDescent="0.25">
      <c r="A161" s="5"/>
      <c r="B161" s="12" t="str">
        <f>Assumptions!B129</f>
        <v>US inflation (2029 - )</v>
      </c>
      <c r="C161" s="7"/>
      <c r="D161" s="366">
        <f>Assumptions!D129</f>
        <v>2.75E-2</v>
      </c>
      <c r="E161" s="83">
        <f t="shared" si="65"/>
        <v>0</v>
      </c>
      <c r="F161" s="302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</row>
    <row r="162" spans="1:69" ht="11.25" customHeight="1" x14ac:dyDescent="0.25">
      <c r="A162" s="5"/>
      <c r="B162" s="12" t="str">
        <f>Assumptions!B130</f>
        <v>US inflation change after</v>
      </c>
      <c r="C162" s="7"/>
      <c r="D162" s="257">
        <f>Assumptions!D130</f>
        <v>47330</v>
      </c>
      <c r="E162" s="83">
        <f t="shared" si="65"/>
        <v>0</v>
      </c>
      <c r="F162" s="302"/>
      <c r="G162" s="5"/>
      <c r="H162" s="5"/>
      <c r="I162" s="193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</row>
    <row r="163" spans="1:69" ht="11.25" customHeight="1" x14ac:dyDescent="0.25">
      <c r="A163" s="5"/>
      <c r="B163" s="6" t="s">
        <v>472</v>
      </c>
      <c r="C163" s="7" t="s">
        <v>52</v>
      </c>
      <c r="D163" s="11"/>
      <c r="E163" s="6">
        <f t="shared" si="65"/>
        <v>2.3414999999999981</v>
      </c>
      <c r="F163" s="302" t="s">
        <v>26</v>
      </c>
      <c r="G163" s="370">
        <f>IF(YEAR(G1)&lt;YEAR($D$159),$D$157,$D$158)</f>
        <v>3.4500000000000003E-2</v>
      </c>
      <c r="H163" s="370">
        <f t="shared" ref="H163:BJ163" si="69">IF(YEAR(H1)&lt;YEAR($D$159),$D$157,$D$158)</f>
        <v>3.4500000000000003E-2</v>
      </c>
      <c r="I163" s="370">
        <f t="shared" si="69"/>
        <v>3.4500000000000003E-2</v>
      </c>
      <c r="J163" s="370">
        <f t="shared" si="69"/>
        <v>3.4500000000000003E-2</v>
      </c>
      <c r="K163" s="370">
        <f t="shared" si="69"/>
        <v>3.4500000000000003E-2</v>
      </c>
      <c r="L163" s="370">
        <f t="shared" si="69"/>
        <v>3.4500000000000003E-2</v>
      </c>
      <c r="M163" s="370">
        <f t="shared" si="69"/>
        <v>3.4500000000000003E-2</v>
      </c>
      <c r="N163" s="370">
        <f t="shared" si="69"/>
        <v>3.4500000000000003E-2</v>
      </c>
      <c r="O163" s="370">
        <f t="shared" si="69"/>
        <v>3.4500000000000003E-2</v>
      </c>
      <c r="P163" s="370">
        <f t="shared" si="69"/>
        <v>3.4500000000000003E-2</v>
      </c>
      <c r="Q163" s="370">
        <f t="shared" si="69"/>
        <v>3.4500000000000003E-2</v>
      </c>
      <c r="R163" s="370">
        <f t="shared" si="69"/>
        <v>3.4500000000000003E-2</v>
      </c>
      <c r="S163" s="370">
        <f t="shared" si="69"/>
        <v>3.4500000000000003E-2</v>
      </c>
      <c r="T163" s="370">
        <f t="shared" si="69"/>
        <v>3.4500000000000003E-2</v>
      </c>
      <c r="U163" s="370">
        <f t="shared" si="69"/>
        <v>3.4500000000000003E-2</v>
      </c>
      <c r="V163" s="370">
        <f t="shared" si="69"/>
        <v>3.4500000000000003E-2</v>
      </c>
      <c r="W163" s="370">
        <f t="shared" si="69"/>
        <v>3.4500000000000003E-2</v>
      </c>
      <c r="X163" s="370">
        <f t="shared" si="69"/>
        <v>4.4999999999999998E-2</v>
      </c>
      <c r="Y163" s="370">
        <f t="shared" si="69"/>
        <v>4.4999999999999998E-2</v>
      </c>
      <c r="Z163" s="370">
        <f t="shared" si="69"/>
        <v>4.4999999999999998E-2</v>
      </c>
      <c r="AA163" s="370">
        <f t="shared" si="69"/>
        <v>4.4999999999999998E-2</v>
      </c>
      <c r="AB163" s="370">
        <f t="shared" si="69"/>
        <v>4.4999999999999998E-2</v>
      </c>
      <c r="AC163" s="370">
        <f t="shared" si="69"/>
        <v>4.4999999999999998E-2</v>
      </c>
      <c r="AD163" s="370">
        <f t="shared" si="69"/>
        <v>4.4999999999999998E-2</v>
      </c>
      <c r="AE163" s="370">
        <f t="shared" si="69"/>
        <v>4.4999999999999998E-2</v>
      </c>
      <c r="AF163" s="370">
        <f t="shared" si="69"/>
        <v>4.4999999999999998E-2</v>
      </c>
      <c r="AG163" s="370">
        <f t="shared" si="69"/>
        <v>4.4999999999999998E-2</v>
      </c>
      <c r="AH163" s="370">
        <f t="shared" si="69"/>
        <v>4.4999999999999998E-2</v>
      </c>
      <c r="AI163" s="370">
        <f t="shared" si="69"/>
        <v>4.4999999999999998E-2</v>
      </c>
      <c r="AJ163" s="370">
        <f t="shared" si="69"/>
        <v>4.4999999999999998E-2</v>
      </c>
      <c r="AK163" s="370">
        <f t="shared" si="69"/>
        <v>4.4999999999999998E-2</v>
      </c>
      <c r="AL163" s="370">
        <f t="shared" si="69"/>
        <v>4.4999999999999998E-2</v>
      </c>
      <c r="AM163" s="370">
        <f t="shared" si="69"/>
        <v>4.4999999999999998E-2</v>
      </c>
      <c r="AN163" s="370">
        <f t="shared" si="69"/>
        <v>4.4999999999999998E-2</v>
      </c>
      <c r="AO163" s="370">
        <f t="shared" si="69"/>
        <v>4.4999999999999998E-2</v>
      </c>
      <c r="AP163" s="370">
        <f t="shared" si="69"/>
        <v>4.4999999999999998E-2</v>
      </c>
      <c r="AQ163" s="370">
        <f t="shared" si="69"/>
        <v>4.4999999999999998E-2</v>
      </c>
      <c r="AR163" s="370">
        <f t="shared" si="69"/>
        <v>4.4999999999999998E-2</v>
      </c>
      <c r="AS163" s="370">
        <f t="shared" si="69"/>
        <v>4.4999999999999998E-2</v>
      </c>
      <c r="AT163" s="370">
        <f t="shared" si="69"/>
        <v>4.4999999999999998E-2</v>
      </c>
      <c r="AU163" s="370">
        <f t="shared" si="69"/>
        <v>4.4999999999999998E-2</v>
      </c>
      <c r="AV163" s="370">
        <f t="shared" si="69"/>
        <v>4.4999999999999998E-2</v>
      </c>
      <c r="AW163" s="370">
        <f t="shared" si="69"/>
        <v>4.4999999999999998E-2</v>
      </c>
      <c r="AX163" s="370">
        <f t="shared" si="69"/>
        <v>4.4999999999999998E-2</v>
      </c>
      <c r="AY163" s="370">
        <f t="shared" si="69"/>
        <v>4.4999999999999998E-2</v>
      </c>
      <c r="AZ163" s="370">
        <f t="shared" si="69"/>
        <v>4.4999999999999998E-2</v>
      </c>
      <c r="BA163" s="370">
        <f t="shared" si="69"/>
        <v>4.4999999999999998E-2</v>
      </c>
      <c r="BB163" s="370">
        <f t="shared" si="69"/>
        <v>4.4999999999999998E-2</v>
      </c>
      <c r="BC163" s="370">
        <f t="shared" si="69"/>
        <v>4.4999999999999998E-2</v>
      </c>
      <c r="BD163" s="370">
        <f t="shared" si="69"/>
        <v>4.4999999999999998E-2</v>
      </c>
      <c r="BE163" s="370">
        <f t="shared" si="69"/>
        <v>4.4999999999999998E-2</v>
      </c>
      <c r="BF163" s="370">
        <f t="shared" si="69"/>
        <v>4.4999999999999998E-2</v>
      </c>
      <c r="BG163" s="370">
        <f t="shared" si="69"/>
        <v>4.4999999999999998E-2</v>
      </c>
      <c r="BH163" s="370">
        <f t="shared" si="69"/>
        <v>4.4999999999999998E-2</v>
      </c>
      <c r="BI163" s="370">
        <f t="shared" si="69"/>
        <v>4.4999999999999998E-2</v>
      </c>
      <c r="BJ163" s="370">
        <f t="shared" si="69"/>
        <v>4.4999999999999998E-2</v>
      </c>
    </row>
    <row r="164" spans="1:69" ht="11.25" customHeight="1" x14ac:dyDescent="0.25">
      <c r="A164" s="5"/>
      <c r="B164" s="6" t="s">
        <v>469</v>
      </c>
      <c r="C164" s="7" t="s">
        <v>102</v>
      </c>
      <c r="D164" s="11"/>
      <c r="E164" s="83">
        <f t="shared" si="65"/>
        <v>89.362799024267943</v>
      </c>
      <c r="F164" s="302"/>
      <c r="G164" s="173">
        <f>IF(F164=0,1,F166)</f>
        <v>1</v>
      </c>
      <c r="H164" s="173">
        <f>IF(G164=0,1,G166)</f>
        <v>1.008515607806689</v>
      </c>
      <c r="I164" s="173">
        <f>IF(H164=0,1,H166)</f>
        <v>1.0171037311896953</v>
      </c>
      <c r="J164" s="173">
        <f t="shared" ref="J164:BJ164" si="70">IF(I164=0,1,I166)</f>
        <v>1.0257649876632269</v>
      </c>
      <c r="K164" s="173">
        <f t="shared" si="70"/>
        <v>1.0345000000000002</v>
      </c>
      <c r="L164" s="173">
        <f t="shared" si="70"/>
        <v>1.04330939627602</v>
      </c>
      <c r="M164" s="173">
        <f t="shared" si="70"/>
        <v>1.0521938099157402</v>
      </c>
      <c r="N164" s="173">
        <f t="shared" si="70"/>
        <v>1.0611538797376086</v>
      </c>
      <c r="O164" s="173">
        <f t="shared" si="70"/>
        <v>1.0701902500000005</v>
      </c>
      <c r="P164" s="173">
        <f t="shared" si="70"/>
        <v>1.0793035704475429</v>
      </c>
      <c r="Q164" s="173">
        <f t="shared" si="70"/>
        <v>1.0884944963578334</v>
      </c>
      <c r="R164" s="173">
        <f t="shared" si="70"/>
        <v>1.0977636885885562</v>
      </c>
      <c r="S164" s="173">
        <f t="shared" si="70"/>
        <v>1.1071118136250007</v>
      </c>
      <c r="T164" s="173">
        <f t="shared" si="70"/>
        <v>1.1165395436279835</v>
      </c>
      <c r="U164" s="173">
        <f t="shared" si="70"/>
        <v>1.126047556482179</v>
      </c>
      <c r="V164" s="173">
        <f t="shared" si="70"/>
        <v>1.1356365358448617</v>
      </c>
      <c r="W164" s="173">
        <f t="shared" si="70"/>
        <v>1.1453071711950635</v>
      </c>
      <c r="X164" s="173">
        <f t="shared" si="70"/>
        <v>1.1648961971808143</v>
      </c>
      <c r="Y164" s="173">
        <f t="shared" si="70"/>
        <v>1.190817950807598</v>
      </c>
      <c r="Z164" s="173">
        <f t="shared" si="70"/>
        <v>1.2173165260539509</v>
      </c>
      <c r="AA164" s="173">
        <f t="shared" si="70"/>
        <v>1.24440475859394</v>
      </c>
      <c r="AB164" s="173">
        <f t="shared" si="70"/>
        <v>1.2720957697263786</v>
      </c>
      <c r="AC164" s="173">
        <f t="shared" si="70"/>
        <v>1.3004029727306672</v>
      </c>
      <c r="AD164" s="173">
        <f t="shared" si="70"/>
        <v>1.3293400793640657</v>
      </c>
      <c r="AE164" s="173">
        <f t="shared" si="70"/>
        <v>1.3589211065035474</v>
      </c>
      <c r="AF164" s="173">
        <f t="shared" si="70"/>
        <v>1.3891603829354489</v>
      </c>
      <c r="AG164" s="173">
        <f t="shared" si="70"/>
        <v>1.4200725562962071</v>
      </c>
      <c r="AH164" s="173">
        <f t="shared" si="70"/>
        <v>1.4516726001675442</v>
      </c>
      <c r="AI164" s="173">
        <f t="shared" si="70"/>
        <v>1.4839758213295366</v>
      </c>
      <c r="AJ164" s="173">
        <f t="shared" si="70"/>
        <v>1.5169978671750839</v>
      </c>
      <c r="AK164" s="173">
        <f t="shared" si="70"/>
        <v>1.5507547332893659</v>
      </c>
      <c r="AL164" s="173">
        <f t="shared" si="70"/>
        <v>1.5852627711979626</v>
      </c>
      <c r="AM164" s="173">
        <f t="shared" si="70"/>
        <v>1.6205386962873873</v>
      </c>
      <c r="AN164" s="173">
        <f t="shared" si="70"/>
        <v>1.6565995959018709</v>
      </c>
      <c r="AO164" s="173">
        <f t="shared" si="70"/>
        <v>1.6934629376203196</v>
      </c>
      <c r="AP164" s="173">
        <f t="shared" si="70"/>
        <v>1.7311465777174551</v>
      </c>
      <c r="AQ164" s="173">
        <f t="shared" si="70"/>
        <v>1.7696687698132341</v>
      </c>
      <c r="AR164" s="173">
        <f t="shared" si="70"/>
        <v>1.8090481737147406</v>
      </c>
      <c r="AS164" s="173">
        <f t="shared" si="70"/>
        <v>1.8493038644548296</v>
      </c>
      <c r="AT164" s="173">
        <f t="shared" si="70"/>
        <v>1.8904553415319039</v>
      </c>
      <c r="AU164" s="173">
        <f t="shared" si="70"/>
        <v>1.9325225383552969</v>
      </c>
      <c r="AV164" s="173">
        <f t="shared" si="70"/>
        <v>1.9755258319008395</v>
      </c>
      <c r="AW164" s="173">
        <f t="shared" si="70"/>
        <v>2.0194860525812852</v>
      </c>
      <c r="AX164" s="173">
        <f t="shared" si="70"/>
        <v>2.0644244943363774</v>
      </c>
      <c r="AY164" s="173">
        <f t="shared" si="70"/>
        <v>2.1103629249474434</v>
      </c>
      <c r="AZ164" s="173">
        <f t="shared" si="70"/>
        <v>2.1573235965815147</v>
      </c>
      <c r="BA164" s="173">
        <f t="shared" si="70"/>
        <v>2.2053292565700784</v>
      </c>
      <c r="BB164" s="173">
        <f t="shared" si="70"/>
        <v>2.2544031584276829</v>
      </c>
      <c r="BC164" s="173">
        <f t="shared" si="70"/>
        <v>2.304569073115732</v>
      </c>
      <c r="BD164" s="173">
        <f t="shared" si="70"/>
        <v>2.3558513005569286</v>
      </c>
      <c r="BE164" s="173">
        <f t="shared" si="70"/>
        <v>2.4082746814059401</v>
      </c>
      <c r="BF164" s="173">
        <f t="shared" si="70"/>
        <v>2.4618646090819905</v>
      </c>
      <c r="BG164" s="173">
        <f t="shared" si="70"/>
        <v>2.5166470420692075</v>
      </c>
      <c r="BH164" s="173">
        <f t="shared" si="70"/>
        <v>2.57264851649068</v>
      </c>
      <c r="BI164" s="173">
        <f t="shared" si="70"/>
        <v>2.6298961589623215</v>
      </c>
      <c r="BJ164" s="173">
        <f t="shared" si="70"/>
        <v>2.6884176997327605</v>
      </c>
    </row>
    <row r="165" spans="1:69" ht="11.25" customHeight="1" x14ac:dyDescent="0.25">
      <c r="A165" s="5"/>
      <c r="B165" s="6" t="s">
        <v>470</v>
      </c>
      <c r="C165" s="7" t="s">
        <v>102</v>
      </c>
      <c r="D165" s="11"/>
      <c r="E165" s="83">
        <f t="shared" si="65"/>
        <v>90.236919767325745</v>
      </c>
      <c r="F165" s="302"/>
      <c r="G165" s="126">
        <f>AVERAGE(G164,G166)</f>
        <v>1.0042578039033445</v>
      </c>
      <c r="H165" s="126">
        <f t="shared" ref="H165:BJ165" si="71">AVERAGE(H164,H166)</f>
        <v>1.0128096694981923</v>
      </c>
      <c r="I165" s="126">
        <f t="shared" si="71"/>
        <v>1.0214343594264612</v>
      </c>
      <c r="J165" s="126">
        <f t="shared" si="71"/>
        <v>1.0301324938316134</v>
      </c>
      <c r="K165" s="126">
        <f t="shared" si="71"/>
        <v>1.0389046981380101</v>
      </c>
      <c r="L165" s="126">
        <f t="shared" si="71"/>
        <v>1.0477516030958802</v>
      </c>
      <c r="M165" s="126">
        <f t="shared" si="71"/>
        <v>1.0566738448266744</v>
      </c>
      <c r="N165" s="126">
        <f t="shared" si="71"/>
        <v>1.0656720648688045</v>
      </c>
      <c r="O165" s="126">
        <f t="shared" si="71"/>
        <v>1.0747469102237717</v>
      </c>
      <c r="P165" s="126">
        <f t="shared" si="71"/>
        <v>1.0838990334026881</v>
      </c>
      <c r="Q165" s="126">
        <f t="shared" si="71"/>
        <v>1.0931290924731947</v>
      </c>
      <c r="R165" s="126">
        <f t="shared" si="71"/>
        <v>1.1024377511067784</v>
      </c>
      <c r="S165" s="126">
        <f t="shared" si="71"/>
        <v>1.111825678626492</v>
      </c>
      <c r="T165" s="126">
        <f t="shared" si="71"/>
        <v>1.1212935500550811</v>
      </c>
      <c r="U165" s="126">
        <f t="shared" si="71"/>
        <v>1.1308420461635205</v>
      </c>
      <c r="V165" s="126">
        <f t="shared" si="71"/>
        <v>1.1404718535199625</v>
      </c>
      <c r="W165" s="126">
        <f t="shared" si="71"/>
        <v>1.1551016841879389</v>
      </c>
      <c r="X165" s="126">
        <f t="shared" si="71"/>
        <v>1.1778570739942062</v>
      </c>
      <c r="Y165" s="126">
        <f t="shared" si="71"/>
        <v>1.2040672384307745</v>
      </c>
      <c r="Z165" s="126">
        <f t="shared" si="71"/>
        <v>1.2308606423239454</v>
      </c>
      <c r="AA165" s="126">
        <f t="shared" si="71"/>
        <v>1.2582502641601594</v>
      </c>
      <c r="AB165" s="126">
        <f t="shared" si="71"/>
        <v>1.2862493712285228</v>
      </c>
      <c r="AC165" s="126">
        <f t="shared" si="71"/>
        <v>1.3148715260473665</v>
      </c>
      <c r="AD165" s="126">
        <f t="shared" si="71"/>
        <v>1.3441305929338065</v>
      </c>
      <c r="AE165" s="126">
        <f t="shared" si="71"/>
        <v>1.374040744719498</v>
      </c>
      <c r="AF165" s="126">
        <f t="shared" si="71"/>
        <v>1.4046164696158279</v>
      </c>
      <c r="AG165" s="126">
        <f t="shared" si="71"/>
        <v>1.4358725782318755</v>
      </c>
      <c r="AH165" s="126">
        <f t="shared" si="71"/>
        <v>1.4678242107485404</v>
      </c>
      <c r="AI165" s="126">
        <f t="shared" si="71"/>
        <v>1.5004868442523103</v>
      </c>
      <c r="AJ165" s="126">
        <f t="shared" si="71"/>
        <v>1.5338763002322249</v>
      </c>
      <c r="AK165" s="126">
        <f t="shared" si="71"/>
        <v>1.5680087522436641</v>
      </c>
      <c r="AL165" s="126">
        <f t="shared" si="71"/>
        <v>1.6029007337426751</v>
      </c>
      <c r="AM165" s="126">
        <f t="shared" si="71"/>
        <v>1.6385691460946292</v>
      </c>
      <c r="AN165" s="126">
        <f t="shared" si="71"/>
        <v>1.6750312667610952</v>
      </c>
      <c r="AO165" s="126">
        <f t="shared" si="71"/>
        <v>1.7123047576688872</v>
      </c>
      <c r="AP165" s="126">
        <f t="shared" si="71"/>
        <v>1.7504076737653445</v>
      </c>
      <c r="AQ165" s="126">
        <f t="shared" si="71"/>
        <v>1.7893584717639874</v>
      </c>
      <c r="AR165" s="126">
        <f t="shared" si="71"/>
        <v>1.8291760190847852</v>
      </c>
      <c r="AS165" s="126">
        <f t="shared" si="71"/>
        <v>1.8698796029933669</v>
      </c>
      <c r="AT165" s="126">
        <f t="shared" si="71"/>
        <v>1.9114889399436004</v>
      </c>
      <c r="AU165" s="126">
        <f t="shared" si="71"/>
        <v>1.9540241851280682</v>
      </c>
      <c r="AV165" s="126">
        <f t="shared" si="71"/>
        <v>1.9975059422410624</v>
      </c>
      <c r="AW165" s="126">
        <f t="shared" si="71"/>
        <v>2.0419552734588313</v>
      </c>
      <c r="AX165" s="126">
        <f t="shared" si="71"/>
        <v>2.0873937096419102</v>
      </c>
      <c r="AY165" s="126">
        <f t="shared" si="71"/>
        <v>2.1338432607644791</v>
      </c>
      <c r="AZ165" s="126">
        <f t="shared" si="71"/>
        <v>2.1813264265757963</v>
      </c>
      <c r="BA165" s="126">
        <f t="shared" si="71"/>
        <v>2.2298662074988806</v>
      </c>
      <c r="BB165" s="126">
        <f t="shared" si="71"/>
        <v>2.2794861157717072</v>
      </c>
      <c r="BC165" s="126">
        <f t="shared" si="71"/>
        <v>2.3302101868363305</v>
      </c>
      <c r="BD165" s="126">
        <f t="shared" si="71"/>
        <v>2.3820629909814341</v>
      </c>
      <c r="BE165" s="126">
        <f t="shared" si="71"/>
        <v>2.4350696452439653</v>
      </c>
      <c r="BF165" s="126">
        <f t="shared" si="71"/>
        <v>2.489255825575599</v>
      </c>
      <c r="BG165" s="126">
        <f t="shared" si="71"/>
        <v>2.544647779279944</v>
      </c>
      <c r="BH165" s="126">
        <f t="shared" si="71"/>
        <v>2.6012723377265008</v>
      </c>
      <c r="BI165" s="126">
        <f t="shared" si="71"/>
        <v>2.659156929347541</v>
      </c>
      <c r="BJ165" s="126">
        <f t="shared" si="71"/>
        <v>2.7183295929241931</v>
      </c>
    </row>
    <row r="166" spans="1:69" ht="11.25" customHeight="1" x14ac:dyDescent="0.25">
      <c r="A166" s="5"/>
      <c r="B166" s="6" t="s">
        <v>471</v>
      </c>
      <c r="C166" s="7" t="s">
        <v>102</v>
      </c>
      <c r="D166" s="11"/>
      <c r="E166" s="83">
        <f t="shared" si="65"/>
        <v>91.111040510383575</v>
      </c>
      <c r="F166" s="302" t="s">
        <v>26</v>
      </c>
      <c r="G166" s="126">
        <f>G164*((1+G163)^G3)</f>
        <v>1.008515607806689</v>
      </c>
      <c r="H166" s="126">
        <f t="shared" ref="H166:BJ166" si="72">H164*((1+H163)^H3)</f>
        <v>1.0171037311896953</v>
      </c>
      <c r="I166" s="126">
        <f t="shared" si="72"/>
        <v>1.0257649876632269</v>
      </c>
      <c r="J166" s="126">
        <f t="shared" si="72"/>
        <v>1.0345000000000002</v>
      </c>
      <c r="K166" s="126">
        <f t="shared" si="72"/>
        <v>1.04330939627602</v>
      </c>
      <c r="L166" s="126">
        <f t="shared" si="72"/>
        <v>1.0521938099157402</v>
      </c>
      <c r="M166" s="126">
        <f t="shared" si="72"/>
        <v>1.0611538797376086</v>
      </c>
      <c r="N166" s="126">
        <f t="shared" si="72"/>
        <v>1.0701902500000005</v>
      </c>
      <c r="O166" s="126">
        <f t="shared" si="72"/>
        <v>1.0793035704475429</v>
      </c>
      <c r="P166" s="126">
        <f t="shared" si="72"/>
        <v>1.0884944963578334</v>
      </c>
      <c r="Q166" s="126">
        <f t="shared" si="72"/>
        <v>1.0977636885885562</v>
      </c>
      <c r="R166" s="126">
        <f t="shared" si="72"/>
        <v>1.1071118136250007</v>
      </c>
      <c r="S166" s="126">
        <f t="shared" si="72"/>
        <v>1.1165395436279835</v>
      </c>
      <c r="T166" s="126">
        <f t="shared" si="72"/>
        <v>1.126047556482179</v>
      </c>
      <c r="U166" s="126">
        <f t="shared" si="72"/>
        <v>1.1356365358448617</v>
      </c>
      <c r="V166" s="126">
        <f t="shared" si="72"/>
        <v>1.1453071711950635</v>
      </c>
      <c r="W166" s="126">
        <f t="shared" si="72"/>
        <v>1.1648961971808143</v>
      </c>
      <c r="X166" s="126">
        <f t="shared" si="72"/>
        <v>1.190817950807598</v>
      </c>
      <c r="Y166" s="126">
        <f t="shared" si="72"/>
        <v>1.2173165260539509</v>
      </c>
      <c r="Z166" s="126">
        <f t="shared" si="72"/>
        <v>1.24440475859394</v>
      </c>
      <c r="AA166" s="126">
        <f t="shared" si="72"/>
        <v>1.2720957697263786</v>
      </c>
      <c r="AB166" s="126">
        <f t="shared" si="72"/>
        <v>1.3004029727306672</v>
      </c>
      <c r="AC166" s="126">
        <f t="shared" si="72"/>
        <v>1.3293400793640657</v>
      </c>
      <c r="AD166" s="126">
        <f t="shared" si="72"/>
        <v>1.3589211065035474</v>
      </c>
      <c r="AE166" s="126">
        <f t="shared" si="72"/>
        <v>1.3891603829354489</v>
      </c>
      <c r="AF166" s="126">
        <f t="shared" si="72"/>
        <v>1.4200725562962071</v>
      </c>
      <c r="AG166" s="126">
        <f t="shared" si="72"/>
        <v>1.4516726001675442</v>
      </c>
      <c r="AH166" s="126">
        <f t="shared" si="72"/>
        <v>1.4839758213295366</v>
      </c>
      <c r="AI166" s="126">
        <f t="shared" si="72"/>
        <v>1.5169978671750839</v>
      </c>
      <c r="AJ166" s="126">
        <f t="shared" si="72"/>
        <v>1.5507547332893659</v>
      </c>
      <c r="AK166" s="126">
        <f t="shared" si="72"/>
        <v>1.5852627711979626</v>
      </c>
      <c r="AL166" s="126">
        <f t="shared" si="72"/>
        <v>1.6205386962873873</v>
      </c>
      <c r="AM166" s="126">
        <f t="shared" si="72"/>
        <v>1.6565995959018709</v>
      </c>
      <c r="AN166" s="126">
        <f t="shared" si="72"/>
        <v>1.6934629376203196</v>
      </c>
      <c r="AO166" s="126">
        <f t="shared" si="72"/>
        <v>1.7311465777174551</v>
      </c>
      <c r="AP166" s="126">
        <f t="shared" si="72"/>
        <v>1.7696687698132341</v>
      </c>
      <c r="AQ166" s="126">
        <f t="shared" si="72"/>
        <v>1.8090481737147406</v>
      </c>
      <c r="AR166" s="126">
        <f t="shared" si="72"/>
        <v>1.8493038644548296</v>
      </c>
      <c r="AS166" s="126">
        <f t="shared" si="72"/>
        <v>1.8904553415319039</v>
      </c>
      <c r="AT166" s="126">
        <f t="shared" si="72"/>
        <v>1.9325225383552969</v>
      </c>
      <c r="AU166" s="126">
        <f t="shared" si="72"/>
        <v>1.9755258319008395</v>
      </c>
      <c r="AV166" s="126">
        <f t="shared" si="72"/>
        <v>2.0194860525812852</v>
      </c>
      <c r="AW166" s="126">
        <f t="shared" si="72"/>
        <v>2.0644244943363774</v>
      </c>
      <c r="AX166" s="126">
        <f t="shared" si="72"/>
        <v>2.1103629249474434</v>
      </c>
      <c r="AY166" s="126">
        <f t="shared" si="72"/>
        <v>2.1573235965815147</v>
      </c>
      <c r="AZ166" s="126">
        <f t="shared" si="72"/>
        <v>2.2053292565700784</v>
      </c>
      <c r="BA166" s="126">
        <f t="shared" si="72"/>
        <v>2.2544031584276829</v>
      </c>
      <c r="BB166" s="126">
        <f t="shared" si="72"/>
        <v>2.304569073115732</v>
      </c>
      <c r="BC166" s="126">
        <f t="shared" si="72"/>
        <v>2.3558513005569286</v>
      </c>
      <c r="BD166" s="126">
        <f t="shared" si="72"/>
        <v>2.4082746814059401</v>
      </c>
      <c r="BE166" s="126">
        <f t="shared" si="72"/>
        <v>2.4618646090819905</v>
      </c>
      <c r="BF166" s="126">
        <f t="shared" si="72"/>
        <v>2.5166470420692075</v>
      </c>
      <c r="BG166" s="126">
        <f t="shared" si="72"/>
        <v>2.57264851649068</v>
      </c>
      <c r="BH166" s="126">
        <f t="shared" si="72"/>
        <v>2.6298961589623215</v>
      </c>
      <c r="BI166" s="126">
        <f t="shared" si="72"/>
        <v>2.6884176997327605</v>
      </c>
      <c r="BJ166" s="126">
        <f t="shared" si="72"/>
        <v>2.7482414861156261</v>
      </c>
    </row>
    <row r="167" spans="1:69" ht="11.25" customHeight="1" x14ac:dyDescent="0.25">
      <c r="A167" s="5"/>
      <c r="B167" s="6" t="s">
        <v>484</v>
      </c>
      <c r="C167" s="7"/>
      <c r="D167" s="11"/>
      <c r="E167" s="83">
        <f t="shared" si="65"/>
        <v>57.021197641605383</v>
      </c>
      <c r="F167" s="302"/>
      <c r="G167" s="126">
        <f>G166/G164</f>
        <v>1.008515607806689</v>
      </c>
      <c r="H167" s="126">
        <f t="shared" ref="H167:BJ167" si="73">H166/H164</f>
        <v>1.008515607806689</v>
      </c>
      <c r="I167" s="126">
        <f t="shared" si="73"/>
        <v>1.008515607806689</v>
      </c>
      <c r="J167" s="126">
        <f t="shared" si="73"/>
        <v>1.008515607806689</v>
      </c>
      <c r="K167" s="126">
        <f t="shared" si="73"/>
        <v>1.008515607806689</v>
      </c>
      <c r="L167" s="126">
        <f t="shared" si="73"/>
        <v>1.008515607806689</v>
      </c>
      <c r="M167" s="126">
        <f t="shared" si="73"/>
        <v>1.008515607806689</v>
      </c>
      <c r="N167" s="126">
        <f t="shared" si="73"/>
        <v>1.008515607806689</v>
      </c>
      <c r="O167" s="126">
        <f t="shared" si="73"/>
        <v>1.008515607806689</v>
      </c>
      <c r="P167" s="126">
        <f t="shared" si="73"/>
        <v>1.008515607806689</v>
      </c>
      <c r="Q167" s="126">
        <f t="shared" si="73"/>
        <v>1.008515607806689</v>
      </c>
      <c r="R167" s="126">
        <f t="shared" si="73"/>
        <v>1.008515607806689</v>
      </c>
      <c r="S167" s="126">
        <f t="shared" si="73"/>
        <v>1.008515607806689</v>
      </c>
      <c r="T167" s="126">
        <f t="shared" si="73"/>
        <v>1.008515607806689</v>
      </c>
      <c r="U167" s="126">
        <f t="shared" si="73"/>
        <v>1.008515607806689</v>
      </c>
      <c r="V167" s="126">
        <f t="shared" si="73"/>
        <v>1.008515607806689</v>
      </c>
      <c r="W167" s="126">
        <f t="shared" si="73"/>
        <v>1.0171037311896953</v>
      </c>
      <c r="X167" s="126">
        <f t="shared" si="73"/>
        <v>1.0222524150130436</v>
      </c>
      <c r="Y167" s="126">
        <f t="shared" si="73"/>
        <v>1.0222524150130436</v>
      </c>
      <c r="Z167" s="126">
        <f t="shared" si="73"/>
        <v>1.0222524150130436</v>
      </c>
      <c r="AA167" s="126">
        <f t="shared" si="73"/>
        <v>1.0222524150130436</v>
      </c>
      <c r="AB167" s="126">
        <f t="shared" si="73"/>
        <v>1.0222524150130436</v>
      </c>
      <c r="AC167" s="126">
        <f t="shared" si="73"/>
        <v>1.0222524150130436</v>
      </c>
      <c r="AD167" s="126">
        <f t="shared" si="73"/>
        <v>1.0222524150130436</v>
      </c>
      <c r="AE167" s="126">
        <f t="shared" si="73"/>
        <v>1.0222524150130436</v>
      </c>
      <c r="AF167" s="126">
        <f t="shared" si="73"/>
        <v>1.0222524150130436</v>
      </c>
      <c r="AG167" s="126">
        <f t="shared" si="73"/>
        <v>1.0222524150130436</v>
      </c>
      <c r="AH167" s="126">
        <f t="shared" si="73"/>
        <v>1.0222524150130436</v>
      </c>
      <c r="AI167" s="126">
        <f t="shared" si="73"/>
        <v>1.0222524150130436</v>
      </c>
      <c r="AJ167" s="126">
        <f t="shared" si="73"/>
        <v>1.0222524150130436</v>
      </c>
      <c r="AK167" s="126">
        <f t="shared" si="73"/>
        <v>1.0222524150130436</v>
      </c>
      <c r="AL167" s="126">
        <f t="shared" si="73"/>
        <v>1.0222524150130436</v>
      </c>
      <c r="AM167" s="126">
        <f t="shared" si="73"/>
        <v>1.0222524150130436</v>
      </c>
      <c r="AN167" s="126">
        <f t="shared" si="73"/>
        <v>1.0222524150130436</v>
      </c>
      <c r="AO167" s="126">
        <f t="shared" si="73"/>
        <v>1.0222524150130436</v>
      </c>
      <c r="AP167" s="126">
        <f t="shared" si="73"/>
        <v>1.0222524150130436</v>
      </c>
      <c r="AQ167" s="126">
        <f t="shared" si="73"/>
        <v>1.0222524150130436</v>
      </c>
      <c r="AR167" s="126">
        <f t="shared" si="73"/>
        <v>1.0222524150130436</v>
      </c>
      <c r="AS167" s="126">
        <f t="shared" si="73"/>
        <v>1.0222524150130436</v>
      </c>
      <c r="AT167" s="126">
        <f t="shared" si="73"/>
        <v>1.0222524150130436</v>
      </c>
      <c r="AU167" s="126">
        <f t="shared" si="73"/>
        <v>1.0222524150130436</v>
      </c>
      <c r="AV167" s="126">
        <f t="shared" si="73"/>
        <v>1.0222524150130436</v>
      </c>
      <c r="AW167" s="126">
        <f t="shared" si="73"/>
        <v>1.0222524150130436</v>
      </c>
      <c r="AX167" s="126">
        <f t="shared" si="73"/>
        <v>1.0222524150130436</v>
      </c>
      <c r="AY167" s="126">
        <f t="shared" si="73"/>
        <v>1.0222524150130436</v>
      </c>
      <c r="AZ167" s="126">
        <f t="shared" si="73"/>
        <v>1.0222524150130436</v>
      </c>
      <c r="BA167" s="126">
        <f t="shared" si="73"/>
        <v>1.0222524150130436</v>
      </c>
      <c r="BB167" s="126">
        <f t="shared" si="73"/>
        <v>1.0222524150130436</v>
      </c>
      <c r="BC167" s="126">
        <f t="shared" si="73"/>
        <v>1.0222524150130436</v>
      </c>
      <c r="BD167" s="126">
        <f t="shared" si="73"/>
        <v>1.0222524150130436</v>
      </c>
      <c r="BE167" s="126">
        <f t="shared" si="73"/>
        <v>1.0222524150130436</v>
      </c>
      <c r="BF167" s="126">
        <f t="shared" si="73"/>
        <v>1.0222524150130436</v>
      </c>
      <c r="BG167" s="126">
        <f t="shared" si="73"/>
        <v>1.0222524150130436</v>
      </c>
      <c r="BH167" s="126">
        <f t="shared" si="73"/>
        <v>1.0222524150130436</v>
      </c>
      <c r="BI167" s="126">
        <f t="shared" si="73"/>
        <v>1.0222524150130436</v>
      </c>
      <c r="BJ167" s="126">
        <f t="shared" si="73"/>
        <v>1.0222524150130436</v>
      </c>
    </row>
    <row r="168" spans="1:69" ht="11.25" customHeight="1" x14ac:dyDescent="0.25">
      <c r="E168" s="83">
        <f t="shared" si="65"/>
        <v>0</v>
      </c>
      <c r="F168"/>
    </row>
    <row r="169" spans="1:69" ht="11.25" customHeight="1" x14ac:dyDescent="0.25">
      <c r="A169" s="5"/>
      <c r="B169" s="6" t="s">
        <v>51</v>
      </c>
      <c r="C169" s="7" t="s">
        <v>52</v>
      </c>
      <c r="D169" s="11"/>
      <c r="E169" s="83">
        <f t="shared" si="65"/>
        <v>1.5950000000000017</v>
      </c>
      <c r="F169" s="302" t="s">
        <v>26</v>
      </c>
      <c r="G169" s="370">
        <f>IF((G1)&lt;=($D$162),$D$160,$D$161)</f>
        <v>0.03</v>
      </c>
      <c r="H169" s="370">
        <f t="shared" ref="H169:BJ169" si="74">IF((H1)&lt;=($D$162),$D$160,$D$161)</f>
        <v>0.03</v>
      </c>
      <c r="I169" s="370">
        <f t="shared" si="74"/>
        <v>0.03</v>
      </c>
      <c r="J169" s="370">
        <f t="shared" si="74"/>
        <v>0.03</v>
      </c>
      <c r="K169" s="370">
        <f t="shared" si="74"/>
        <v>0.03</v>
      </c>
      <c r="L169" s="370">
        <f t="shared" si="74"/>
        <v>0.03</v>
      </c>
      <c r="M169" s="370">
        <f t="shared" si="74"/>
        <v>0.03</v>
      </c>
      <c r="N169" s="370">
        <f t="shared" si="74"/>
        <v>0.03</v>
      </c>
      <c r="O169" s="370">
        <f t="shared" si="74"/>
        <v>0.03</v>
      </c>
      <c r="P169" s="370">
        <f t="shared" si="74"/>
        <v>0.03</v>
      </c>
      <c r="Q169" s="370">
        <f t="shared" si="74"/>
        <v>0.03</v>
      </c>
      <c r="R169" s="370">
        <f t="shared" si="74"/>
        <v>0.03</v>
      </c>
      <c r="S169" s="370">
        <f t="shared" si="74"/>
        <v>0.03</v>
      </c>
      <c r="T169" s="370">
        <f t="shared" si="74"/>
        <v>0.03</v>
      </c>
      <c r="U169" s="370">
        <f t="shared" si="74"/>
        <v>0.03</v>
      </c>
      <c r="V169" s="370">
        <f t="shared" si="74"/>
        <v>0.03</v>
      </c>
      <c r="W169" s="370">
        <f t="shared" si="74"/>
        <v>0.03</v>
      </c>
      <c r="X169" s="370">
        <f t="shared" si="74"/>
        <v>0.03</v>
      </c>
      <c r="Y169" s="370">
        <f t="shared" si="74"/>
        <v>0.03</v>
      </c>
      <c r="Z169" s="370">
        <f t="shared" si="74"/>
        <v>0.03</v>
      </c>
      <c r="AA169" s="370">
        <f t="shared" si="74"/>
        <v>0.03</v>
      </c>
      <c r="AB169" s="370">
        <f t="shared" si="74"/>
        <v>0.03</v>
      </c>
      <c r="AC169" s="370">
        <f t="shared" si="74"/>
        <v>2.75E-2</v>
      </c>
      <c r="AD169" s="370">
        <f t="shared" si="74"/>
        <v>2.75E-2</v>
      </c>
      <c r="AE169" s="370">
        <f t="shared" si="74"/>
        <v>2.75E-2</v>
      </c>
      <c r="AF169" s="370">
        <f t="shared" si="74"/>
        <v>2.75E-2</v>
      </c>
      <c r="AG169" s="370">
        <f t="shared" si="74"/>
        <v>2.75E-2</v>
      </c>
      <c r="AH169" s="370">
        <f t="shared" si="74"/>
        <v>2.75E-2</v>
      </c>
      <c r="AI169" s="370">
        <f t="shared" si="74"/>
        <v>2.75E-2</v>
      </c>
      <c r="AJ169" s="370">
        <f t="shared" si="74"/>
        <v>2.75E-2</v>
      </c>
      <c r="AK169" s="370">
        <f t="shared" si="74"/>
        <v>2.75E-2</v>
      </c>
      <c r="AL169" s="370">
        <f t="shared" si="74"/>
        <v>2.75E-2</v>
      </c>
      <c r="AM169" s="370">
        <f t="shared" si="74"/>
        <v>2.75E-2</v>
      </c>
      <c r="AN169" s="370">
        <f t="shared" si="74"/>
        <v>2.75E-2</v>
      </c>
      <c r="AO169" s="370">
        <f t="shared" si="74"/>
        <v>2.75E-2</v>
      </c>
      <c r="AP169" s="370">
        <f t="shared" si="74"/>
        <v>2.75E-2</v>
      </c>
      <c r="AQ169" s="370">
        <f t="shared" si="74"/>
        <v>2.75E-2</v>
      </c>
      <c r="AR169" s="370">
        <f t="shared" si="74"/>
        <v>2.75E-2</v>
      </c>
      <c r="AS169" s="370">
        <f t="shared" si="74"/>
        <v>2.75E-2</v>
      </c>
      <c r="AT169" s="370">
        <f t="shared" si="74"/>
        <v>2.75E-2</v>
      </c>
      <c r="AU169" s="370">
        <f t="shared" si="74"/>
        <v>2.75E-2</v>
      </c>
      <c r="AV169" s="370">
        <f t="shared" si="74"/>
        <v>2.75E-2</v>
      </c>
      <c r="AW169" s="370">
        <f t="shared" si="74"/>
        <v>2.75E-2</v>
      </c>
      <c r="AX169" s="370">
        <f t="shared" si="74"/>
        <v>2.75E-2</v>
      </c>
      <c r="AY169" s="370">
        <f t="shared" si="74"/>
        <v>2.75E-2</v>
      </c>
      <c r="AZ169" s="370">
        <f t="shared" si="74"/>
        <v>2.75E-2</v>
      </c>
      <c r="BA169" s="370">
        <f t="shared" si="74"/>
        <v>2.75E-2</v>
      </c>
      <c r="BB169" s="370">
        <f t="shared" si="74"/>
        <v>2.75E-2</v>
      </c>
      <c r="BC169" s="370">
        <f t="shared" si="74"/>
        <v>2.75E-2</v>
      </c>
      <c r="BD169" s="370">
        <f t="shared" si="74"/>
        <v>2.75E-2</v>
      </c>
      <c r="BE169" s="370">
        <f t="shared" si="74"/>
        <v>2.75E-2</v>
      </c>
      <c r="BF169" s="370">
        <f t="shared" si="74"/>
        <v>2.75E-2</v>
      </c>
      <c r="BG169" s="370">
        <f t="shared" si="74"/>
        <v>2.75E-2</v>
      </c>
      <c r="BH169" s="370">
        <f t="shared" si="74"/>
        <v>2.75E-2</v>
      </c>
      <c r="BI169" s="370">
        <f t="shared" si="74"/>
        <v>2.75E-2</v>
      </c>
      <c r="BJ169" s="370">
        <f t="shared" si="74"/>
        <v>2.75E-2</v>
      </c>
      <c r="BL169" s="148"/>
      <c r="BM169" s="148"/>
      <c r="BN169" s="148"/>
      <c r="BO169" s="148"/>
      <c r="BP169" s="148"/>
      <c r="BQ169" s="148"/>
    </row>
    <row r="170" spans="1:69" ht="11.25" customHeight="1" x14ac:dyDescent="0.25">
      <c r="A170" s="5"/>
      <c r="B170" s="6" t="s">
        <v>369</v>
      </c>
      <c r="C170" s="7" t="s">
        <v>102</v>
      </c>
      <c r="D170" s="11"/>
      <c r="E170" s="83">
        <f t="shared" si="65"/>
        <v>76.700008896627168</v>
      </c>
      <c r="F170" s="302"/>
      <c r="G170" s="173">
        <f>IF(F170=0,1,F172)</f>
        <v>1</v>
      </c>
      <c r="H170" s="173">
        <f t="shared" ref="H170:BJ170" si="75">IF(G170=0,1,G172)</f>
        <v>1.0074170717777329</v>
      </c>
      <c r="I170" s="173">
        <f t="shared" si="75"/>
        <v>1.0148891565092217</v>
      </c>
      <c r="J170" s="173">
        <f t="shared" si="75"/>
        <v>1.0224166622294935</v>
      </c>
      <c r="K170" s="173">
        <f t="shared" si="75"/>
        <v>1.0299999999999996</v>
      </c>
      <c r="L170" s="173">
        <f t="shared" si="75"/>
        <v>1.0376395839310644</v>
      </c>
      <c r="M170" s="173">
        <f t="shared" si="75"/>
        <v>1.045335831204498</v>
      </c>
      <c r="N170" s="173">
        <f t="shared" si="75"/>
        <v>1.0530891620963778</v>
      </c>
      <c r="O170" s="173">
        <f t="shared" si="75"/>
        <v>1.0608999999999993</v>
      </c>
      <c r="P170" s="173">
        <f t="shared" si="75"/>
        <v>1.0687687714489962</v>
      </c>
      <c r="Q170" s="173">
        <f t="shared" si="75"/>
        <v>1.0766959061406327</v>
      </c>
      <c r="R170" s="173">
        <f t="shared" si="75"/>
        <v>1.084681836959269</v>
      </c>
      <c r="S170" s="173">
        <f t="shared" si="75"/>
        <v>1.0927269999999991</v>
      </c>
      <c r="T170" s="173">
        <f t="shared" si="75"/>
        <v>1.1008318345924659</v>
      </c>
      <c r="U170" s="173">
        <f t="shared" si="75"/>
        <v>1.1089967833248515</v>
      </c>
      <c r="V170" s="173">
        <f t="shared" si="75"/>
        <v>1.1172222920680468</v>
      </c>
      <c r="W170" s="173">
        <f t="shared" si="75"/>
        <v>1.1255088099999988</v>
      </c>
      <c r="X170" s="173">
        <f t="shared" si="75"/>
        <v>1.142266686824597</v>
      </c>
      <c r="Y170" s="173">
        <f t="shared" si="75"/>
        <v>1.1592740742999987</v>
      </c>
      <c r="Z170" s="173">
        <f t="shared" si="75"/>
        <v>1.1765346874293348</v>
      </c>
      <c r="AA170" s="173">
        <f t="shared" si="75"/>
        <v>1.1940522965289986</v>
      </c>
      <c r="AB170" s="173">
        <f t="shared" si="75"/>
        <v>1.2118307280522147</v>
      </c>
      <c r="AC170" s="173">
        <f t="shared" si="75"/>
        <v>1.2298738654248684</v>
      </c>
      <c r="AD170" s="173">
        <f t="shared" si="75"/>
        <v>1.2466699411988016</v>
      </c>
      <c r="AE170" s="173">
        <f t="shared" si="75"/>
        <v>1.2636953967240527</v>
      </c>
      <c r="AF170" s="173">
        <f t="shared" si="75"/>
        <v>1.280953364581769</v>
      </c>
      <c r="AG170" s="173">
        <f t="shared" si="75"/>
        <v>1.2984470201339644</v>
      </c>
      <c r="AH170" s="173">
        <f t="shared" si="75"/>
        <v>1.3161795821077678</v>
      </c>
      <c r="AI170" s="173">
        <f t="shared" si="75"/>
        <v>1.3341543131876485</v>
      </c>
      <c r="AJ170" s="173">
        <f t="shared" si="75"/>
        <v>1.3523745206157316</v>
      </c>
      <c r="AK170" s="173">
        <f t="shared" si="75"/>
        <v>1.3708435568003092</v>
      </c>
      <c r="AL170" s="173">
        <f t="shared" si="75"/>
        <v>1.3895648199326645</v>
      </c>
      <c r="AM170" s="173">
        <f t="shared" si="75"/>
        <v>1.408541754612318</v>
      </c>
      <c r="AN170" s="173">
        <f t="shared" si="75"/>
        <v>1.4277778524808131</v>
      </c>
      <c r="AO170" s="173">
        <f t="shared" si="75"/>
        <v>1.4472766528641572</v>
      </c>
      <c r="AP170" s="173">
        <f t="shared" si="75"/>
        <v>1.4670417434240359</v>
      </c>
      <c r="AQ170" s="173">
        <f t="shared" si="75"/>
        <v>1.4870767608179218</v>
      </c>
      <c r="AR170" s="173">
        <f t="shared" si="75"/>
        <v>1.5073853913681972</v>
      </c>
      <c r="AS170" s="173">
        <f t="shared" si="75"/>
        <v>1.5279713717404149</v>
      </c>
      <c r="AT170" s="173">
        <f t="shared" si="75"/>
        <v>1.5488384896308227</v>
      </c>
      <c r="AU170" s="173">
        <f t="shared" si="75"/>
        <v>1.5699905844632764</v>
      </c>
      <c r="AV170" s="173">
        <f t="shared" si="75"/>
        <v>1.5914315480956707</v>
      </c>
      <c r="AW170" s="173">
        <f t="shared" si="75"/>
        <v>1.613165325536017</v>
      </c>
      <c r="AX170" s="173">
        <f t="shared" si="75"/>
        <v>1.635195915668302</v>
      </c>
      <c r="AY170" s="173">
        <f t="shared" si="75"/>
        <v>1.6575273719882577</v>
      </c>
      <c r="AZ170" s="173">
        <f t="shared" si="75"/>
        <v>1.6801638033491806</v>
      </c>
      <c r="BA170" s="173">
        <f t="shared" si="75"/>
        <v>1.7031093747179351</v>
      </c>
      <c r="BB170" s="173">
        <f t="shared" si="75"/>
        <v>1.7263683079412833</v>
      </c>
      <c r="BC170" s="173">
        <f t="shared" si="75"/>
        <v>1.7499448825226787</v>
      </c>
      <c r="BD170" s="173">
        <f t="shared" si="75"/>
        <v>1.7738434364096689</v>
      </c>
      <c r="BE170" s="173">
        <f t="shared" si="75"/>
        <v>1.7980683667920527</v>
      </c>
      <c r="BF170" s="173">
        <f t="shared" si="75"/>
        <v>1.8226241309109352</v>
      </c>
      <c r="BG170" s="173">
        <f t="shared" si="75"/>
        <v>1.8475152468788345</v>
      </c>
      <c r="BH170" s="173">
        <f t="shared" si="75"/>
        <v>1.8727462945109863</v>
      </c>
      <c r="BI170" s="173">
        <f t="shared" si="75"/>
        <v>1.8983219161680027</v>
      </c>
      <c r="BJ170" s="173">
        <f t="shared" si="75"/>
        <v>1.9242468176100387</v>
      </c>
      <c r="BL170" s="177"/>
      <c r="BM170" s="177"/>
      <c r="BN170" s="177"/>
      <c r="BO170" s="177"/>
      <c r="BP170" s="177"/>
      <c r="BQ170" s="177"/>
    </row>
    <row r="171" spans="1:69" ht="11.25" customHeight="1" x14ac:dyDescent="0.25">
      <c r="A171" s="5"/>
      <c r="B171" s="6" t="s">
        <v>370</v>
      </c>
      <c r="C171" s="7" t="s">
        <v>102</v>
      </c>
      <c r="D171" s="11"/>
      <c r="E171" s="83">
        <f t="shared" si="65"/>
        <v>77.175271781058484</v>
      </c>
      <c r="F171" s="302"/>
      <c r="G171" s="126">
        <f>AVERAGE(G170,G172)</f>
        <v>1.0037085358888664</v>
      </c>
      <c r="H171" s="126">
        <f t="shared" ref="H171:BJ171" si="76">AVERAGE(H170,H172)</f>
        <v>1.0111531141434773</v>
      </c>
      <c r="I171" s="126">
        <f t="shared" si="76"/>
        <v>1.0186529093693575</v>
      </c>
      <c r="J171" s="126">
        <f t="shared" si="76"/>
        <v>1.0262083311147465</v>
      </c>
      <c r="K171" s="126">
        <f t="shared" si="76"/>
        <v>1.0338197919655321</v>
      </c>
      <c r="L171" s="126">
        <f t="shared" si="76"/>
        <v>1.0414877075677813</v>
      </c>
      <c r="M171" s="126">
        <f t="shared" si="76"/>
        <v>1.0492124966504379</v>
      </c>
      <c r="N171" s="126">
        <f t="shared" si="76"/>
        <v>1.0569945810481887</v>
      </c>
      <c r="O171" s="126">
        <f t="shared" si="76"/>
        <v>1.0648343857244977</v>
      </c>
      <c r="P171" s="126">
        <f t="shared" si="76"/>
        <v>1.0727323387948144</v>
      </c>
      <c r="Q171" s="126">
        <f t="shared" si="76"/>
        <v>1.0806888715499507</v>
      </c>
      <c r="R171" s="126">
        <f t="shared" si="76"/>
        <v>1.088704418479634</v>
      </c>
      <c r="S171" s="126">
        <f t="shared" si="76"/>
        <v>1.0967794172962324</v>
      </c>
      <c r="T171" s="126">
        <f t="shared" si="76"/>
        <v>1.1049143089586586</v>
      </c>
      <c r="U171" s="126">
        <f t="shared" si="76"/>
        <v>1.1131095376964493</v>
      </c>
      <c r="V171" s="126">
        <f t="shared" si="76"/>
        <v>1.1213655510340228</v>
      </c>
      <c r="W171" s="126">
        <f t="shared" si="76"/>
        <v>1.133887748412298</v>
      </c>
      <c r="X171" s="126">
        <f t="shared" si="76"/>
        <v>1.1507703805622977</v>
      </c>
      <c r="Y171" s="126">
        <f t="shared" si="76"/>
        <v>1.1679043808646667</v>
      </c>
      <c r="Z171" s="126">
        <f t="shared" si="76"/>
        <v>1.1852934919791667</v>
      </c>
      <c r="AA171" s="126">
        <f t="shared" si="76"/>
        <v>1.2029415122906066</v>
      </c>
      <c r="AB171" s="126">
        <f t="shared" si="76"/>
        <v>1.2208522967385416</v>
      </c>
      <c r="AC171" s="126">
        <f t="shared" si="76"/>
        <v>1.238271903311835</v>
      </c>
      <c r="AD171" s="126">
        <f t="shared" si="76"/>
        <v>1.2551826689614272</v>
      </c>
      <c r="AE171" s="126">
        <f t="shared" si="76"/>
        <v>1.2723243806529108</v>
      </c>
      <c r="AF171" s="126">
        <f t="shared" si="76"/>
        <v>1.2897001923578668</v>
      </c>
      <c r="AG171" s="126">
        <f t="shared" si="76"/>
        <v>1.3073133011208662</v>
      </c>
      <c r="AH171" s="126">
        <f t="shared" si="76"/>
        <v>1.3251669476477081</v>
      </c>
      <c r="AI171" s="126">
        <f t="shared" si="76"/>
        <v>1.3432644169016901</v>
      </c>
      <c r="AJ171" s="126">
        <f t="shared" si="76"/>
        <v>1.3616090387080204</v>
      </c>
      <c r="AK171" s="126">
        <f t="shared" si="76"/>
        <v>1.3802041883664868</v>
      </c>
      <c r="AL171" s="126">
        <f t="shared" si="76"/>
        <v>1.3990532872724912</v>
      </c>
      <c r="AM171" s="126">
        <f t="shared" si="76"/>
        <v>1.4181598035465655</v>
      </c>
      <c r="AN171" s="126">
        <f t="shared" si="76"/>
        <v>1.4375272526724852</v>
      </c>
      <c r="AO171" s="126">
        <f t="shared" si="76"/>
        <v>1.4571591981440966</v>
      </c>
      <c r="AP171" s="126">
        <f t="shared" si="76"/>
        <v>1.4770592521209789</v>
      </c>
      <c r="AQ171" s="126">
        <f t="shared" si="76"/>
        <v>1.4972310760930596</v>
      </c>
      <c r="AR171" s="126">
        <f t="shared" si="76"/>
        <v>1.517678381554306</v>
      </c>
      <c r="AS171" s="126">
        <f t="shared" si="76"/>
        <v>1.5384049306856187</v>
      </c>
      <c r="AT171" s="126">
        <f t="shared" si="76"/>
        <v>1.5594145370470496</v>
      </c>
      <c r="AU171" s="126">
        <f t="shared" si="76"/>
        <v>1.5807110662794734</v>
      </c>
      <c r="AV171" s="126">
        <f t="shared" si="76"/>
        <v>1.6022984368158437</v>
      </c>
      <c r="AW171" s="126">
        <f t="shared" si="76"/>
        <v>1.6241806206021594</v>
      </c>
      <c r="AX171" s="126">
        <f t="shared" si="76"/>
        <v>1.6463616438282798</v>
      </c>
      <c r="AY171" s="126">
        <f t="shared" si="76"/>
        <v>1.6688455876687192</v>
      </c>
      <c r="AZ171" s="126">
        <f t="shared" si="76"/>
        <v>1.6916365890335578</v>
      </c>
      <c r="BA171" s="126">
        <f t="shared" si="76"/>
        <v>1.7147388413296092</v>
      </c>
      <c r="BB171" s="126">
        <f t="shared" si="76"/>
        <v>1.7381565952319811</v>
      </c>
      <c r="BC171" s="126">
        <f t="shared" si="76"/>
        <v>1.7618941594661739</v>
      </c>
      <c r="BD171" s="126">
        <f t="shared" si="76"/>
        <v>1.7859559016008608</v>
      </c>
      <c r="BE171" s="126">
        <f t="shared" si="76"/>
        <v>1.8103462488514941</v>
      </c>
      <c r="BF171" s="126">
        <f t="shared" si="76"/>
        <v>1.835069688894885</v>
      </c>
      <c r="BG171" s="126">
        <f t="shared" si="76"/>
        <v>1.8601307706949104</v>
      </c>
      <c r="BH171" s="126">
        <f t="shared" si="76"/>
        <v>1.8855341053394945</v>
      </c>
      <c r="BI171" s="126">
        <f t="shared" si="76"/>
        <v>1.9112843668890207</v>
      </c>
      <c r="BJ171" s="126">
        <f t="shared" si="76"/>
        <v>1.9373862932363308</v>
      </c>
      <c r="BL171" s="177"/>
      <c r="BM171" s="177"/>
      <c r="BN171" s="177"/>
      <c r="BO171" s="177"/>
      <c r="BP171" s="177"/>
      <c r="BQ171" s="177"/>
    </row>
    <row r="172" spans="1:69" ht="11.25" customHeight="1" x14ac:dyDescent="0.25">
      <c r="A172" s="5"/>
      <c r="B172" s="6" t="s">
        <v>368</v>
      </c>
      <c r="C172" s="7" t="s">
        <v>102</v>
      </c>
      <c r="D172" s="11"/>
      <c r="E172" s="83">
        <f t="shared" si="65"/>
        <v>77.650534665489786</v>
      </c>
      <c r="F172" s="302"/>
      <c r="G172" s="126">
        <f>G170*((1+G169)^G3)</f>
        <v>1.0074170717777329</v>
      </c>
      <c r="H172" s="126">
        <f t="shared" ref="H172:BJ172" si="77">H170*((1+H169)^H3)</f>
        <v>1.0148891565092217</v>
      </c>
      <c r="I172" s="126">
        <f t="shared" si="77"/>
        <v>1.0224166622294935</v>
      </c>
      <c r="J172" s="126">
        <f t="shared" si="77"/>
        <v>1.0299999999999996</v>
      </c>
      <c r="K172" s="126">
        <f t="shared" si="77"/>
        <v>1.0376395839310644</v>
      </c>
      <c r="L172" s="126">
        <f t="shared" si="77"/>
        <v>1.045335831204498</v>
      </c>
      <c r="M172" s="126">
        <f t="shared" si="77"/>
        <v>1.0530891620963778</v>
      </c>
      <c r="N172" s="126">
        <f t="shared" si="77"/>
        <v>1.0608999999999993</v>
      </c>
      <c r="O172" s="126">
        <f t="shared" si="77"/>
        <v>1.0687687714489962</v>
      </c>
      <c r="P172" s="126">
        <f t="shared" si="77"/>
        <v>1.0766959061406327</v>
      </c>
      <c r="Q172" s="126">
        <f t="shared" si="77"/>
        <v>1.084681836959269</v>
      </c>
      <c r="R172" s="126">
        <f t="shared" si="77"/>
        <v>1.0927269999999991</v>
      </c>
      <c r="S172" s="126">
        <f t="shared" si="77"/>
        <v>1.1008318345924659</v>
      </c>
      <c r="T172" s="126">
        <f t="shared" si="77"/>
        <v>1.1089967833248515</v>
      </c>
      <c r="U172" s="126">
        <f t="shared" si="77"/>
        <v>1.1172222920680468</v>
      </c>
      <c r="V172" s="126">
        <f t="shared" si="77"/>
        <v>1.1255088099999988</v>
      </c>
      <c r="W172" s="126">
        <f t="shared" si="77"/>
        <v>1.142266686824597</v>
      </c>
      <c r="X172" s="126">
        <f t="shared" si="77"/>
        <v>1.1592740742999987</v>
      </c>
      <c r="Y172" s="126">
        <f t="shared" si="77"/>
        <v>1.1765346874293348</v>
      </c>
      <c r="Z172" s="126">
        <f t="shared" si="77"/>
        <v>1.1940522965289986</v>
      </c>
      <c r="AA172" s="126">
        <f t="shared" si="77"/>
        <v>1.2118307280522147</v>
      </c>
      <c r="AB172" s="126">
        <f t="shared" si="77"/>
        <v>1.2298738654248684</v>
      </c>
      <c r="AC172" s="126">
        <f t="shared" si="77"/>
        <v>1.2466699411988016</v>
      </c>
      <c r="AD172" s="126">
        <f t="shared" si="77"/>
        <v>1.2636953967240527</v>
      </c>
      <c r="AE172" s="126">
        <f t="shared" si="77"/>
        <v>1.280953364581769</v>
      </c>
      <c r="AF172" s="126">
        <f t="shared" si="77"/>
        <v>1.2984470201339644</v>
      </c>
      <c r="AG172" s="126">
        <f t="shared" si="77"/>
        <v>1.3161795821077678</v>
      </c>
      <c r="AH172" s="126">
        <f t="shared" si="77"/>
        <v>1.3341543131876485</v>
      </c>
      <c r="AI172" s="126">
        <f t="shared" si="77"/>
        <v>1.3523745206157316</v>
      </c>
      <c r="AJ172" s="126">
        <f t="shared" si="77"/>
        <v>1.3708435568003092</v>
      </c>
      <c r="AK172" s="126">
        <f t="shared" si="77"/>
        <v>1.3895648199326645</v>
      </c>
      <c r="AL172" s="126">
        <f t="shared" si="77"/>
        <v>1.408541754612318</v>
      </c>
      <c r="AM172" s="126">
        <f t="shared" si="77"/>
        <v>1.4277778524808131</v>
      </c>
      <c r="AN172" s="126">
        <f t="shared" si="77"/>
        <v>1.4472766528641572</v>
      </c>
      <c r="AO172" s="126">
        <f t="shared" si="77"/>
        <v>1.4670417434240359</v>
      </c>
      <c r="AP172" s="126">
        <f t="shared" si="77"/>
        <v>1.4870767608179218</v>
      </c>
      <c r="AQ172" s="126">
        <f t="shared" si="77"/>
        <v>1.5073853913681972</v>
      </c>
      <c r="AR172" s="126">
        <f t="shared" si="77"/>
        <v>1.5279713717404149</v>
      </c>
      <c r="AS172" s="126">
        <f t="shared" si="77"/>
        <v>1.5488384896308227</v>
      </c>
      <c r="AT172" s="126">
        <f t="shared" si="77"/>
        <v>1.5699905844632764</v>
      </c>
      <c r="AU172" s="126">
        <f t="shared" si="77"/>
        <v>1.5914315480956707</v>
      </c>
      <c r="AV172" s="126">
        <f t="shared" si="77"/>
        <v>1.613165325536017</v>
      </c>
      <c r="AW172" s="126">
        <f t="shared" si="77"/>
        <v>1.635195915668302</v>
      </c>
      <c r="AX172" s="126">
        <f t="shared" si="77"/>
        <v>1.6575273719882577</v>
      </c>
      <c r="AY172" s="126">
        <f t="shared" si="77"/>
        <v>1.6801638033491806</v>
      </c>
      <c r="AZ172" s="126">
        <f t="shared" si="77"/>
        <v>1.7031093747179351</v>
      </c>
      <c r="BA172" s="126">
        <f t="shared" si="77"/>
        <v>1.7263683079412833</v>
      </c>
      <c r="BB172" s="126">
        <f t="shared" si="77"/>
        <v>1.7499448825226787</v>
      </c>
      <c r="BC172" s="126">
        <f t="shared" si="77"/>
        <v>1.7738434364096689</v>
      </c>
      <c r="BD172" s="126">
        <f t="shared" si="77"/>
        <v>1.7980683667920527</v>
      </c>
      <c r="BE172" s="126">
        <f t="shared" si="77"/>
        <v>1.8226241309109352</v>
      </c>
      <c r="BF172" s="126">
        <f t="shared" si="77"/>
        <v>1.8475152468788345</v>
      </c>
      <c r="BG172" s="126">
        <f t="shared" si="77"/>
        <v>1.8727462945109863</v>
      </c>
      <c r="BH172" s="126">
        <f t="shared" si="77"/>
        <v>1.8983219161680027</v>
      </c>
      <c r="BI172" s="126">
        <f t="shared" si="77"/>
        <v>1.9242468176100387</v>
      </c>
      <c r="BJ172" s="126">
        <f t="shared" si="77"/>
        <v>1.9505257688626232</v>
      </c>
      <c r="BL172" s="177"/>
      <c r="BM172" s="177"/>
      <c r="BN172" s="177"/>
      <c r="BO172" s="177"/>
      <c r="BP172" s="177"/>
      <c r="BQ172" s="177"/>
    </row>
    <row r="173" spans="1:69" ht="11.25" customHeight="1" x14ac:dyDescent="0.25">
      <c r="A173" s="5"/>
      <c r="B173" s="6" t="s">
        <v>486</v>
      </c>
      <c r="C173" s="7"/>
      <c r="D173" s="11"/>
      <c r="E173" s="83">
        <f t="shared" si="65"/>
        <v>56.672337473111746</v>
      </c>
      <c r="F173" s="302"/>
      <c r="G173" s="126">
        <f>G172/G170</f>
        <v>1.0074170717777329</v>
      </c>
      <c r="H173" s="126">
        <f t="shared" ref="H173:BJ173" si="78">H172/H170</f>
        <v>1.0074170717777329</v>
      </c>
      <c r="I173" s="126">
        <f t="shared" si="78"/>
        <v>1.0074170717777329</v>
      </c>
      <c r="J173" s="126">
        <f t="shared" si="78"/>
        <v>1.0074170717777329</v>
      </c>
      <c r="K173" s="126">
        <f t="shared" si="78"/>
        <v>1.0074170717777329</v>
      </c>
      <c r="L173" s="126">
        <f t="shared" si="78"/>
        <v>1.0074170717777329</v>
      </c>
      <c r="M173" s="126">
        <f t="shared" si="78"/>
        <v>1.0074170717777329</v>
      </c>
      <c r="N173" s="126">
        <f t="shared" si="78"/>
        <v>1.0074170717777329</v>
      </c>
      <c r="O173" s="126">
        <f t="shared" si="78"/>
        <v>1.0074170717777329</v>
      </c>
      <c r="P173" s="126">
        <f t="shared" si="78"/>
        <v>1.0074170717777329</v>
      </c>
      <c r="Q173" s="126">
        <f t="shared" si="78"/>
        <v>1.0074170717777329</v>
      </c>
      <c r="R173" s="126">
        <f t="shared" si="78"/>
        <v>1.0074170717777329</v>
      </c>
      <c r="S173" s="126">
        <f t="shared" si="78"/>
        <v>1.0074170717777329</v>
      </c>
      <c r="T173" s="126">
        <f t="shared" si="78"/>
        <v>1.0074170717777329</v>
      </c>
      <c r="U173" s="126">
        <f t="shared" si="78"/>
        <v>1.0074170717777329</v>
      </c>
      <c r="V173" s="126">
        <f t="shared" si="78"/>
        <v>1.0074170717777329</v>
      </c>
      <c r="W173" s="126">
        <f t="shared" si="78"/>
        <v>1.014889156509222</v>
      </c>
      <c r="X173" s="126">
        <f t="shared" si="78"/>
        <v>1.014889156509222</v>
      </c>
      <c r="Y173" s="126">
        <f t="shared" si="78"/>
        <v>1.014889156509222</v>
      </c>
      <c r="Z173" s="126">
        <f t="shared" si="78"/>
        <v>1.014889156509222</v>
      </c>
      <c r="AA173" s="126">
        <f t="shared" si="78"/>
        <v>1.014889156509222</v>
      </c>
      <c r="AB173" s="126">
        <f t="shared" si="78"/>
        <v>1.014889156509222</v>
      </c>
      <c r="AC173" s="126">
        <f t="shared" si="78"/>
        <v>1.0136567466356647</v>
      </c>
      <c r="AD173" s="126">
        <f t="shared" si="78"/>
        <v>1.0136567466356647</v>
      </c>
      <c r="AE173" s="126">
        <f t="shared" si="78"/>
        <v>1.0136567466356647</v>
      </c>
      <c r="AF173" s="126">
        <f t="shared" si="78"/>
        <v>1.0136567466356647</v>
      </c>
      <c r="AG173" s="126">
        <f t="shared" si="78"/>
        <v>1.0136567466356647</v>
      </c>
      <c r="AH173" s="126">
        <f t="shared" si="78"/>
        <v>1.0136567466356647</v>
      </c>
      <c r="AI173" s="126">
        <f t="shared" si="78"/>
        <v>1.0136567466356647</v>
      </c>
      <c r="AJ173" s="126">
        <f t="shared" si="78"/>
        <v>1.0136567466356647</v>
      </c>
      <c r="AK173" s="126">
        <f t="shared" si="78"/>
        <v>1.0136567466356647</v>
      </c>
      <c r="AL173" s="126">
        <f t="shared" si="78"/>
        <v>1.0136567466356647</v>
      </c>
      <c r="AM173" s="126">
        <f t="shared" si="78"/>
        <v>1.0136567466356647</v>
      </c>
      <c r="AN173" s="126">
        <f t="shared" si="78"/>
        <v>1.0136567466356647</v>
      </c>
      <c r="AO173" s="126">
        <f t="shared" si="78"/>
        <v>1.0136567466356647</v>
      </c>
      <c r="AP173" s="126">
        <f t="shared" si="78"/>
        <v>1.0136567466356647</v>
      </c>
      <c r="AQ173" s="126">
        <f t="shared" si="78"/>
        <v>1.0136567466356647</v>
      </c>
      <c r="AR173" s="126">
        <f t="shared" si="78"/>
        <v>1.0136567466356647</v>
      </c>
      <c r="AS173" s="126">
        <f t="shared" si="78"/>
        <v>1.0136567466356647</v>
      </c>
      <c r="AT173" s="126">
        <f t="shared" si="78"/>
        <v>1.0136567466356647</v>
      </c>
      <c r="AU173" s="126">
        <f t="shared" si="78"/>
        <v>1.0136567466356647</v>
      </c>
      <c r="AV173" s="126">
        <f t="shared" si="78"/>
        <v>1.0136567466356647</v>
      </c>
      <c r="AW173" s="126">
        <f t="shared" si="78"/>
        <v>1.0136567466356647</v>
      </c>
      <c r="AX173" s="126">
        <f t="shared" si="78"/>
        <v>1.0136567466356647</v>
      </c>
      <c r="AY173" s="126">
        <f t="shared" si="78"/>
        <v>1.0136567466356647</v>
      </c>
      <c r="AZ173" s="126">
        <f t="shared" si="78"/>
        <v>1.0136567466356647</v>
      </c>
      <c r="BA173" s="126">
        <f t="shared" si="78"/>
        <v>1.0136567466356647</v>
      </c>
      <c r="BB173" s="126">
        <f t="shared" si="78"/>
        <v>1.0136567466356647</v>
      </c>
      <c r="BC173" s="126">
        <f t="shared" si="78"/>
        <v>1.0136567466356647</v>
      </c>
      <c r="BD173" s="126">
        <f t="shared" si="78"/>
        <v>1.0136567466356647</v>
      </c>
      <c r="BE173" s="126">
        <f t="shared" si="78"/>
        <v>1.0136567466356647</v>
      </c>
      <c r="BF173" s="126">
        <f t="shared" si="78"/>
        <v>1.0136567466356647</v>
      </c>
      <c r="BG173" s="126">
        <f t="shared" si="78"/>
        <v>1.0136567466356647</v>
      </c>
      <c r="BH173" s="126">
        <f t="shared" si="78"/>
        <v>1.0136567466356647</v>
      </c>
      <c r="BI173" s="126">
        <f t="shared" si="78"/>
        <v>1.0136567466356647</v>
      </c>
      <c r="BJ173" s="126">
        <f t="shared" si="78"/>
        <v>1.0136567466356647</v>
      </c>
    </row>
    <row r="174" spans="1:69" ht="11.25" customHeight="1" x14ac:dyDescent="0.25">
      <c r="A174" s="5"/>
      <c r="B174" s="6" t="s">
        <v>485</v>
      </c>
      <c r="C174" s="7"/>
      <c r="D174" s="11"/>
      <c r="E174" s="83">
        <f t="shared" si="65"/>
        <v>56.344220701911496</v>
      </c>
      <c r="F174" s="302"/>
      <c r="G174" s="126">
        <f>G167/G173</f>
        <v>1.0010904480971496</v>
      </c>
      <c r="H174" s="126">
        <f t="shared" ref="H174:BJ174" si="79">H167/H173</f>
        <v>1.0010904480971496</v>
      </c>
      <c r="I174" s="126">
        <f t="shared" si="79"/>
        <v>1.0010904480971496</v>
      </c>
      <c r="J174" s="126">
        <f t="shared" si="79"/>
        <v>1.0010904480971496</v>
      </c>
      <c r="K174" s="126">
        <f t="shared" si="79"/>
        <v>1.0010904480971496</v>
      </c>
      <c r="L174" s="126">
        <f t="shared" si="79"/>
        <v>1.0010904480971496</v>
      </c>
      <c r="M174" s="126">
        <f t="shared" si="79"/>
        <v>1.0010904480971496</v>
      </c>
      <c r="N174" s="126">
        <f t="shared" si="79"/>
        <v>1.0010904480971496</v>
      </c>
      <c r="O174" s="126">
        <f t="shared" si="79"/>
        <v>1.0010904480971496</v>
      </c>
      <c r="P174" s="126">
        <f t="shared" si="79"/>
        <v>1.0010904480971496</v>
      </c>
      <c r="Q174" s="126">
        <f t="shared" si="79"/>
        <v>1.0010904480971496</v>
      </c>
      <c r="R174" s="126">
        <f t="shared" si="79"/>
        <v>1.0010904480971496</v>
      </c>
      <c r="S174" s="126">
        <f t="shared" si="79"/>
        <v>1.0010904480971496</v>
      </c>
      <c r="T174" s="126">
        <f t="shared" si="79"/>
        <v>1.0010904480971496</v>
      </c>
      <c r="U174" s="126">
        <f t="shared" si="79"/>
        <v>1.0010904480971496</v>
      </c>
      <c r="V174" s="126">
        <f t="shared" si="79"/>
        <v>1.0010904480971496</v>
      </c>
      <c r="W174" s="126">
        <f t="shared" si="79"/>
        <v>1.0021820852713517</v>
      </c>
      <c r="X174" s="126">
        <f t="shared" si="79"/>
        <v>1.0072552341865078</v>
      </c>
      <c r="Y174" s="126">
        <f t="shared" si="79"/>
        <v>1.0072552341865078</v>
      </c>
      <c r="Z174" s="126">
        <f t="shared" si="79"/>
        <v>1.0072552341865078</v>
      </c>
      <c r="AA174" s="126">
        <f t="shared" si="79"/>
        <v>1.0072552341865078</v>
      </c>
      <c r="AB174" s="126">
        <f t="shared" si="79"/>
        <v>1.0072552341865078</v>
      </c>
      <c r="AC174" s="126">
        <f t="shared" si="79"/>
        <v>1.0084798610633314</v>
      </c>
      <c r="AD174" s="126">
        <f t="shared" si="79"/>
        <v>1.0084798610633314</v>
      </c>
      <c r="AE174" s="126">
        <f t="shared" si="79"/>
        <v>1.0084798610633314</v>
      </c>
      <c r="AF174" s="126">
        <f t="shared" si="79"/>
        <v>1.0084798610633314</v>
      </c>
      <c r="AG174" s="126">
        <f t="shared" si="79"/>
        <v>1.0084798610633314</v>
      </c>
      <c r="AH174" s="126">
        <f t="shared" si="79"/>
        <v>1.0084798610633314</v>
      </c>
      <c r="AI174" s="126">
        <f t="shared" si="79"/>
        <v>1.0084798610633314</v>
      </c>
      <c r="AJ174" s="126">
        <f t="shared" si="79"/>
        <v>1.0084798610633314</v>
      </c>
      <c r="AK174" s="126">
        <f t="shared" si="79"/>
        <v>1.0084798610633314</v>
      </c>
      <c r="AL174" s="126">
        <f t="shared" si="79"/>
        <v>1.0084798610633314</v>
      </c>
      <c r="AM174" s="126">
        <f t="shared" si="79"/>
        <v>1.0084798610633314</v>
      </c>
      <c r="AN174" s="126">
        <f t="shared" si="79"/>
        <v>1.0084798610633314</v>
      </c>
      <c r="AO174" s="126">
        <f t="shared" si="79"/>
        <v>1.0084798610633314</v>
      </c>
      <c r="AP174" s="126">
        <f t="shared" si="79"/>
        <v>1.0084798610633314</v>
      </c>
      <c r="AQ174" s="126">
        <f t="shared" si="79"/>
        <v>1.0084798610633314</v>
      </c>
      <c r="AR174" s="126">
        <f t="shared" si="79"/>
        <v>1.0084798610633314</v>
      </c>
      <c r="AS174" s="126">
        <f t="shared" si="79"/>
        <v>1.0084798610633314</v>
      </c>
      <c r="AT174" s="126">
        <f t="shared" si="79"/>
        <v>1.0084798610633314</v>
      </c>
      <c r="AU174" s="126">
        <f t="shared" si="79"/>
        <v>1.0084798610633314</v>
      </c>
      <c r="AV174" s="126">
        <f t="shared" si="79"/>
        <v>1.0084798610633314</v>
      </c>
      <c r="AW174" s="126">
        <f t="shared" si="79"/>
        <v>1.0084798610633314</v>
      </c>
      <c r="AX174" s="126">
        <f t="shared" si="79"/>
        <v>1.0084798610633314</v>
      </c>
      <c r="AY174" s="126">
        <f t="shared" si="79"/>
        <v>1.0084798610633314</v>
      </c>
      <c r="AZ174" s="126">
        <f t="shared" si="79"/>
        <v>1.0084798610633314</v>
      </c>
      <c r="BA174" s="126">
        <f t="shared" si="79"/>
        <v>1.0084798610633314</v>
      </c>
      <c r="BB174" s="126">
        <f t="shared" si="79"/>
        <v>1.0084798610633314</v>
      </c>
      <c r="BC174" s="126">
        <f t="shared" si="79"/>
        <v>1.0084798610633314</v>
      </c>
      <c r="BD174" s="126">
        <f t="shared" si="79"/>
        <v>1.0084798610633314</v>
      </c>
      <c r="BE174" s="126">
        <f t="shared" si="79"/>
        <v>1.0084798610633314</v>
      </c>
      <c r="BF174" s="126">
        <f t="shared" si="79"/>
        <v>1.0084798610633314</v>
      </c>
      <c r="BG174" s="126">
        <f t="shared" si="79"/>
        <v>1.0084798610633314</v>
      </c>
      <c r="BH174" s="126">
        <f t="shared" si="79"/>
        <v>1.0084798610633314</v>
      </c>
      <c r="BI174" s="126">
        <f t="shared" si="79"/>
        <v>1.0084798610633314</v>
      </c>
      <c r="BJ174" s="126">
        <f t="shared" si="79"/>
        <v>1.0084798610633314</v>
      </c>
    </row>
    <row r="175" spans="1:69" ht="11.25" customHeight="1" x14ac:dyDescent="0.25">
      <c r="A175" s="5"/>
      <c r="B175" s="6"/>
      <c r="C175" s="7"/>
      <c r="D175" s="11"/>
      <c r="E175" s="83">
        <f t="shared" si="65"/>
        <v>0</v>
      </c>
      <c r="F175" s="302"/>
      <c r="G175" s="126"/>
      <c r="H175" s="126"/>
      <c r="I175" s="126"/>
      <c r="J175" s="126"/>
      <c r="K175" s="126"/>
      <c r="L175" s="126"/>
      <c r="M175" s="126"/>
      <c r="N175" s="126"/>
      <c r="O175" s="126"/>
      <c r="P175" s="126"/>
      <c r="Q175" s="126"/>
      <c r="R175" s="126"/>
      <c r="S175" s="126"/>
      <c r="T175" s="126"/>
      <c r="U175" s="126"/>
      <c r="V175" s="126"/>
      <c r="W175" s="126"/>
      <c r="X175" s="126"/>
      <c r="Y175" s="126"/>
      <c r="Z175" s="126"/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</row>
    <row r="176" spans="1:69" ht="11.25" customHeight="1" x14ac:dyDescent="0.25">
      <c r="A176" s="3" t="s">
        <v>26</v>
      </c>
      <c r="B176" s="4" t="s">
        <v>120</v>
      </c>
      <c r="C176" s="7"/>
      <c r="D176" s="130"/>
      <c r="E176" s="83">
        <f t="shared" si="65"/>
        <v>0</v>
      </c>
      <c r="F176" s="302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</row>
    <row r="177" spans="1:62" ht="11.25" customHeight="1" x14ac:dyDescent="0.25">
      <c r="A177" s="5"/>
      <c r="B177" s="6" t="s">
        <v>473</v>
      </c>
      <c r="C177" s="7" t="s">
        <v>50</v>
      </c>
      <c r="D177" s="257">
        <f>Assumptions!D133</f>
        <v>45291</v>
      </c>
      <c r="E177" s="83">
        <f t="shared" si="65"/>
        <v>0</v>
      </c>
      <c r="F177" s="302"/>
      <c r="G177" s="83"/>
      <c r="H177" s="83"/>
      <c r="I177" s="83"/>
      <c r="J177" s="83"/>
      <c r="K177" s="83"/>
      <c r="L177" s="83"/>
      <c r="M177" s="83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</row>
    <row r="178" spans="1:62" ht="11.25" customHeight="1" x14ac:dyDescent="0.25">
      <c r="A178" s="5"/>
      <c r="B178" s="5" t="s">
        <v>53</v>
      </c>
      <c r="C178" s="7" t="s">
        <v>459</v>
      </c>
      <c r="D178" s="262">
        <f>Assumptions!D134</f>
        <v>22715</v>
      </c>
      <c r="E178" s="83">
        <f t="shared" si="65"/>
        <v>0</v>
      </c>
      <c r="F178" s="302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</row>
    <row r="179" spans="1:62" ht="11.25" customHeight="1" x14ac:dyDescent="0.25">
      <c r="A179" s="5"/>
      <c r="B179" s="5" t="s">
        <v>362</v>
      </c>
      <c r="C179" s="7" t="s">
        <v>459</v>
      </c>
      <c r="D179" s="137"/>
      <c r="E179" s="83">
        <f t="shared" si="65"/>
        <v>1440040.6604476629</v>
      </c>
      <c r="F179" s="302"/>
      <c r="G179" s="368">
        <f>IF(G1&lt;=$D$177,$D$178,F181)</f>
        <v>22715</v>
      </c>
      <c r="H179" s="368">
        <f t="shared" ref="H179:BJ179" si="80">IF(H1&lt;=$D$177,$D$178,G181)</f>
        <v>22715</v>
      </c>
      <c r="I179" s="368">
        <f t="shared" si="80"/>
        <v>22715</v>
      </c>
      <c r="J179" s="368">
        <f t="shared" si="80"/>
        <v>22715</v>
      </c>
      <c r="K179" s="368">
        <f t="shared" si="80"/>
        <v>22715</v>
      </c>
      <c r="L179" s="368">
        <f t="shared" si="80"/>
        <v>22715</v>
      </c>
      <c r="M179" s="368">
        <f t="shared" si="80"/>
        <v>22715</v>
      </c>
      <c r="N179" s="368">
        <f t="shared" si="80"/>
        <v>22739.769528526755</v>
      </c>
      <c r="O179" s="368">
        <f t="shared" si="80"/>
        <v>22764.566066938758</v>
      </c>
      <c r="P179" s="368">
        <f t="shared" si="80"/>
        <v>22789.38964468889</v>
      </c>
      <c r="Q179" s="368">
        <f t="shared" si="80"/>
        <v>22814.240291262144</v>
      </c>
      <c r="R179" s="368">
        <f t="shared" si="80"/>
        <v>22839.118036175667</v>
      </c>
      <c r="S179" s="368">
        <f t="shared" si="80"/>
        <v>22864.02290897879</v>
      </c>
      <c r="T179" s="368">
        <f t="shared" si="80"/>
        <v>22888.954939253072</v>
      </c>
      <c r="U179" s="368">
        <f t="shared" si="80"/>
        <v>22913.914156612325</v>
      </c>
      <c r="V179" s="368">
        <f t="shared" si="80"/>
        <v>22938.900590702655</v>
      </c>
      <c r="W179" s="368">
        <f t="shared" si="80"/>
        <v>22963.914271202491</v>
      </c>
      <c r="X179" s="368">
        <f t="shared" si="80"/>
        <v>23014.023490306263</v>
      </c>
      <c r="Y179" s="368">
        <f t="shared" si="80"/>
        <v>23180.995620302227</v>
      </c>
      <c r="Z179" s="368">
        <f t="shared" si="80"/>
        <v>23349.179172203931</v>
      </c>
      <c r="AA179" s="368">
        <f t="shared" si="80"/>
        <v>23518.582935161001</v>
      </c>
      <c r="AB179" s="368">
        <f t="shared" si="80"/>
        <v>23689.2157620904</v>
      </c>
      <c r="AC179" s="368">
        <f t="shared" si="80"/>
        <v>23861.086570139076</v>
      </c>
      <c r="AD179" s="368">
        <f t="shared" si="80"/>
        <v>24063.425269073978</v>
      </c>
      <c r="AE179" s="368">
        <f t="shared" si="80"/>
        <v>24267.479772063583</v>
      </c>
      <c r="AF179" s="368">
        <f t="shared" si="80"/>
        <v>24473.26462888789</v>
      </c>
      <c r="AG179" s="368">
        <f t="shared" si="80"/>
        <v>24680.794512707002</v>
      </c>
      <c r="AH179" s="368">
        <f t="shared" si="80"/>
        <v>24890.08422110739</v>
      </c>
      <c r="AI179" s="368">
        <f t="shared" si="80"/>
        <v>25101.148677156998</v>
      </c>
      <c r="AJ179" s="368">
        <f t="shared" si="80"/>
        <v>25314.002930469316</v>
      </c>
      <c r="AK179" s="368">
        <f t="shared" si="80"/>
        <v>25528.66215827646</v>
      </c>
      <c r="AL179" s="368">
        <f t="shared" si="80"/>
        <v>25745.141666511372</v>
      </c>
      <c r="AM179" s="368">
        <f t="shared" si="80"/>
        <v>25963.456890899175</v>
      </c>
      <c r="AN179" s="368">
        <f t="shared" si="80"/>
        <v>26183.623398057796</v>
      </c>
      <c r="AO179" s="368">
        <f t="shared" si="80"/>
        <v>26405.656886607921</v>
      </c>
      <c r="AP179" s="368">
        <f t="shared" si="80"/>
        <v>26629.573188292357</v>
      </c>
      <c r="AQ179" s="368">
        <f t="shared" si="80"/>
        <v>26855.388269104893</v>
      </c>
      <c r="AR179" s="368">
        <f t="shared" si="80"/>
        <v>27083.118230428725</v>
      </c>
      <c r="AS179" s="368">
        <f t="shared" si="80"/>
        <v>27312.779310184538</v>
      </c>
      <c r="AT179" s="368">
        <f t="shared" si="80"/>
        <v>27544.387883988336</v>
      </c>
      <c r="AU179" s="368">
        <f t="shared" si="80"/>
        <v>27777.960466319066</v>
      </c>
      <c r="AV179" s="368">
        <f t="shared" si="80"/>
        <v>28013.513711696163</v>
      </c>
      <c r="AW179" s="368">
        <f t="shared" si="80"/>
        <v>28251.064415867077</v>
      </c>
      <c r="AX179" s="368">
        <f t="shared" si="80"/>
        <v>28490.629517004854</v>
      </c>
      <c r="AY179" s="368">
        <f t="shared" si="80"/>
        <v>28732.226096915903</v>
      </c>
      <c r="AZ179" s="368">
        <f t="shared" si="80"/>
        <v>28975.871382257974</v>
      </c>
      <c r="BA179" s="368">
        <f t="shared" si="80"/>
        <v>29221.582745768483</v>
      </c>
      <c r="BB179" s="368">
        <f t="shared" si="80"/>
        <v>29469.377707503241</v>
      </c>
      <c r="BC179" s="368">
        <f t="shared" si="80"/>
        <v>29719.273936085705</v>
      </c>
      <c r="BD179" s="368">
        <f t="shared" si="80"/>
        <v>29971.289249966798</v>
      </c>
      <c r="BE179" s="368">
        <f t="shared" si="80"/>
        <v>30225.441618695437</v>
      </c>
      <c r="BF179" s="368">
        <f t="shared" si="80"/>
        <v>30481.749164199809</v>
      </c>
      <c r="BG179" s="368">
        <f t="shared" si="80"/>
        <v>30740.230162079544</v>
      </c>
      <c r="BH179" s="368">
        <f t="shared" si="80"/>
        <v>31000.903042908809</v>
      </c>
      <c r="BI179" s="368">
        <f t="shared" si="80"/>
        <v>31263.786393550483</v>
      </c>
      <c r="BJ179" s="368">
        <f t="shared" si="80"/>
        <v>31528.898958481463</v>
      </c>
    </row>
    <row r="180" spans="1:62" ht="11.25" customHeight="1" x14ac:dyDescent="0.25">
      <c r="A180" s="5"/>
      <c r="B180" s="5" t="s">
        <v>363</v>
      </c>
      <c r="C180" s="7" t="s">
        <v>459</v>
      </c>
      <c r="D180" s="137"/>
      <c r="E180" s="83">
        <f t="shared" si="65"/>
        <v>1444581.2902682279</v>
      </c>
      <c r="F180" s="302"/>
      <c r="G180" s="368">
        <f>AVERAGE(G179,G181)</f>
        <v>22715</v>
      </c>
      <c r="H180" s="368">
        <f t="shared" ref="H180:BJ180" si="81">AVERAGE(H179,H181)</f>
        <v>22715</v>
      </c>
      <c r="I180" s="368">
        <f t="shared" si="81"/>
        <v>22715</v>
      </c>
      <c r="J180" s="368">
        <f t="shared" si="81"/>
        <v>22715</v>
      </c>
      <c r="K180" s="368">
        <f t="shared" si="81"/>
        <v>22715</v>
      </c>
      <c r="L180" s="368">
        <f t="shared" si="81"/>
        <v>22715</v>
      </c>
      <c r="M180" s="368">
        <f t="shared" si="81"/>
        <v>22727.384764263377</v>
      </c>
      <c r="N180" s="368">
        <f t="shared" si="81"/>
        <v>22752.167797732756</v>
      </c>
      <c r="O180" s="368">
        <f t="shared" si="81"/>
        <v>22776.977855813824</v>
      </c>
      <c r="P180" s="368">
        <f t="shared" si="81"/>
        <v>22801.814967975515</v>
      </c>
      <c r="Q180" s="368">
        <f t="shared" si="81"/>
        <v>22826.679163718905</v>
      </c>
      <c r="R180" s="368">
        <f t="shared" si="81"/>
        <v>22851.57047257723</v>
      </c>
      <c r="S180" s="368">
        <f t="shared" si="81"/>
        <v>22876.488924115933</v>
      </c>
      <c r="T180" s="368">
        <f t="shared" si="81"/>
        <v>22901.434547932698</v>
      </c>
      <c r="U180" s="368">
        <f t="shared" si="81"/>
        <v>22926.40737365749</v>
      </c>
      <c r="V180" s="368">
        <f t="shared" si="81"/>
        <v>22951.407430952575</v>
      </c>
      <c r="W180" s="368">
        <f t="shared" si="81"/>
        <v>22988.968880754379</v>
      </c>
      <c r="X180" s="368">
        <f t="shared" si="81"/>
        <v>23097.509555304245</v>
      </c>
      <c r="Y180" s="368">
        <f t="shared" si="81"/>
        <v>23265.087396253079</v>
      </c>
      <c r="Z180" s="368">
        <f t="shared" si="81"/>
        <v>23433.881053682468</v>
      </c>
      <c r="AA180" s="368">
        <f t="shared" si="81"/>
        <v>23603.899348625702</v>
      </c>
      <c r="AB180" s="368">
        <f t="shared" si="81"/>
        <v>23775.151166114738</v>
      </c>
      <c r="AC180" s="368">
        <f t="shared" si="81"/>
        <v>23962.255919606527</v>
      </c>
      <c r="AD180" s="368">
        <f t="shared" si="81"/>
        <v>24165.452520568782</v>
      </c>
      <c r="AE180" s="368">
        <f t="shared" si="81"/>
        <v>24370.372200475736</v>
      </c>
      <c r="AF180" s="368">
        <f t="shared" si="81"/>
        <v>24577.029570797444</v>
      </c>
      <c r="AG180" s="368">
        <f t="shared" si="81"/>
        <v>24785.439366907194</v>
      </c>
      <c r="AH180" s="368">
        <f t="shared" si="81"/>
        <v>24995.616449132194</v>
      </c>
      <c r="AI180" s="368">
        <f t="shared" si="81"/>
        <v>25207.575803813157</v>
      </c>
      <c r="AJ180" s="368">
        <f t="shared" si="81"/>
        <v>25421.33254437289</v>
      </c>
      <c r="AK180" s="368">
        <f t="shared" si="81"/>
        <v>25636.901912393914</v>
      </c>
      <c r="AL180" s="368">
        <f t="shared" si="81"/>
        <v>25854.299278705272</v>
      </c>
      <c r="AM180" s="368">
        <f t="shared" si="81"/>
        <v>26073.540144478487</v>
      </c>
      <c r="AN180" s="368">
        <f t="shared" si="81"/>
        <v>26294.640142332857</v>
      </c>
      <c r="AO180" s="368">
        <f t="shared" si="81"/>
        <v>26517.615037450138</v>
      </c>
      <c r="AP180" s="368">
        <f t="shared" si="81"/>
        <v>26742.480728698625</v>
      </c>
      <c r="AQ180" s="368">
        <f t="shared" si="81"/>
        <v>26969.253249766807</v>
      </c>
      <c r="AR180" s="368">
        <f t="shared" si="81"/>
        <v>27197.948770306633</v>
      </c>
      <c r="AS180" s="368">
        <f t="shared" si="81"/>
        <v>27428.583597086435</v>
      </c>
      <c r="AT180" s="368">
        <f t="shared" si="81"/>
        <v>27661.174175153701</v>
      </c>
      <c r="AU180" s="368">
        <f t="shared" si="81"/>
        <v>27895.737089007613</v>
      </c>
      <c r="AV180" s="368">
        <f t="shared" si="81"/>
        <v>28132.28906378162</v>
      </c>
      <c r="AW180" s="368">
        <f t="shared" si="81"/>
        <v>28370.846966435965</v>
      </c>
      <c r="AX180" s="368">
        <f t="shared" si="81"/>
        <v>28611.427806960379</v>
      </c>
      <c r="AY180" s="368">
        <f t="shared" si="81"/>
        <v>28854.048739586939</v>
      </c>
      <c r="AZ180" s="368">
        <f t="shared" si="81"/>
        <v>29098.727064013226</v>
      </c>
      <c r="BA180" s="368">
        <f t="shared" si="81"/>
        <v>29345.48022663586</v>
      </c>
      <c r="BB180" s="368">
        <f t="shared" si="81"/>
        <v>29594.325821794475</v>
      </c>
      <c r="BC180" s="368">
        <f t="shared" si="81"/>
        <v>29845.281593026251</v>
      </c>
      <c r="BD180" s="368">
        <f t="shared" si="81"/>
        <v>30098.365434331117</v>
      </c>
      <c r="BE180" s="368">
        <f t="shared" si="81"/>
        <v>30353.595391447623</v>
      </c>
      <c r="BF180" s="368">
        <f t="shared" si="81"/>
        <v>30610.989663139677</v>
      </c>
      <c r="BG180" s="368">
        <f t="shared" si="81"/>
        <v>30870.566602494175</v>
      </c>
      <c r="BH180" s="368">
        <f t="shared" si="81"/>
        <v>31132.344718229644</v>
      </c>
      <c r="BI180" s="368">
        <f t="shared" si="81"/>
        <v>31396.342676015971</v>
      </c>
      <c r="BJ180" s="368">
        <f t="shared" si="81"/>
        <v>31662.579299805329</v>
      </c>
    </row>
    <row r="181" spans="1:62" ht="11.25" customHeight="1" x14ac:dyDescent="0.25">
      <c r="A181" s="5"/>
      <c r="B181" s="5" t="s">
        <v>364</v>
      </c>
      <c r="C181" s="7" t="s">
        <v>459</v>
      </c>
      <c r="D181" s="137"/>
      <c r="E181" s="83">
        <f t="shared" si="65"/>
        <v>1449121.9200887925</v>
      </c>
      <c r="F181" s="302"/>
      <c r="G181" s="368">
        <f>IF(G1&lt;=$D$177,$D$178,G179*G174)</f>
        <v>22715</v>
      </c>
      <c r="H181" s="368">
        <f t="shared" ref="H181:BJ181" si="82">IF(H1&lt;=$D$177,$D$178,H179*H174)</f>
        <v>22715</v>
      </c>
      <c r="I181" s="368">
        <f t="shared" si="82"/>
        <v>22715</v>
      </c>
      <c r="J181" s="368">
        <f t="shared" si="82"/>
        <v>22715</v>
      </c>
      <c r="K181" s="368">
        <f t="shared" si="82"/>
        <v>22715</v>
      </c>
      <c r="L181" s="368">
        <f t="shared" si="82"/>
        <v>22715</v>
      </c>
      <c r="M181" s="368">
        <f t="shared" si="82"/>
        <v>22739.769528526755</v>
      </c>
      <c r="N181" s="368">
        <f t="shared" si="82"/>
        <v>22764.566066938758</v>
      </c>
      <c r="O181" s="368">
        <f t="shared" si="82"/>
        <v>22789.38964468889</v>
      </c>
      <c r="P181" s="368">
        <f t="shared" si="82"/>
        <v>22814.240291262144</v>
      </c>
      <c r="Q181" s="368">
        <f t="shared" si="82"/>
        <v>22839.118036175667</v>
      </c>
      <c r="R181" s="368">
        <f t="shared" si="82"/>
        <v>22864.02290897879</v>
      </c>
      <c r="S181" s="368">
        <f t="shared" si="82"/>
        <v>22888.954939253072</v>
      </c>
      <c r="T181" s="368">
        <f t="shared" si="82"/>
        <v>22913.914156612325</v>
      </c>
      <c r="U181" s="368">
        <f t="shared" si="82"/>
        <v>22938.900590702655</v>
      </c>
      <c r="V181" s="368">
        <f t="shared" si="82"/>
        <v>22963.914271202491</v>
      </c>
      <c r="W181" s="368">
        <f t="shared" si="82"/>
        <v>23014.023490306263</v>
      </c>
      <c r="X181" s="368">
        <f t="shared" si="82"/>
        <v>23180.995620302227</v>
      </c>
      <c r="Y181" s="368">
        <f t="shared" si="82"/>
        <v>23349.179172203931</v>
      </c>
      <c r="Z181" s="368">
        <f t="shared" si="82"/>
        <v>23518.582935161001</v>
      </c>
      <c r="AA181" s="368">
        <f t="shared" si="82"/>
        <v>23689.2157620904</v>
      </c>
      <c r="AB181" s="368">
        <f t="shared" si="82"/>
        <v>23861.086570139076</v>
      </c>
      <c r="AC181" s="368">
        <f t="shared" si="82"/>
        <v>24063.425269073978</v>
      </c>
      <c r="AD181" s="368">
        <f t="shared" si="82"/>
        <v>24267.479772063583</v>
      </c>
      <c r="AE181" s="368">
        <f t="shared" si="82"/>
        <v>24473.26462888789</v>
      </c>
      <c r="AF181" s="368">
        <f t="shared" si="82"/>
        <v>24680.794512707002</v>
      </c>
      <c r="AG181" s="368">
        <f t="shared" si="82"/>
        <v>24890.08422110739</v>
      </c>
      <c r="AH181" s="368">
        <f t="shared" si="82"/>
        <v>25101.148677156998</v>
      </c>
      <c r="AI181" s="368">
        <f t="shared" si="82"/>
        <v>25314.002930469316</v>
      </c>
      <c r="AJ181" s="368">
        <f t="shared" si="82"/>
        <v>25528.66215827646</v>
      </c>
      <c r="AK181" s="368">
        <f t="shared" si="82"/>
        <v>25745.141666511372</v>
      </c>
      <c r="AL181" s="368">
        <f t="shared" si="82"/>
        <v>25963.456890899175</v>
      </c>
      <c r="AM181" s="368">
        <f t="shared" si="82"/>
        <v>26183.623398057796</v>
      </c>
      <c r="AN181" s="368">
        <f t="shared" si="82"/>
        <v>26405.656886607921</v>
      </c>
      <c r="AO181" s="368">
        <f t="shared" si="82"/>
        <v>26629.573188292357</v>
      </c>
      <c r="AP181" s="368">
        <f t="shared" si="82"/>
        <v>26855.388269104893</v>
      </c>
      <c r="AQ181" s="368">
        <f t="shared" si="82"/>
        <v>27083.118230428725</v>
      </c>
      <c r="AR181" s="368">
        <f t="shared" si="82"/>
        <v>27312.779310184538</v>
      </c>
      <c r="AS181" s="368">
        <f t="shared" si="82"/>
        <v>27544.387883988336</v>
      </c>
      <c r="AT181" s="368">
        <f t="shared" si="82"/>
        <v>27777.960466319066</v>
      </c>
      <c r="AU181" s="368">
        <f t="shared" si="82"/>
        <v>28013.513711696163</v>
      </c>
      <c r="AV181" s="368">
        <f t="shared" si="82"/>
        <v>28251.064415867077</v>
      </c>
      <c r="AW181" s="368">
        <f t="shared" si="82"/>
        <v>28490.629517004854</v>
      </c>
      <c r="AX181" s="368">
        <f t="shared" si="82"/>
        <v>28732.226096915903</v>
      </c>
      <c r="AY181" s="368">
        <f t="shared" si="82"/>
        <v>28975.871382257974</v>
      </c>
      <c r="AZ181" s="368">
        <f t="shared" si="82"/>
        <v>29221.582745768483</v>
      </c>
      <c r="BA181" s="368">
        <f t="shared" si="82"/>
        <v>29469.377707503241</v>
      </c>
      <c r="BB181" s="368">
        <f t="shared" si="82"/>
        <v>29719.273936085705</v>
      </c>
      <c r="BC181" s="368">
        <f t="shared" si="82"/>
        <v>29971.289249966798</v>
      </c>
      <c r="BD181" s="368">
        <f t="shared" si="82"/>
        <v>30225.441618695437</v>
      </c>
      <c r="BE181" s="368">
        <f t="shared" si="82"/>
        <v>30481.749164199809</v>
      </c>
      <c r="BF181" s="368">
        <f t="shared" si="82"/>
        <v>30740.230162079544</v>
      </c>
      <c r="BG181" s="368">
        <f t="shared" si="82"/>
        <v>31000.903042908809</v>
      </c>
      <c r="BH181" s="368">
        <f t="shared" si="82"/>
        <v>31263.786393550483</v>
      </c>
      <c r="BI181" s="368">
        <f t="shared" si="82"/>
        <v>31528.898958481463</v>
      </c>
      <c r="BJ181" s="368">
        <f t="shared" si="82"/>
        <v>31796.2596411292</v>
      </c>
    </row>
    <row r="182" spans="1:62" ht="11.25" customHeight="1" x14ac:dyDescent="0.25">
      <c r="A182" s="5"/>
      <c r="B182" s="5"/>
      <c r="C182" s="7"/>
      <c r="D182" s="137"/>
      <c r="E182" s="5"/>
      <c r="F182" s="302"/>
      <c r="G182" s="117"/>
      <c r="H182" s="117"/>
      <c r="I182" s="117"/>
      <c r="J182" s="117"/>
      <c r="K182" s="117"/>
      <c r="L182" s="117"/>
      <c r="M182" s="117"/>
      <c r="N182" s="117"/>
      <c r="O182" s="117"/>
      <c r="P182" s="117"/>
      <c r="Q182" s="117"/>
      <c r="R182" s="117"/>
      <c r="S182" s="117"/>
      <c r="T182" s="117"/>
      <c r="U182" s="117"/>
      <c r="V182" s="117"/>
      <c r="W182" s="117"/>
      <c r="X182" s="117"/>
      <c r="Y182" s="117"/>
      <c r="Z182" s="117"/>
      <c r="AA182" s="117"/>
      <c r="AB182" s="117"/>
      <c r="AC182" s="117"/>
      <c r="AD182" s="117"/>
      <c r="AE182" s="117"/>
      <c r="AF182" s="117"/>
      <c r="AG182" s="117"/>
      <c r="AH182" s="117"/>
      <c r="AI182" s="117"/>
      <c r="AJ182" s="117"/>
      <c r="AK182" s="117"/>
      <c r="AL182" s="117"/>
      <c r="AM182" s="117"/>
      <c r="AN182" s="117"/>
      <c r="AO182" s="117"/>
      <c r="AP182" s="117"/>
      <c r="AQ182" s="117"/>
      <c r="AR182" s="117"/>
      <c r="AS182" s="117"/>
      <c r="AT182" s="117"/>
      <c r="AU182" s="117"/>
      <c r="AV182" s="117"/>
      <c r="AW182" s="117"/>
      <c r="AX182" s="117"/>
      <c r="AY182" s="117"/>
      <c r="AZ182" s="117"/>
      <c r="BA182" s="117"/>
      <c r="BB182" s="117"/>
      <c r="BC182" s="117"/>
      <c r="BD182" s="117"/>
      <c r="BE182" s="117"/>
      <c r="BF182" s="117"/>
      <c r="BG182" s="117"/>
      <c r="BH182" s="117"/>
      <c r="BI182" s="117"/>
      <c r="BJ182" s="117"/>
    </row>
    <row r="183" spans="1:62" ht="11.25" customHeight="1" x14ac:dyDescent="0.25">
      <c r="A183" s="5"/>
      <c r="B183" s="5"/>
      <c r="C183" s="5"/>
      <c r="D183" s="5"/>
      <c r="E183" s="5"/>
      <c r="F183" s="302"/>
      <c r="G183" s="368"/>
      <c r="H183" s="368"/>
      <c r="I183" s="368"/>
      <c r="J183" s="368"/>
      <c r="K183" s="368"/>
      <c r="L183" s="368"/>
      <c r="M183" s="368"/>
      <c r="N183" s="368"/>
      <c r="O183" s="368"/>
      <c r="P183" s="368"/>
      <c r="Q183" s="368"/>
      <c r="R183" s="368"/>
      <c r="S183" s="368"/>
      <c r="T183" s="368"/>
      <c r="U183" s="368"/>
      <c r="V183" s="368"/>
      <c r="W183" s="368"/>
      <c r="X183" s="368"/>
      <c r="Y183" s="368"/>
      <c r="Z183" s="368"/>
      <c r="AA183" s="368"/>
      <c r="AB183" s="368"/>
      <c r="AC183" s="368"/>
      <c r="AD183" s="368"/>
      <c r="AE183" s="368"/>
      <c r="AF183" s="368"/>
      <c r="AG183" s="368"/>
      <c r="AH183" s="368"/>
      <c r="AI183" s="368"/>
      <c r="AJ183" s="368"/>
      <c r="AK183" s="368"/>
      <c r="AL183" s="368"/>
      <c r="AM183" s="368"/>
      <c r="AN183" s="368"/>
      <c r="AO183" s="368"/>
      <c r="AP183" s="368"/>
      <c r="AQ183" s="368"/>
      <c r="AR183" s="368"/>
      <c r="AS183" s="368"/>
      <c r="AT183" s="368"/>
      <c r="AU183" s="368"/>
      <c r="AV183" s="368"/>
      <c r="AW183" s="368"/>
      <c r="AX183" s="368"/>
      <c r="AY183" s="368"/>
      <c r="AZ183" s="368"/>
      <c r="BA183" s="368"/>
      <c r="BB183" s="368"/>
      <c r="BC183" s="368"/>
      <c r="BD183" s="368"/>
      <c r="BE183" s="368"/>
      <c r="BF183" s="368"/>
      <c r="BG183" s="368"/>
      <c r="BH183" s="368"/>
      <c r="BI183" s="368"/>
      <c r="BJ183" s="368"/>
    </row>
    <row r="184" spans="1:62" ht="11.25" customHeight="1" x14ac:dyDescent="0.25">
      <c r="B184" s="5"/>
      <c r="C184" s="5"/>
      <c r="D184" s="5"/>
      <c r="E184" s="5"/>
      <c r="F184" s="302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</row>
    <row r="185" spans="1:62" ht="11.25" customHeight="1" x14ac:dyDescent="0.25">
      <c r="B185" s="5"/>
      <c r="C185" s="5"/>
      <c r="D185" s="5"/>
      <c r="E185" s="5"/>
      <c r="F185" s="302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</row>
    <row r="186" spans="1:62" ht="11.25" customHeight="1" x14ac:dyDescent="0.25">
      <c r="B186" s="5"/>
      <c r="C186" s="5"/>
      <c r="D186" s="5"/>
      <c r="E186" s="5"/>
      <c r="F186" s="302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38"/>
      <c r="AF186" s="38"/>
      <c r="AG186" s="38"/>
      <c r="AH186" s="38"/>
      <c r="AI186" s="38"/>
      <c r="AJ186" s="38"/>
      <c r="AK186" s="38"/>
      <c r="AL186" s="38"/>
      <c r="AM186" s="38"/>
      <c r="AN186" s="38"/>
      <c r="AO186" s="38"/>
      <c r="AP186" s="38"/>
      <c r="AQ186" s="38"/>
      <c r="AR186" s="38"/>
      <c r="AS186" s="38"/>
    </row>
    <row r="187" spans="1:62" ht="11.25" customHeight="1" x14ac:dyDescent="0.25">
      <c r="B187" s="5"/>
      <c r="C187" s="5"/>
      <c r="D187" s="5"/>
      <c r="E187" s="5"/>
      <c r="F187" s="302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38"/>
      <c r="AF187" s="38"/>
      <c r="AG187" s="38"/>
      <c r="AH187" s="38"/>
      <c r="AI187" s="38"/>
      <c r="AJ187" s="38"/>
      <c r="AK187" s="38"/>
      <c r="AL187" s="38"/>
      <c r="AM187" s="38"/>
      <c r="AN187" s="38"/>
      <c r="AO187" s="38"/>
      <c r="AP187" s="38"/>
      <c r="AQ187" s="38"/>
      <c r="AR187" s="38"/>
      <c r="AS187" s="38"/>
    </row>
    <row r="188" spans="1:62" ht="11.25" customHeight="1" x14ac:dyDescent="0.25">
      <c r="B188" s="5"/>
      <c r="C188" s="5"/>
      <c r="D188" s="5"/>
      <c r="E188" s="5"/>
      <c r="F188" s="302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</row>
    <row r="189" spans="1:62" ht="11.25" customHeight="1" x14ac:dyDescent="0.25">
      <c r="B189" s="5"/>
      <c r="C189" s="5"/>
      <c r="D189" s="5"/>
      <c r="E189" s="5"/>
      <c r="F189" s="302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</row>
    <row r="190" spans="1:62" ht="11.25" customHeight="1" x14ac:dyDescent="0.25">
      <c r="B190" s="5"/>
      <c r="C190" s="5"/>
      <c r="D190" s="5"/>
      <c r="E190" s="5"/>
      <c r="F190" s="302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</row>
    <row r="191" spans="1:62" ht="11.25" customHeight="1" x14ac:dyDescent="0.25">
      <c r="B191" s="5"/>
      <c r="C191" s="5"/>
      <c r="D191" s="5"/>
      <c r="E191" s="5"/>
      <c r="F191" s="302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7" tint="0.79998168889431442"/>
  </sheetPr>
  <dimension ref="A1:BL61"/>
  <sheetViews>
    <sheetView topLeftCell="A3" zoomScale="130" zoomScaleNormal="130" zoomScalePageLayoutView="120" workbookViewId="0">
      <selection activeCell="B14" sqref="B14:B23"/>
    </sheetView>
  </sheetViews>
  <sheetFormatPr defaultColWidth="8.7109375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style="305" customWidth="1"/>
    <col min="7" max="64" width="8.7109375" customWidth="1"/>
  </cols>
  <sheetData>
    <row r="1" spans="1:64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/>
      <c r="X1" s="205"/>
      <c r="Y1" s="205"/>
      <c r="Z1" s="205"/>
      <c r="AA1" s="205"/>
      <c r="AB1" s="205"/>
      <c r="AC1" s="205"/>
      <c r="AD1" s="205"/>
      <c r="AE1" s="205"/>
      <c r="AF1" s="205"/>
      <c r="AG1" s="205"/>
      <c r="AH1" s="205"/>
      <c r="AI1" s="205"/>
      <c r="AJ1" s="205"/>
      <c r="AK1" s="205"/>
      <c r="AL1" s="205"/>
      <c r="AM1" s="205"/>
      <c r="AN1" s="205"/>
      <c r="AO1" s="205"/>
      <c r="AP1" s="205"/>
      <c r="AQ1" s="205"/>
      <c r="AR1" s="205"/>
      <c r="AS1" s="205"/>
      <c r="AT1" s="205"/>
      <c r="AU1" s="205"/>
      <c r="AV1" s="205"/>
      <c r="AW1" s="205"/>
      <c r="AX1" s="205"/>
      <c r="AY1" s="205"/>
      <c r="AZ1" s="205"/>
      <c r="BA1" s="205"/>
      <c r="BB1" s="205"/>
      <c r="BC1" s="205"/>
      <c r="BD1" s="205"/>
      <c r="BE1" s="205"/>
      <c r="BF1" s="205"/>
      <c r="BG1" s="205"/>
      <c r="BH1" s="205"/>
      <c r="BI1" s="205"/>
      <c r="BJ1" s="205"/>
      <c r="BL1" t="s">
        <v>102</v>
      </c>
    </row>
    <row r="2" spans="1:64" ht="11.25" customHeight="1" x14ac:dyDescent="0.25">
      <c r="A2" s="200" t="s">
        <v>3</v>
      </c>
      <c r="B2" s="201"/>
      <c r="C2" s="202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L2" t="s">
        <v>102</v>
      </c>
    </row>
    <row r="3" spans="1:64" ht="11.25" customHeight="1" x14ac:dyDescent="0.25">
      <c r="A3" s="200"/>
      <c r="B3" s="201"/>
      <c r="C3" s="202"/>
      <c r="D3" s="200"/>
      <c r="E3" s="203" t="s">
        <v>403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L3" t="s">
        <v>102</v>
      </c>
    </row>
    <row r="4" spans="1:64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80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BL4" t="s">
        <v>102</v>
      </c>
    </row>
    <row r="5" spans="1:64" ht="11.25" customHeight="1" x14ac:dyDescent="0.25">
      <c r="A5" s="12"/>
      <c r="B5" s="12"/>
      <c r="C5" s="12"/>
      <c r="D5" s="12"/>
      <c r="E5" s="12"/>
      <c r="F5" s="80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L5" t="s">
        <v>102</v>
      </c>
    </row>
    <row r="6" spans="1:64" ht="11.25" customHeight="1" x14ac:dyDescent="0.25">
      <c r="A6" s="12" t="s">
        <v>26</v>
      </c>
      <c r="B6" s="12" t="s">
        <v>55</v>
      </c>
      <c r="C6" s="22" t="s">
        <v>1</v>
      </c>
      <c r="D6" s="263">
        <f>Assumptions!D23</f>
        <v>305000</v>
      </c>
      <c r="E6" s="12"/>
      <c r="F6" s="80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L6" t="s">
        <v>102</v>
      </c>
    </row>
    <row r="7" spans="1:64" ht="11.25" customHeight="1" x14ac:dyDescent="0.25">
      <c r="A7" s="12"/>
      <c r="B7" s="20" t="s">
        <v>104</v>
      </c>
      <c r="C7" s="24" t="s">
        <v>101</v>
      </c>
      <c r="D7" s="12"/>
      <c r="E7" s="12"/>
      <c r="F7" s="80"/>
      <c r="G7" s="26">
        <f>IF(G11=1,1,0)</f>
        <v>0</v>
      </c>
      <c r="H7" s="26">
        <f t="shared" ref="H7:V7" si="0">IF(H11=1,1,0)</f>
        <v>0</v>
      </c>
      <c r="I7" s="26">
        <f t="shared" si="0"/>
        <v>1</v>
      </c>
      <c r="J7" s="26">
        <f t="shared" si="0"/>
        <v>0</v>
      </c>
      <c r="K7" s="26">
        <f t="shared" si="0"/>
        <v>0</v>
      </c>
      <c r="L7" s="26">
        <f t="shared" si="0"/>
        <v>0</v>
      </c>
      <c r="M7" s="26">
        <f t="shared" si="0"/>
        <v>0</v>
      </c>
      <c r="N7" s="26">
        <f t="shared" si="0"/>
        <v>0</v>
      </c>
      <c r="O7" s="26">
        <f t="shared" si="0"/>
        <v>0</v>
      </c>
      <c r="P7" s="26">
        <f t="shared" si="0"/>
        <v>0</v>
      </c>
      <c r="Q7" s="26">
        <f t="shared" si="0"/>
        <v>0</v>
      </c>
      <c r="R7" s="26">
        <f t="shared" si="0"/>
        <v>0</v>
      </c>
      <c r="S7" s="26">
        <f t="shared" si="0"/>
        <v>0</v>
      </c>
      <c r="T7" s="26">
        <f t="shared" si="0"/>
        <v>0</v>
      </c>
      <c r="U7" s="26">
        <f t="shared" si="0"/>
        <v>0</v>
      </c>
      <c r="V7" s="26">
        <f t="shared" si="0"/>
        <v>0</v>
      </c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L7" t="s">
        <v>102</v>
      </c>
    </row>
    <row r="8" spans="1:64" ht="11.25" customHeight="1" x14ac:dyDescent="0.25">
      <c r="A8" s="12"/>
      <c r="B8" s="12" t="s">
        <v>122</v>
      </c>
      <c r="C8" s="22" t="s">
        <v>34</v>
      </c>
      <c r="D8" s="12"/>
      <c r="E8" s="23">
        <f t="shared" ref="E8:E11" si="1">SUM(G8:V8)</f>
        <v>1</v>
      </c>
      <c r="F8" s="80" t="s">
        <v>26</v>
      </c>
      <c r="G8" s="83">
        <f>'Time &amp; Technical'!G50</f>
        <v>0</v>
      </c>
      <c r="H8" s="6">
        <f>'Time &amp; Technical'!H50</f>
        <v>0.16</v>
      </c>
      <c r="I8" s="6">
        <f>'Time &amp; Technical'!I50</f>
        <v>7.0000000000000007E-2</v>
      </c>
      <c r="J8" s="6">
        <f>'Time &amp; Technical'!J50</f>
        <v>0.08</v>
      </c>
      <c r="K8" s="6">
        <f>'Time &amp; Technical'!K50</f>
        <v>0.06</v>
      </c>
      <c r="L8" s="6">
        <f>'Time &amp; Technical'!L50</f>
        <v>0.03</v>
      </c>
      <c r="M8" s="6">
        <f>'Time &amp; Technical'!M50</f>
        <v>7.0000000000000007E-2</v>
      </c>
      <c r="N8" s="6">
        <f>'Time &amp; Technical'!N50</f>
        <v>0.05</v>
      </c>
      <c r="O8" s="6">
        <f>'Time &amp; Technical'!O50</f>
        <v>0.08</v>
      </c>
      <c r="P8" s="6">
        <f>'Time &amp; Technical'!P50</f>
        <v>7.0000000000000007E-2</v>
      </c>
      <c r="Q8" s="6">
        <f>'Time &amp; Technical'!Q50</f>
        <v>0.06</v>
      </c>
      <c r="R8" s="6">
        <f>'Time &amp; Technical'!R50</f>
        <v>0.09</v>
      </c>
      <c r="S8" s="6">
        <f>'Time &amp; Technical'!S50</f>
        <v>0.03</v>
      </c>
      <c r="T8" s="6">
        <f>'Time &amp; Technical'!T50</f>
        <v>0.08</v>
      </c>
      <c r="U8" s="6">
        <f>'Time &amp; Technical'!U50</f>
        <v>0.04</v>
      </c>
      <c r="V8" s="6">
        <f>'Time &amp; Technical'!V50</f>
        <v>0.03</v>
      </c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  <c r="BH8" s="83"/>
      <c r="BI8" s="83"/>
      <c r="BJ8" s="83"/>
      <c r="BL8" t="s">
        <v>102</v>
      </c>
    </row>
    <row r="9" spans="1:64" ht="11.25" customHeight="1" x14ac:dyDescent="0.25">
      <c r="A9" s="12"/>
      <c r="B9" s="12" t="s">
        <v>123</v>
      </c>
      <c r="C9" s="22" t="s">
        <v>124</v>
      </c>
      <c r="D9" s="12"/>
      <c r="E9" s="23">
        <f t="shared" si="1"/>
        <v>305000</v>
      </c>
      <c r="F9" s="80" t="s">
        <v>26</v>
      </c>
      <c r="G9" s="1">
        <f>G8*$D$6</f>
        <v>0</v>
      </c>
      <c r="H9" s="1">
        <f t="shared" ref="H9:V9" si="2">H8*$D$6</f>
        <v>48800</v>
      </c>
      <c r="I9" s="1">
        <f t="shared" si="2"/>
        <v>21350.000000000004</v>
      </c>
      <c r="J9" s="1">
        <f t="shared" si="2"/>
        <v>24400</v>
      </c>
      <c r="K9" s="1">
        <f t="shared" si="2"/>
        <v>18300</v>
      </c>
      <c r="L9" s="1">
        <f t="shared" si="2"/>
        <v>9150</v>
      </c>
      <c r="M9" s="1">
        <f t="shared" si="2"/>
        <v>21350.000000000004</v>
      </c>
      <c r="N9" s="1">
        <f t="shared" si="2"/>
        <v>15250</v>
      </c>
      <c r="O9" s="1">
        <f t="shared" si="2"/>
        <v>24400</v>
      </c>
      <c r="P9" s="1">
        <f t="shared" si="2"/>
        <v>21350.000000000004</v>
      </c>
      <c r="Q9" s="1">
        <f t="shared" si="2"/>
        <v>18300</v>
      </c>
      <c r="R9" s="1">
        <f t="shared" si="2"/>
        <v>27450</v>
      </c>
      <c r="S9" s="1">
        <f t="shared" si="2"/>
        <v>9150</v>
      </c>
      <c r="T9" s="1">
        <f t="shared" si="2"/>
        <v>24400</v>
      </c>
      <c r="U9" s="1">
        <f t="shared" si="2"/>
        <v>12200</v>
      </c>
      <c r="V9" s="1">
        <f t="shared" si="2"/>
        <v>9150</v>
      </c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L9" t="s">
        <v>102</v>
      </c>
    </row>
    <row r="10" spans="1:64" ht="11.25" customHeight="1" x14ac:dyDescent="0.25">
      <c r="A10" s="12"/>
      <c r="B10" s="12" t="s">
        <v>56</v>
      </c>
      <c r="C10" s="22" t="s">
        <v>1</v>
      </c>
      <c r="D10" s="263">
        <f>Assumptions!D24</f>
        <v>20000</v>
      </c>
      <c r="E10" s="23">
        <f t="shared" si="1"/>
        <v>20000</v>
      </c>
      <c r="F10" s="80" t="s">
        <v>26</v>
      </c>
      <c r="G10" s="1">
        <f>IF(H7-G7=1,$D$10,0)</f>
        <v>0</v>
      </c>
      <c r="H10" s="1">
        <f t="shared" ref="H10:V10" si="3">IF(I7-H7=1,$D$10,0)</f>
        <v>20000</v>
      </c>
      <c r="I10" s="1">
        <f t="shared" si="3"/>
        <v>0</v>
      </c>
      <c r="J10" s="1">
        <f t="shared" si="3"/>
        <v>0</v>
      </c>
      <c r="K10" s="1">
        <f t="shared" si="3"/>
        <v>0</v>
      </c>
      <c r="L10" s="1">
        <f t="shared" si="3"/>
        <v>0</v>
      </c>
      <c r="M10" s="1">
        <f t="shared" si="3"/>
        <v>0</v>
      </c>
      <c r="N10" s="1">
        <f t="shared" si="3"/>
        <v>0</v>
      </c>
      <c r="O10" s="1">
        <f t="shared" si="3"/>
        <v>0</v>
      </c>
      <c r="P10" s="1">
        <f t="shared" si="3"/>
        <v>0</v>
      </c>
      <c r="Q10" s="1">
        <f t="shared" si="3"/>
        <v>0</v>
      </c>
      <c r="R10" s="1">
        <f t="shared" si="3"/>
        <v>0</v>
      </c>
      <c r="S10" s="1">
        <f t="shared" si="3"/>
        <v>0</v>
      </c>
      <c r="T10" s="1">
        <f t="shared" si="3"/>
        <v>0</v>
      </c>
      <c r="U10" s="1">
        <f t="shared" si="3"/>
        <v>0</v>
      </c>
      <c r="V10" s="1">
        <f t="shared" si="3"/>
        <v>0</v>
      </c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L10" t="s">
        <v>102</v>
      </c>
    </row>
    <row r="11" spans="1:64" ht="11.25" customHeight="1" x14ac:dyDescent="0.25">
      <c r="A11" s="12"/>
      <c r="B11" s="20" t="s">
        <v>357</v>
      </c>
      <c r="C11" s="24" t="s">
        <v>108</v>
      </c>
      <c r="D11" s="12"/>
      <c r="E11" s="23">
        <f t="shared" si="1"/>
        <v>105</v>
      </c>
      <c r="F11" s="80" t="s">
        <v>26</v>
      </c>
      <c r="G11" s="26">
        <f>'Time &amp; Technical'!G18</f>
        <v>0</v>
      </c>
      <c r="H11" s="26">
        <f>'Time &amp; Technical'!H18</f>
        <v>0</v>
      </c>
      <c r="I11" s="26">
        <f>'Time &amp; Technical'!I18</f>
        <v>1</v>
      </c>
      <c r="J11" s="26">
        <f>'Time &amp; Technical'!J18</f>
        <v>2</v>
      </c>
      <c r="K11" s="26">
        <f>'Time &amp; Technical'!K18</f>
        <v>3</v>
      </c>
      <c r="L11" s="26">
        <f>'Time &amp; Technical'!L18</f>
        <v>4</v>
      </c>
      <c r="M11" s="26">
        <f>'Time &amp; Technical'!M18</f>
        <v>5</v>
      </c>
      <c r="N11" s="26">
        <f>'Time &amp; Technical'!N18</f>
        <v>6</v>
      </c>
      <c r="O11" s="26">
        <f>'Time &amp; Technical'!O18</f>
        <v>7</v>
      </c>
      <c r="P11" s="26">
        <f>'Time &amp; Technical'!P18</f>
        <v>8</v>
      </c>
      <c r="Q11" s="26">
        <f>'Time &amp; Technical'!Q18</f>
        <v>9</v>
      </c>
      <c r="R11" s="26">
        <f>'Time &amp; Technical'!R18</f>
        <v>10</v>
      </c>
      <c r="S11" s="26">
        <f>'Time &amp; Technical'!S18</f>
        <v>11</v>
      </c>
      <c r="T11" s="26">
        <f>'Time &amp; Technical'!T18</f>
        <v>12</v>
      </c>
      <c r="U11" s="26">
        <f>'Time &amp; Technical'!U18</f>
        <v>13</v>
      </c>
      <c r="V11" s="26">
        <f>'Time &amp; Technical'!V18</f>
        <v>14</v>
      </c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L11" t="s">
        <v>102</v>
      </c>
    </row>
    <row r="12" spans="1:64" ht="11.25" customHeight="1" x14ac:dyDescent="0.25">
      <c r="A12" s="12"/>
      <c r="B12" s="12"/>
      <c r="C12" s="22"/>
      <c r="D12" s="12"/>
      <c r="E12" s="12"/>
      <c r="F12" s="80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L12" t="s">
        <v>102</v>
      </c>
    </row>
    <row r="13" spans="1:64" ht="11.25" customHeight="1" x14ac:dyDescent="0.25">
      <c r="A13" s="12" t="s">
        <v>26</v>
      </c>
      <c r="B13" s="17" t="s">
        <v>2</v>
      </c>
      <c r="C13" s="22"/>
      <c r="D13" s="12"/>
      <c r="E13" s="12"/>
      <c r="F13" s="80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L13" t="s">
        <v>102</v>
      </c>
    </row>
    <row r="14" spans="1:64" ht="11.25" customHeight="1" x14ac:dyDescent="0.25">
      <c r="A14" s="12"/>
      <c r="B14" s="12" t="s">
        <v>125</v>
      </c>
      <c r="C14" s="22" t="s">
        <v>1</v>
      </c>
      <c r="D14" s="12"/>
      <c r="E14" s="23">
        <f t="shared" ref="E14:E23" si="4">SUM(G14:V14)</f>
        <v>305000</v>
      </c>
      <c r="F14" s="80" t="s">
        <v>26</v>
      </c>
      <c r="G14" s="1">
        <f>G9</f>
        <v>0</v>
      </c>
      <c r="H14" s="1">
        <f t="shared" ref="H14:V14" si="5">H9</f>
        <v>48800</v>
      </c>
      <c r="I14" s="1">
        <f t="shared" si="5"/>
        <v>21350.000000000004</v>
      </c>
      <c r="J14" s="1">
        <f t="shared" si="5"/>
        <v>24400</v>
      </c>
      <c r="K14" s="1">
        <f t="shared" si="5"/>
        <v>18300</v>
      </c>
      <c r="L14" s="1">
        <f t="shared" si="5"/>
        <v>9150</v>
      </c>
      <c r="M14" s="1">
        <f t="shared" si="5"/>
        <v>21350.000000000004</v>
      </c>
      <c r="N14" s="1">
        <f t="shared" si="5"/>
        <v>15250</v>
      </c>
      <c r="O14" s="1">
        <f t="shared" si="5"/>
        <v>24400</v>
      </c>
      <c r="P14" s="1">
        <f t="shared" si="5"/>
        <v>21350.000000000004</v>
      </c>
      <c r="Q14" s="1">
        <f t="shared" si="5"/>
        <v>18300</v>
      </c>
      <c r="R14" s="1">
        <f t="shared" si="5"/>
        <v>27450</v>
      </c>
      <c r="S14" s="1">
        <f t="shared" si="5"/>
        <v>9150</v>
      </c>
      <c r="T14" s="1">
        <f t="shared" si="5"/>
        <v>24400</v>
      </c>
      <c r="U14" s="1">
        <f t="shared" si="5"/>
        <v>12200</v>
      </c>
      <c r="V14" s="1">
        <f t="shared" si="5"/>
        <v>9150</v>
      </c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L14" t="s">
        <v>102</v>
      </c>
    </row>
    <row r="15" spans="1:64" ht="11.25" customHeight="1" x14ac:dyDescent="0.25">
      <c r="A15" s="12"/>
      <c r="B15" s="12" t="s">
        <v>4</v>
      </c>
      <c r="C15" s="22" t="s">
        <v>1</v>
      </c>
      <c r="D15" s="12"/>
      <c r="E15" s="23">
        <f t="shared" si="4"/>
        <v>20000</v>
      </c>
      <c r="F15" s="80" t="s">
        <v>26</v>
      </c>
      <c r="G15" s="1">
        <f>G10</f>
        <v>0</v>
      </c>
      <c r="H15" s="1">
        <f t="shared" ref="H15:V15" si="6">H10</f>
        <v>20000</v>
      </c>
      <c r="I15" s="1">
        <f t="shared" si="6"/>
        <v>0</v>
      </c>
      <c r="J15" s="1">
        <f t="shared" si="6"/>
        <v>0</v>
      </c>
      <c r="K15" s="1">
        <f t="shared" si="6"/>
        <v>0</v>
      </c>
      <c r="L15" s="1">
        <f t="shared" si="6"/>
        <v>0</v>
      </c>
      <c r="M15" s="1">
        <f t="shared" si="6"/>
        <v>0</v>
      </c>
      <c r="N15" s="1">
        <f t="shared" si="6"/>
        <v>0</v>
      </c>
      <c r="O15" s="1">
        <f t="shared" si="6"/>
        <v>0</v>
      </c>
      <c r="P15" s="1">
        <f t="shared" si="6"/>
        <v>0</v>
      </c>
      <c r="Q15" s="1">
        <f t="shared" si="6"/>
        <v>0</v>
      </c>
      <c r="R15" s="1">
        <f t="shared" si="6"/>
        <v>0</v>
      </c>
      <c r="S15" s="1">
        <f t="shared" si="6"/>
        <v>0</v>
      </c>
      <c r="T15" s="1">
        <f t="shared" si="6"/>
        <v>0</v>
      </c>
      <c r="U15" s="1">
        <f t="shared" si="6"/>
        <v>0</v>
      </c>
      <c r="V15" s="1">
        <f t="shared" si="6"/>
        <v>0</v>
      </c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L15" t="s">
        <v>102</v>
      </c>
    </row>
    <row r="16" spans="1:64" ht="11.25" customHeight="1" x14ac:dyDescent="0.25">
      <c r="A16" s="12"/>
      <c r="B16" s="12" t="s">
        <v>126</v>
      </c>
      <c r="C16" s="22" t="s">
        <v>1</v>
      </c>
      <c r="D16" s="12"/>
      <c r="E16" s="23">
        <f t="shared" si="4"/>
        <v>325000</v>
      </c>
      <c r="F16" s="80" t="s">
        <v>26</v>
      </c>
      <c r="G16" s="1">
        <f>SUM(G14:G15)</f>
        <v>0</v>
      </c>
      <c r="H16" s="1">
        <f t="shared" ref="H16:V16" si="7">SUM(H14:H15)</f>
        <v>68800</v>
      </c>
      <c r="I16" s="1">
        <f t="shared" si="7"/>
        <v>21350.000000000004</v>
      </c>
      <c r="J16" s="1">
        <f t="shared" si="7"/>
        <v>24400</v>
      </c>
      <c r="K16" s="1">
        <f t="shared" si="7"/>
        <v>18300</v>
      </c>
      <c r="L16" s="1">
        <f t="shared" si="7"/>
        <v>9150</v>
      </c>
      <c r="M16" s="1">
        <f t="shared" si="7"/>
        <v>21350.000000000004</v>
      </c>
      <c r="N16" s="1">
        <f t="shared" si="7"/>
        <v>15250</v>
      </c>
      <c r="O16" s="1">
        <f t="shared" si="7"/>
        <v>24400</v>
      </c>
      <c r="P16" s="1">
        <f t="shared" si="7"/>
        <v>21350.000000000004</v>
      </c>
      <c r="Q16" s="1">
        <f t="shared" si="7"/>
        <v>18300</v>
      </c>
      <c r="R16" s="1">
        <f t="shared" si="7"/>
        <v>27450</v>
      </c>
      <c r="S16" s="1">
        <f t="shared" si="7"/>
        <v>9150</v>
      </c>
      <c r="T16" s="1">
        <f t="shared" si="7"/>
        <v>24400</v>
      </c>
      <c r="U16" s="1">
        <f t="shared" si="7"/>
        <v>12200</v>
      </c>
      <c r="V16" s="1">
        <f t="shared" si="7"/>
        <v>9150</v>
      </c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L16" t="s">
        <v>102</v>
      </c>
    </row>
    <row r="17" spans="1:64" ht="11.25" customHeight="1" x14ac:dyDescent="0.25">
      <c r="A17" s="12"/>
      <c r="B17" s="12" t="s">
        <v>127</v>
      </c>
      <c r="C17" s="22" t="s">
        <v>1</v>
      </c>
      <c r="D17" s="12"/>
      <c r="E17" s="23">
        <f t="shared" si="4"/>
        <v>42346.95158234454</v>
      </c>
      <c r="F17" s="80" t="s">
        <v>26</v>
      </c>
      <c r="G17" s="1">
        <f>G49</f>
        <v>0</v>
      </c>
      <c r="H17" s="1">
        <f t="shared" ref="H17:V17" si="8">H49</f>
        <v>0</v>
      </c>
      <c r="I17" s="1">
        <f t="shared" si="8"/>
        <v>1023.047124350064</v>
      </c>
      <c r="J17" s="1">
        <f t="shared" si="8"/>
        <v>1342.3931952472074</v>
      </c>
      <c r="K17" s="1">
        <f t="shared" si="8"/>
        <v>1708.7929258302677</v>
      </c>
      <c r="L17" s="1">
        <f t="shared" si="8"/>
        <v>1994.2118368947429</v>
      </c>
      <c r="M17" s="1">
        <f t="shared" si="8"/>
        <v>2154.7093189377197</v>
      </c>
      <c r="N17" s="1">
        <f t="shared" si="8"/>
        <v>2488.8348980961782</v>
      </c>
      <c r="O17" s="1">
        <f t="shared" si="8"/>
        <v>2741.5581573184459</v>
      </c>
      <c r="P17" s="1">
        <f t="shared" si="8"/>
        <v>3126.2309823061564</v>
      </c>
      <c r="Q17" s="1">
        <f t="shared" si="8"/>
        <v>3473.0446343882063</v>
      </c>
      <c r="R17" s="1">
        <f t="shared" si="8"/>
        <v>3781.504672766448</v>
      </c>
      <c r="S17" s="1">
        <f t="shared" si="8"/>
        <v>4222.6421992459091</v>
      </c>
      <c r="T17" s="1">
        <f t="shared" si="8"/>
        <v>4412.2429818211922</v>
      </c>
      <c r="U17" s="1">
        <f t="shared" si="8"/>
        <v>4818.7349506169094</v>
      </c>
      <c r="V17" s="1">
        <f t="shared" si="8"/>
        <v>5059.0037045250974</v>
      </c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L17" t="s">
        <v>102</v>
      </c>
    </row>
    <row r="18" spans="1:64" ht="11.25" customHeight="1" x14ac:dyDescent="0.25">
      <c r="A18" s="12"/>
      <c r="B18" s="12" t="s">
        <v>57</v>
      </c>
      <c r="C18" s="22" t="s">
        <v>34</v>
      </c>
      <c r="D18" s="371">
        <f>Assumptions!D150</f>
        <v>1.2E-2</v>
      </c>
      <c r="E18" s="1"/>
      <c r="F18" s="8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L18" t="s">
        <v>102</v>
      </c>
    </row>
    <row r="19" spans="1:64" ht="11.25" customHeight="1" x14ac:dyDescent="0.25">
      <c r="A19" s="12"/>
      <c r="B19" s="12" t="s">
        <v>57</v>
      </c>
      <c r="C19" s="22" t="s">
        <v>1</v>
      </c>
      <c r="D19" s="12"/>
      <c r="E19" s="23">
        <f t="shared" si="4"/>
        <v>3962.9533677143586</v>
      </c>
      <c r="F19" s="80" t="s">
        <v>26</v>
      </c>
      <c r="G19" s="1">
        <f>IF(G1&lt;&gt;Assumptions!$D$10,0,Construction!$D$18*Construction!$D$30)</f>
        <v>0</v>
      </c>
      <c r="H19" s="1">
        <f>IF(H1&lt;&gt;Assumptions!$D$10,0,Construction!$D$18*Construction!$D$30)</f>
        <v>3962.9533677143586</v>
      </c>
      <c r="I19" s="1">
        <f>IF(I1&lt;&gt;Assumptions!$D$10,0,Construction!$D$18*Construction!$D$30)</f>
        <v>0</v>
      </c>
      <c r="J19" s="1">
        <f>IF(J1&lt;&gt;Assumptions!$D$10,0,Construction!$D$18*Construction!$D$30)</f>
        <v>0</v>
      </c>
      <c r="K19" s="1">
        <f>IF(K1&lt;&gt;Assumptions!$D$10,0,Construction!$D$18*Construction!$D$30)</f>
        <v>0</v>
      </c>
      <c r="L19" s="1">
        <f>IF(L1&lt;&gt;Assumptions!$D$10,0,Construction!$D$18*Construction!$D$30)</f>
        <v>0</v>
      </c>
      <c r="M19" s="1">
        <f>IF(M1&lt;&gt;Assumptions!$D$10,0,Construction!$D$18*Construction!$D$30)</f>
        <v>0</v>
      </c>
      <c r="N19" s="1">
        <f>IF(N1&lt;&gt;Assumptions!$D$10,0,Construction!$D$18*Construction!$D$30)</f>
        <v>0</v>
      </c>
      <c r="O19" s="1">
        <f>IF(O1&lt;&gt;Assumptions!$D$10,0,Construction!$D$18*Construction!$D$30)</f>
        <v>0</v>
      </c>
      <c r="P19" s="1">
        <f>IF(P1&lt;&gt;Assumptions!$D$10,0,Construction!$D$18*Construction!$D$30)</f>
        <v>0</v>
      </c>
      <c r="Q19" s="1">
        <f>IF(Q1&lt;&gt;Assumptions!$D$10,0,Construction!$D$18*Construction!$D$30)</f>
        <v>0</v>
      </c>
      <c r="R19" s="1">
        <f>IF(R1&lt;&gt;Assumptions!$D$10,0,Construction!$D$18*Construction!$D$30)</f>
        <v>0</v>
      </c>
      <c r="S19" s="1">
        <f>IF(S1&lt;&gt;Assumptions!$D$10,0,Construction!$D$18*Construction!$D$30)</f>
        <v>0</v>
      </c>
      <c r="T19" s="1">
        <f>IF(T1&lt;&gt;Assumptions!$D$10,0,Construction!$D$18*Construction!$D$30)</f>
        <v>0</v>
      </c>
      <c r="U19" s="1">
        <f>IF(U1&lt;&gt;Assumptions!$D$10,0,Construction!$D$18*Construction!$D$30)</f>
        <v>0</v>
      </c>
      <c r="V19" s="1">
        <f>IF(V1&lt;&gt;Assumptions!$D$10,0,Construction!$D$18*Construction!$D$30)</f>
        <v>0</v>
      </c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L19" t="s">
        <v>102</v>
      </c>
    </row>
    <row r="20" spans="1:64" ht="11.25" customHeight="1" x14ac:dyDescent="0.25">
      <c r="A20" s="12"/>
      <c r="B20" s="12" t="s">
        <v>58</v>
      </c>
      <c r="C20" s="22" t="s">
        <v>34</v>
      </c>
      <c r="D20" s="275">
        <f>Assumptions!D151</f>
        <v>5.0000000000000001E-3</v>
      </c>
      <c r="E20" s="1"/>
      <c r="F20" s="80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L20" t="s">
        <v>102</v>
      </c>
    </row>
    <row r="21" spans="1:64" ht="11.25" customHeight="1" x14ac:dyDescent="0.25">
      <c r="A21" s="12"/>
      <c r="B21" s="12" t="s">
        <v>58</v>
      </c>
      <c r="C21" s="22" t="s">
        <v>1</v>
      </c>
      <c r="D21" s="12"/>
      <c r="E21" s="1">
        <f t="shared" si="4"/>
        <v>2767.4327710880953</v>
      </c>
      <c r="F21" s="80" t="s">
        <v>26</v>
      </c>
      <c r="G21" s="1">
        <f>IF(G11&gt;0,$D$20*F32*G3,0)</f>
        <v>0</v>
      </c>
      <c r="H21" s="1">
        <f t="shared" ref="H21:V21" si="9">IF(H11&gt;0,$D$20*G32*H3,0)</f>
        <v>0</v>
      </c>
      <c r="I21" s="1">
        <f t="shared" si="9"/>
        <v>340.04468910253132</v>
      </c>
      <c r="J21" s="1">
        <f t="shared" si="9"/>
        <v>317.33159728907873</v>
      </c>
      <c r="K21" s="1">
        <f t="shared" si="9"/>
        <v>291.27187249654247</v>
      </c>
      <c r="L21" s="1">
        <f t="shared" si="9"/>
        <v>270.97180769821563</v>
      </c>
      <c r="M21" s="1">
        <f t="shared" si="9"/>
        <v>259.55662405362267</v>
      </c>
      <c r="N21" s="1">
        <f t="shared" si="9"/>
        <v>235.79235811063131</v>
      </c>
      <c r="O21" s="1">
        <f t="shared" si="9"/>
        <v>217.81773085442452</v>
      </c>
      <c r="P21" s="1">
        <f t="shared" si="9"/>
        <v>190.45835496625165</v>
      </c>
      <c r="Q21" s="1">
        <f t="shared" si="9"/>
        <v>165.79166562897925</v>
      </c>
      <c r="R21" s="1">
        <f t="shared" si="9"/>
        <v>143.85282932896209</v>
      </c>
      <c r="S21" s="1">
        <f t="shared" si="9"/>
        <v>112.47747182686668</v>
      </c>
      <c r="T21" s="1">
        <f t="shared" si="9"/>
        <v>98.992352155793895</v>
      </c>
      <c r="U21" s="1">
        <f t="shared" si="9"/>
        <v>70.081116821816906</v>
      </c>
      <c r="V21" s="1">
        <f t="shared" si="9"/>
        <v>52.992300754378157</v>
      </c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L21" t="s">
        <v>102</v>
      </c>
    </row>
    <row r="22" spans="1:64" ht="11.25" customHeight="1" x14ac:dyDescent="0.25">
      <c r="A22" s="12"/>
      <c r="B22" s="12" t="s">
        <v>6</v>
      </c>
      <c r="C22" s="22" t="s">
        <v>1</v>
      </c>
      <c r="D22" s="266">
        <f>'Working Capital'!E22</f>
        <v>19145.09551533575</v>
      </c>
      <c r="E22" s="1">
        <f t="shared" si="4"/>
        <v>19145.09551533575</v>
      </c>
      <c r="F22" s="80" t="s">
        <v>26</v>
      </c>
      <c r="G22" s="1">
        <f>IF('Time &amp; Technical'!$D$17=Construction!G1,Construction!$D$22,0)</f>
        <v>0</v>
      </c>
      <c r="H22" s="1">
        <f>IF('Time &amp; Technical'!$D$17=Construction!H1,Construction!$D$22,0)</f>
        <v>0</v>
      </c>
      <c r="I22" s="1">
        <f>IF('Time &amp; Technical'!$D$17=Construction!I1,Construction!$D$22,0)</f>
        <v>0</v>
      </c>
      <c r="J22" s="1">
        <f>IF('Time &amp; Technical'!$D$17=Construction!J1,Construction!$D$22,0)</f>
        <v>0</v>
      </c>
      <c r="K22" s="1">
        <f>IF('Time &amp; Technical'!$D$17=Construction!K1,Construction!$D$22,0)</f>
        <v>0</v>
      </c>
      <c r="L22" s="1">
        <f>IF('Time &amp; Technical'!$D$17=Construction!L1,Construction!$D$22,0)</f>
        <v>0</v>
      </c>
      <c r="M22" s="1">
        <f>IF('Time &amp; Technical'!$D$17=Construction!M1,Construction!$D$22,0)</f>
        <v>0</v>
      </c>
      <c r="N22" s="1">
        <f>IF('Time &amp; Technical'!$D$17=Construction!N1,Construction!$D$22,0)</f>
        <v>0</v>
      </c>
      <c r="O22" s="1">
        <f>IF('Time &amp; Technical'!$D$17=Construction!O1,Construction!$D$22,0)</f>
        <v>0</v>
      </c>
      <c r="P22" s="1">
        <f>IF('Time &amp; Technical'!$D$17=Construction!P1,Construction!$D$22,0)</f>
        <v>0</v>
      </c>
      <c r="Q22" s="1">
        <f>IF('Time &amp; Technical'!$D$17=Construction!Q1,Construction!$D$22,0)</f>
        <v>0</v>
      </c>
      <c r="R22" s="1">
        <f>IF('Time &amp; Technical'!$D$17=Construction!R1,Construction!$D$22,0)</f>
        <v>0</v>
      </c>
      <c r="S22" s="1">
        <f>IF('Time &amp; Technical'!$D$17=Construction!S1,Construction!$D$22,0)</f>
        <v>0</v>
      </c>
      <c r="T22" s="1">
        <f>IF('Time &amp; Technical'!$D$17=Construction!T1,Construction!$D$22,0)</f>
        <v>0</v>
      </c>
      <c r="U22" s="1">
        <f>IF('Time &amp; Technical'!$D$17=Construction!U1,Construction!$D$22,0)</f>
        <v>0</v>
      </c>
      <c r="V22" s="1">
        <f>IF('Time &amp; Technical'!$D$17=Construction!V1,Construction!$D$22,0)</f>
        <v>19145.09551533575</v>
      </c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L22" t="s">
        <v>102</v>
      </c>
    </row>
    <row r="23" spans="1:64" s="1" customFormat="1" ht="11.25" customHeight="1" thickBot="1" x14ac:dyDescent="0.3">
      <c r="A23" s="12"/>
      <c r="B23" s="46" t="s">
        <v>7</v>
      </c>
      <c r="C23" s="47"/>
      <c r="D23" s="267">
        <f>Reserves!D24</f>
        <v>19585.209233762856</v>
      </c>
      <c r="E23" s="48">
        <f t="shared" si="4"/>
        <v>19585.209233762856</v>
      </c>
      <c r="F23" s="309" t="s">
        <v>26</v>
      </c>
      <c r="G23" s="48">
        <f t="shared" ref="G23:V23" si="10">IF(G22&lt;&gt;0,$D$23,0)</f>
        <v>0</v>
      </c>
      <c r="H23" s="48">
        <f t="shared" si="10"/>
        <v>0</v>
      </c>
      <c r="I23" s="48">
        <f t="shared" si="10"/>
        <v>0</v>
      </c>
      <c r="J23" s="48">
        <f t="shared" si="10"/>
        <v>0</v>
      </c>
      <c r="K23" s="48">
        <f t="shared" si="10"/>
        <v>0</v>
      </c>
      <c r="L23" s="48">
        <f t="shared" si="10"/>
        <v>0</v>
      </c>
      <c r="M23" s="48">
        <f t="shared" si="10"/>
        <v>0</v>
      </c>
      <c r="N23" s="48">
        <f t="shared" si="10"/>
        <v>0</v>
      </c>
      <c r="O23" s="48">
        <f t="shared" si="10"/>
        <v>0</v>
      </c>
      <c r="P23" s="48">
        <f t="shared" si="10"/>
        <v>0</v>
      </c>
      <c r="Q23" s="48">
        <f t="shared" si="10"/>
        <v>0</v>
      </c>
      <c r="R23" s="48">
        <f t="shared" si="10"/>
        <v>0</v>
      </c>
      <c r="S23" s="48">
        <f t="shared" si="10"/>
        <v>0</v>
      </c>
      <c r="T23" s="48">
        <f t="shared" si="10"/>
        <v>0</v>
      </c>
      <c r="U23" s="48">
        <f t="shared" si="10"/>
        <v>0</v>
      </c>
      <c r="V23" s="48">
        <f t="shared" si="10"/>
        <v>19585.209233762856</v>
      </c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  <c r="AX23" s="48"/>
      <c r="AY23" s="48"/>
      <c r="AZ23" s="48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L23" t="s">
        <v>102</v>
      </c>
    </row>
    <row r="24" spans="1:64" ht="11.25" customHeight="1" thickTop="1" x14ac:dyDescent="0.25">
      <c r="A24" s="17" t="s">
        <v>26</v>
      </c>
      <c r="B24" s="214" t="s">
        <v>129</v>
      </c>
      <c r="C24" s="215" t="s">
        <v>1</v>
      </c>
      <c r="D24" s="214"/>
      <c r="E24" s="216">
        <f>SUM(G24:V24)</f>
        <v>412807.6424702456</v>
      </c>
      <c r="F24" s="310" t="s">
        <v>26</v>
      </c>
      <c r="G24" s="216">
        <f>SUM(G16:G23)</f>
        <v>0</v>
      </c>
      <c r="H24" s="216">
        <f t="shared" ref="H24:V24" si="11">SUM(H16:H23)</f>
        <v>72762.953367714363</v>
      </c>
      <c r="I24" s="216">
        <f t="shared" si="11"/>
        <v>22713.0918134526</v>
      </c>
      <c r="J24" s="216">
        <f t="shared" si="11"/>
        <v>26059.724792536286</v>
      </c>
      <c r="K24" s="216">
        <f t="shared" si="11"/>
        <v>20300.06479832681</v>
      </c>
      <c r="L24" s="216">
        <f t="shared" si="11"/>
        <v>11415.183644592958</v>
      </c>
      <c r="M24" s="216">
        <f t="shared" si="11"/>
        <v>23764.265942991344</v>
      </c>
      <c r="N24" s="216">
        <f t="shared" si="11"/>
        <v>17974.627256206808</v>
      </c>
      <c r="O24" s="216">
        <f t="shared" si="11"/>
        <v>27359.375888172872</v>
      </c>
      <c r="P24" s="216">
        <f t="shared" si="11"/>
        <v>24666.689337272412</v>
      </c>
      <c r="Q24" s="216">
        <f t="shared" si="11"/>
        <v>21938.836300017185</v>
      </c>
      <c r="R24" s="216">
        <f t="shared" si="11"/>
        <v>31375.357502095412</v>
      </c>
      <c r="S24" s="216">
        <f t="shared" si="11"/>
        <v>13485.119671072776</v>
      </c>
      <c r="T24" s="216">
        <f t="shared" si="11"/>
        <v>28911.235333976987</v>
      </c>
      <c r="U24" s="216">
        <f t="shared" si="11"/>
        <v>17088.816067438725</v>
      </c>
      <c r="V24" s="216">
        <f t="shared" si="11"/>
        <v>52992.300754378084</v>
      </c>
      <c r="W24" s="216"/>
      <c r="X24" s="216"/>
      <c r="Y24" s="216"/>
      <c r="Z24" s="216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K24" s="216"/>
      <c r="AL24" s="216"/>
      <c r="AM24" s="216"/>
      <c r="AN24" s="216"/>
      <c r="AO24" s="216"/>
      <c r="AP24" s="216"/>
      <c r="AQ24" s="216"/>
      <c r="AR24" s="216"/>
      <c r="AS24" s="216"/>
      <c r="AT24" s="216"/>
      <c r="AU24" s="216"/>
      <c r="AV24" s="216"/>
      <c r="AW24" s="216"/>
      <c r="AX24" s="216"/>
      <c r="AY24" s="216"/>
      <c r="AZ24" s="216"/>
      <c r="BA24" s="216"/>
      <c r="BB24" s="216"/>
      <c r="BC24" s="216"/>
      <c r="BD24" s="216"/>
      <c r="BE24" s="216"/>
      <c r="BF24" s="216"/>
      <c r="BG24" s="216"/>
      <c r="BH24" s="216"/>
      <c r="BI24" s="216"/>
      <c r="BJ24" s="216"/>
      <c r="BL24" t="s">
        <v>102</v>
      </c>
    </row>
    <row r="25" spans="1:64" ht="11.25" customHeight="1" x14ac:dyDescent="0.25">
      <c r="A25" s="12"/>
      <c r="B25" s="12"/>
      <c r="C25" s="22"/>
      <c r="D25" s="12"/>
      <c r="E25" s="23"/>
      <c r="F25" s="80"/>
      <c r="G25" s="23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L25" t="s">
        <v>102</v>
      </c>
    </row>
    <row r="26" spans="1:64" ht="11.25" customHeight="1" x14ac:dyDescent="0.25">
      <c r="A26" s="12"/>
      <c r="B26" s="12" t="s">
        <v>130</v>
      </c>
      <c r="C26" s="22" t="s">
        <v>1</v>
      </c>
      <c r="D26" s="12"/>
      <c r="E26" s="23"/>
      <c r="F26" s="80" t="s">
        <v>26</v>
      </c>
      <c r="G26" s="23">
        <f>G24</f>
        <v>0</v>
      </c>
      <c r="H26" s="23">
        <f t="shared" ref="H26:V26" si="12">H24</f>
        <v>72762.953367714363</v>
      </c>
      <c r="I26" s="23">
        <f t="shared" si="12"/>
        <v>22713.0918134526</v>
      </c>
      <c r="J26" s="23">
        <f t="shared" si="12"/>
        <v>26059.724792536286</v>
      </c>
      <c r="K26" s="23">
        <f t="shared" si="12"/>
        <v>20300.06479832681</v>
      </c>
      <c r="L26" s="23">
        <f t="shared" si="12"/>
        <v>11415.183644592958</v>
      </c>
      <c r="M26" s="23">
        <f t="shared" si="12"/>
        <v>23764.265942991344</v>
      </c>
      <c r="N26" s="23">
        <f t="shared" si="12"/>
        <v>17974.627256206808</v>
      </c>
      <c r="O26" s="23">
        <f t="shared" si="12"/>
        <v>27359.375888172872</v>
      </c>
      <c r="P26" s="23">
        <f t="shared" si="12"/>
        <v>24666.689337272412</v>
      </c>
      <c r="Q26" s="23">
        <f t="shared" si="12"/>
        <v>21938.836300017185</v>
      </c>
      <c r="R26" s="23">
        <f t="shared" si="12"/>
        <v>31375.357502095412</v>
      </c>
      <c r="S26" s="23">
        <f t="shared" si="12"/>
        <v>13485.119671072776</v>
      </c>
      <c r="T26" s="23">
        <f t="shared" si="12"/>
        <v>28911.235333976987</v>
      </c>
      <c r="U26" s="23">
        <f t="shared" si="12"/>
        <v>17088.816067438725</v>
      </c>
      <c r="V26" s="23">
        <f t="shared" si="12"/>
        <v>52992.300754378084</v>
      </c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L26" t="s">
        <v>102</v>
      </c>
    </row>
    <row r="27" spans="1:64" ht="11.25" customHeight="1" x14ac:dyDescent="0.25">
      <c r="A27" s="12"/>
      <c r="B27" s="12" t="s">
        <v>131</v>
      </c>
      <c r="C27" s="22" t="s">
        <v>1</v>
      </c>
      <c r="D27" s="12"/>
      <c r="E27" s="23">
        <f>SUM(G27:V27)</f>
        <v>354077.33772114705</v>
      </c>
      <c r="F27" s="80" t="s">
        <v>26</v>
      </c>
      <c r="G27" s="23">
        <f>G24-G23-G22-G15</f>
        <v>0</v>
      </c>
      <c r="H27" s="23">
        <f t="shared" ref="H27:V27" si="13">H24-H23-H22-H15</f>
        <v>52762.953367714363</v>
      </c>
      <c r="I27" s="23">
        <f t="shared" si="13"/>
        <v>22713.0918134526</v>
      </c>
      <c r="J27" s="23">
        <f t="shared" si="13"/>
        <v>26059.724792536286</v>
      </c>
      <c r="K27" s="23">
        <f t="shared" si="13"/>
        <v>20300.06479832681</v>
      </c>
      <c r="L27" s="23">
        <f t="shared" si="13"/>
        <v>11415.183644592958</v>
      </c>
      <c r="M27" s="23">
        <f t="shared" si="13"/>
        <v>23764.265942991344</v>
      </c>
      <c r="N27" s="23">
        <f t="shared" si="13"/>
        <v>17974.627256206808</v>
      </c>
      <c r="O27" s="23">
        <f t="shared" si="13"/>
        <v>27359.375888172872</v>
      </c>
      <c r="P27" s="23">
        <f t="shared" si="13"/>
        <v>24666.689337272412</v>
      </c>
      <c r="Q27" s="23">
        <f t="shared" si="13"/>
        <v>21938.836300017185</v>
      </c>
      <c r="R27" s="23">
        <f t="shared" si="13"/>
        <v>31375.357502095412</v>
      </c>
      <c r="S27" s="23">
        <f t="shared" si="13"/>
        <v>13485.119671072776</v>
      </c>
      <c r="T27" s="23">
        <f t="shared" si="13"/>
        <v>28911.235333976987</v>
      </c>
      <c r="U27" s="23">
        <f t="shared" si="13"/>
        <v>17088.816067438725</v>
      </c>
      <c r="V27" s="23">
        <f t="shared" si="13"/>
        <v>14261.996005279478</v>
      </c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L27" t="s">
        <v>102</v>
      </c>
    </row>
    <row r="28" spans="1:64" ht="11.25" customHeight="1" x14ac:dyDescent="0.25">
      <c r="A28" s="12"/>
      <c r="B28" s="12" t="s">
        <v>132</v>
      </c>
      <c r="C28" s="22" t="s">
        <v>1</v>
      </c>
      <c r="D28" s="12"/>
      <c r="E28" s="23">
        <f>SUM(G28:V28)</f>
        <v>3085951.5612164917</v>
      </c>
      <c r="F28" s="80" t="s">
        <v>26</v>
      </c>
      <c r="G28" s="23">
        <f>SUM($G$27:G27)</f>
        <v>0</v>
      </c>
      <c r="H28" s="23">
        <f>SUM($G$27:H27)</f>
        <v>52762.953367714363</v>
      </c>
      <c r="I28" s="23">
        <f>SUM($G$27:I27)</f>
        <v>75476.045181166963</v>
      </c>
      <c r="J28" s="23">
        <f>SUM($G$27:J27)</f>
        <v>101535.76997370325</v>
      </c>
      <c r="K28" s="23">
        <f>SUM($G$27:K27)</f>
        <v>121835.83477203007</v>
      </c>
      <c r="L28" s="23">
        <f>SUM($G$27:L27)</f>
        <v>133251.01841662303</v>
      </c>
      <c r="M28" s="23">
        <f>SUM($G$27:M27)</f>
        <v>157015.28435961436</v>
      </c>
      <c r="N28" s="23">
        <f>SUM($G$27:N27)</f>
        <v>174989.91161582118</v>
      </c>
      <c r="O28" s="23">
        <f>SUM($G$27:O27)</f>
        <v>202349.28750399407</v>
      </c>
      <c r="P28" s="23">
        <f>SUM($G$27:P27)</f>
        <v>227015.97684126647</v>
      </c>
      <c r="Q28" s="23">
        <f>SUM($G$27:Q27)</f>
        <v>248954.81314128367</v>
      </c>
      <c r="R28" s="23">
        <f>SUM($G$27:R27)</f>
        <v>280330.1706433791</v>
      </c>
      <c r="S28" s="23">
        <f>SUM($G$27:S27)</f>
        <v>293815.29031445185</v>
      </c>
      <c r="T28" s="23">
        <f>SUM($G$27:T27)</f>
        <v>322726.52564842883</v>
      </c>
      <c r="U28" s="23">
        <f>SUM($G$27:U27)</f>
        <v>339815.34171586757</v>
      </c>
      <c r="V28" s="23">
        <f>SUM($G$27:V27)</f>
        <v>354077.33772114705</v>
      </c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L28" t="s">
        <v>102</v>
      </c>
    </row>
    <row r="29" spans="1:64" ht="11.25" customHeight="1" x14ac:dyDescent="0.25">
      <c r="A29" s="12"/>
      <c r="B29" s="12"/>
      <c r="C29" s="22"/>
      <c r="D29" s="12"/>
      <c r="E29" s="12"/>
      <c r="F29" s="80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L29" t="s">
        <v>102</v>
      </c>
    </row>
    <row r="30" spans="1:64" ht="11.25" customHeight="1" x14ac:dyDescent="0.25">
      <c r="A30" s="12"/>
      <c r="B30" s="12" t="s">
        <v>59</v>
      </c>
      <c r="C30" s="22" t="s">
        <v>1</v>
      </c>
      <c r="D30" s="263">
        <f>Assumptions!D170</f>
        <v>330246.11397619656</v>
      </c>
      <c r="E30" s="12"/>
      <c r="F30" s="80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L30" t="s">
        <v>102</v>
      </c>
    </row>
    <row r="31" spans="1:64" ht="11.25" customHeight="1" x14ac:dyDescent="0.25">
      <c r="A31" s="12"/>
      <c r="B31" s="12" t="s">
        <v>133</v>
      </c>
      <c r="C31" s="22" t="s">
        <v>1</v>
      </c>
      <c r="D31" s="31"/>
      <c r="E31" s="23">
        <f t="shared" ref="E31" si="14">SUM(G31:V31)</f>
        <v>2739745.4927724721</v>
      </c>
      <c r="F31" s="80" t="s">
        <v>26</v>
      </c>
      <c r="G31" s="1">
        <f>G43</f>
        <v>0</v>
      </c>
      <c r="H31" s="1">
        <f t="shared" ref="H31:V31" si="15">H43</f>
        <v>58210.36269417149</v>
      </c>
      <c r="I31" s="1">
        <f t="shared" si="15"/>
        <v>76380.836144933564</v>
      </c>
      <c r="J31" s="1">
        <f t="shared" si="15"/>
        <v>97228.615978962596</v>
      </c>
      <c r="K31" s="1">
        <f t="shared" si="15"/>
        <v>113468.66781762405</v>
      </c>
      <c r="L31" s="1">
        <f t="shared" si="15"/>
        <v>122600.81473329842</v>
      </c>
      <c r="M31" s="1">
        <f t="shared" si="15"/>
        <v>141612.2274876915</v>
      </c>
      <c r="N31" s="1">
        <f t="shared" si="15"/>
        <v>155991.92929265695</v>
      </c>
      <c r="O31" s="1">
        <f t="shared" si="15"/>
        <v>177879.43000319524</v>
      </c>
      <c r="P31" s="1">
        <f t="shared" si="15"/>
        <v>197612.78147301316</v>
      </c>
      <c r="Q31" s="1">
        <f t="shared" si="15"/>
        <v>215163.8505130269</v>
      </c>
      <c r="R31" s="1">
        <f t="shared" si="15"/>
        <v>240264.13651470322</v>
      </c>
      <c r="S31" s="1">
        <f t="shared" si="15"/>
        <v>251052.23225156145</v>
      </c>
      <c r="T31" s="1">
        <f t="shared" si="15"/>
        <v>274181.22051874304</v>
      </c>
      <c r="U31" s="1">
        <f t="shared" si="15"/>
        <v>287852.27337269404</v>
      </c>
      <c r="V31" s="1">
        <f t="shared" si="15"/>
        <v>330246.1139761965</v>
      </c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L31" t="s">
        <v>102</v>
      </c>
    </row>
    <row r="32" spans="1:64" ht="11.25" customHeight="1" x14ac:dyDescent="0.25">
      <c r="A32" s="12"/>
      <c r="B32" s="12" t="s">
        <v>134</v>
      </c>
      <c r="C32" s="22"/>
      <c r="D32" s="31"/>
      <c r="E32" s="23"/>
      <c r="F32" s="80"/>
      <c r="G32" s="1">
        <f>$D$30-G31</f>
        <v>330246.11397619656</v>
      </c>
      <c r="H32" s="1">
        <f t="shared" ref="H32:V32" si="16">$D$30-H31</f>
        <v>272035.75128202507</v>
      </c>
      <c r="I32" s="1">
        <f t="shared" si="16"/>
        <v>253865.277831263</v>
      </c>
      <c r="J32" s="1">
        <f t="shared" si="16"/>
        <v>233017.49799723396</v>
      </c>
      <c r="K32" s="1">
        <f t="shared" si="16"/>
        <v>216777.44615857251</v>
      </c>
      <c r="L32" s="1">
        <f t="shared" si="16"/>
        <v>207645.29924289812</v>
      </c>
      <c r="M32" s="1">
        <f t="shared" si="16"/>
        <v>188633.88648850506</v>
      </c>
      <c r="N32" s="1">
        <f t="shared" si="16"/>
        <v>174254.18468353961</v>
      </c>
      <c r="O32" s="1">
        <f t="shared" si="16"/>
        <v>152366.68397300132</v>
      </c>
      <c r="P32" s="1">
        <f t="shared" si="16"/>
        <v>132633.3325031834</v>
      </c>
      <c r="Q32" s="1">
        <f t="shared" si="16"/>
        <v>115082.26346316966</v>
      </c>
      <c r="R32" s="1">
        <f t="shared" si="16"/>
        <v>89981.977461493341</v>
      </c>
      <c r="S32" s="1">
        <f t="shared" si="16"/>
        <v>79193.88172463511</v>
      </c>
      <c r="T32" s="1">
        <f t="shared" si="16"/>
        <v>56064.893457453523</v>
      </c>
      <c r="U32" s="1">
        <f t="shared" si="16"/>
        <v>42393.840603502525</v>
      </c>
      <c r="V32" s="1">
        <f t="shared" si="16"/>
        <v>0</v>
      </c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L32" t="s">
        <v>102</v>
      </c>
    </row>
    <row r="33" spans="1:64" ht="11.25" customHeight="1" x14ac:dyDescent="0.25">
      <c r="A33" s="12"/>
      <c r="B33" s="12"/>
      <c r="C33" s="22"/>
      <c r="D33" s="12"/>
      <c r="E33" s="12"/>
      <c r="F33" s="80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L33" t="s">
        <v>102</v>
      </c>
    </row>
    <row r="34" spans="1:64" ht="11.25" customHeight="1" x14ac:dyDescent="0.25">
      <c r="A34" s="12" t="s">
        <v>26</v>
      </c>
      <c r="B34" s="17" t="s">
        <v>0</v>
      </c>
      <c r="C34" s="22"/>
      <c r="D34" s="12"/>
      <c r="E34" s="12"/>
      <c r="F34" s="80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L34" t="s">
        <v>102</v>
      </c>
    </row>
    <row r="35" spans="1:64" ht="11.25" customHeight="1" x14ac:dyDescent="0.25">
      <c r="A35" s="12"/>
      <c r="B35" s="12" t="s">
        <v>62</v>
      </c>
      <c r="C35" s="22" t="s">
        <v>34</v>
      </c>
      <c r="D35" s="276">
        <f>Assumptions!D148</f>
        <v>0.8</v>
      </c>
      <c r="E35" s="12"/>
      <c r="F35" s="80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L35" t="s">
        <v>102</v>
      </c>
    </row>
    <row r="36" spans="1:64" ht="11.25" customHeight="1" x14ac:dyDescent="0.25">
      <c r="A36" s="12"/>
      <c r="B36" s="12" t="s">
        <v>60</v>
      </c>
      <c r="C36" s="22" t="s">
        <v>1</v>
      </c>
      <c r="D36" s="12"/>
      <c r="E36" s="1">
        <f>SUM(G36:V36)</f>
        <v>330246.1139761965</v>
      </c>
      <c r="F36" s="80" t="s">
        <v>26</v>
      </c>
      <c r="G36" s="149">
        <f>$D$35*G24</f>
        <v>0</v>
      </c>
      <c r="H36" s="149">
        <f t="shared" ref="H36:V36" si="17">$D$35*H24</f>
        <v>58210.36269417149</v>
      </c>
      <c r="I36" s="149">
        <f t="shared" si="17"/>
        <v>18170.473450762081</v>
      </c>
      <c r="J36" s="149">
        <f t="shared" si="17"/>
        <v>20847.779834029032</v>
      </c>
      <c r="K36" s="149">
        <f t="shared" si="17"/>
        <v>16240.051838661449</v>
      </c>
      <c r="L36" s="149">
        <f t="shared" si="17"/>
        <v>9132.1469156743678</v>
      </c>
      <c r="M36" s="149">
        <f t="shared" si="17"/>
        <v>19011.412754393077</v>
      </c>
      <c r="N36" s="149">
        <f t="shared" si="17"/>
        <v>14379.701804965447</v>
      </c>
      <c r="O36" s="149">
        <f t="shared" si="17"/>
        <v>21887.500710538297</v>
      </c>
      <c r="P36" s="149">
        <f t="shared" si="17"/>
        <v>19733.351469817932</v>
      </c>
      <c r="Q36" s="149">
        <f t="shared" si="17"/>
        <v>17551.06904001375</v>
      </c>
      <c r="R36" s="149">
        <f t="shared" si="17"/>
        <v>25100.28600167633</v>
      </c>
      <c r="S36" s="149">
        <f t="shared" si="17"/>
        <v>10788.095736858222</v>
      </c>
      <c r="T36" s="149">
        <f t="shared" si="17"/>
        <v>23128.98826718159</v>
      </c>
      <c r="U36" s="149">
        <f t="shared" si="17"/>
        <v>13671.052853950981</v>
      </c>
      <c r="V36" s="149">
        <f t="shared" si="17"/>
        <v>42393.840603502467</v>
      </c>
      <c r="W36" s="149"/>
      <c r="X36" s="149"/>
      <c r="Y36" s="149"/>
      <c r="Z36" s="149"/>
      <c r="AA36" s="149"/>
      <c r="AB36" s="149"/>
      <c r="AC36" s="149"/>
      <c r="AD36" s="149"/>
      <c r="AE36" s="149"/>
      <c r="AF36" s="149"/>
      <c r="AG36" s="149"/>
      <c r="AH36" s="149"/>
      <c r="AI36" s="149"/>
      <c r="AJ36" s="149"/>
      <c r="AK36" s="149"/>
      <c r="AL36" s="149"/>
      <c r="AM36" s="149"/>
      <c r="AN36" s="149"/>
      <c r="AO36" s="149"/>
      <c r="AP36" s="149"/>
      <c r="AQ36" s="149"/>
      <c r="AR36" s="149"/>
      <c r="AS36" s="149"/>
      <c r="AT36" s="149"/>
      <c r="AU36" s="149"/>
      <c r="AV36" s="149"/>
      <c r="AW36" s="149"/>
      <c r="AX36" s="149"/>
      <c r="AY36" s="149"/>
      <c r="AZ36" s="149"/>
      <c r="BA36" s="149"/>
      <c r="BB36" s="149"/>
      <c r="BC36" s="149"/>
      <c r="BD36" s="149"/>
      <c r="BE36" s="149"/>
      <c r="BF36" s="149"/>
      <c r="BG36" s="149"/>
      <c r="BH36" s="149"/>
      <c r="BI36" s="149"/>
      <c r="BJ36" s="149"/>
      <c r="BL36" t="s">
        <v>102</v>
      </c>
    </row>
    <row r="37" spans="1:64" ht="11.25" customHeight="1" thickBot="1" x14ac:dyDescent="0.3">
      <c r="A37" s="12"/>
      <c r="B37" s="46" t="s">
        <v>135</v>
      </c>
      <c r="C37" s="47" t="s">
        <v>1</v>
      </c>
      <c r="D37" s="46"/>
      <c r="E37" s="48">
        <f t="shared" ref="E37:E38" si="18">SUM(G37:V37)</f>
        <v>82561.528494049111</v>
      </c>
      <c r="F37" s="309" t="s">
        <v>26</v>
      </c>
      <c r="G37" s="48">
        <f>(1-$D$35)*G24</f>
        <v>0</v>
      </c>
      <c r="H37" s="48">
        <f t="shared" ref="H37:V37" si="19">(1-$D$35)*H24</f>
        <v>14552.590673542869</v>
      </c>
      <c r="I37" s="48">
        <f t="shared" si="19"/>
        <v>4542.6183626905186</v>
      </c>
      <c r="J37" s="48">
        <f t="shared" si="19"/>
        <v>5211.9449585072562</v>
      </c>
      <c r="K37" s="48">
        <f t="shared" si="19"/>
        <v>4060.012959665361</v>
      </c>
      <c r="L37" s="48">
        <f t="shared" si="19"/>
        <v>2283.0367289185911</v>
      </c>
      <c r="M37" s="48">
        <f t="shared" si="19"/>
        <v>4752.8531885982675</v>
      </c>
      <c r="N37" s="48">
        <f t="shared" si="19"/>
        <v>3594.9254512413609</v>
      </c>
      <c r="O37" s="48">
        <f t="shared" si="19"/>
        <v>5471.8751776345734</v>
      </c>
      <c r="P37" s="48">
        <f t="shared" si="19"/>
        <v>4933.3378674544811</v>
      </c>
      <c r="Q37" s="48">
        <f t="shared" si="19"/>
        <v>4387.7672600034357</v>
      </c>
      <c r="R37" s="48">
        <f t="shared" si="19"/>
        <v>6275.0715004190806</v>
      </c>
      <c r="S37" s="48">
        <f t="shared" si="19"/>
        <v>2697.0239342145546</v>
      </c>
      <c r="T37" s="48">
        <f t="shared" si="19"/>
        <v>5782.2470667953958</v>
      </c>
      <c r="U37" s="48">
        <f t="shared" si="19"/>
        <v>3417.7632134877445</v>
      </c>
      <c r="V37" s="48">
        <f t="shared" si="19"/>
        <v>10598.460150875615</v>
      </c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48"/>
      <c r="AJ37" s="48"/>
      <c r="AK37" s="48"/>
      <c r="AL37" s="48"/>
      <c r="AM37" s="48"/>
      <c r="AN37" s="48"/>
      <c r="AO37" s="48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48"/>
      <c r="BA37" s="48"/>
      <c r="BB37" s="48"/>
      <c r="BC37" s="48"/>
      <c r="BD37" s="48"/>
      <c r="BE37" s="48"/>
      <c r="BF37" s="48"/>
      <c r="BG37" s="48"/>
      <c r="BH37" s="48"/>
      <c r="BI37" s="48"/>
      <c r="BJ37" s="48"/>
      <c r="BL37" t="s">
        <v>102</v>
      </c>
    </row>
    <row r="38" spans="1:64" ht="11.25" customHeight="1" thickTop="1" x14ac:dyDescent="0.25">
      <c r="A38" s="12" t="s">
        <v>26</v>
      </c>
      <c r="B38" s="214" t="s">
        <v>5</v>
      </c>
      <c r="C38" s="215" t="s">
        <v>1</v>
      </c>
      <c r="D38" s="214"/>
      <c r="E38" s="216">
        <f t="shared" si="18"/>
        <v>412807.6424702456</v>
      </c>
      <c r="F38" s="310" t="s">
        <v>26</v>
      </c>
      <c r="G38" s="216">
        <f>SUM(G36:G37)</f>
        <v>0</v>
      </c>
      <c r="H38" s="216">
        <f t="shared" ref="H38:V38" si="20">SUM(H36:H37)</f>
        <v>72762.953367714363</v>
      </c>
      <c r="I38" s="216">
        <f t="shared" si="20"/>
        <v>22713.0918134526</v>
      </c>
      <c r="J38" s="216">
        <f t="shared" si="20"/>
        <v>26059.72479253629</v>
      </c>
      <c r="K38" s="216">
        <f t="shared" si="20"/>
        <v>20300.06479832681</v>
      </c>
      <c r="L38" s="216">
        <f t="shared" si="20"/>
        <v>11415.183644592958</v>
      </c>
      <c r="M38" s="216">
        <f t="shared" si="20"/>
        <v>23764.265942991344</v>
      </c>
      <c r="N38" s="216">
        <f t="shared" si="20"/>
        <v>17974.627256206808</v>
      </c>
      <c r="O38" s="216">
        <f t="shared" si="20"/>
        <v>27359.375888172872</v>
      </c>
      <c r="P38" s="216">
        <f t="shared" si="20"/>
        <v>24666.689337272412</v>
      </c>
      <c r="Q38" s="216">
        <f t="shared" si="20"/>
        <v>21938.836300017185</v>
      </c>
      <c r="R38" s="216">
        <f t="shared" si="20"/>
        <v>31375.357502095409</v>
      </c>
      <c r="S38" s="216">
        <f t="shared" si="20"/>
        <v>13485.119671072776</v>
      </c>
      <c r="T38" s="216">
        <f t="shared" si="20"/>
        <v>28911.235333976987</v>
      </c>
      <c r="U38" s="216">
        <f t="shared" si="20"/>
        <v>17088.816067438725</v>
      </c>
      <c r="V38" s="216">
        <f t="shared" si="20"/>
        <v>52992.300754378084</v>
      </c>
      <c r="W38" s="216"/>
      <c r="X38" s="216"/>
      <c r="Y38" s="216"/>
      <c r="Z38" s="216"/>
      <c r="AA38" s="216"/>
      <c r="AB38" s="216"/>
      <c r="AC38" s="216"/>
      <c r="AD38" s="216"/>
      <c r="AE38" s="216"/>
      <c r="AF38" s="216"/>
      <c r="AG38" s="216"/>
      <c r="AH38" s="216"/>
      <c r="AI38" s="216"/>
      <c r="AJ38" s="216"/>
      <c r="AK38" s="216"/>
      <c r="AL38" s="216"/>
      <c r="AM38" s="216"/>
      <c r="AN38" s="216"/>
      <c r="AO38" s="216"/>
      <c r="AP38" s="216"/>
      <c r="AQ38" s="216"/>
      <c r="AR38" s="216"/>
      <c r="AS38" s="216"/>
      <c r="AT38" s="216"/>
      <c r="AU38" s="216"/>
      <c r="AV38" s="216"/>
      <c r="AW38" s="216"/>
      <c r="AX38" s="216"/>
      <c r="AY38" s="216"/>
      <c r="AZ38" s="216"/>
      <c r="BA38" s="216"/>
      <c r="BB38" s="216"/>
      <c r="BC38" s="216"/>
      <c r="BD38" s="216"/>
      <c r="BE38" s="216"/>
      <c r="BF38" s="216"/>
      <c r="BG38" s="216"/>
      <c r="BH38" s="216"/>
      <c r="BI38" s="216"/>
      <c r="BJ38" s="216"/>
      <c r="BL38" t="s">
        <v>102</v>
      </c>
    </row>
    <row r="39" spans="1:64" ht="11.25" customHeight="1" x14ac:dyDescent="0.25">
      <c r="A39" s="12"/>
      <c r="B39" s="12" t="s">
        <v>136</v>
      </c>
      <c r="C39" s="22"/>
      <c r="D39" s="12"/>
      <c r="E39" s="12"/>
      <c r="F39" s="80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L39" t="s">
        <v>102</v>
      </c>
    </row>
    <row r="40" spans="1:64" ht="11.25" customHeight="1" x14ac:dyDescent="0.25">
      <c r="A40" s="12"/>
      <c r="B40" s="12"/>
      <c r="C40" s="22"/>
      <c r="D40" s="12"/>
      <c r="E40" s="12"/>
      <c r="F40" s="80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L40" t="s">
        <v>102</v>
      </c>
    </row>
    <row r="41" spans="1:64" ht="11.25" customHeight="1" x14ac:dyDescent="0.25">
      <c r="A41" s="12"/>
      <c r="B41" s="12" t="s">
        <v>137</v>
      </c>
      <c r="C41" s="22" t="s">
        <v>1</v>
      </c>
      <c r="D41" s="12"/>
      <c r="E41" s="1">
        <f t="shared" ref="E41:E42" si="21">SUM(G41:V41)</f>
        <v>2409499.3787962757</v>
      </c>
      <c r="F41" s="80" t="s">
        <v>26</v>
      </c>
      <c r="G41" s="1">
        <f>F43</f>
        <v>0</v>
      </c>
      <c r="H41" s="1">
        <f t="shared" ref="H41:V41" si="22">G43</f>
        <v>0</v>
      </c>
      <c r="I41" s="1">
        <f t="shared" si="22"/>
        <v>58210.36269417149</v>
      </c>
      <c r="J41" s="1">
        <f t="shared" si="22"/>
        <v>76380.836144933564</v>
      </c>
      <c r="K41" s="1">
        <f t="shared" si="22"/>
        <v>97228.615978962596</v>
      </c>
      <c r="L41" s="1">
        <f t="shared" si="22"/>
        <v>113468.66781762405</v>
      </c>
      <c r="M41" s="1">
        <f t="shared" si="22"/>
        <v>122600.81473329842</v>
      </c>
      <c r="N41" s="1">
        <f t="shared" si="22"/>
        <v>141612.2274876915</v>
      </c>
      <c r="O41" s="1">
        <f t="shared" si="22"/>
        <v>155991.92929265695</v>
      </c>
      <c r="P41" s="1">
        <f t="shared" si="22"/>
        <v>177879.43000319524</v>
      </c>
      <c r="Q41" s="1">
        <f t="shared" si="22"/>
        <v>197612.78147301316</v>
      </c>
      <c r="R41" s="1">
        <f t="shared" si="22"/>
        <v>215163.8505130269</v>
      </c>
      <c r="S41" s="1">
        <f t="shared" si="22"/>
        <v>240264.13651470322</v>
      </c>
      <c r="T41" s="1">
        <f t="shared" si="22"/>
        <v>251052.23225156145</v>
      </c>
      <c r="U41" s="1">
        <f t="shared" si="22"/>
        <v>274181.22051874304</v>
      </c>
      <c r="V41" s="1">
        <f t="shared" si="22"/>
        <v>287852.27337269404</v>
      </c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L41" t="s">
        <v>102</v>
      </c>
    </row>
    <row r="42" spans="1:64" ht="11.25" customHeight="1" x14ac:dyDescent="0.25">
      <c r="A42" s="12"/>
      <c r="B42" s="12" t="s">
        <v>60</v>
      </c>
      <c r="C42" s="22" t="s">
        <v>1</v>
      </c>
      <c r="D42" s="12"/>
      <c r="E42" s="1">
        <f t="shared" si="21"/>
        <v>330246.1139761965</v>
      </c>
      <c r="F42" s="80" t="s">
        <v>26</v>
      </c>
      <c r="G42" s="1">
        <f>G36</f>
        <v>0</v>
      </c>
      <c r="H42" s="1">
        <f t="shared" ref="H42:V42" si="23">H36</f>
        <v>58210.36269417149</v>
      </c>
      <c r="I42" s="1">
        <f t="shared" si="23"/>
        <v>18170.473450762081</v>
      </c>
      <c r="J42" s="1">
        <f t="shared" si="23"/>
        <v>20847.779834029032</v>
      </c>
      <c r="K42" s="1">
        <f t="shared" si="23"/>
        <v>16240.051838661449</v>
      </c>
      <c r="L42" s="1">
        <f t="shared" si="23"/>
        <v>9132.1469156743678</v>
      </c>
      <c r="M42" s="1">
        <f t="shared" si="23"/>
        <v>19011.412754393077</v>
      </c>
      <c r="N42" s="1">
        <f t="shared" si="23"/>
        <v>14379.701804965447</v>
      </c>
      <c r="O42" s="1">
        <f t="shared" si="23"/>
        <v>21887.500710538297</v>
      </c>
      <c r="P42" s="1">
        <f t="shared" si="23"/>
        <v>19733.351469817932</v>
      </c>
      <c r="Q42" s="1">
        <f t="shared" si="23"/>
        <v>17551.06904001375</v>
      </c>
      <c r="R42" s="1">
        <f t="shared" si="23"/>
        <v>25100.28600167633</v>
      </c>
      <c r="S42" s="1">
        <f t="shared" si="23"/>
        <v>10788.095736858222</v>
      </c>
      <c r="T42" s="1">
        <f t="shared" si="23"/>
        <v>23128.98826718159</v>
      </c>
      <c r="U42" s="1">
        <f t="shared" si="23"/>
        <v>13671.052853950981</v>
      </c>
      <c r="V42" s="1">
        <f t="shared" si="23"/>
        <v>42393.840603502467</v>
      </c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L42" t="s">
        <v>102</v>
      </c>
    </row>
    <row r="43" spans="1:64" ht="11.25" customHeight="1" x14ac:dyDescent="0.25">
      <c r="A43" s="12"/>
      <c r="B43" s="12" t="s">
        <v>133</v>
      </c>
      <c r="C43" s="22" t="s">
        <v>1</v>
      </c>
      <c r="D43" s="12"/>
      <c r="E43" s="1"/>
      <c r="F43" s="80"/>
      <c r="G43" s="1">
        <f>SUM(G42,G41)</f>
        <v>0</v>
      </c>
      <c r="H43" s="1">
        <f t="shared" ref="H43:V43" si="24">SUM(H42,H41)</f>
        <v>58210.36269417149</v>
      </c>
      <c r="I43" s="1">
        <f t="shared" si="24"/>
        <v>76380.836144933564</v>
      </c>
      <c r="J43" s="1">
        <f t="shared" si="24"/>
        <v>97228.615978962596</v>
      </c>
      <c r="K43" s="1">
        <f t="shared" si="24"/>
        <v>113468.66781762405</v>
      </c>
      <c r="L43" s="1">
        <f t="shared" si="24"/>
        <v>122600.81473329842</v>
      </c>
      <c r="M43" s="1">
        <f t="shared" si="24"/>
        <v>141612.2274876915</v>
      </c>
      <c r="N43" s="1">
        <f t="shared" si="24"/>
        <v>155991.92929265695</v>
      </c>
      <c r="O43" s="1">
        <f t="shared" si="24"/>
        <v>177879.43000319524</v>
      </c>
      <c r="P43" s="1">
        <f t="shared" si="24"/>
        <v>197612.78147301316</v>
      </c>
      <c r="Q43" s="1">
        <f t="shared" si="24"/>
        <v>215163.8505130269</v>
      </c>
      <c r="R43" s="1">
        <f t="shared" si="24"/>
        <v>240264.13651470322</v>
      </c>
      <c r="S43" s="1">
        <f t="shared" si="24"/>
        <v>251052.23225156145</v>
      </c>
      <c r="T43" s="1">
        <f t="shared" si="24"/>
        <v>274181.22051874304</v>
      </c>
      <c r="U43" s="1">
        <f t="shared" si="24"/>
        <v>287852.27337269404</v>
      </c>
      <c r="V43" s="1">
        <f t="shared" si="24"/>
        <v>330246.1139761965</v>
      </c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L43" t="s">
        <v>102</v>
      </c>
    </row>
    <row r="44" spans="1:64" ht="11.25" customHeight="1" x14ac:dyDescent="0.25">
      <c r="A44" s="12"/>
      <c r="B44" s="12"/>
      <c r="C44" s="22"/>
      <c r="D44" s="12"/>
      <c r="E44" s="12"/>
      <c r="F44" s="80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L44" t="s">
        <v>102</v>
      </c>
    </row>
    <row r="45" spans="1:64" ht="11.25" customHeight="1" x14ac:dyDescent="0.25">
      <c r="A45" s="12"/>
      <c r="B45" s="25" t="s">
        <v>466</v>
      </c>
      <c r="C45" s="22" t="s">
        <v>34</v>
      </c>
      <c r="D45" s="366">
        <f>Assumptions!D154</f>
        <v>2.0299999999999999E-2</v>
      </c>
      <c r="E45" s="12"/>
      <c r="F45" s="80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L45" t="s">
        <v>102</v>
      </c>
    </row>
    <row r="46" spans="1:64" ht="11.25" customHeight="1" x14ac:dyDescent="0.25">
      <c r="A46" s="12"/>
      <c r="B46" s="25" t="s">
        <v>468</v>
      </c>
      <c r="C46" s="22" t="s">
        <v>34</v>
      </c>
      <c r="D46" s="372">
        <f>Assumptions!D155</f>
        <v>0.05</v>
      </c>
      <c r="E46" s="12"/>
      <c r="F46" s="80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L46" t="s">
        <v>102</v>
      </c>
    </row>
    <row r="47" spans="1:64" ht="11.25" customHeight="1" x14ac:dyDescent="0.25">
      <c r="A47" s="12"/>
      <c r="B47" s="25" t="s">
        <v>63</v>
      </c>
      <c r="C47" s="22" t="s">
        <v>34</v>
      </c>
      <c r="D47" s="366">
        <f>SUM(D45:D46)</f>
        <v>7.0300000000000001E-2</v>
      </c>
      <c r="E47" s="12"/>
      <c r="F47" s="80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L47" t="s">
        <v>102</v>
      </c>
    </row>
    <row r="48" spans="1:64" ht="11.25" customHeight="1" x14ac:dyDescent="0.25">
      <c r="A48" s="12"/>
      <c r="B48" s="12" t="s">
        <v>138</v>
      </c>
      <c r="C48" s="22" t="s">
        <v>139</v>
      </c>
      <c r="D48" s="268"/>
      <c r="E48" s="382">
        <f t="shared" ref="E48:E53" si="25">SUM(G48:V48)</f>
        <v>0.28120000000000006</v>
      </c>
      <c r="F48" s="80" t="s">
        <v>26</v>
      </c>
      <c r="G48" s="382">
        <f>$D$47*G3</f>
        <v>1.7575E-2</v>
      </c>
      <c r="H48" s="382">
        <f t="shared" ref="H48:V48" si="26">$D$47*H3</f>
        <v>1.7575E-2</v>
      </c>
      <c r="I48" s="382">
        <f t="shared" si="26"/>
        <v>1.7575E-2</v>
      </c>
      <c r="J48" s="382">
        <f t="shared" si="26"/>
        <v>1.7575E-2</v>
      </c>
      <c r="K48" s="382">
        <f t="shared" si="26"/>
        <v>1.7575E-2</v>
      </c>
      <c r="L48" s="382">
        <f t="shared" si="26"/>
        <v>1.7575E-2</v>
      </c>
      <c r="M48" s="382">
        <f t="shared" si="26"/>
        <v>1.7575E-2</v>
      </c>
      <c r="N48" s="382">
        <f t="shared" si="26"/>
        <v>1.7575E-2</v>
      </c>
      <c r="O48" s="382">
        <f t="shared" si="26"/>
        <v>1.7575E-2</v>
      </c>
      <c r="P48" s="382">
        <f t="shared" si="26"/>
        <v>1.7575E-2</v>
      </c>
      <c r="Q48" s="382">
        <f t="shared" si="26"/>
        <v>1.7575E-2</v>
      </c>
      <c r="R48" s="382">
        <f t="shared" si="26"/>
        <v>1.7575E-2</v>
      </c>
      <c r="S48" s="382">
        <f t="shared" si="26"/>
        <v>1.7575E-2</v>
      </c>
      <c r="T48" s="382">
        <f t="shared" si="26"/>
        <v>1.7575E-2</v>
      </c>
      <c r="U48" s="382">
        <f t="shared" si="26"/>
        <v>1.7575E-2</v>
      </c>
      <c r="V48" s="382">
        <f t="shared" si="26"/>
        <v>1.7575E-2</v>
      </c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L48" t="s">
        <v>102</v>
      </c>
    </row>
    <row r="49" spans="1:64" ht="11.25" customHeight="1" x14ac:dyDescent="0.25">
      <c r="A49" s="12"/>
      <c r="B49" s="12" t="s">
        <v>127</v>
      </c>
      <c r="C49" s="22" t="s">
        <v>1</v>
      </c>
      <c r="D49" s="12"/>
      <c r="E49" s="1">
        <f t="shared" si="25"/>
        <v>42346.95158234454</v>
      </c>
      <c r="F49" s="80" t="s">
        <v>26</v>
      </c>
      <c r="G49" s="1">
        <f>F43*G48</f>
        <v>0</v>
      </c>
      <c r="H49" s="1">
        <f t="shared" ref="H49:V49" si="27">G43*H48</f>
        <v>0</v>
      </c>
      <c r="I49" s="1">
        <f t="shared" si="27"/>
        <v>1023.047124350064</v>
      </c>
      <c r="J49" s="1">
        <f t="shared" si="27"/>
        <v>1342.3931952472074</v>
      </c>
      <c r="K49" s="1">
        <f t="shared" si="27"/>
        <v>1708.7929258302677</v>
      </c>
      <c r="L49" s="1">
        <f t="shared" si="27"/>
        <v>1994.2118368947429</v>
      </c>
      <c r="M49" s="1">
        <f t="shared" si="27"/>
        <v>2154.7093189377197</v>
      </c>
      <c r="N49" s="1">
        <f t="shared" si="27"/>
        <v>2488.8348980961782</v>
      </c>
      <c r="O49" s="1">
        <f t="shared" si="27"/>
        <v>2741.5581573184459</v>
      </c>
      <c r="P49" s="1">
        <f t="shared" si="27"/>
        <v>3126.2309823061564</v>
      </c>
      <c r="Q49" s="1">
        <f t="shared" si="27"/>
        <v>3473.0446343882063</v>
      </c>
      <c r="R49" s="1">
        <f t="shared" si="27"/>
        <v>3781.504672766448</v>
      </c>
      <c r="S49" s="1">
        <f t="shared" si="27"/>
        <v>4222.6421992459091</v>
      </c>
      <c r="T49" s="1">
        <f t="shared" si="27"/>
        <v>4412.2429818211922</v>
      </c>
      <c r="U49" s="1">
        <f t="shared" si="27"/>
        <v>4818.7349506169094</v>
      </c>
      <c r="V49" s="1">
        <f t="shared" si="27"/>
        <v>5059.0037045250974</v>
      </c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L49" t="s">
        <v>102</v>
      </c>
    </row>
    <row r="50" spans="1:64" ht="11.25" customHeight="1" x14ac:dyDescent="0.25">
      <c r="A50" s="12"/>
      <c r="B50" s="12"/>
      <c r="C50" s="22"/>
      <c r="D50" s="12"/>
      <c r="E50" s="1"/>
      <c r="F50" s="80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L50" t="s">
        <v>102</v>
      </c>
    </row>
    <row r="51" spans="1:64" ht="11.25" customHeight="1" x14ac:dyDescent="0.25">
      <c r="A51" s="12"/>
      <c r="B51" s="12" t="s">
        <v>136</v>
      </c>
      <c r="C51" s="22" t="s">
        <v>1</v>
      </c>
      <c r="D51" s="12"/>
      <c r="E51" s="1">
        <f t="shared" si="25"/>
        <v>3424681.8659655899</v>
      </c>
      <c r="F51" s="80" t="s">
        <v>26</v>
      </c>
      <c r="G51" s="1">
        <f>SUM($G$38:G38)</f>
        <v>0</v>
      </c>
      <c r="H51" s="1">
        <f>SUM($G$38:H38)</f>
        <v>72762.953367714363</v>
      </c>
      <c r="I51" s="1">
        <f>SUM($G$38:I38)</f>
        <v>95476.045181166963</v>
      </c>
      <c r="J51" s="1">
        <f>SUM($G$38:J38)</f>
        <v>121535.76997370325</v>
      </c>
      <c r="K51" s="1">
        <f>SUM($G$38:K38)</f>
        <v>141835.83477203007</v>
      </c>
      <c r="L51" s="1">
        <f>SUM($G$38:L38)</f>
        <v>153251.01841662303</v>
      </c>
      <c r="M51" s="1">
        <f>SUM($G$38:M38)</f>
        <v>177015.28435961436</v>
      </c>
      <c r="N51" s="1">
        <f>SUM($G$38:N38)</f>
        <v>194989.91161582118</v>
      </c>
      <c r="O51" s="1">
        <f>SUM($G$38:O38)</f>
        <v>222349.28750399407</v>
      </c>
      <c r="P51" s="1">
        <f>SUM($G$38:P38)</f>
        <v>247015.97684126647</v>
      </c>
      <c r="Q51" s="1">
        <f>SUM($G$38:Q38)</f>
        <v>268954.81314128364</v>
      </c>
      <c r="R51" s="1">
        <f>SUM($G$38:R38)</f>
        <v>300330.17064337904</v>
      </c>
      <c r="S51" s="1">
        <f>SUM($G$38:S38)</f>
        <v>313815.29031445179</v>
      </c>
      <c r="T51" s="1">
        <f>SUM($G$38:T38)</f>
        <v>342726.52564842877</v>
      </c>
      <c r="U51" s="1">
        <f>SUM($G$38:U38)</f>
        <v>359815.34171586751</v>
      </c>
      <c r="V51" s="1">
        <f>SUM($G$38:V38)</f>
        <v>412807.6424702456</v>
      </c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L51" t="s">
        <v>102</v>
      </c>
    </row>
    <row r="52" spans="1:64" ht="11.25" customHeight="1" x14ac:dyDescent="0.25">
      <c r="A52" s="12"/>
      <c r="B52" s="12" t="s">
        <v>133</v>
      </c>
      <c r="C52" s="22" t="s">
        <v>1</v>
      </c>
      <c r="D52" s="12"/>
      <c r="E52" s="1">
        <f t="shared" si="25"/>
        <v>2739745.4927724721</v>
      </c>
      <c r="F52" s="80" t="s">
        <v>26</v>
      </c>
      <c r="G52" s="1">
        <f>G31</f>
        <v>0</v>
      </c>
      <c r="H52" s="1">
        <f t="shared" ref="H52:V52" si="28">H31</f>
        <v>58210.36269417149</v>
      </c>
      <c r="I52" s="1">
        <f t="shared" si="28"/>
        <v>76380.836144933564</v>
      </c>
      <c r="J52" s="1">
        <f t="shared" si="28"/>
        <v>97228.615978962596</v>
      </c>
      <c r="K52" s="1">
        <f t="shared" si="28"/>
        <v>113468.66781762405</v>
      </c>
      <c r="L52" s="1">
        <f t="shared" si="28"/>
        <v>122600.81473329842</v>
      </c>
      <c r="M52" s="1">
        <f t="shared" si="28"/>
        <v>141612.2274876915</v>
      </c>
      <c r="N52" s="1">
        <f t="shared" si="28"/>
        <v>155991.92929265695</v>
      </c>
      <c r="O52" s="1">
        <f t="shared" si="28"/>
        <v>177879.43000319524</v>
      </c>
      <c r="P52" s="1">
        <f t="shared" si="28"/>
        <v>197612.78147301316</v>
      </c>
      <c r="Q52" s="1">
        <f t="shared" si="28"/>
        <v>215163.8505130269</v>
      </c>
      <c r="R52" s="1">
        <f t="shared" si="28"/>
        <v>240264.13651470322</v>
      </c>
      <c r="S52" s="1">
        <f t="shared" si="28"/>
        <v>251052.23225156145</v>
      </c>
      <c r="T52" s="1">
        <f t="shared" si="28"/>
        <v>274181.22051874304</v>
      </c>
      <c r="U52" s="1">
        <f t="shared" si="28"/>
        <v>287852.27337269404</v>
      </c>
      <c r="V52" s="1">
        <f t="shared" si="28"/>
        <v>330246.1139761965</v>
      </c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L52" t="s">
        <v>102</v>
      </c>
    </row>
    <row r="53" spans="1:64" ht="11.25" customHeight="1" x14ac:dyDescent="0.25">
      <c r="A53" s="12" t="s">
        <v>26</v>
      </c>
      <c r="B53" s="12" t="s">
        <v>140</v>
      </c>
      <c r="C53" s="22" t="s">
        <v>34</v>
      </c>
      <c r="D53" s="12"/>
      <c r="E53" s="374">
        <f t="shared" si="25"/>
        <v>12.000000000000002</v>
      </c>
      <c r="F53" s="80" t="s">
        <v>26</v>
      </c>
      <c r="G53" s="375">
        <f>IF(G51=0,0,G52/G51)</f>
        <v>0</v>
      </c>
      <c r="H53" s="374">
        <f t="shared" ref="H53:V53" si="29">IF(H51=0,0,H52/H51)</f>
        <v>0.8</v>
      </c>
      <c r="I53" s="374">
        <f t="shared" si="29"/>
        <v>0.79999999999999993</v>
      </c>
      <c r="J53" s="374">
        <f t="shared" si="29"/>
        <v>0.79999999999999993</v>
      </c>
      <c r="K53" s="374">
        <f t="shared" si="29"/>
        <v>0.8</v>
      </c>
      <c r="L53" s="374">
        <f t="shared" si="29"/>
        <v>0.79999999999999993</v>
      </c>
      <c r="M53" s="374">
        <f t="shared" si="29"/>
        <v>0.8</v>
      </c>
      <c r="N53" s="374">
        <f t="shared" si="29"/>
        <v>0.8</v>
      </c>
      <c r="O53" s="374">
        <f t="shared" si="29"/>
        <v>0.79999999999999993</v>
      </c>
      <c r="P53" s="374">
        <f t="shared" si="29"/>
        <v>0.79999999999999993</v>
      </c>
      <c r="Q53" s="374">
        <f t="shared" si="29"/>
        <v>0.79999999999999993</v>
      </c>
      <c r="R53" s="374">
        <f t="shared" si="29"/>
        <v>0.79999999999999993</v>
      </c>
      <c r="S53" s="374">
        <f t="shared" si="29"/>
        <v>0.8</v>
      </c>
      <c r="T53" s="374">
        <f t="shared" si="29"/>
        <v>0.8</v>
      </c>
      <c r="U53" s="374">
        <f t="shared" si="29"/>
        <v>0.8</v>
      </c>
      <c r="V53" s="374">
        <f t="shared" si="29"/>
        <v>0.8</v>
      </c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L53" t="s">
        <v>102</v>
      </c>
    </row>
    <row r="54" spans="1:64" ht="11.25" customHeight="1" x14ac:dyDescent="0.25">
      <c r="A54" s="12"/>
      <c r="B54" s="12"/>
      <c r="C54" s="12"/>
      <c r="D54" s="12"/>
      <c r="E54" s="1"/>
      <c r="F54" s="80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L54" t="s">
        <v>102</v>
      </c>
    </row>
    <row r="55" spans="1:64" ht="11.25" customHeight="1" x14ac:dyDescent="0.25">
      <c r="A55" s="12" t="s">
        <v>26</v>
      </c>
      <c r="B55" s="12" t="s">
        <v>217</v>
      </c>
      <c r="C55" s="12"/>
      <c r="D55" s="12"/>
      <c r="E55" s="1"/>
      <c r="F55" s="80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L55" t="s">
        <v>102</v>
      </c>
    </row>
    <row r="56" spans="1:64" ht="11.25" customHeight="1" x14ac:dyDescent="0.25">
      <c r="A56" s="12"/>
      <c r="B56" s="12" t="s">
        <v>60</v>
      </c>
      <c r="C56" s="12"/>
      <c r="D56" s="12"/>
      <c r="E56" s="343">
        <f>E36</f>
        <v>330246.1139761965</v>
      </c>
      <c r="F56" s="80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43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L56" t="s">
        <v>102</v>
      </c>
    </row>
    <row r="57" spans="1:64" ht="11.25" customHeight="1" x14ac:dyDescent="0.25">
      <c r="A57" s="12"/>
      <c r="B57" s="12" t="s">
        <v>366</v>
      </c>
      <c r="C57" s="12"/>
      <c r="D57" s="269">
        <f>SUM('Time &amp; Technical'!G85:BJ85)</f>
        <v>0</v>
      </c>
      <c r="F57" s="80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L57" t="s">
        <v>102</v>
      </c>
    </row>
    <row r="58" spans="1:64" ht="11.25" customHeight="1" x14ac:dyDescent="0.25">
      <c r="A58" s="12"/>
      <c r="B58" s="12" t="s">
        <v>141</v>
      </c>
      <c r="C58" s="12"/>
      <c r="D58" s="12"/>
      <c r="E58" s="343">
        <f>E56-D57</f>
        <v>330246.1139761965</v>
      </c>
      <c r="F58" s="80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L58" t="s">
        <v>102</v>
      </c>
    </row>
    <row r="59" spans="1:64" ht="11.25" customHeight="1" x14ac:dyDescent="0.25">
      <c r="BL59" t="s">
        <v>102</v>
      </c>
    </row>
    <row r="60" spans="1:64" ht="11.25" customHeight="1" x14ac:dyDescent="0.25">
      <c r="G60" s="409" t="s">
        <v>145</v>
      </c>
      <c r="H60" s="411">
        <f>E56</f>
        <v>330246.1139761965</v>
      </c>
    </row>
    <row r="61" spans="1:64" ht="11.25" customHeight="1" x14ac:dyDescent="0.25">
      <c r="G61" s="409" t="s">
        <v>488</v>
      </c>
      <c r="H61" s="411">
        <f>E37</f>
        <v>82561.528494049111</v>
      </c>
    </row>
  </sheetData>
  <pageMargins left="0.7" right="0.7" top="0.75" bottom="0.75" header="0.3" footer="0.3"/>
  <pageSetup orientation="portrait" verticalDpi="598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7" tint="0.79998168889431442"/>
  </sheetPr>
  <dimension ref="A1:BL62"/>
  <sheetViews>
    <sheetView zoomScale="140" zoomScaleNormal="140" workbookViewId="0">
      <pane xSplit="5" ySplit="3" topLeftCell="U17" activePane="bottomRight" state="frozen"/>
      <selection activeCell="H66" sqref="H66"/>
      <selection pane="topRight" activeCell="H66" sqref="H66"/>
      <selection pane="bottomLeft" activeCell="H66" sqref="H66"/>
      <selection pane="bottomRight" activeCell="U43" sqref="U43"/>
    </sheetView>
  </sheetViews>
  <sheetFormatPr defaultColWidth="8.7109375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1" style="394" customWidth="1"/>
    <col min="6" max="6" width="1.7109375" style="305" customWidth="1"/>
    <col min="7" max="35" width="8.7109375" customWidth="1"/>
    <col min="36" max="62" width="10.42578125" bestFit="1" customWidth="1"/>
    <col min="63" max="63" width="2.7109375" bestFit="1" customWidth="1"/>
    <col min="64" max="64" width="8.7109375" customWidth="1"/>
  </cols>
  <sheetData>
    <row r="1" spans="1:63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387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s="205" t="s">
        <v>102</v>
      </c>
    </row>
    <row r="2" spans="1:63" ht="11.25" customHeight="1" x14ac:dyDescent="0.25">
      <c r="A2" s="200" t="s">
        <v>77</v>
      </c>
      <c r="B2" s="201"/>
      <c r="C2" s="202"/>
      <c r="D2" s="200"/>
      <c r="E2" s="387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s="204" t="s">
        <v>102</v>
      </c>
    </row>
    <row r="3" spans="1:63" ht="11.25" customHeight="1" x14ac:dyDescent="0.25">
      <c r="A3" s="200"/>
      <c r="B3" s="201"/>
      <c r="C3" s="202"/>
      <c r="D3" s="200"/>
      <c r="E3" s="387" t="s">
        <v>403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s="204" t="s">
        <v>102</v>
      </c>
    </row>
    <row r="4" spans="1:63" ht="11.25" customHeight="1" x14ac:dyDescent="0.25">
      <c r="A4" s="17"/>
      <c r="B4" s="18"/>
      <c r="C4" s="17" t="s">
        <v>23</v>
      </c>
      <c r="D4" s="17" t="s">
        <v>24</v>
      </c>
      <c r="E4" s="388" t="s">
        <v>25</v>
      </c>
      <c r="F4" s="80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 t="s">
        <v>102</v>
      </c>
    </row>
    <row r="5" spans="1:63" ht="11.25" customHeight="1" x14ac:dyDescent="0.25">
      <c r="A5" s="17">
        <v>1</v>
      </c>
      <c r="B5" s="17" t="s">
        <v>143</v>
      </c>
      <c r="C5" s="61"/>
      <c r="D5" s="12"/>
      <c r="E5" s="389"/>
      <c r="F5" s="80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 t="s">
        <v>102</v>
      </c>
    </row>
    <row r="6" spans="1:63" ht="11.25" customHeight="1" x14ac:dyDescent="0.25">
      <c r="A6" s="12" t="s">
        <v>26</v>
      </c>
      <c r="B6" s="17" t="s">
        <v>190</v>
      </c>
      <c r="C6" s="33"/>
      <c r="D6" s="12"/>
      <c r="E6" s="389"/>
      <c r="F6" s="80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 t="s">
        <v>102</v>
      </c>
    </row>
    <row r="7" spans="1:63" ht="11.25" customHeight="1" x14ac:dyDescent="0.25">
      <c r="A7" s="12"/>
      <c r="B7" s="12" t="s">
        <v>118</v>
      </c>
      <c r="C7" s="33" t="s">
        <v>101</v>
      </c>
      <c r="D7" s="12"/>
      <c r="E7" s="389">
        <f>SUM(G7:BJ7)</f>
        <v>14</v>
      </c>
      <c r="F7" s="80" t="s">
        <v>26</v>
      </c>
      <c r="G7" s="20">
        <f>'Time &amp; Technical'!G115</f>
        <v>0</v>
      </c>
      <c r="H7" s="20">
        <f>'Time &amp; Technical'!H115</f>
        <v>0</v>
      </c>
      <c r="I7" s="20">
        <f>'Time &amp; Technical'!I115</f>
        <v>0</v>
      </c>
      <c r="J7" s="20">
        <f>'Time &amp; Technical'!J115</f>
        <v>0</v>
      </c>
      <c r="K7" s="20">
        <f>'Time &amp; Technical'!K115</f>
        <v>0</v>
      </c>
      <c r="L7" s="20">
        <f>'Time &amp; Technical'!L115</f>
        <v>0</v>
      </c>
      <c r="M7" s="20">
        <f>'Time &amp; Technical'!M115</f>
        <v>0</v>
      </c>
      <c r="N7" s="20">
        <f>'Time &amp; Technical'!N115</f>
        <v>0</v>
      </c>
      <c r="O7" s="20">
        <f>'Time &amp; Technical'!O115</f>
        <v>0</v>
      </c>
      <c r="P7" s="20">
        <f>'Time &amp; Technical'!P115</f>
        <v>0</v>
      </c>
      <c r="Q7" s="20">
        <f>'Time &amp; Technical'!Q115</f>
        <v>0</v>
      </c>
      <c r="R7" s="20">
        <f>'Time &amp; Technical'!R115</f>
        <v>0</v>
      </c>
      <c r="S7" s="20">
        <f>'Time &amp; Technical'!S115</f>
        <v>0</v>
      </c>
      <c r="T7" s="20">
        <f>'Time &amp; Technical'!T115</f>
        <v>0</v>
      </c>
      <c r="U7" s="20">
        <f>'Time &amp; Technical'!U115</f>
        <v>0</v>
      </c>
      <c r="V7" s="20">
        <f>'Time &amp; Technical'!V115</f>
        <v>0</v>
      </c>
      <c r="W7" s="20">
        <f>'Time &amp; Technical'!W115</f>
        <v>1</v>
      </c>
      <c r="X7" s="20">
        <f>'Time &amp; Technical'!X115</f>
        <v>1</v>
      </c>
      <c r="Y7" s="20">
        <f>'Time &amp; Technical'!Y115</f>
        <v>1</v>
      </c>
      <c r="Z7" s="20">
        <f>'Time &amp; Technical'!Z115</f>
        <v>1</v>
      </c>
      <c r="AA7" s="20">
        <f>'Time &amp; Technical'!AA115</f>
        <v>1</v>
      </c>
      <c r="AB7" s="20">
        <f>'Time &amp; Technical'!AB115</f>
        <v>1</v>
      </c>
      <c r="AC7" s="20">
        <f>'Time &amp; Technical'!AC115</f>
        <v>1</v>
      </c>
      <c r="AD7" s="20">
        <f>'Time &amp; Technical'!AD115</f>
        <v>1</v>
      </c>
      <c r="AE7" s="20">
        <f>'Time &amp; Technical'!AE115</f>
        <v>1</v>
      </c>
      <c r="AF7" s="20">
        <f>'Time &amp; Technical'!AF115</f>
        <v>1</v>
      </c>
      <c r="AG7" s="20">
        <f>'Time &amp; Technical'!AG115</f>
        <v>1</v>
      </c>
      <c r="AH7" s="20">
        <f>'Time &amp; Technical'!AH115</f>
        <v>1</v>
      </c>
      <c r="AI7" s="20">
        <f>'Time &amp; Technical'!AI115</f>
        <v>1</v>
      </c>
      <c r="AJ7" s="20">
        <f>'Time &amp; Technical'!AJ115</f>
        <v>1</v>
      </c>
      <c r="AK7" s="20">
        <f>'Time &amp; Technical'!AK115</f>
        <v>0</v>
      </c>
      <c r="AL7" s="20">
        <f>'Time &amp; Technical'!AL115</f>
        <v>0</v>
      </c>
      <c r="AM7" s="20">
        <f>'Time &amp; Technical'!AM115</f>
        <v>0</v>
      </c>
      <c r="AN7" s="20">
        <f>'Time &amp; Technical'!AN115</f>
        <v>0</v>
      </c>
      <c r="AO7" s="20">
        <f>'Time &amp; Technical'!AO115</f>
        <v>0</v>
      </c>
      <c r="AP7" s="20">
        <f>'Time &amp; Technical'!AP115</f>
        <v>0</v>
      </c>
      <c r="AQ7" s="20">
        <f>'Time &amp; Technical'!AQ115</f>
        <v>0</v>
      </c>
      <c r="AR7" s="20">
        <f>'Time &amp; Technical'!AR115</f>
        <v>0</v>
      </c>
      <c r="AS7" s="20">
        <f>'Time &amp; Technical'!AS115</f>
        <v>0</v>
      </c>
      <c r="AT7" s="20">
        <f>'Time &amp; Technical'!AT115</f>
        <v>0</v>
      </c>
      <c r="AU7" s="20">
        <f>'Time &amp; Technical'!AU115</f>
        <v>0</v>
      </c>
      <c r="AV7" s="20">
        <f>'Time &amp; Technical'!AV115</f>
        <v>0</v>
      </c>
      <c r="AW7" s="20">
        <f>'Time &amp; Technical'!AW115</f>
        <v>0</v>
      </c>
      <c r="AX7" s="20">
        <f>'Time &amp; Technical'!AX115</f>
        <v>0</v>
      </c>
      <c r="AY7" s="20">
        <f>'Time &amp; Technical'!AY115</f>
        <v>0</v>
      </c>
      <c r="AZ7" s="20">
        <f>'Time &amp; Technical'!AZ115</f>
        <v>0</v>
      </c>
      <c r="BA7" s="20">
        <f>'Time &amp; Technical'!BA115</f>
        <v>0</v>
      </c>
      <c r="BB7" s="20">
        <f>'Time &amp; Technical'!BB115</f>
        <v>0</v>
      </c>
      <c r="BC7" s="20">
        <f>'Time &amp; Technical'!BC115</f>
        <v>0</v>
      </c>
      <c r="BD7" s="20">
        <f>'Time &amp; Technical'!BD115</f>
        <v>0</v>
      </c>
      <c r="BE7" s="20">
        <f>'Time &amp; Technical'!BE115</f>
        <v>0</v>
      </c>
      <c r="BF7" s="20">
        <f>'Time &amp; Technical'!BF115</f>
        <v>0</v>
      </c>
      <c r="BG7" s="20">
        <f>'Time &amp; Technical'!BG115</f>
        <v>0</v>
      </c>
      <c r="BH7" s="20">
        <f>'Time &amp; Technical'!BH115</f>
        <v>0</v>
      </c>
      <c r="BI7" s="20">
        <f>'Time &amp; Technical'!BI115</f>
        <v>0</v>
      </c>
      <c r="BJ7" s="20">
        <f>'Time &amp; Technical'!BJ115</f>
        <v>0</v>
      </c>
      <c r="BK7" s="20" t="s">
        <v>102</v>
      </c>
    </row>
    <row r="8" spans="1:63" ht="11.25" customHeight="1" x14ac:dyDescent="0.25">
      <c r="A8" s="12"/>
      <c r="B8" s="12" t="s">
        <v>188</v>
      </c>
      <c r="C8" s="33" t="s">
        <v>36</v>
      </c>
      <c r="D8" s="12"/>
      <c r="E8" s="389">
        <f t="shared" ref="E8:E35" si="0">SUM(G8:BJ8)</f>
        <v>11219.098683264227</v>
      </c>
      <c r="F8" s="80" t="s">
        <v>26</v>
      </c>
      <c r="G8" s="1">
        <f>'Time &amp; Technical'!G60</f>
        <v>0</v>
      </c>
      <c r="H8" s="1">
        <f>'Time &amp; Technical'!H60</f>
        <v>0</v>
      </c>
      <c r="I8" s="1">
        <f>'Time &amp; Technical'!I60</f>
        <v>0</v>
      </c>
      <c r="J8" s="1">
        <f>'Time &amp; Technical'!J60</f>
        <v>0</v>
      </c>
      <c r="K8" s="1">
        <f>'Time &amp; Technical'!K60</f>
        <v>0</v>
      </c>
      <c r="L8" s="1">
        <f>'Time &amp; Technical'!L60</f>
        <v>0</v>
      </c>
      <c r="M8" s="1">
        <f>'Time &amp; Technical'!M60</f>
        <v>0</v>
      </c>
      <c r="N8" s="1">
        <f>'Time &amp; Technical'!N60</f>
        <v>0</v>
      </c>
      <c r="O8" s="1">
        <f>'Time &amp; Technical'!O60</f>
        <v>0</v>
      </c>
      <c r="P8" s="1">
        <f>'Time &amp; Technical'!P60</f>
        <v>0</v>
      </c>
      <c r="Q8" s="1">
        <f>'Time &amp; Technical'!Q60</f>
        <v>0</v>
      </c>
      <c r="R8" s="1">
        <f>'Time &amp; Technical'!R60</f>
        <v>0</v>
      </c>
      <c r="S8" s="1">
        <f>'Time &amp; Technical'!S60</f>
        <v>0</v>
      </c>
      <c r="T8" s="1">
        <f>'Time &amp; Technical'!T60</f>
        <v>0</v>
      </c>
      <c r="U8" s="1">
        <f>'Time &amp; Technical'!U60</f>
        <v>0</v>
      </c>
      <c r="V8" s="1">
        <f>'Time &amp; Technical'!V60</f>
        <v>0</v>
      </c>
      <c r="W8" s="1">
        <f>'Time &amp; Technical'!W60</f>
        <v>303.77999999999997</v>
      </c>
      <c r="X8" s="1">
        <f>'Time &amp; Technical'!X60</f>
        <v>301.34976</v>
      </c>
      <c r="Y8" s="1">
        <f>'Time &amp; Technical'!Y60</f>
        <v>298.93896192</v>
      </c>
      <c r="Z8" s="1">
        <f>'Time &amp; Technical'!Z60</f>
        <v>296.54745022463999</v>
      </c>
      <c r="AA8" s="1">
        <f>'Time &amp; Technical'!AA60</f>
        <v>294.1750706228429</v>
      </c>
      <c r="AB8" s="1">
        <f>'Time &amp; Technical'!AB60</f>
        <v>291.82167005786016</v>
      </c>
      <c r="AC8" s="1">
        <f>'Time &amp; Technical'!AC60</f>
        <v>289.48709669739725</v>
      </c>
      <c r="AD8" s="1">
        <f>'Time &amp; Technical'!AD60</f>
        <v>292.53403558504601</v>
      </c>
      <c r="AE8" s="1">
        <f>'Time &amp; Technical'!AE60</f>
        <v>295.55659896159364</v>
      </c>
      <c r="AF8" s="1">
        <f>'Time &amp; Technical'!AF60</f>
        <v>293.19214616990087</v>
      </c>
      <c r="AG8" s="1">
        <f>'Time &amp; Technical'!AG60</f>
        <v>290.84660900054166</v>
      </c>
      <c r="AH8" s="1">
        <f>'Time &amp; Technical'!AH60</f>
        <v>288.51983612853735</v>
      </c>
      <c r="AI8" s="1">
        <f>'Time &amp; Technical'!AI60</f>
        <v>286.211677439509</v>
      </c>
      <c r="AJ8" s="1">
        <f>'Time &amp; Technical'!AJ60</f>
        <v>283.92198401999292</v>
      </c>
      <c r="AK8" s="1">
        <f>'Time &amp; Technical'!AK60</f>
        <v>281.65060814783294</v>
      </c>
      <c r="AL8" s="1">
        <f>'Time &amp; Technical'!AL60</f>
        <v>284.61506563310945</v>
      </c>
      <c r="AM8" s="1">
        <f>'Time &amp; Technical'!AM60</f>
        <v>287.55580745850375</v>
      </c>
      <c r="AN8" s="1">
        <f>'Time &amp; Technical'!AN60</f>
        <v>285.25536099883573</v>
      </c>
      <c r="AO8" s="1">
        <f>'Time &amp; Technical'!AO60</f>
        <v>282.97331811084501</v>
      </c>
      <c r="AP8" s="1">
        <f>'Time &amp; Technical'!AP60</f>
        <v>280.70953156595829</v>
      </c>
      <c r="AQ8" s="1">
        <f>'Time &amp; Technical'!AQ60</f>
        <v>278.4638553134306</v>
      </c>
      <c r="AR8" s="1">
        <f>'Time &amp; Technical'!AR60</f>
        <v>276.23614447092314</v>
      </c>
      <c r="AS8" s="1">
        <f>'Time &amp; Technical'!AS60</f>
        <v>274.02625531515571</v>
      </c>
      <c r="AT8" s="1">
        <f>'Time &amp; Technical'!AT60</f>
        <v>276.9104641903765</v>
      </c>
      <c r="AU8" s="1">
        <f>'Time &amp; Technical'!AU60</f>
        <v>279.77159939459546</v>
      </c>
      <c r="AV8" s="1">
        <f>'Time &amp; Technical'!AV60</f>
        <v>277.53342659943871</v>
      </c>
      <c r="AW8" s="1">
        <f>'Time &amp; Technical'!AW60</f>
        <v>275.31315918664325</v>
      </c>
      <c r="AX8" s="1">
        <f>'Time &amp; Technical'!AX60</f>
        <v>273.11065391315009</v>
      </c>
      <c r="AY8" s="1">
        <f>'Time &amp; Technical'!AY60</f>
        <v>270.92576868184489</v>
      </c>
      <c r="AZ8" s="1">
        <f>'Time &amp; Technical'!AZ60</f>
        <v>268.75836253239015</v>
      </c>
      <c r="BA8" s="1">
        <f>'Time &amp; Technical'!BA60</f>
        <v>266.60829563213099</v>
      </c>
      <c r="BB8" s="1">
        <f>'Time &amp; Technical'!BB60</f>
        <v>269.41442824736271</v>
      </c>
      <c r="BC8" s="1">
        <f>'Time &amp; Technical'!BC60</f>
        <v>272.19811180167255</v>
      </c>
      <c r="BD8" s="1">
        <f>'Time &amp; Technical'!BD60</f>
        <v>270.02052690725912</v>
      </c>
      <c r="BE8" s="1">
        <f>'Time &amp; Technical'!BE60</f>
        <v>267.86036269200105</v>
      </c>
      <c r="BF8" s="1">
        <f>'Time &amp; Technical'!BF60</f>
        <v>265.71747979046506</v>
      </c>
      <c r="BG8" s="1">
        <f>'Time &amp; Technical'!BG60</f>
        <v>263.59173995214132</v>
      </c>
      <c r="BH8" s="1">
        <f>'Time &amp; Technical'!BH60</f>
        <v>261.48300603252414</v>
      </c>
      <c r="BI8" s="1">
        <f>'Time &amp; Technical'!BI60</f>
        <v>259.39114198426392</v>
      </c>
      <c r="BJ8" s="1">
        <f>'Time &amp; Technical'!BJ60</f>
        <v>262.12131188351032</v>
      </c>
      <c r="BK8" s="1" t="s">
        <v>102</v>
      </c>
    </row>
    <row r="9" spans="1:63" ht="11.25" customHeight="1" x14ac:dyDescent="0.25">
      <c r="A9" s="12"/>
      <c r="B9" s="12" t="s">
        <v>110</v>
      </c>
      <c r="C9" s="33" t="s">
        <v>34</v>
      </c>
      <c r="D9" s="12"/>
      <c r="E9" s="389">
        <f t="shared" si="0"/>
        <v>34.82</v>
      </c>
      <c r="F9" s="80" t="s">
        <v>26</v>
      </c>
      <c r="G9" s="27">
        <f>'Time &amp; Technical'!G92</f>
        <v>0</v>
      </c>
      <c r="H9" s="27">
        <f>'Time &amp; Technical'!H92</f>
        <v>0</v>
      </c>
      <c r="I9" s="27">
        <f>'Time &amp; Technical'!I92</f>
        <v>0</v>
      </c>
      <c r="J9" s="27">
        <f>'Time &amp; Technical'!J92</f>
        <v>0</v>
      </c>
      <c r="K9" s="27">
        <f>'Time &amp; Technical'!K92</f>
        <v>0</v>
      </c>
      <c r="L9" s="27">
        <f>'Time &amp; Technical'!L92</f>
        <v>0</v>
      </c>
      <c r="M9" s="27">
        <f>'Time &amp; Technical'!M92</f>
        <v>0</v>
      </c>
      <c r="N9" s="27">
        <f>'Time &amp; Technical'!N92</f>
        <v>0</v>
      </c>
      <c r="O9" s="27">
        <f>'Time &amp; Technical'!O92</f>
        <v>0</v>
      </c>
      <c r="P9" s="27">
        <f>'Time &amp; Technical'!P92</f>
        <v>0</v>
      </c>
      <c r="Q9" s="27">
        <f>'Time &amp; Technical'!Q92</f>
        <v>0</v>
      </c>
      <c r="R9" s="27">
        <f>'Time &amp; Technical'!R92</f>
        <v>0</v>
      </c>
      <c r="S9" s="27">
        <f>'Time &amp; Technical'!S92</f>
        <v>0</v>
      </c>
      <c r="T9" s="27">
        <f>'Time &amp; Technical'!T92</f>
        <v>0</v>
      </c>
      <c r="U9" s="27">
        <f>'Time &amp; Technical'!U92</f>
        <v>0</v>
      </c>
      <c r="V9" s="27">
        <f>'Time &amp; Technical'!V92</f>
        <v>0</v>
      </c>
      <c r="W9" s="374">
        <f>'Time &amp; Technical'!W92</f>
        <v>0.88100000000000001</v>
      </c>
      <c r="X9" s="374">
        <f>'Time &amp; Technical'!X92</f>
        <v>0.88100000000000001</v>
      </c>
      <c r="Y9" s="374">
        <f>'Time &amp; Technical'!Y92</f>
        <v>0.88100000000000001</v>
      </c>
      <c r="Z9" s="374">
        <f>'Time &amp; Technical'!Z92</f>
        <v>0.88100000000000001</v>
      </c>
      <c r="AA9" s="374">
        <f>'Time &amp; Technical'!AA92</f>
        <v>0.88100000000000001</v>
      </c>
      <c r="AB9" s="374">
        <f>'Time &amp; Technical'!AB92</f>
        <v>0.88100000000000001</v>
      </c>
      <c r="AC9" s="374">
        <f>'Time &amp; Technical'!AC92</f>
        <v>0.88100000000000001</v>
      </c>
      <c r="AD9" s="374">
        <f>'Time &amp; Technical'!AD92</f>
        <v>0.79699999999999993</v>
      </c>
      <c r="AE9" s="374">
        <f>'Time &amp; Technical'!AE92</f>
        <v>0.88100000000000001</v>
      </c>
      <c r="AF9" s="374">
        <f>'Time &amp; Technical'!AF92</f>
        <v>0.88100000000000001</v>
      </c>
      <c r="AG9" s="374">
        <f>'Time &amp; Technical'!AG92</f>
        <v>0.88100000000000001</v>
      </c>
      <c r="AH9" s="374">
        <f>'Time &amp; Technical'!AH92</f>
        <v>0.88100000000000001</v>
      </c>
      <c r="AI9" s="374">
        <f>'Time &amp; Technical'!AI92</f>
        <v>0.88100000000000001</v>
      </c>
      <c r="AJ9" s="374">
        <f>'Time &amp; Technical'!AJ92</f>
        <v>0.88100000000000001</v>
      </c>
      <c r="AK9" s="374">
        <f>'Time &amp; Technical'!AK92</f>
        <v>0.88100000000000001</v>
      </c>
      <c r="AL9" s="374">
        <f>'Time &amp; Technical'!AL92</f>
        <v>0.79699999999999993</v>
      </c>
      <c r="AM9" s="374">
        <f>'Time &amp; Technical'!AM92</f>
        <v>0.88100000000000001</v>
      </c>
      <c r="AN9" s="374">
        <f>'Time &amp; Technical'!AN92</f>
        <v>0.88100000000000001</v>
      </c>
      <c r="AO9" s="374">
        <f>'Time &amp; Technical'!AO92</f>
        <v>0.88100000000000001</v>
      </c>
      <c r="AP9" s="374">
        <f>'Time &amp; Technical'!AP92</f>
        <v>0.88100000000000001</v>
      </c>
      <c r="AQ9" s="374">
        <f>'Time &amp; Technical'!AQ92</f>
        <v>0.88100000000000001</v>
      </c>
      <c r="AR9" s="374">
        <f>'Time &amp; Technical'!AR92</f>
        <v>0.88100000000000001</v>
      </c>
      <c r="AS9" s="374">
        <f>'Time &amp; Technical'!AS92</f>
        <v>0.88100000000000001</v>
      </c>
      <c r="AT9" s="374">
        <f>'Time &amp; Technical'!AT92</f>
        <v>0.79699999999999993</v>
      </c>
      <c r="AU9" s="374">
        <f>'Time &amp; Technical'!AU92</f>
        <v>0.88100000000000001</v>
      </c>
      <c r="AV9" s="374">
        <f>'Time &amp; Technical'!AV92</f>
        <v>0.88100000000000001</v>
      </c>
      <c r="AW9" s="374">
        <f>'Time &amp; Technical'!AW92</f>
        <v>0.88100000000000001</v>
      </c>
      <c r="AX9" s="374">
        <f>'Time &amp; Technical'!AX92</f>
        <v>0.88100000000000001</v>
      </c>
      <c r="AY9" s="374">
        <f>'Time &amp; Technical'!AY92</f>
        <v>0.88100000000000001</v>
      </c>
      <c r="AZ9" s="374">
        <f>'Time &amp; Technical'!AZ92</f>
        <v>0.88100000000000001</v>
      </c>
      <c r="BA9" s="374">
        <f>'Time &amp; Technical'!BA92</f>
        <v>0.88100000000000001</v>
      </c>
      <c r="BB9" s="374">
        <f>'Time &amp; Technical'!BB92</f>
        <v>0.79699999999999993</v>
      </c>
      <c r="BC9" s="374">
        <f>'Time &amp; Technical'!BC92</f>
        <v>0.88100000000000001</v>
      </c>
      <c r="BD9" s="374">
        <f>'Time &amp; Technical'!BD92</f>
        <v>0.88100000000000001</v>
      </c>
      <c r="BE9" s="374">
        <f>'Time &amp; Technical'!BE92</f>
        <v>0.88100000000000001</v>
      </c>
      <c r="BF9" s="374">
        <f>'Time &amp; Technical'!BF92</f>
        <v>0.88100000000000001</v>
      </c>
      <c r="BG9" s="374">
        <f>'Time &amp; Technical'!BG92</f>
        <v>0.88100000000000001</v>
      </c>
      <c r="BH9" s="374">
        <f>'Time &amp; Technical'!BH92</f>
        <v>0.88100000000000001</v>
      </c>
      <c r="BI9" s="374">
        <f>'Time &amp; Technical'!BI92</f>
        <v>0.88100000000000001</v>
      </c>
      <c r="BJ9" s="374">
        <f>'Time &amp; Technical'!BJ92</f>
        <v>0.79699999999999993</v>
      </c>
      <c r="BK9" s="27" t="s">
        <v>102</v>
      </c>
    </row>
    <row r="10" spans="1:63" ht="11.25" customHeight="1" x14ac:dyDescent="0.25">
      <c r="A10" s="12"/>
      <c r="B10" s="12" t="s">
        <v>78</v>
      </c>
      <c r="C10" s="33" t="s">
        <v>450</v>
      </c>
      <c r="D10" s="364">
        <f>'Time &amp; Technical'!D98</f>
        <v>89</v>
      </c>
      <c r="E10" s="389"/>
      <c r="F10" s="80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 t="s">
        <v>102</v>
      </c>
    </row>
    <row r="11" spans="1:63" ht="11.25" customHeight="1" x14ac:dyDescent="0.25">
      <c r="A11" s="12"/>
      <c r="B11" s="12" t="s">
        <v>78</v>
      </c>
      <c r="C11" s="33" t="s">
        <v>189</v>
      </c>
      <c r="D11" s="12"/>
      <c r="E11" s="389">
        <f t="shared" si="0"/>
        <v>1531.7114743053303</v>
      </c>
      <c r="F11" s="80" t="s">
        <v>26</v>
      </c>
      <c r="G11" s="1">
        <f>IF(G7=0,0,$D$10*G13)</f>
        <v>0</v>
      </c>
      <c r="H11" s="1">
        <f t="shared" ref="H11:BJ11" si="1">IF(H7=0,0,$D$10*H13)</f>
        <v>0</v>
      </c>
      <c r="I11" s="1">
        <f t="shared" si="1"/>
        <v>0</v>
      </c>
      <c r="J11" s="1">
        <f t="shared" si="1"/>
        <v>0</v>
      </c>
      <c r="K11" s="1">
        <f t="shared" si="1"/>
        <v>0</v>
      </c>
      <c r="L11" s="1">
        <f t="shared" si="1"/>
        <v>0</v>
      </c>
      <c r="M11" s="1">
        <f t="shared" si="1"/>
        <v>0</v>
      </c>
      <c r="N11" s="1">
        <f t="shared" si="1"/>
        <v>0</v>
      </c>
      <c r="O11" s="1">
        <f t="shared" si="1"/>
        <v>0</v>
      </c>
      <c r="P11" s="1">
        <f t="shared" si="1"/>
        <v>0</v>
      </c>
      <c r="Q11" s="1">
        <f t="shared" si="1"/>
        <v>0</v>
      </c>
      <c r="R11" s="1">
        <f t="shared" si="1"/>
        <v>0</v>
      </c>
      <c r="S11" s="1">
        <f t="shared" si="1"/>
        <v>0</v>
      </c>
      <c r="T11" s="1">
        <f t="shared" si="1"/>
        <v>0</v>
      </c>
      <c r="U11" s="1">
        <f t="shared" si="1"/>
        <v>0</v>
      </c>
      <c r="V11" s="1">
        <f t="shared" si="1"/>
        <v>0</v>
      </c>
      <c r="W11" s="1">
        <f t="shared" si="1"/>
        <v>98.700713715911789</v>
      </c>
      <c r="X11" s="1">
        <f t="shared" si="1"/>
        <v>101.66173512738914</v>
      </c>
      <c r="Y11" s="1">
        <f t="shared" si="1"/>
        <v>101.66173512738914</v>
      </c>
      <c r="Z11" s="1">
        <f t="shared" si="1"/>
        <v>104.71158718121079</v>
      </c>
      <c r="AA11" s="1">
        <f t="shared" si="1"/>
        <v>104.71158718121079</v>
      </c>
      <c r="AB11" s="1">
        <f t="shared" si="1"/>
        <v>107.85293479664711</v>
      </c>
      <c r="AC11" s="1">
        <f t="shared" si="1"/>
        <v>107.85293479664711</v>
      </c>
      <c r="AD11" s="1">
        <f t="shared" si="1"/>
        <v>110.95362476669334</v>
      </c>
      <c r="AE11" s="1">
        <f t="shared" si="1"/>
        <v>110.95362476669334</v>
      </c>
      <c r="AF11" s="1">
        <f t="shared" si="1"/>
        <v>114.00484944777745</v>
      </c>
      <c r="AG11" s="1">
        <f t="shared" si="1"/>
        <v>114.00484944777745</v>
      </c>
      <c r="AH11" s="1">
        <f t="shared" si="1"/>
        <v>117.13998280759132</v>
      </c>
      <c r="AI11" s="1">
        <f t="shared" si="1"/>
        <v>117.13998280759132</v>
      </c>
      <c r="AJ11" s="1">
        <f t="shared" si="1"/>
        <v>120.36133233480011</v>
      </c>
      <c r="AK11" s="1">
        <f t="shared" si="1"/>
        <v>0</v>
      </c>
      <c r="AL11" s="1">
        <f t="shared" si="1"/>
        <v>0</v>
      </c>
      <c r="AM11" s="1">
        <f t="shared" si="1"/>
        <v>0</v>
      </c>
      <c r="AN11" s="1">
        <f t="shared" si="1"/>
        <v>0</v>
      </c>
      <c r="AO11" s="1">
        <f t="shared" si="1"/>
        <v>0</v>
      </c>
      <c r="AP11" s="1">
        <f t="shared" si="1"/>
        <v>0</v>
      </c>
      <c r="AQ11" s="1">
        <f t="shared" si="1"/>
        <v>0</v>
      </c>
      <c r="AR11" s="1">
        <f t="shared" si="1"/>
        <v>0</v>
      </c>
      <c r="AS11" s="1">
        <f t="shared" si="1"/>
        <v>0</v>
      </c>
      <c r="AT11" s="1">
        <f t="shared" si="1"/>
        <v>0</v>
      </c>
      <c r="AU11" s="1">
        <f t="shared" si="1"/>
        <v>0</v>
      </c>
      <c r="AV11" s="1">
        <f t="shared" si="1"/>
        <v>0</v>
      </c>
      <c r="AW11" s="1">
        <f t="shared" si="1"/>
        <v>0</v>
      </c>
      <c r="AX11" s="1">
        <f t="shared" si="1"/>
        <v>0</v>
      </c>
      <c r="AY11" s="1">
        <f t="shared" si="1"/>
        <v>0</v>
      </c>
      <c r="AZ11" s="1">
        <f t="shared" si="1"/>
        <v>0</v>
      </c>
      <c r="BA11" s="1">
        <f t="shared" si="1"/>
        <v>0</v>
      </c>
      <c r="BB11" s="1">
        <f t="shared" si="1"/>
        <v>0</v>
      </c>
      <c r="BC11" s="1">
        <f t="shared" si="1"/>
        <v>0</v>
      </c>
      <c r="BD11" s="1">
        <f t="shared" si="1"/>
        <v>0</v>
      </c>
      <c r="BE11" s="1">
        <f t="shared" si="1"/>
        <v>0</v>
      </c>
      <c r="BF11" s="1">
        <f t="shared" si="1"/>
        <v>0</v>
      </c>
      <c r="BG11" s="1">
        <f t="shared" si="1"/>
        <v>0</v>
      </c>
      <c r="BH11" s="1">
        <f t="shared" si="1"/>
        <v>0</v>
      </c>
      <c r="BI11" s="1">
        <f t="shared" si="1"/>
        <v>0</v>
      </c>
      <c r="BJ11" s="1">
        <f t="shared" si="1"/>
        <v>0</v>
      </c>
      <c r="BK11" s="1" t="s">
        <v>102</v>
      </c>
    </row>
    <row r="12" spans="1:63" ht="11.25" customHeight="1" x14ac:dyDescent="0.25">
      <c r="A12" s="12"/>
      <c r="B12" s="12" t="s">
        <v>368</v>
      </c>
      <c r="C12" s="33" t="s">
        <v>102</v>
      </c>
      <c r="D12" s="12"/>
      <c r="E12" s="389">
        <f t="shared" si="0"/>
        <v>77.650534665489786</v>
      </c>
      <c r="F12" s="80"/>
      <c r="G12" s="44">
        <f>'Time &amp; Technical'!G172</f>
        <v>1.0074170717777329</v>
      </c>
      <c r="H12" s="44">
        <f>'Time &amp; Technical'!H172</f>
        <v>1.0148891565092217</v>
      </c>
      <c r="I12" s="44">
        <f>'Time &amp; Technical'!I172</f>
        <v>1.0224166622294935</v>
      </c>
      <c r="J12" s="44">
        <f>'Time &amp; Technical'!J172</f>
        <v>1.0299999999999996</v>
      </c>
      <c r="K12" s="44">
        <f>'Time &amp; Technical'!K172</f>
        <v>1.0376395839310644</v>
      </c>
      <c r="L12" s="44">
        <f>'Time &amp; Technical'!L172</f>
        <v>1.045335831204498</v>
      </c>
      <c r="M12" s="44">
        <f>'Time &amp; Technical'!M172</f>
        <v>1.0530891620963778</v>
      </c>
      <c r="N12" s="44">
        <f>'Time &amp; Technical'!N172</f>
        <v>1.0608999999999993</v>
      </c>
      <c r="O12" s="44">
        <f>'Time &amp; Technical'!O172</f>
        <v>1.0687687714489962</v>
      </c>
      <c r="P12" s="44">
        <f>'Time &amp; Technical'!P172</f>
        <v>1.0766959061406327</v>
      </c>
      <c r="Q12" s="44">
        <f>'Time &amp; Technical'!Q172</f>
        <v>1.084681836959269</v>
      </c>
      <c r="R12" s="44">
        <f>'Time &amp; Technical'!R172</f>
        <v>1.0927269999999991</v>
      </c>
      <c r="S12" s="44">
        <f>'Time &amp; Technical'!S172</f>
        <v>1.1008318345924659</v>
      </c>
      <c r="T12" s="44">
        <f>'Time &amp; Technical'!T172</f>
        <v>1.1089967833248515</v>
      </c>
      <c r="U12" s="44">
        <f>'Time &amp; Technical'!U172</f>
        <v>1.1172222920680468</v>
      </c>
      <c r="V12" s="44">
        <f>'Time &amp; Technical'!V172</f>
        <v>1.1255088099999988</v>
      </c>
      <c r="W12" s="44">
        <f>'Time &amp; Technical'!W172</f>
        <v>1.142266686824597</v>
      </c>
      <c r="X12" s="44">
        <f>'Time &amp; Technical'!X172</f>
        <v>1.1592740742999987</v>
      </c>
      <c r="Y12" s="44">
        <f>'Time &amp; Technical'!Y172</f>
        <v>1.1765346874293348</v>
      </c>
      <c r="Z12" s="44">
        <f>'Time &amp; Technical'!Z172</f>
        <v>1.1940522965289986</v>
      </c>
      <c r="AA12" s="44">
        <f>'Time &amp; Technical'!AA172</f>
        <v>1.2118307280522147</v>
      </c>
      <c r="AB12" s="44">
        <f>'Time &amp; Technical'!AB172</f>
        <v>1.2298738654248684</v>
      </c>
      <c r="AC12" s="44">
        <f>'Time &amp; Technical'!AC172</f>
        <v>1.2466699411988016</v>
      </c>
      <c r="AD12" s="44">
        <f>'Time &amp; Technical'!AD172</f>
        <v>1.2636953967240527</v>
      </c>
      <c r="AE12" s="44">
        <f>'Time &amp; Technical'!AE172</f>
        <v>1.280953364581769</v>
      </c>
      <c r="AF12" s="44">
        <f>'Time &amp; Technical'!AF172</f>
        <v>1.2984470201339644</v>
      </c>
      <c r="AG12" s="44">
        <f>'Time &amp; Technical'!AG172</f>
        <v>1.3161795821077678</v>
      </c>
      <c r="AH12" s="44">
        <f>'Time &amp; Technical'!AH172</f>
        <v>1.3341543131876485</v>
      </c>
      <c r="AI12" s="44">
        <f>'Time &amp; Technical'!AI172</f>
        <v>1.3523745206157316</v>
      </c>
      <c r="AJ12" s="44">
        <f>'Time &amp; Technical'!AJ172</f>
        <v>1.3708435568003092</v>
      </c>
      <c r="AK12" s="44">
        <f>'Time &amp; Technical'!AK172</f>
        <v>1.3895648199326645</v>
      </c>
      <c r="AL12" s="44">
        <f>'Time &amp; Technical'!AL172</f>
        <v>1.408541754612318</v>
      </c>
      <c r="AM12" s="44">
        <f>'Time &amp; Technical'!AM172</f>
        <v>1.4277778524808131</v>
      </c>
      <c r="AN12" s="44">
        <f>'Time &amp; Technical'!AN172</f>
        <v>1.4472766528641572</v>
      </c>
      <c r="AO12" s="44">
        <f>'Time &amp; Technical'!AO172</f>
        <v>1.4670417434240359</v>
      </c>
      <c r="AP12" s="44">
        <f>'Time &amp; Technical'!AP172</f>
        <v>1.4870767608179218</v>
      </c>
      <c r="AQ12" s="44">
        <f>'Time &amp; Technical'!AQ172</f>
        <v>1.5073853913681972</v>
      </c>
      <c r="AR12" s="44">
        <f>'Time &amp; Technical'!AR172</f>
        <v>1.5279713717404149</v>
      </c>
      <c r="AS12" s="44">
        <f>'Time &amp; Technical'!AS172</f>
        <v>1.5488384896308227</v>
      </c>
      <c r="AT12" s="44">
        <f>'Time &amp; Technical'!AT172</f>
        <v>1.5699905844632764</v>
      </c>
      <c r="AU12" s="44">
        <f>'Time &amp; Technical'!AU172</f>
        <v>1.5914315480956707</v>
      </c>
      <c r="AV12" s="44">
        <f>'Time &amp; Technical'!AV172</f>
        <v>1.613165325536017</v>
      </c>
      <c r="AW12" s="44">
        <f>'Time &amp; Technical'!AW172</f>
        <v>1.635195915668302</v>
      </c>
      <c r="AX12" s="44">
        <f>'Time &amp; Technical'!AX172</f>
        <v>1.6575273719882577</v>
      </c>
      <c r="AY12" s="44">
        <f>'Time &amp; Technical'!AY172</f>
        <v>1.6801638033491806</v>
      </c>
      <c r="AZ12" s="44">
        <f>'Time &amp; Technical'!AZ172</f>
        <v>1.7031093747179351</v>
      </c>
      <c r="BA12" s="44">
        <f>'Time &amp; Technical'!BA172</f>
        <v>1.7263683079412833</v>
      </c>
      <c r="BB12" s="44">
        <f>'Time &amp; Technical'!BB172</f>
        <v>1.7499448825226787</v>
      </c>
      <c r="BC12" s="44">
        <f>'Time &amp; Technical'!BC172</f>
        <v>1.7738434364096689</v>
      </c>
      <c r="BD12" s="44">
        <f>'Time &amp; Technical'!BD172</f>
        <v>1.7980683667920527</v>
      </c>
      <c r="BE12" s="44">
        <f>'Time &amp; Technical'!BE172</f>
        <v>1.8226241309109352</v>
      </c>
      <c r="BF12" s="44">
        <f>'Time &amp; Technical'!BF172</f>
        <v>1.8475152468788345</v>
      </c>
      <c r="BG12" s="44">
        <f>'Time &amp; Technical'!BG172</f>
        <v>1.8727462945109863</v>
      </c>
      <c r="BH12" s="44">
        <f>'Time &amp; Technical'!BH172</f>
        <v>1.8983219161680027</v>
      </c>
      <c r="BI12" s="44">
        <f>'Time &amp; Technical'!BI172</f>
        <v>1.9242468176100387</v>
      </c>
      <c r="BJ12" s="44">
        <f>'Time &amp; Technical'!BJ172</f>
        <v>1.9505257688626232</v>
      </c>
      <c r="BK12" s="44" t="s">
        <v>102</v>
      </c>
    </row>
    <row r="13" spans="1:63" ht="11.25" customHeight="1" x14ac:dyDescent="0.25">
      <c r="A13" s="12"/>
      <c r="B13" s="12" t="s">
        <v>371</v>
      </c>
      <c r="C13" s="33" t="s">
        <v>102</v>
      </c>
      <c r="D13" s="12"/>
      <c r="E13" s="389">
        <f t="shared" si="0"/>
        <v>17.210241284329555</v>
      </c>
      <c r="F13" s="80" t="s">
        <v>26</v>
      </c>
      <c r="G13" s="28">
        <f>(IF(G1='Time &amp; Technical'!$D$21, Revenues!D12, IF(AND(G1&gt;'Time &amp; Technical'!$D$21, Revenues!G2=Revenues!H2),Revenues!F12,Revenues!E12)))*G7</f>
        <v>0</v>
      </c>
      <c r="H13" s="28">
        <f>(IF(H1='Time &amp; Technical'!$D$21, Revenues!E12, IF(AND(H1&gt;'Time &amp; Technical'!$D$21, Revenues!H2=Revenues!I2),Revenues!G12,Revenues!F12)))*H7</f>
        <v>0</v>
      </c>
      <c r="I13" s="28">
        <f>(IF(I1='Time &amp; Technical'!$D$21, Revenues!F12, IF(AND(I1&gt;'Time &amp; Technical'!$D$21, Revenues!I2=Revenues!J2),Revenues!H12,Revenues!G12)))*I7</f>
        <v>0</v>
      </c>
      <c r="J13" s="28">
        <f>(IF(J1='Time &amp; Technical'!$D$21, Revenues!G12, IF(AND(J1&gt;'Time &amp; Technical'!$D$21, Revenues!J2=Revenues!K2),Revenues!I12,Revenues!H12)))*J7</f>
        <v>0</v>
      </c>
      <c r="K13" s="28">
        <f>(IF(K1='Time &amp; Technical'!$D$21, Revenues!H12, IF(AND(K1&gt;'Time &amp; Technical'!$D$21, Revenues!K2=Revenues!L2),Revenues!J12,Revenues!I12)))*K7</f>
        <v>0</v>
      </c>
      <c r="L13" s="28">
        <f>(IF(L1='Time &amp; Technical'!$D$21, Revenues!I12, IF(AND(L1&gt;'Time &amp; Technical'!$D$21, Revenues!L2=Revenues!M2),Revenues!K12,Revenues!J12)))*L7</f>
        <v>0</v>
      </c>
      <c r="M13" s="28">
        <f>(IF(M1='Time &amp; Technical'!$D$21, Revenues!J12, IF(AND(M1&gt;'Time &amp; Technical'!$D$21, Revenues!M2=Revenues!N2),Revenues!L12,Revenues!K12)))*M7</f>
        <v>0</v>
      </c>
      <c r="N13" s="28">
        <f>(IF(N1='Time &amp; Technical'!$D$21, Revenues!K12, IF(AND(N1&gt;'Time &amp; Technical'!$D$21, Revenues!N2=Revenues!O2),Revenues!M12,Revenues!L12)))*N7</f>
        <v>0</v>
      </c>
      <c r="O13" s="28">
        <f>(IF(O1='Time &amp; Technical'!$D$21, Revenues!L12, IF(AND(O1&gt;'Time &amp; Technical'!$D$21, Revenues!O2=Revenues!P2),Revenues!N12,Revenues!M12)))*O7</f>
        <v>0</v>
      </c>
      <c r="P13" s="28">
        <f>(IF(P1='Time &amp; Technical'!$D$21, Revenues!M12, IF(AND(P1&gt;'Time &amp; Technical'!$D$21, Revenues!P2=Revenues!Q2),Revenues!O12,Revenues!N12)))*P7</f>
        <v>0</v>
      </c>
      <c r="Q13" s="28">
        <f>(IF(Q1='Time &amp; Technical'!$D$21, Revenues!N12, IF(AND(Q1&gt;'Time &amp; Technical'!$D$21, Revenues!Q2=Revenues!R2),Revenues!P12,Revenues!O12)))*Q7</f>
        <v>0</v>
      </c>
      <c r="R13" s="28">
        <f>(IF(R1='Time &amp; Technical'!$D$21, Revenues!O12, IF(AND(R1&gt;'Time &amp; Technical'!$D$21, Revenues!R2=Revenues!S2),Revenues!Q12,Revenues!P12)))*R7</f>
        <v>0</v>
      </c>
      <c r="S13" s="28">
        <f>(IF(S1='Time &amp; Technical'!$D$21, Revenues!P12, IF(AND(S1&gt;'Time &amp; Technical'!$D$21, Revenues!S2=Revenues!T2),Revenues!R12,Revenues!Q12)))*S7</f>
        <v>0</v>
      </c>
      <c r="T13" s="28">
        <f>(IF(T1='Time &amp; Technical'!$D$21, Revenues!Q12, IF(AND(T1&gt;'Time &amp; Technical'!$D$21, Revenues!T2=Revenues!U2),Revenues!S12,Revenues!R12)))*T7</f>
        <v>0</v>
      </c>
      <c r="U13" s="28">
        <f>(IF(U1='Time &amp; Technical'!$D$21, Revenues!R12, IF(AND(U1&gt;'Time &amp; Technical'!$D$21, Revenues!U2=Revenues!V2),Revenues!T12,Revenues!S12)))*U7</f>
        <v>0</v>
      </c>
      <c r="V13" s="28">
        <f>(IF(V1='Time &amp; Technical'!$D$21, Revenues!S12, IF(AND(V1&gt;'Time &amp; Technical'!$D$21, Revenues!V2=Revenues!W2),Revenues!U12,Revenues!T12)))*V7</f>
        <v>0</v>
      </c>
      <c r="W13" s="28">
        <f>(IF(W1='Time &amp; Technical'!$D$21, Revenues!T12, IF(AND(W1&gt;'Time &amp; Technical'!$D$21, Revenues!W2=Revenues!X2),Revenues!V12,Revenues!U12)))*W7</f>
        <v>1.1089967833248515</v>
      </c>
      <c r="X13" s="28">
        <f>(IF(X1='Time &amp; Technical'!$D$21, Revenues!U12, IF(AND(X1&gt;'Time &amp; Technical'!$D$21, Revenues!X2=Revenues!Y2),Revenues!W12,Revenues!V12)))*X7</f>
        <v>1.142266686824597</v>
      </c>
      <c r="Y13" s="28">
        <f>(IF(Y1='Time &amp; Technical'!$D$21, Revenues!V12, IF(AND(Y1&gt;'Time &amp; Technical'!$D$21, Revenues!Y2=Revenues!Z2),Revenues!X12,Revenues!W12)))*Y7</f>
        <v>1.142266686824597</v>
      </c>
      <c r="Z13" s="28">
        <f>(IF(Z1='Time &amp; Technical'!$D$21, Revenues!W12, IF(AND(Z1&gt;'Time &amp; Technical'!$D$21, Revenues!Z2=Revenues!AA2),Revenues!Y12,Revenues!X12)))*Z7</f>
        <v>1.1765346874293348</v>
      </c>
      <c r="AA13" s="28">
        <f>(IF(AA1='Time &amp; Technical'!$D$21, Revenues!X12, IF(AND(AA1&gt;'Time &amp; Technical'!$D$21, Revenues!AA2=Revenues!AB2),Revenues!Z12,Revenues!Y12)))*AA7</f>
        <v>1.1765346874293348</v>
      </c>
      <c r="AB13" s="28">
        <f>(IF(AB1='Time &amp; Technical'!$D$21, Revenues!Y12, IF(AND(AB1&gt;'Time &amp; Technical'!$D$21, Revenues!AB2=Revenues!AC2),Revenues!AA12,Revenues!Z12)))*AB7</f>
        <v>1.2118307280522147</v>
      </c>
      <c r="AC13" s="28">
        <f>(IF(AC1='Time &amp; Technical'!$D$21, Revenues!Z12, IF(AND(AC1&gt;'Time &amp; Technical'!$D$21, Revenues!AC2=Revenues!AD2),Revenues!AB12,Revenues!AA12)))*AC7</f>
        <v>1.2118307280522147</v>
      </c>
      <c r="AD13" s="28">
        <f>(IF(AD1='Time &amp; Technical'!$D$21, Revenues!AA12, IF(AND(AD1&gt;'Time &amp; Technical'!$D$21, Revenues!AD2=Revenues!AE2),Revenues!AC12,Revenues!AB12)))*AD7</f>
        <v>1.2466699411988016</v>
      </c>
      <c r="AE13" s="28">
        <f>(IF(AE1='Time &amp; Technical'!$D$21, Revenues!AB12, IF(AND(AE1&gt;'Time &amp; Technical'!$D$21, Revenues!AE2=Revenues!AF2),Revenues!AD12,Revenues!AC12)))*AE7</f>
        <v>1.2466699411988016</v>
      </c>
      <c r="AF13" s="28">
        <f>(IF(AF1='Time &amp; Technical'!$D$21, Revenues!AC12, IF(AND(AF1&gt;'Time &amp; Technical'!$D$21, Revenues!AF2=Revenues!AG2),Revenues!AE12,Revenues!AD12)))*AF7</f>
        <v>1.280953364581769</v>
      </c>
      <c r="AG13" s="28">
        <f>(IF(AG1='Time &amp; Technical'!$D$21, Revenues!AD12, IF(AND(AG1&gt;'Time &amp; Technical'!$D$21, Revenues!AG2=Revenues!AH2),Revenues!AF12,Revenues!AE12)))*AG7</f>
        <v>1.280953364581769</v>
      </c>
      <c r="AH13" s="28">
        <f>(IF(AH1='Time &amp; Technical'!$D$21, Revenues!AE12, IF(AND(AH1&gt;'Time &amp; Technical'!$D$21, Revenues!AH2=Revenues!AI2),Revenues!AG12,Revenues!AF12)))*AH7</f>
        <v>1.3161795821077678</v>
      </c>
      <c r="AI13" s="28">
        <f>(IF(AI1='Time &amp; Technical'!$D$21, Revenues!AF12, IF(AND(AI1&gt;'Time &amp; Technical'!$D$21, Revenues!AI2=Revenues!AJ2),Revenues!AH12,Revenues!AG12)))*AI7</f>
        <v>1.3161795821077678</v>
      </c>
      <c r="AJ13" s="28">
        <f>(IF(AJ1='Time &amp; Technical'!$D$21, Revenues!AG12, IF(AND(AJ1&gt;'Time &amp; Technical'!$D$21, Revenues!AJ2=Revenues!AK2),Revenues!AI12,Revenues!AH12)))*AJ7</f>
        <v>1.3523745206157316</v>
      </c>
      <c r="AK13" s="28">
        <f>(IF(AK1='Time &amp; Technical'!$D$21, Revenues!AH12, IF(AND(AK1&gt;'Time &amp; Technical'!$D$21, Revenues!AK2=Revenues!AL2),Revenues!AJ12,Revenues!AI12)))*AK7</f>
        <v>0</v>
      </c>
      <c r="AL13" s="28">
        <f>(IF(AL1='Time &amp; Technical'!$D$21, Revenues!AI12, IF(AND(AL1&gt;'Time &amp; Technical'!$D$21, Revenues!AL2=Revenues!AM2),Revenues!AK12,Revenues!AJ12)))*AL7</f>
        <v>0</v>
      </c>
      <c r="AM13" s="28">
        <f>(IF(AM1='Time &amp; Technical'!$D$21, Revenues!AJ12, IF(AND(AM1&gt;'Time &amp; Technical'!$D$21, Revenues!AM2=Revenues!AN2),Revenues!AL12,Revenues!AK12)))*AM7</f>
        <v>0</v>
      </c>
      <c r="AN13" s="28">
        <f>(IF(AN1='Time &amp; Technical'!$D$21, Revenues!AK12, IF(AND(AN1&gt;'Time &amp; Technical'!$D$21, Revenues!AN2=Revenues!AO2),Revenues!AM12,Revenues!AL12)))*AN7</f>
        <v>0</v>
      </c>
      <c r="AO13" s="28">
        <f>(IF(AO1='Time &amp; Technical'!$D$21, Revenues!AL12, IF(AND(AO1&gt;'Time &amp; Technical'!$D$21, Revenues!AO2=Revenues!AP2),Revenues!AN12,Revenues!AM12)))*AO7</f>
        <v>0</v>
      </c>
      <c r="AP13" s="28">
        <f>(IF(AP1='Time &amp; Technical'!$D$21, Revenues!AM12, IF(AND(AP1&gt;'Time &amp; Technical'!$D$21, Revenues!AP2=Revenues!AQ2),Revenues!AO12,Revenues!AN12)))*AP7</f>
        <v>0</v>
      </c>
      <c r="AQ13" s="28">
        <f>(IF(AQ1='Time &amp; Technical'!$D$21, Revenues!AN12, IF(AND(AQ1&gt;'Time &amp; Technical'!$D$21, Revenues!AQ2=Revenues!AR2),Revenues!AP12,Revenues!AO12)))*AQ7</f>
        <v>0</v>
      </c>
      <c r="AR13" s="28">
        <f>(IF(AR1='Time &amp; Technical'!$D$21, Revenues!AO12, IF(AND(AR1&gt;'Time &amp; Technical'!$D$21, Revenues!AR2=Revenues!AS2),Revenues!AQ12,Revenues!AP12)))*AR7</f>
        <v>0</v>
      </c>
      <c r="AS13" s="28">
        <f>(IF(AS1='Time &amp; Technical'!$D$21, Revenues!AP12, IF(AND(AS1&gt;'Time &amp; Technical'!$D$21, Revenues!AS2=Revenues!AT2),Revenues!AR12,Revenues!AQ12)))*AS7</f>
        <v>0</v>
      </c>
      <c r="AT13" s="28">
        <f>(IF(AT1='Time &amp; Technical'!$D$21, Revenues!AQ12, IF(AND(AT1&gt;'Time &amp; Technical'!$D$21, Revenues!AT2=Revenues!AU2),Revenues!AS12,Revenues!AR12)))*AT7</f>
        <v>0</v>
      </c>
      <c r="AU13" s="28">
        <f>(IF(AU1='Time &amp; Technical'!$D$21, Revenues!AR12, IF(AND(AU1&gt;'Time &amp; Technical'!$D$21, Revenues!AU2=Revenues!AV2),Revenues!AT12,Revenues!AS12)))*AU7</f>
        <v>0</v>
      </c>
      <c r="AV13" s="28">
        <f>(IF(AV1='Time &amp; Technical'!$D$21, Revenues!AS12, IF(AND(AV1&gt;'Time &amp; Technical'!$D$21, Revenues!AV2=Revenues!AW2),Revenues!AU12,Revenues!AT12)))*AV7</f>
        <v>0</v>
      </c>
      <c r="AW13" s="28">
        <f>(IF(AW1='Time &amp; Technical'!$D$21, Revenues!AT12, IF(AND(AW1&gt;'Time &amp; Technical'!$D$21, Revenues!AW2=Revenues!AX2),Revenues!AV12,Revenues!AU12)))*AW7</f>
        <v>0</v>
      </c>
      <c r="AX13" s="28">
        <f>(IF(AX1='Time &amp; Technical'!$D$21, Revenues!AU12, IF(AND(AX1&gt;'Time &amp; Technical'!$D$21, Revenues!AX2=Revenues!AY2),Revenues!AW12,Revenues!AV12)))*AX7</f>
        <v>0</v>
      </c>
      <c r="AY13" s="28">
        <f>(IF(AY1='Time &amp; Technical'!$D$21, Revenues!AV12, IF(AND(AY1&gt;'Time &amp; Technical'!$D$21, Revenues!AY2=Revenues!AZ2),Revenues!AX12,Revenues!AW12)))*AY7</f>
        <v>0</v>
      </c>
      <c r="AZ13" s="28">
        <f>(IF(AZ1='Time &amp; Technical'!$D$21, Revenues!AW12, IF(AND(AZ1&gt;'Time &amp; Technical'!$D$21, Revenues!AZ2=Revenues!BA2),Revenues!AY12,Revenues!AX12)))*AZ7</f>
        <v>0</v>
      </c>
      <c r="BA13" s="28">
        <f>(IF(BA1='Time &amp; Technical'!$D$21, Revenues!AX12, IF(AND(BA1&gt;'Time &amp; Technical'!$D$21, Revenues!BA2=Revenues!BB2),Revenues!AZ12,Revenues!AY12)))*BA7</f>
        <v>0</v>
      </c>
      <c r="BB13" s="28">
        <f>(IF(BB1='Time &amp; Technical'!$D$21, Revenues!AY12, IF(AND(BB1&gt;'Time &amp; Technical'!$D$21, Revenues!BB2=Revenues!BC2),Revenues!BA12,Revenues!AZ12)))*BB7</f>
        <v>0</v>
      </c>
      <c r="BC13" s="28">
        <f>(IF(BC1='Time &amp; Technical'!$D$21, Revenues!AZ12, IF(AND(BC1&gt;'Time &amp; Technical'!$D$21, Revenues!BC2=Revenues!BD2),Revenues!BB12,Revenues!BA12)))*BC7</f>
        <v>0</v>
      </c>
      <c r="BD13" s="28">
        <f>(IF(BD1='Time &amp; Technical'!$D$21, Revenues!BA12, IF(AND(BD1&gt;'Time &amp; Technical'!$D$21, Revenues!BD2=Revenues!BE2),Revenues!BC12,Revenues!BB12)))*BD7</f>
        <v>0</v>
      </c>
      <c r="BE13" s="28">
        <f>(IF(BE1='Time &amp; Technical'!$D$21, Revenues!BB12, IF(AND(BE1&gt;'Time &amp; Technical'!$D$21, Revenues!BE2=Revenues!BF2),Revenues!BD12,Revenues!BC12)))*BE7</f>
        <v>0</v>
      </c>
      <c r="BF13" s="28">
        <f>(IF(BF1='Time &amp; Technical'!$D$21, Revenues!BC12, IF(AND(BF1&gt;'Time &amp; Technical'!$D$21, Revenues!BF2=Revenues!BG2),Revenues!BE12,Revenues!BD12)))*BF7</f>
        <v>0</v>
      </c>
      <c r="BG13" s="28">
        <f>(IF(BG1='Time &amp; Technical'!$D$21, Revenues!BD12, IF(AND(BG1&gt;'Time &amp; Technical'!$D$21, Revenues!BG2=Revenues!BH2),Revenues!BF12,Revenues!BE12)))*BG7</f>
        <v>0</v>
      </c>
      <c r="BH13" s="28">
        <f>(IF(BH1='Time &amp; Technical'!$D$21, Revenues!BE12, IF(AND(BH1&gt;'Time &amp; Technical'!$D$21, Revenues!BH2=Revenues!BI2),Revenues!BG12,Revenues!BF12)))*BH7</f>
        <v>0</v>
      </c>
      <c r="BI13" s="28">
        <f>(IF(BI1='Time &amp; Technical'!$D$21, Revenues!BF12, IF(AND(BI1&gt;'Time &amp; Technical'!$D$21, Revenues!BI2=Revenues!BJ2),Revenues!BH12,Revenues!BG12)))*BI7</f>
        <v>0</v>
      </c>
      <c r="BJ13" s="28">
        <f>(IF(BJ1='Time &amp; Technical'!$D$21, Revenues!BG12, IF(AND(BJ1&gt;'Time &amp; Technical'!$D$21, Revenues!BJ2=Revenues!BK2),Revenues!BI12,Revenues!BH12)))*BJ7</f>
        <v>0</v>
      </c>
      <c r="BK13" s="28" t="s">
        <v>102</v>
      </c>
    </row>
    <row r="14" spans="1:63" ht="11.25" customHeight="1" x14ac:dyDescent="0.25">
      <c r="A14" s="12"/>
      <c r="B14" s="214" t="s">
        <v>190</v>
      </c>
      <c r="C14" s="217" t="s">
        <v>1</v>
      </c>
      <c r="D14" s="214"/>
      <c r="E14" s="396">
        <f t="shared" si="0"/>
        <v>196373.85671129683</v>
      </c>
      <c r="F14" s="310" t="s">
        <v>26</v>
      </c>
      <c r="G14" s="216">
        <f t="shared" ref="G14" si="2">G8*G11*G9*G3</f>
        <v>0</v>
      </c>
      <c r="H14" s="216">
        <f>H8*H11*H9*H3</f>
        <v>0</v>
      </c>
      <c r="I14" s="216">
        <f t="shared" ref="I14:BJ14" si="3">I8*I11*I9*I3</f>
        <v>0</v>
      </c>
      <c r="J14" s="216">
        <f t="shared" si="3"/>
        <v>0</v>
      </c>
      <c r="K14" s="216">
        <f t="shared" si="3"/>
        <v>0</v>
      </c>
      <c r="L14" s="216">
        <f t="shared" si="3"/>
        <v>0</v>
      </c>
      <c r="M14" s="216">
        <f t="shared" si="3"/>
        <v>0</v>
      </c>
      <c r="N14" s="216">
        <f t="shared" si="3"/>
        <v>0</v>
      </c>
      <c r="O14" s="216">
        <f t="shared" si="3"/>
        <v>0</v>
      </c>
      <c r="P14" s="216">
        <f t="shared" si="3"/>
        <v>0</v>
      </c>
      <c r="Q14" s="216">
        <f t="shared" si="3"/>
        <v>0</v>
      </c>
      <c r="R14" s="216">
        <f t="shared" si="3"/>
        <v>0</v>
      </c>
      <c r="S14" s="216">
        <f t="shared" si="3"/>
        <v>0</v>
      </c>
      <c r="T14" s="216">
        <f t="shared" si="3"/>
        <v>0</v>
      </c>
      <c r="U14" s="216">
        <f t="shared" si="3"/>
        <v>0</v>
      </c>
      <c r="V14" s="216">
        <f t="shared" si="3"/>
        <v>0</v>
      </c>
      <c r="W14" s="216">
        <f t="shared" si="3"/>
        <v>13207.64488895897</v>
      </c>
      <c r="X14" s="216">
        <f t="shared" si="3"/>
        <v>13495.043241742716</v>
      </c>
      <c r="Y14" s="216">
        <f t="shared" si="3"/>
        <v>13387.082895808775</v>
      </c>
      <c r="Z14" s="216">
        <f t="shared" si="3"/>
        <v>13678.385819621571</v>
      </c>
      <c r="AA14" s="216">
        <f t="shared" si="3"/>
        <v>13568.958733064599</v>
      </c>
      <c r="AB14" s="216">
        <f t="shared" si="3"/>
        <v>13864.219275096084</v>
      </c>
      <c r="AC14" s="216">
        <f t="shared" si="3"/>
        <v>13753.305520895314</v>
      </c>
      <c r="AD14" s="216">
        <f t="shared" si="3"/>
        <v>12934.398078892198</v>
      </c>
      <c r="AE14" s="216">
        <f t="shared" si="3"/>
        <v>14445.349968531333</v>
      </c>
      <c r="AF14" s="216">
        <f t="shared" si="3"/>
        <v>14723.856315924621</v>
      </c>
      <c r="AG14" s="216">
        <f t="shared" si="3"/>
        <v>14606.065465397223</v>
      </c>
      <c r="AH14" s="216">
        <f t="shared" si="3"/>
        <v>14887.670407570082</v>
      </c>
      <c r="AI14" s="216">
        <f t="shared" si="3"/>
        <v>14768.569044309519</v>
      </c>
      <c r="AJ14" s="216">
        <f t="shared" si="3"/>
        <v>15053.30705548381</v>
      </c>
      <c r="AK14" s="216">
        <f t="shared" si="3"/>
        <v>0</v>
      </c>
      <c r="AL14" s="216">
        <f t="shared" si="3"/>
        <v>0</v>
      </c>
      <c r="AM14" s="216">
        <f t="shared" si="3"/>
        <v>0</v>
      </c>
      <c r="AN14" s="216">
        <f t="shared" si="3"/>
        <v>0</v>
      </c>
      <c r="AO14" s="216">
        <f t="shared" si="3"/>
        <v>0</v>
      </c>
      <c r="AP14" s="216">
        <f t="shared" si="3"/>
        <v>0</v>
      </c>
      <c r="AQ14" s="216">
        <f t="shared" si="3"/>
        <v>0</v>
      </c>
      <c r="AR14" s="216">
        <f t="shared" si="3"/>
        <v>0</v>
      </c>
      <c r="AS14" s="216">
        <f t="shared" si="3"/>
        <v>0</v>
      </c>
      <c r="AT14" s="216">
        <f t="shared" si="3"/>
        <v>0</v>
      </c>
      <c r="AU14" s="216">
        <f t="shared" si="3"/>
        <v>0</v>
      </c>
      <c r="AV14" s="216">
        <f t="shared" si="3"/>
        <v>0</v>
      </c>
      <c r="AW14" s="216">
        <f t="shared" si="3"/>
        <v>0</v>
      </c>
      <c r="AX14" s="216">
        <f t="shared" si="3"/>
        <v>0</v>
      </c>
      <c r="AY14" s="216">
        <f t="shared" si="3"/>
        <v>0</v>
      </c>
      <c r="AZ14" s="216">
        <f t="shared" si="3"/>
        <v>0</v>
      </c>
      <c r="BA14" s="216">
        <f t="shared" si="3"/>
        <v>0</v>
      </c>
      <c r="BB14" s="216">
        <f t="shared" si="3"/>
        <v>0</v>
      </c>
      <c r="BC14" s="216">
        <f t="shared" si="3"/>
        <v>0</v>
      </c>
      <c r="BD14" s="216">
        <f t="shared" si="3"/>
        <v>0</v>
      </c>
      <c r="BE14" s="216">
        <f t="shared" si="3"/>
        <v>0</v>
      </c>
      <c r="BF14" s="216">
        <f t="shared" si="3"/>
        <v>0</v>
      </c>
      <c r="BG14" s="216">
        <f t="shared" si="3"/>
        <v>0</v>
      </c>
      <c r="BH14" s="216">
        <f t="shared" si="3"/>
        <v>0</v>
      </c>
      <c r="BI14" s="216">
        <f t="shared" si="3"/>
        <v>0</v>
      </c>
      <c r="BJ14" s="216">
        <f t="shared" si="3"/>
        <v>0</v>
      </c>
      <c r="BK14" s="216" t="s">
        <v>102</v>
      </c>
    </row>
    <row r="15" spans="1:63" ht="11.25" customHeight="1" x14ac:dyDescent="0.25">
      <c r="A15" s="12"/>
      <c r="B15" s="12"/>
      <c r="C15" s="33"/>
      <c r="D15" s="12"/>
      <c r="E15" s="389"/>
      <c r="F15" s="328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 t="s">
        <v>102</v>
      </c>
    </row>
    <row r="16" spans="1:63" ht="11.25" customHeight="1" x14ac:dyDescent="0.25">
      <c r="A16" s="12" t="s">
        <v>26</v>
      </c>
      <c r="B16" s="17" t="s">
        <v>191</v>
      </c>
      <c r="C16" s="33"/>
      <c r="D16" s="12"/>
      <c r="E16" s="389"/>
      <c r="F16" s="80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 t="s">
        <v>102</v>
      </c>
    </row>
    <row r="17" spans="1:63" ht="11.25" customHeight="1" x14ac:dyDescent="0.25">
      <c r="A17" s="12"/>
      <c r="B17" s="12" t="s">
        <v>105</v>
      </c>
      <c r="C17" s="33" t="s">
        <v>101</v>
      </c>
      <c r="D17" s="12"/>
      <c r="E17" s="390">
        <f t="shared" si="0"/>
        <v>40</v>
      </c>
      <c r="F17" s="329" t="s">
        <v>26</v>
      </c>
      <c r="G17" s="20">
        <f>'Time &amp; Technical'!G26</f>
        <v>0</v>
      </c>
      <c r="H17" s="20">
        <f>'Time &amp; Technical'!H26</f>
        <v>0</v>
      </c>
      <c r="I17" s="20">
        <f>'Time &amp; Technical'!I26</f>
        <v>0</v>
      </c>
      <c r="J17" s="20">
        <f>'Time &amp; Technical'!J26</f>
        <v>0</v>
      </c>
      <c r="K17" s="20">
        <f>'Time &amp; Technical'!K26</f>
        <v>0</v>
      </c>
      <c r="L17" s="20">
        <f>'Time &amp; Technical'!L26</f>
        <v>0</v>
      </c>
      <c r="M17" s="20">
        <f>'Time &amp; Technical'!M26</f>
        <v>0</v>
      </c>
      <c r="N17" s="20">
        <f>'Time &amp; Technical'!N26</f>
        <v>0</v>
      </c>
      <c r="O17" s="20">
        <f>'Time &amp; Technical'!O26</f>
        <v>0</v>
      </c>
      <c r="P17" s="20">
        <f>'Time &amp; Technical'!P26</f>
        <v>0</v>
      </c>
      <c r="Q17" s="20">
        <f>'Time &amp; Technical'!Q26</f>
        <v>0</v>
      </c>
      <c r="R17" s="20">
        <f>'Time &amp; Technical'!R26</f>
        <v>0</v>
      </c>
      <c r="S17" s="20">
        <f>'Time &amp; Technical'!S26</f>
        <v>0</v>
      </c>
      <c r="T17" s="20">
        <f>'Time &amp; Technical'!T26</f>
        <v>0</v>
      </c>
      <c r="U17" s="20">
        <f>'Time &amp; Technical'!U26</f>
        <v>0</v>
      </c>
      <c r="V17" s="20">
        <f>'Time &amp; Technical'!V26</f>
        <v>0</v>
      </c>
      <c r="W17" s="20">
        <f>'Time &amp; Technical'!W26</f>
        <v>1</v>
      </c>
      <c r="X17" s="20">
        <f>'Time &amp; Technical'!X26</f>
        <v>1</v>
      </c>
      <c r="Y17" s="20">
        <f>'Time &amp; Technical'!Y26</f>
        <v>1</v>
      </c>
      <c r="Z17" s="20">
        <f>'Time &amp; Technical'!Z26</f>
        <v>1</v>
      </c>
      <c r="AA17" s="20">
        <f>'Time &amp; Technical'!AA26</f>
        <v>1</v>
      </c>
      <c r="AB17" s="20">
        <f>'Time &amp; Technical'!AB26</f>
        <v>1</v>
      </c>
      <c r="AC17" s="20">
        <f>'Time &amp; Technical'!AC26</f>
        <v>1</v>
      </c>
      <c r="AD17" s="20">
        <f>'Time &amp; Technical'!AD26</f>
        <v>1</v>
      </c>
      <c r="AE17" s="20">
        <f>'Time &amp; Technical'!AE26</f>
        <v>1</v>
      </c>
      <c r="AF17" s="20">
        <f>'Time &amp; Technical'!AF26</f>
        <v>1</v>
      </c>
      <c r="AG17" s="20">
        <f>'Time &amp; Technical'!AG26</f>
        <v>1</v>
      </c>
      <c r="AH17" s="20">
        <f>'Time &amp; Technical'!AH26</f>
        <v>1</v>
      </c>
      <c r="AI17" s="20">
        <f>'Time &amp; Technical'!AI26</f>
        <v>1</v>
      </c>
      <c r="AJ17" s="20">
        <f>'Time &amp; Technical'!AJ26</f>
        <v>1</v>
      </c>
      <c r="AK17" s="20">
        <f>'Time &amp; Technical'!AK26</f>
        <v>1</v>
      </c>
      <c r="AL17" s="20">
        <f>'Time &amp; Technical'!AL26</f>
        <v>1</v>
      </c>
      <c r="AM17" s="20">
        <f>'Time &amp; Technical'!AM26</f>
        <v>1</v>
      </c>
      <c r="AN17" s="20">
        <f>'Time &amp; Technical'!AN26</f>
        <v>1</v>
      </c>
      <c r="AO17" s="20">
        <f>'Time &amp; Technical'!AO26</f>
        <v>1</v>
      </c>
      <c r="AP17" s="20">
        <f>'Time &amp; Technical'!AP26</f>
        <v>1</v>
      </c>
      <c r="AQ17" s="20">
        <f>'Time &amp; Technical'!AQ26</f>
        <v>1</v>
      </c>
      <c r="AR17" s="20">
        <f>'Time &amp; Technical'!AR26</f>
        <v>1</v>
      </c>
      <c r="AS17" s="20">
        <f>'Time &amp; Technical'!AS26</f>
        <v>1</v>
      </c>
      <c r="AT17" s="20">
        <f>'Time &amp; Technical'!AT26</f>
        <v>1</v>
      </c>
      <c r="AU17" s="20">
        <f>'Time &amp; Technical'!AU26</f>
        <v>1</v>
      </c>
      <c r="AV17" s="20">
        <f>'Time &amp; Technical'!AV26</f>
        <v>1</v>
      </c>
      <c r="AW17" s="20">
        <f>'Time &amp; Technical'!AW26</f>
        <v>1</v>
      </c>
      <c r="AX17" s="20">
        <f>'Time &amp; Technical'!AX26</f>
        <v>1</v>
      </c>
      <c r="AY17" s="20">
        <f>'Time &amp; Technical'!AY26</f>
        <v>1</v>
      </c>
      <c r="AZ17" s="20">
        <f>'Time &amp; Technical'!AZ26</f>
        <v>1</v>
      </c>
      <c r="BA17" s="20">
        <f>'Time &amp; Technical'!BA26</f>
        <v>1</v>
      </c>
      <c r="BB17" s="20">
        <f>'Time &amp; Technical'!BB26</f>
        <v>1</v>
      </c>
      <c r="BC17" s="20">
        <f>'Time &amp; Technical'!BC26</f>
        <v>1</v>
      </c>
      <c r="BD17" s="20">
        <f>'Time &amp; Technical'!BD26</f>
        <v>1</v>
      </c>
      <c r="BE17" s="20">
        <f>'Time &amp; Technical'!BE26</f>
        <v>1</v>
      </c>
      <c r="BF17" s="20">
        <f>'Time &amp; Technical'!BF26</f>
        <v>1</v>
      </c>
      <c r="BG17" s="20">
        <f>'Time &amp; Technical'!BG26</f>
        <v>1</v>
      </c>
      <c r="BH17" s="20">
        <f>'Time &amp; Technical'!BH26</f>
        <v>1</v>
      </c>
      <c r="BI17" s="20">
        <f>'Time &amp; Technical'!BI26</f>
        <v>1</v>
      </c>
      <c r="BJ17" s="20">
        <f>'Time &amp; Technical'!BJ26</f>
        <v>1</v>
      </c>
      <c r="BK17" s="20" t="s">
        <v>102</v>
      </c>
    </row>
    <row r="18" spans="1:63" ht="11.25" customHeight="1" x14ac:dyDescent="0.25">
      <c r="A18" s="12"/>
      <c r="B18" s="12" t="s">
        <v>118</v>
      </c>
      <c r="C18" s="33" t="s">
        <v>101</v>
      </c>
      <c r="D18" s="12"/>
      <c r="E18" s="390">
        <f t="shared" si="0"/>
        <v>14</v>
      </c>
      <c r="F18" s="329" t="s">
        <v>26</v>
      </c>
      <c r="G18" s="20">
        <f>G7</f>
        <v>0</v>
      </c>
      <c r="H18" s="20">
        <f t="shared" ref="H18:BJ18" si="4">H7</f>
        <v>0</v>
      </c>
      <c r="I18" s="20">
        <f t="shared" si="4"/>
        <v>0</v>
      </c>
      <c r="J18" s="20">
        <f t="shared" si="4"/>
        <v>0</v>
      </c>
      <c r="K18" s="20">
        <f t="shared" si="4"/>
        <v>0</v>
      </c>
      <c r="L18" s="20">
        <f t="shared" si="4"/>
        <v>0</v>
      </c>
      <c r="M18" s="20">
        <f t="shared" si="4"/>
        <v>0</v>
      </c>
      <c r="N18" s="20">
        <f t="shared" si="4"/>
        <v>0</v>
      </c>
      <c r="O18" s="20">
        <f t="shared" si="4"/>
        <v>0</v>
      </c>
      <c r="P18" s="20">
        <f t="shared" si="4"/>
        <v>0</v>
      </c>
      <c r="Q18" s="20">
        <f t="shared" si="4"/>
        <v>0</v>
      </c>
      <c r="R18" s="20">
        <f t="shared" si="4"/>
        <v>0</v>
      </c>
      <c r="S18" s="20">
        <f>S7</f>
        <v>0</v>
      </c>
      <c r="T18" s="20">
        <f t="shared" si="4"/>
        <v>0</v>
      </c>
      <c r="U18" s="20">
        <f t="shared" si="4"/>
        <v>0</v>
      </c>
      <c r="V18" s="20">
        <f t="shared" si="4"/>
        <v>0</v>
      </c>
      <c r="W18" s="20">
        <f t="shared" si="4"/>
        <v>1</v>
      </c>
      <c r="X18" s="20">
        <f t="shared" si="4"/>
        <v>1</v>
      </c>
      <c r="Y18" s="20">
        <f t="shared" si="4"/>
        <v>1</v>
      </c>
      <c r="Z18" s="20">
        <f t="shared" si="4"/>
        <v>1</v>
      </c>
      <c r="AA18" s="20">
        <f t="shared" si="4"/>
        <v>1</v>
      </c>
      <c r="AB18" s="20">
        <f t="shared" si="4"/>
        <v>1</v>
      </c>
      <c r="AC18" s="20">
        <f t="shared" si="4"/>
        <v>1</v>
      </c>
      <c r="AD18" s="20">
        <f t="shared" si="4"/>
        <v>1</v>
      </c>
      <c r="AE18" s="20">
        <f t="shared" si="4"/>
        <v>1</v>
      </c>
      <c r="AF18" s="20">
        <f t="shared" si="4"/>
        <v>1</v>
      </c>
      <c r="AG18" s="20">
        <f t="shared" si="4"/>
        <v>1</v>
      </c>
      <c r="AH18" s="20">
        <f t="shared" si="4"/>
        <v>1</v>
      </c>
      <c r="AI18" s="20">
        <f t="shared" si="4"/>
        <v>1</v>
      </c>
      <c r="AJ18" s="20">
        <f t="shared" si="4"/>
        <v>1</v>
      </c>
      <c r="AK18" s="20">
        <f t="shared" si="4"/>
        <v>0</v>
      </c>
      <c r="AL18" s="20">
        <f t="shared" si="4"/>
        <v>0</v>
      </c>
      <c r="AM18" s="20">
        <f t="shared" si="4"/>
        <v>0</v>
      </c>
      <c r="AN18" s="20">
        <f t="shared" si="4"/>
        <v>0</v>
      </c>
      <c r="AO18" s="20">
        <f t="shared" si="4"/>
        <v>0</v>
      </c>
      <c r="AP18" s="20">
        <f t="shared" si="4"/>
        <v>0</v>
      </c>
      <c r="AQ18" s="20">
        <f t="shared" si="4"/>
        <v>0</v>
      </c>
      <c r="AR18" s="20">
        <f t="shared" si="4"/>
        <v>0</v>
      </c>
      <c r="AS18" s="20">
        <f t="shared" si="4"/>
        <v>0</v>
      </c>
      <c r="AT18" s="20">
        <f t="shared" si="4"/>
        <v>0</v>
      </c>
      <c r="AU18" s="20">
        <f t="shared" si="4"/>
        <v>0</v>
      </c>
      <c r="AV18" s="20">
        <f t="shared" si="4"/>
        <v>0</v>
      </c>
      <c r="AW18" s="20">
        <f t="shared" si="4"/>
        <v>0</v>
      </c>
      <c r="AX18" s="20">
        <f t="shared" si="4"/>
        <v>0</v>
      </c>
      <c r="AY18" s="20">
        <f t="shared" si="4"/>
        <v>0</v>
      </c>
      <c r="AZ18" s="20">
        <f t="shared" si="4"/>
        <v>0</v>
      </c>
      <c r="BA18" s="20">
        <f t="shared" si="4"/>
        <v>0</v>
      </c>
      <c r="BB18" s="20">
        <f t="shared" si="4"/>
        <v>0</v>
      </c>
      <c r="BC18" s="20">
        <f t="shared" si="4"/>
        <v>0</v>
      </c>
      <c r="BD18" s="20">
        <f t="shared" si="4"/>
        <v>0</v>
      </c>
      <c r="BE18" s="20">
        <f t="shared" si="4"/>
        <v>0</v>
      </c>
      <c r="BF18" s="20">
        <f t="shared" si="4"/>
        <v>0</v>
      </c>
      <c r="BG18" s="20">
        <f t="shared" si="4"/>
        <v>0</v>
      </c>
      <c r="BH18" s="20">
        <f t="shared" si="4"/>
        <v>0</v>
      </c>
      <c r="BI18" s="20">
        <f t="shared" si="4"/>
        <v>0</v>
      </c>
      <c r="BJ18" s="20">
        <f t="shared" si="4"/>
        <v>0</v>
      </c>
      <c r="BK18" s="20" t="s">
        <v>102</v>
      </c>
    </row>
    <row r="19" spans="1:63" ht="11.25" customHeight="1" x14ac:dyDescent="0.25">
      <c r="A19" s="12"/>
      <c r="B19" s="12" t="s">
        <v>355</v>
      </c>
      <c r="C19" s="33" t="s">
        <v>443</v>
      </c>
      <c r="D19" s="12"/>
      <c r="E19" s="390">
        <f t="shared" si="0"/>
        <v>754.06999999999994</v>
      </c>
      <c r="F19" s="329" t="s">
        <v>26</v>
      </c>
      <c r="G19" s="20">
        <f>'Time &amp; Technical'!G108</f>
        <v>0</v>
      </c>
      <c r="H19" s="20">
        <f>'Time &amp; Technical'!H108</f>
        <v>0</v>
      </c>
      <c r="I19" s="20">
        <f>'Time &amp; Technical'!I108</f>
        <v>0</v>
      </c>
      <c r="J19" s="20">
        <f>'Time &amp; Technical'!J108</f>
        <v>0</v>
      </c>
      <c r="K19" s="20">
        <f>'Time &amp; Technical'!K108</f>
        <v>0</v>
      </c>
      <c r="L19" s="20">
        <f>'Time &amp; Technical'!L108</f>
        <v>0</v>
      </c>
      <c r="M19" s="20">
        <f>'Time &amp; Technical'!M108</f>
        <v>0</v>
      </c>
      <c r="N19" s="20">
        <f>'Time &amp; Technical'!N108</f>
        <v>0</v>
      </c>
      <c r="O19" s="20">
        <f>'Time &amp; Technical'!O108</f>
        <v>0</v>
      </c>
      <c r="P19" s="20">
        <f>'Time &amp; Technical'!P108</f>
        <v>0</v>
      </c>
      <c r="Q19" s="20">
        <f>'Time &amp; Technical'!Q108</f>
        <v>0</v>
      </c>
      <c r="R19" s="20">
        <f>'Time &amp; Technical'!R108</f>
        <v>0</v>
      </c>
      <c r="S19" s="20">
        <f>'Time &amp; Technical'!S108</f>
        <v>0</v>
      </c>
      <c r="T19" s="20">
        <f>'Time &amp; Technical'!T108</f>
        <v>0</v>
      </c>
      <c r="U19" s="20">
        <f>'Time &amp; Technical'!U108</f>
        <v>0</v>
      </c>
      <c r="V19" s="20">
        <f>'Time &amp; Technical'!V108</f>
        <v>0</v>
      </c>
      <c r="W19" s="20">
        <f>'Time &amp; Technical'!W108</f>
        <v>55.42</v>
      </c>
      <c r="X19" s="20">
        <f>'Time &amp; Technical'!X108</f>
        <v>54.88</v>
      </c>
      <c r="Y19" s="20">
        <f>'Time &amp; Technical'!Y108</f>
        <v>54.88</v>
      </c>
      <c r="Z19" s="20">
        <f>'Time &amp; Technical'!Z108</f>
        <v>54.61</v>
      </c>
      <c r="AA19" s="20">
        <f>'Time &amp; Technical'!AA108</f>
        <v>54.61</v>
      </c>
      <c r="AB19" s="20">
        <f>'Time &amp; Technical'!AB108</f>
        <v>54.34</v>
      </c>
      <c r="AC19" s="20">
        <f>'Time &amp; Technical'!AC108</f>
        <v>54.34</v>
      </c>
      <c r="AD19" s="20">
        <f>'Time &amp; Technical'!AD108</f>
        <v>54.07</v>
      </c>
      <c r="AE19" s="20">
        <f>'Time &amp; Technical'!AE108</f>
        <v>54.07</v>
      </c>
      <c r="AF19" s="20">
        <f>'Time &amp; Technical'!AF108</f>
        <v>53.02</v>
      </c>
      <c r="AG19" s="20">
        <f>'Time &amp; Technical'!AG108</f>
        <v>53.02</v>
      </c>
      <c r="AH19" s="20">
        <f>'Time &amp; Technical'!AH108</f>
        <v>52.27</v>
      </c>
      <c r="AI19" s="20">
        <f>'Time &amp; Technical'!AI108</f>
        <v>52.27</v>
      </c>
      <c r="AJ19" s="20">
        <f>'Time &amp; Technical'!AJ108</f>
        <v>52.27</v>
      </c>
      <c r="AK19" s="20">
        <f>'Time &amp; Technical'!AK108</f>
        <v>0</v>
      </c>
      <c r="AL19" s="20">
        <f>'Time &amp; Technical'!AL108</f>
        <v>0</v>
      </c>
      <c r="AM19" s="20">
        <f>'Time &amp; Technical'!AM108</f>
        <v>0</v>
      </c>
      <c r="AN19" s="20">
        <f>'Time &amp; Technical'!AN108</f>
        <v>0</v>
      </c>
      <c r="AO19" s="20">
        <f>'Time &amp; Technical'!AO108</f>
        <v>0</v>
      </c>
      <c r="AP19" s="20">
        <f>'Time &amp; Technical'!AP108</f>
        <v>0</v>
      </c>
      <c r="AQ19" s="20">
        <f>'Time &amp; Technical'!AQ108</f>
        <v>0</v>
      </c>
      <c r="AR19" s="20">
        <f>'Time &amp; Technical'!AR108</f>
        <v>0</v>
      </c>
      <c r="AS19" s="20">
        <f>'Time &amp; Technical'!AS108</f>
        <v>0</v>
      </c>
      <c r="AT19" s="20">
        <f>'Time &amp; Technical'!AT108</f>
        <v>0</v>
      </c>
      <c r="AU19" s="20">
        <f>'Time &amp; Technical'!AU108</f>
        <v>0</v>
      </c>
      <c r="AV19" s="20">
        <f>'Time &amp; Technical'!AV108</f>
        <v>0</v>
      </c>
      <c r="AW19" s="20">
        <f>'Time &amp; Technical'!AW108</f>
        <v>0</v>
      </c>
      <c r="AX19" s="20">
        <f>'Time &amp; Technical'!AX108</f>
        <v>0</v>
      </c>
      <c r="AY19" s="20">
        <f>'Time &amp; Technical'!AY108</f>
        <v>0</v>
      </c>
      <c r="AZ19" s="20">
        <f>'Time &amp; Technical'!AZ108</f>
        <v>0</v>
      </c>
      <c r="BA19" s="20">
        <f>'Time &amp; Technical'!BA108</f>
        <v>0</v>
      </c>
      <c r="BB19" s="20">
        <f>'Time &amp; Technical'!BB108</f>
        <v>0</v>
      </c>
      <c r="BC19" s="20">
        <f>'Time &amp; Technical'!BC108</f>
        <v>0</v>
      </c>
      <c r="BD19" s="20">
        <f>'Time &amp; Technical'!BD108</f>
        <v>0</v>
      </c>
      <c r="BE19" s="20">
        <f>'Time &amp; Technical'!BE108</f>
        <v>0</v>
      </c>
      <c r="BF19" s="20">
        <f>'Time &amp; Technical'!BF108</f>
        <v>0</v>
      </c>
      <c r="BG19" s="20">
        <f>'Time &amp; Technical'!BG108</f>
        <v>0</v>
      </c>
      <c r="BH19" s="20">
        <f>'Time &amp; Technical'!BH108</f>
        <v>0</v>
      </c>
      <c r="BI19" s="20">
        <f>'Time &amp; Technical'!BI108</f>
        <v>0</v>
      </c>
      <c r="BJ19" s="20">
        <f>'Time &amp; Technical'!BJ108</f>
        <v>0</v>
      </c>
      <c r="BK19" s="20" t="s">
        <v>102</v>
      </c>
    </row>
    <row r="20" spans="1:63" ht="11.25" customHeight="1" x14ac:dyDescent="0.25">
      <c r="A20" s="12"/>
      <c r="B20" s="12" t="s">
        <v>368</v>
      </c>
      <c r="C20" s="33" t="s">
        <v>102</v>
      </c>
      <c r="D20" s="12"/>
      <c r="E20" s="115">
        <f t="shared" si="0"/>
        <v>77.650534665489786</v>
      </c>
      <c r="F20" s="330" t="s">
        <v>26</v>
      </c>
      <c r="G20" s="44">
        <f>G12</f>
        <v>1.0074170717777329</v>
      </c>
      <c r="H20" s="44">
        <f t="shared" ref="H20:BJ20" si="5">H12</f>
        <v>1.0148891565092217</v>
      </c>
      <c r="I20" s="44">
        <f t="shared" si="5"/>
        <v>1.0224166622294935</v>
      </c>
      <c r="J20" s="44">
        <f t="shared" si="5"/>
        <v>1.0299999999999996</v>
      </c>
      <c r="K20" s="44">
        <f t="shared" si="5"/>
        <v>1.0376395839310644</v>
      </c>
      <c r="L20" s="44">
        <f t="shared" si="5"/>
        <v>1.045335831204498</v>
      </c>
      <c r="M20" s="44">
        <f t="shared" si="5"/>
        <v>1.0530891620963778</v>
      </c>
      <c r="N20" s="44">
        <f t="shared" si="5"/>
        <v>1.0608999999999993</v>
      </c>
      <c r="O20" s="44">
        <f t="shared" si="5"/>
        <v>1.0687687714489962</v>
      </c>
      <c r="P20" s="44">
        <f t="shared" si="5"/>
        <v>1.0766959061406327</v>
      </c>
      <c r="Q20" s="44">
        <f t="shared" si="5"/>
        <v>1.084681836959269</v>
      </c>
      <c r="R20" s="44">
        <f t="shared" si="5"/>
        <v>1.0927269999999991</v>
      </c>
      <c r="S20" s="44">
        <f t="shared" si="5"/>
        <v>1.1008318345924659</v>
      </c>
      <c r="T20" s="44">
        <f t="shared" si="5"/>
        <v>1.1089967833248515</v>
      </c>
      <c r="U20" s="44">
        <f t="shared" si="5"/>
        <v>1.1172222920680468</v>
      </c>
      <c r="V20" s="44">
        <f t="shared" si="5"/>
        <v>1.1255088099999988</v>
      </c>
      <c r="W20" s="44">
        <f t="shared" si="5"/>
        <v>1.142266686824597</v>
      </c>
      <c r="X20" s="44">
        <f t="shared" si="5"/>
        <v>1.1592740742999987</v>
      </c>
      <c r="Y20" s="44">
        <f t="shared" si="5"/>
        <v>1.1765346874293348</v>
      </c>
      <c r="Z20" s="44">
        <f t="shared" si="5"/>
        <v>1.1940522965289986</v>
      </c>
      <c r="AA20" s="44">
        <f t="shared" si="5"/>
        <v>1.2118307280522147</v>
      </c>
      <c r="AB20" s="44">
        <f t="shared" si="5"/>
        <v>1.2298738654248684</v>
      </c>
      <c r="AC20" s="44">
        <f t="shared" si="5"/>
        <v>1.2466699411988016</v>
      </c>
      <c r="AD20" s="44">
        <f t="shared" si="5"/>
        <v>1.2636953967240527</v>
      </c>
      <c r="AE20" s="44">
        <f t="shared" si="5"/>
        <v>1.280953364581769</v>
      </c>
      <c r="AF20" s="44">
        <f t="shared" si="5"/>
        <v>1.2984470201339644</v>
      </c>
      <c r="AG20" s="44">
        <f t="shared" si="5"/>
        <v>1.3161795821077678</v>
      </c>
      <c r="AH20" s="44">
        <f t="shared" si="5"/>
        <v>1.3341543131876485</v>
      </c>
      <c r="AI20" s="44">
        <f t="shared" si="5"/>
        <v>1.3523745206157316</v>
      </c>
      <c r="AJ20" s="44">
        <f t="shared" si="5"/>
        <v>1.3708435568003092</v>
      </c>
      <c r="AK20" s="44">
        <f t="shared" si="5"/>
        <v>1.3895648199326645</v>
      </c>
      <c r="AL20" s="44">
        <f t="shared" si="5"/>
        <v>1.408541754612318</v>
      </c>
      <c r="AM20" s="44">
        <f t="shared" si="5"/>
        <v>1.4277778524808131</v>
      </c>
      <c r="AN20" s="44">
        <f t="shared" si="5"/>
        <v>1.4472766528641572</v>
      </c>
      <c r="AO20" s="44">
        <f t="shared" si="5"/>
        <v>1.4670417434240359</v>
      </c>
      <c r="AP20" s="44">
        <f t="shared" si="5"/>
        <v>1.4870767608179218</v>
      </c>
      <c r="AQ20" s="44">
        <f t="shared" si="5"/>
        <v>1.5073853913681972</v>
      </c>
      <c r="AR20" s="44">
        <f t="shared" si="5"/>
        <v>1.5279713717404149</v>
      </c>
      <c r="AS20" s="44">
        <f t="shared" si="5"/>
        <v>1.5488384896308227</v>
      </c>
      <c r="AT20" s="44">
        <f t="shared" si="5"/>
        <v>1.5699905844632764</v>
      </c>
      <c r="AU20" s="44">
        <f t="shared" si="5"/>
        <v>1.5914315480956707</v>
      </c>
      <c r="AV20" s="44">
        <f t="shared" si="5"/>
        <v>1.613165325536017</v>
      </c>
      <c r="AW20" s="44">
        <f t="shared" si="5"/>
        <v>1.635195915668302</v>
      </c>
      <c r="AX20" s="44">
        <f t="shared" si="5"/>
        <v>1.6575273719882577</v>
      </c>
      <c r="AY20" s="44">
        <f t="shared" si="5"/>
        <v>1.6801638033491806</v>
      </c>
      <c r="AZ20" s="44">
        <f t="shared" si="5"/>
        <v>1.7031093747179351</v>
      </c>
      <c r="BA20" s="44">
        <f t="shared" si="5"/>
        <v>1.7263683079412833</v>
      </c>
      <c r="BB20" s="44">
        <f t="shared" si="5"/>
        <v>1.7499448825226787</v>
      </c>
      <c r="BC20" s="44">
        <f t="shared" si="5"/>
        <v>1.7738434364096689</v>
      </c>
      <c r="BD20" s="44">
        <f t="shared" si="5"/>
        <v>1.7980683667920527</v>
      </c>
      <c r="BE20" s="44">
        <f t="shared" si="5"/>
        <v>1.8226241309109352</v>
      </c>
      <c r="BF20" s="44">
        <f t="shared" si="5"/>
        <v>1.8475152468788345</v>
      </c>
      <c r="BG20" s="44">
        <f t="shared" si="5"/>
        <v>1.8727462945109863</v>
      </c>
      <c r="BH20" s="44">
        <f t="shared" si="5"/>
        <v>1.8983219161680027</v>
      </c>
      <c r="BI20" s="44">
        <f t="shared" si="5"/>
        <v>1.9242468176100387</v>
      </c>
      <c r="BJ20" s="44">
        <f t="shared" si="5"/>
        <v>1.9505257688626232</v>
      </c>
      <c r="BK20" s="44" t="s">
        <v>102</v>
      </c>
    </row>
    <row r="21" spans="1:63" ht="11.25" customHeight="1" x14ac:dyDescent="0.25">
      <c r="A21" s="12"/>
      <c r="B21" s="12" t="s">
        <v>371</v>
      </c>
      <c r="C21" s="33" t="s">
        <v>102</v>
      </c>
      <c r="D21" s="12"/>
      <c r="E21" s="389">
        <f t="shared" si="0"/>
        <v>17.210241284329555</v>
      </c>
      <c r="F21" s="331" t="s">
        <v>26</v>
      </c>
      <c r="G21" s="44">
        <f>G13</f>
        <v>0</v>
      </c>
      <c r="H21" s="44">
        <f t="shared" ref="H21:BJ21" si="6">H13</f>
        <v>0</v>
      </c>
      <c r="I21" s="44">
        <f t="shared" si="6"/>
        <v>0</v>
      </c>
      <c r="J21" s="44">
        <f t="shared" si="6"/>
        <v>0</v>
      </c>
      <c r="K21" s="44">
        <f t="shared" si="6"/>
        <v>0</v>
      </c>
      <c r="L21" s="44">
        <f t="shared" si="6"/>
        <v>0</v>
      </c>
      <c r="M21" s="44">
        <f t="shared" si="6"/>
        <v>0</v>
      </c>
      <c r="N21" s="44">
        <f t="shared" si="6"/>
        <v>0</v>
      </c>
      <c r="O21" s="44">
        <f t="shared" si="6"/>
        <v>0</v>
      </c>
      <c r="P21" s="44">
        <f t="shared" si="6"/>
        <v>0</v>
      </c>
      <c r="Q21" s="44">
        <f t="shared" si="6"/>
        <v>0</v>
      </c>
      <c r="R21" s="44">
        <f t="shared" si="6"/>
        <v>0</v>
      </c>
      <c r="S21" s="44">
        <f t="shared" si="6"/>
        <v>0</v>
      </c>
      <c r="T21" s="44">
        <f t="shared" si="6"/>
        <v>0</v>
      </c>
      <c r="U21" s="44">
        <f t="shared" si="6"/>
        <v>0</v>
      </c>
      <c r="V21" s="44">
        <f t="shared" si="6"/>
        <v>0</v>
      </c>
      <c r="W21" s="44">
        <f t="shared" si="6"/>
        <v>1.1089967833248515</v>
      </c>
      <c r="X21" s="44">
        <f t="shared" si="6"/>
        <v>1.142266686824597</v>
      </c>
      <c r="Y21" s="44">
        <f t="shared" si="6"/>
        <v>1.142266686824597</v>
      </c>
      <c r="Z21" s="44">
        <f t="shared" si="6"/>
        <v>1.1765346874293348</v>
      </c>
      <c r="AA21" s="44">
        <f t="shared" si="6"/>
        <v>1.1765346874293348</v>
      </c>
      <c r="AB21" s="44">
        <f t="shared" si="6"/>
        <v>1.2118307280522147</v>
      </c>
      <c r="AC21" s="44">
        <f t="shared" si="6"/>
        <v>1.2118307280522147</v>
      </c>
      <c r="AD21" s="44">
        <f t="shared" si="6"/>
        <v>1.2466699411988016</v>
      </c>
      <c r="AE21" s="44">
        <f t="shared" si="6"/>
        <v>1.2466699411988016</v>
      </c>
      <c r="AF21" s="44">
        <f t="shared" si="6"/>
        <v>1.280953364581769</v>
      </c>
      <c r="AG21" s="44">
        <f t="shared" si="6"/>
        <v>1.280953364581769</v>
      </c>
      <c r="AH21" s="44">
        <f t="shared" si="6"/>
        <v>1.3161795821077678</v>
      </c>
      <c r="AI21" s="44">
        <f t="shared" si="6"/>
        <v>1.3161795821077678</v>
      </c>
      <c r="AJ21" s="44">
        <f t="shared" si="6"/>
        <v>1.3523745206157316</v>
      </c>
      <c r="AK21" s="44">
        <f t="shared" si="6"/>
        <v>0</v>
      </c>
      <c r="AL21" s="44">
        <f t="shared" si="6"/>
        <v>0</v>
      </c>
      <c r="AM21" s="44">
        <f t="shared" si="6"/>
        <v>0</v>
      </c>
      <c r="AN21" s="44">
        <f t="shared" si="6"/>
        <v>0</v>
      </c>
      <c r="AO21" s="44">
        <f t="shared" si="6"/>
        <v>0</v>
      </c>
      <c r="AP21" s="44">
        <f t="shared" si="6"/>
        <v>0</v>
      </c>
      <c r="AQ21" s="44">
        <f t="shared" si="6"/>
        <v>0</v>
      </c>
      <c r="AR21" s="44">
        <f t="shared" si="6"/>
        <v>0</v>
      </c>
      <c r="AS21" s="44">
        <f t="shared" si="6"/>
        <v>0</v>
      </c>
      <c r="AT21" s="44">
        <f t="shared" si="6"/>
        <v>0</v>
      </c>
      <c r="AU21" s="44">
        <f t="shared" si="6"/>
        <v>0</v>
      </c>
      <c r="AV21" s="44">
        <f t="shared" si="6"/>
        <v>0</v>
      </c>
      <c r="AW21" s="44">
        <f t="shared" si="6"/>
        <v>0</v>
      </c>
      <c r="AX21" s="44">
        <f t="shared" si="6"/>
        <v>0</v>
      </c>
      <c r="AY21" s="44">
        <f t="shared" si="6"/>
        <v>0</v>
      </c>
      <c r="AZ21" s="44">
        <f t="shared" si="6"/>
        <v>0</v>
      </c>
      <c r="BA21" s="44">
        <f t="shared" si="6"/>
        <v>0</v>
      </c>
      <c r="BB21" s="44">
        <f t="shared" si="6"/>
        <v>0</v>
      </c>
      <c r="BC21" s="44">
        <f t="shared" si="6"/>
        <v>0</v>
      </c>
      <c r="BD21" s="44">
        <f t="shared" si="6"/>
        <v>0</v>
      </c>
      <c r="BE21" s="44">
        <f t="shared" si="6"/>
        <v>0</v>
      </c>
      <c r="BF21" s="44">
        <f t="shared" si="6"/>
        <v>0</v>
      </c>
      <c r="BG21" s="44">
        <f t="shared" si="6"/>
        <v>0</v>
      </c>
      <c r="BH21" s="44">
        <f t="shared" si="6"/>
        <v>0</v>
      </c>
      <c r="BI21" s="44">
        <f t="shared" si="6"/>
        <v>0</v>
      </c>
      <c r="BJ21" s="44">
        <f t="shared" si="6"/>
        <v>0</v>
      </c>
      <c r="BK21" s="28" t="s">
        <v>102</v>
      </c>
    </row>
    <row r="22" spans="1:63" ht="11.25" customHeight="1" x14ac:dyDescent="0.25">
      <c r="A22" s="12"/>
      <c r="B22" s="12" t="s">
        <v>192</v>
      </c>
      <c r="C22" s="33" t="s">
        <v>193</v>
      </c>
      <c r="D22" s="12"/>
      <c r="E22" s="397">
        <f t="shared" si="0"/>
        <v>925.9678872910971</v>
      </c>
      <c r="F22" s="317" t="s">
        <v>26</v>
      </c>
      <c r="G22" s="62">
        <f t="shared" ref="G22" si="7">IF(G18=1,G19*G21,0)</f>
        <v>0</v>
      </c>
      <c r="H22" s="62">
        <f>IF(H18=1,H19*H21,0)</f>
        <v>0</v>
      </c>
      <c r="I22" s="62">
        <f t="shared" ref="I22:BJ22" si="8">IF(I18=1,I19*I21,0)</f>
        <v>0</v>
      </c>
      <c r="J22" s="62">
        <f t="shared" si="8"/>
        <v>0</v>
      </c>
      <c r="K22" s="62">
        <f t="shared" si="8"/>
        <v>0</v>
      </c>
      <c r="L22" s="62">
        <f t="shared" si="8"/>
        <v>0</v>
      </c>
      <c r="M22" s="62">
        <f t="shared" si="8"/>
        <v>0</v>
      </c>
      <c r="N22" s="62">
        <f t="shared" si="8"/>
        <v>0</v>
      </c>
      <c r="O22" s="62">
        <f t="shared" si="8"/>
        <v>0</v>
      </c>
      <c r="P22" s="62">
        <f t="shared" si="8"/>
        <v>0</v>
      </c>
      <c r="Q22" s="62">
        <f t="shared" si="8"/>
        <v>0</v>
      </c>
      <c r="R22" s="62">
        <f t="shared" si="8"/>
        <v>0</v>
      </c>
      <c r="S22" s="62">
        <f t="shared" si="8"/>
        <v>0</v>
      </c>
      <c r="T22" s="62">
        <f t="shared" si="8"/>
        <v>0</v>
      </c>
      <c r="U22" s="62">
        <f t="shared" si="8"/>
        <v>0</v>
      </c>
      <c r="V22" s="62">
        <f t="shared" si="8"/>
        <v>0</v>
      </c>
      <c r="W22" s="62">
        <f t="shared" si="8"/>
        <v>61.460601731863271</v>
      </c>
      <c r="X22" s="62">
        <f t="shared" si="8"/>
        <v>62.687595772933882</v>
      </c>
      <c r="Y22" s="62">
        <f t="shared" si="8"/>
        <v>62.687595772933882</v>
      </c>
      <c r="Z22" s="62">
        <f t="shared" si="8"/>
        <v>64.250559280515972</v>
      </c>
      <c r="AA22" s="62">
        <f t="shared" si="8"/>
        <v>64.250559280515972</v>
      </c>
      <c r="AB22" s="62">
        <f t="shared" si="8"/>
        <v>65.850881762357346</v>
      </c>
      <c r="AC22" s="62">
        <f t="shared" si="8"/>
        <v>65.850881762357346</v>
      </c>
      <c r="AD22" s="62">
        <f t="shared" si="8"/>
        <v>67.407443720619199</v>
      </c>
      <c r="AE22" s="62">
        <f t="shared" si="8"/>
        <v>67.407443720619199</v>
      </c>
      <c r="AF22" s="62">
        <f t="shared" si="8"/>
        <v>67.916147390125403</v>
      </c>
      <c r="AG22" s="62">
        <f t="shared" si="8"/>
        <v>67.916147390125403</v>
      </c>
      <c r="AH22" s="62">
        <f t="shared" si="8"/>
        <v>68.79670675677302</v>
      </c>
      <c r="AI22" s="62">
        <f t="shared" si="8"/>
        <v>68.79670675677302</v>
      </c>
      <c r="AJ22" s="62">
        <f t="shared" si="8"/>
        <v>70.688616192584291</v>
      </c>
      <c r="AK22" s="62">
        <f t="shared" si="8"/>
        <v>0</v>
      </c>
      <c r="AL22" s="62">
        <f t="shared" si="8"/>
        <v>0</v>
      </c>
      <c r="AM22" s="62">
        <f t="shared" si="8"/>
        <v>0</v>
      </c>
      <c r="AN22" s="62">
        <f t="shared" si="8"/>
        <v>0</v>
      </c>
      <c r="AO22" s="62">
        <f t="shared" si="8"/>
        <v>0</v>
      </c>
      <c r="AP22" s="62">
        <f t="shared" si="8"/>
        <v>0</v>
      </c>
      <c r="AQ22" s="62">
        <f t="shared" si="8"/>
        <v>0</v>
      </c>
      <c r="AR22" s="62">
        <f t="shared" si="8"/>
        <v>0</v>
      </c>
      <c r="AS22" s="62">
        <f t="shared" si="8"/>
        <v>0</v>
      </c>
      <c r="AT22" s="62">
        <f t="shared" si="8"/>
        <v>0</v>
      </c>
      <c r="AU22" s="62">
        <f t="shared" si="8"/>
        <v>0</v>
      </c>
      <c r="AV22" s="62">
        <f t="shared" si="8"/>
        <v>0</v>
      </c>
      <c r="AW22" s="62">
        <f t="shared" si="8"/>
        <v>0</v>
      </c>
      <c r="AX22" s="62">
        <f t="shared" si="8"/>
        <v>0</v>
      </c>
      <c r="AY22" s="62">
        <f t="shared" si="8"/>
        <v>0</v>
      </c>
      <c r="AZ22" s="62">
        <f t="shared" si="8"/>
        <v>0</v>
      </c>
      <c r="BA22" s="62">
        <f t="shared" si="8"/>
        <v>0</v>
      </c>
      <c r="BB22" s="62">
        <f t="shared" si="8"/>
        <v>0</v>
      </c>
      <c r="BC22" s="62">
        <f t="shared" si="8"/>
        <v>0</v>
      </c>
      <c r="BD22" s="62">
        <f t="shared" si="8"/>
        <v>0</v>
      </c>
      <c r="BE22" s="62">
        <f t="shared" si="8"/>
        <v>0</v>
      </c>
      <c r="BF22" s="62">
        <f t="shared" si="8"/>
        <v>0</v>
      </c>
      <c r="BG22" s="62">
        <f t="shared" si="8"/>
        <v>0</v>
      </c>
      <c r="BH22" s="62">
        <f t="shared" si="8"/>
        <v>0</v>
      </c>
      <c r="BI22" s="62">
        <f t="shared" si="8"/>
        <v>0</v>
      </c>
      <c r="BJ22" s="62">
        <f t="shared" si="8"/>
        <v>0</v>
      </c>
      <c r="BK22" s="62" t="s">
        <v>102</v>
      </c>
    </row>
    <row r="23" spans="1:63" ht="11.25" customHeight="1" x14ac:dyDescent="0.25">
      <c r="A23" s="12"/>
      <c r="B23" s="63" t="s">
        <v>114</v>
      </c>
      <c r="C23" s="64" t="s">
        <v>112</v>
      </c>
      <c r="D23" s="63"/>
      <c r="E23" s="397">
        <f t="shared" si="0"/>
        <v>37139.896263869756</v>
      </c>
      <c r="F23" s="317" t="s">
        <v>26</v>
      </c>
      <c r="G23" s="1">
        <f>'Time &amp; Technical'!G75</f>
        <v>0</v>
      </c>
      <c r="H23" s="1">
        <f>'Time &amp; Technical'!H75</f>
        <v>0</v>
      </c>
      <c r="I23" s="1">
        <f>'Time &amp; Technical'!I75</f>
        <v>0</v>
      </c>
      <c r="J23" s="1">
        <f>'Time &amp; Technical'!J75</f>
        <v>0</v>
      </c>
      <c r="K23" s="1">
        <f>'Time &amp; Technical'!K75</f>
        <v>0</v>
      </c>
      <c r="L23" s="1">
        <f>'Time &amp; Technical'!L75</f>
        <v>0</v>
      </c>
      <c r="M23" s="1">
        <f>'Time &amp; Technical'!M75</f>
        <v>0</v>
      </c>
      <c r="N23" s="1">
        <f>'Time &amp; Technical'!N75</f>
        <v>0</v>
      </c>
      <c r="O23" s="1">
        <f>'Time &amp; Technical'!O75</f>
        <v>0</v>
      </c>
      <c r="P23" s="1">
        <f>'Time &amp; Technical'!P75</f>
        <v>0</v>
      </c>
      <c r="Q23" s="1">
        <f>'Time &amp; Technical'!Q75</f>
        <v>0</v>
      </c>
      <c r="R23" s="1">
        <f>'Time &amp; Technical'!R75</f>
        <v>0</v>
      </c>
      <c r="S23" s="1">
        <f>'Time &amp; Technical'!S75</f>
        <v>0</v>
      </c>
      <c r="T23" s="1">
        <f>'Time &amp; Technical'!T75</f>
        <v>0</v>
      </c>
      <c r="U23" s="1">
        <f>'Time &amp; Technical'!U75</f>
        <v>0</v>
      </c>
      <c r="V23" s="1">
        <f>'Time &amp; Technical'!V75</f>
        <v>0</v>
      </c>
      <c r="W23" s="1">
        <f>'Time &amp; Technical'!W75</f>
        <v>1042.1037474876</v>
      </c>
      <c r="X23" s="1">
        <f>'Time &amp; Technical'!X75</f>
        <v>1033.7669175076992</v>
      </c>
      <c r="Y23" s="1">
        <f>'Time &amp; Technical'!Y75</f>
        <v>1025.4967821676378</v>
      </c>
      <c r="Z23" s="1">
        <f>'Time &amp; Technical'!Z75</f>
        <v>1017.2928079102965</v>
      </c>
      <c r="AA23" s="1">
        <f>'Time &amp; Technical'!AA75</f>
        <v>1009.1544654470142</v>
      </c>
      <c r="AB23" s="1">
        <f>'Time &amp; Technical'!AB75</f>
        <v>1001.0812297234381</v>
      </c>
      <c r="AC23" s="1">
        <f>'Time &amp; Technical'!AC75</f>
        <v>993.0725798856505</v>
      </c>
      <c r="AD23" s="1">
        <f>'Time &amp; Technical'!AD75</f>
        <v>907.8426781180857</v>
      </c>
      <c r="AE23" s="1">
        <f>'Time &amp; Technical'!AE75</f>
        <v>1013.8937368245653</v>
      </c>
      <c r="AF23" s="1">
        <f>'Time &amp; Technical'!AF75</f>
        <v>1005.7825869299688</v>
      </c>
      <c r="AG23" s="1">
        <f>'Time &amp; Technical'!AG75</f>
        <v>997.73632623452897</v>
      </c>
      <c r="AH23" s="1">
        <f>'Time &amp; Technical'!AH75</f>
        <v>989.75443562465284</v>
      </c>
      <c r="AI23" s="1">
        <f>'Time &amp; Technical'!AI75</f>
        <v>981.83640013965544</v>
      </c>
      <c r="AJ23" s="1">
        <f>'Time &amp; Technical'!AJ75</f>
        <v>973.98170893853819</v>
      </c>
      <c r="AK23" s="1">
        <f>'Time &amp; Technical'!AK75</f>
        <v>956.40840566365137</v>
      </c>
      <c r="AL23" s="1">
        <f>'Time &amp; Technical'!AL75</f>
        <v>874.32518625407693</v>
      </c>
      <c r="AM23" s="1">
        <f>'Time &amp; Technical'!AM75</f>
        <v>976.46084686015809</v>
      </c>
      <c r="AN23" s="1">
        <f>'Time &amp; Technical'!AN75</f>
        <v>957.64178326612591</v>
      </c>
      <c r="AO23" s="1">
        <f>'Time &amp; Technical'!AO75</f>
        <v>949.98064899999679</v>
      </c>
      <c r="AP23" s="1">
        <f>'Time &amp; Technical'!AP75</f>
        <v>931.54884054583613</v>
      </c>
      <c r="AQ23" s="1">
        <f>'Time &amp; Technical'!AQ75</f>
        <v>924.09644982146938</v>
      </c>
      <c r="AR23" s="1">
        <f>'Time &amp; Technical'!AR75</f>
        <v>906.04433312728258</v>
      </c>
      <c r="AS23" s="1">
        <f>'Time &amp; Technical'!AS75</f>
        <v>898.79597846226409</v>
      </c>
      <c r="AT23" s="1">
        <f>'Time &amp; Technical'!AT75</f>
        <v>821.65731357007485</v>
      </c>
      <c r="AU23" s="1">
        <f>'Time &amp; Technical'!AU75</f>
        <v>917.64049446509557</v>
      </c>
      <c r="AV23" s="1">
        <f>'Time &amp; Technical'!AV75</f>
        <v>910.29937050937485</v>
      </c>
      <c r="AW23" s="1">
        <f>'Time &amp; Technical'!AW75</f>
        <v>903.01697554530006</v>
      </c>
      <c r="AX23" s="1">
        <f>'Time &amp; Technical'!AX75</f>
        <v>895.79283974093755</v>
      </c>
      <c r="AY23" s="1">
        <f>'Time &amp; Technical'!AY75</f>
        <v>888.62649702301007</v>
      </c>
      <c r="AZ23" s="1">
        <f>'Time &amp; Technical'!AZ75</f>
        <v>881.5174850468261</v>
      </c>
      <c r="BA23" s="1">
        <f>'Time &amp; Technical'!BA75</f>
        <v>874.46534516645124</v>
      </c>
      <c r="BB23" s="1">
        <f>'Time &amp; Technical'!BB75</f>
        <v>799.41484334285008</v>
      </c>
      <c r="BC23" s="1">
        <f>'Time &amp; Technical'!BC75</f>
        <v>892.79973537934927</v>
      </c>
      <c r="BD23" s="1">
        <f>'Time &amp; Technical'!BD75</f>
        <v>885.65733749631443</v>
      </c>
      <c r="BE23" s="1">
        <f>'Time &amp; Technical'!BE75</f>
        <v>878.57207879634393</v>
      </c>
      <c r="BF23" s="1">
        <f>'Time &amp; Technical'!BF75</f>
        <v>871.54350216597322</v>
      </c>
      <c r="BG23" s="1">
        <f>'Time &amp; Technical'!BG75</f>
        <v>864.57115414864541</v>
      </c>
      <c r="BH23" s="1">
        <f>'Time &amp; Technical'!BH75</f>
        <v>857.65458491545598</v>
      </c>
      <c r="BI23" s="1">
        <f>'Time &amp; Technical'!BI75</f>
        <v>850.79334823613226</v>
      </c>
      <c r="BJ23" s="1">
        <f>'Time &amp; Technical'!BJ75</f>
        <v>777.77448238141994</v>
      </c>
      <c r="BK23" s="1" t="s">
        <v>102</v>
      </c>
    </row>
    <row r="24" spans="1:63" ht="11.25" customHeight="1" x14ac:dyDescent="0.25">
      <c r="A24" s="17"/>
      <c r="B24" s="17" t="s">
        <v>192</v>
      </c>
      <c r="C24" s="65" t="s">
        <v>1</v>
      </c>
      <c r="D24" s="17"/>
      <c r="E24" s="398">
        <f t="shared" si="0"/>
        <v>924754.77199661476</v>
      </c>
      <c r="F24" s="316" t="s">
        <v>26</v>
      </c>
      <c r="G24" s="58">
        <f>G22*G23</f>
        <v>0</v>
      </c>
      <c r="H24" s="58">
        <f t="shared" ref="H24:BJ24" si="9">H22*H23</f>
        <v>0</v>
      </c>
      <c r="I24" s="58">
        <f t="shared" si="9"/>
        <v>0</v>
      </c>
      <c r="J24" s="58">
        <f t="shared" si="9"/>
        <v>0</v>
      </c>
      <c r="K24" s="58">
        <f t="shared" si="9"/>
        <v>0</v>
      </c>
      <c r="L24" s="58">
        <f t="shared" si="9"/>
        <v>0</v>
      </c>
      <c r="M24" s="58">
        <f t="shared" si="9"/>
        <v>0</v>
      </c>
      <c r="N24" s="58">
        <f t="shared" si="9"/>
        <v>0</v>
      </c>
      <c r="O24" s="58">
        <f t="shared" si="9"/>
        <v>0</v>
      </c>
      <c r="P24" s="58">
        <f t="shared" si="9"/>
        <v>0</v>
      </c>
      <c r="Q24" s="58">
        <f t="shared" si="9"/>
        <v>0</v>
      </c>
      <c r="R24" s="58">
        <f t="shared" si="9"/>
        <v>0</v>
      </c>
      <c r="S24" s="58">
        <f t="shared" si="9"/>
        <v>0</v>
      </c>
      <c r="T24" s="58">
        <f t="shared" si="9"/>
        <v>0</v>
      </c>
      <c r="U24" s="58">
        <f t="shared" si="9"/>
        <v>0</v>
      </c>
      <c r="V24" s="58">
        <f t="shared" si="9"/>
        <v>0</v>
      </c>
      <c r="W24" s="58">
        <f t="shared" si="9"/>
        <v>64048.323387617595</v>
      </c>
      <c r="X24" s="58">
        <f t="shared" si="9"/>
        <v>64804.362648154536</v>
      </c>
      <c r="Y24" s="58">
        <f t="shared" si="9"/>
        <v>64285.927746969312</v>
      </c>
      <c r="Z24" s="58">
        <f t="shared" si="9"/>
        <v>65361.631860283051</v>
      </c>
      <c r="AA24" s="58">
        <f t="shared" si="9"/>
        <v>64838.738805400797</v>
      </c>
      <c r="AB24" s="58">
        <f t="shared" si="9"/>
        <v>65922.081693033411</v>
      </c>
      <c r="AC24" s="58">
        <f t="shared" si="9"/>
        <v>65394.705039489141</v>
      </c>
      <c r="AD24" s="58">
        <f t="shared" si="9"/>
        <v>61195.354232421072</v>
      </c>
      <c r="AE24" s="58">
        <f t="shared" si="9"/>
        <v>68343.985003690177</v>
      </c>
      <c r="AF24" s="58">
        <f t="shared" si="9"/>
        <v>68308.878416357373</v>
      </c>
      <c r="AG24" s="58">
        <f t="shared" si="9"/>
        <v>67762.407389026514</v>
      </c>
      <c r="AH24" s="58">
        <f t="shared" si="9"/>
        <v>68091.84566888462</v>
      </c>
      <c r="AI24" s="58">
        <f t="shared" si="9"/>
        <v>67547.110903533525</v>
      </c>
      <c r="AJ24" s="58">
        <f t="shared" si="9"/>
        <v>68849.41920175367</v>
      </c>
      <c r="AK24" s="58">
        <f t="shared" si="9"/>
        <v>0</v>
      </c>
      <c r="AL24" s="58">
        <f t="shared" si="9"/>
        <v>0</v>
      </c>
      <c r="AM24" s="58">
        <f t="shared" si="9"/>
        <v>0</v>
      </c>
      <c r="AN24" s="58">
        <f t="shared" si="9"/>
        <v>0</v>
      </c>
      <c r="AO24" s="58">
        <f t="shared" si="9"/>
        <v>0</v>
      </c>
      <c r="AP24" s="58">
        <f t="shared" si="9"/>
        <v>0</v>
      </c>
      <c r="AQ24" s="58">
        <f t="shared" si="9"/>
        <v>0</v>
      </c>
      <c r="AR24" s="58">
        <f t="shared" si="9"/>
        <v>0</v>
      </c>
      <c r="AS24" s="58">
        <f t="shared" si="9"/>
        <v>0</v>
      </c>
      <c r="AT24" s="58">
        <f t="shared" si="9"/>
        <v>0</v>
      </c>
      <c r="AU24" s="58">
        <f t="shared" si="9"/>
        <v>0</v>
      </c>
      <c r="AV24" s="58">
        <f t="shared" si="9"/>
        <v>0</v>
      </c>
      <c r="AW24" s="58">
        <f t="shared" si="9"/>
        <v>0</v>
      </c>
      <c r="AX24" s="58">
        <f t="shared" si="9"/>
        <v>0</v>
      </c>
      <c r="AY24" s="58">
        <f t="shared" si="9"/>
        <v>0</v>
      </c>
      <c r="AZ24" s="58">
        <f t="shared" si="9"/>
        <v>0</v>
      </c>
      <c r="BA24" s="58">
        <f t="shared" si="9"/>
        <v>0</v>
      </c>
      <c r="BB24" s="58">
        <f t="shared" si="9"/>
        <v>0</v>
      </c>
      <c r="BC24" s="58">
        <f t="shared" si="9"/>
        <v>0</v>
      </c>
      <c r="BD24" s="58">
        <f t="shared" si="9"/>
        <v>0</v>
      </c>
      <c r="BE24" s="58">
        <f t="shared" si="9"/>
        <v>0</v>
      </c>
      <c r="BF24" s="58">
        <f t="shared" si="9"/>
        <v>0</v>
      </c>
      <c r="BG24" s="58">
        <f t="shared" si="9"/>
        <v>0</v>
      </c>
      <c r="BH24" s="58">
        <f t="shared" si="9"/>
        <v>0</v>
      </c>
      <c r="BI24" s="58">
        <f t="shared" si="9"/>
        <v>0</v>
      </c>
      <c r="BJ24" s="58">
        <f t="shared" si="9"/>
        <v>0</v>
      </c>
      <c r="BK24" s="58" t="s">
        <v>102</v>
      </c>
    </row>
    <row r="25" spans="1:63" ht="11.25" customHeight="1" x14ac:dyDescent="0.25">
      <c r="A25" s="17"/>
      <c r="D25" s="17"/>
      <c r="E25" s="397"/>
      <c r="F25" s="317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 t="s">
        <v>102</v>
      </c>
    </row>
    <row r="26" spans="1:63" ht="11.25" customHeight="1" x14ac:dyDescent="0.25">
      <c r="A26" s="17">
        <v>2</v>
      </c>
      <c r="B26" s="17" t="s">
        <v>372</v>
      </c>
      <c r="C26" s="65"/>
      <c r="D26" s="17"/>
      <c r="E26" s="397"/>
      <c r="F26" s="317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 t="s">
        <v>102</v>
      </c>
    </row>
    <row r="27" spans="1:63" ht="11.25" customHeight="1" x14ac:dyDescent="0.25">
      <c r="A27" s="17"/>
      <c r="B27" s="12" t="s">
        <v>79</v>
      </c>
      <c r="C27" s="33" t="s">
        <v>475</v>
      </c>
      <c r="D27" s="17"/>
      <c r="E27" s="397">
        <f t="shared" si="0"/>
        <v>51071000</v>
      </c>
      <c r="F27" s="317" t="s">
        <v>26</v>
      </c>
      <c r="G27" s="59">
        <f>'Time &amp; Technical'!G129</f>
        <v>0</v>
      </c>
      <c r="H27" s="59">
        <f>'Time &amp; Technical'!H129</f>
        <v>0</v>
      </c>
      <c r="I27" s="59">
        <f>'Time &amp; Technical'!I129</f>
        <v>0</v>
      </c>
      <c r="J27" s="59">
        <f>'Time &amp; Technical'!J129</f>
        <v>0</v>
      </c>
      <c r="K27" s="59">
        <f>'Time &amp; Technical'!K129</f>
        <v>0</v>
      </c>
      <c r="L27" s="59">
        <f>'Time &amp; Technical'!L129</f>
        <v>0</v>
      </c>
      <c r="M27" s="59">
        <f>'Time &amp; Technical'!M129</f>
        <v>0</v>
      </c>
      <c r="N27" s="59">
        <f>'Time &amp; Technical'!N129</f>
        <v>0</v>
      </c>
      <c r="O27" s="59">
        <f>'Time &amp; Technical'!O129</f>
        <v>0</v>
      </c>
      <c r="P27" s="59">
        <f>'Time &amp; Technical'!P129</f>
        <v>0</v>
      </c>
      <c r="Q27" s="59">
        <f>'Time &amp; Technical'!Q129</f>
        <v>0</v>
      </c>
      <c r="R27" s="59">
        <f>'Time &amp; Technical'!R129</f>
        <v>0</v>
      </c>
      <c r="S27" s="59">
        <f>'Time &amp; Technical'!S129</f>
        <v>0</v>
      </c>
      <c r="T27" s="59">
        <f>'Time &amp; Technical'!T129</f>
        <v>0</v>
      </c>
      <c r="U27" s="59">
        <f>'Time &amp; Technical'!U129</f>
        <v>0</v>
      </c>
      <c r="V27" s="59">
        <f>'Time &amp; Technical'!V129</f>
        <v>0</v>
      </c>
      <c r="W27" s="59">
        <f>'Time &amp; Technical'!W129</f>
        <v>0</v>
      </c>
      <c r="X27" s="59">
        <f>'Time &amp; Technical'!X129</f>
        <v>0</v>
      </c>
      <c r="Y27" s="59">
        <f>'Time &amp; Technical'!Y129</f>
        <v>0</v>
      </c>
      <c r="Z27" s="59">
        <f>'Time &amp; Technical'!Z129</f>
        <v>0</v>
      </c>
      <c r="AA27" s="59">
        <f>'Time &amp; Technical'!AA129</f>
        <v>0</v>
      </c>
      <c r="AB27" s="59">
        <f>'Time &amp; Technical'!AB129</f>
        <v>0</v>
      </c>
      <c r="AC27" s="59">
        <f>'Time &amp; Technical'!AC129</f>
        <v>0</v>
      </c>
      <c r="AD27" s="59">
        <f>'Time &amp; Technical'!AD129</f>
        <v>0</v>
      </c>
      <c r="AE27" s="59">
        <f>'Time &amp; Technical'!AE129</f>
        <v>0</v>
      </c>
      <c r="AF27" s="59">
        <f>'Time &amp; Technical'!AF129</f>
        <v>0</v>
      </c>
      <c r="AG27" s="59">
        <f>'Time &amp; Technical'!AG129</f>
        <v>0</v>
      </c>
      <c r="AH27" s="59">
        <f>'Time &amp; Technical'!AH129</f>
        <v>0</v>
      </c>
      <c r="AI27" s="59">
        <f>'Time &amp; Technical'!AI129</f>
        <v>0</v>
      </c>
      <c r="AJ27" s="59">
        <f>'Time &amp; Technical'!AJ129</f>
        <v>0</v>
      </c>
      <c r="AK27" s="59">
        <f>'Time &amp; Technical'!AK129</f>
        <v>1829000</v>
      </c>
      <c r="AL27" s="59">
        <f>'Time &amp; Technical'!AL129</f>
        <v>1931000</v>
      </c>
      <c r="AM27" s="59">
        <f>'Time &amp; Technical'!AM129</f>
        <v>1931000</v>
      </c>
      <c r="AN27" s="59">
        <f>'Time &amp; Technical'!AN129</f>
        <v>1953000</v>
      </c>
      <c r="AO27" s="59">
        <f>'Time &amp; Technical'!AO129</f>
        <v>1953000</v>
      </c>
      <c r="AP27" s="59">
        <f>'Time &amp; Technical'!AP129</f>
        <v>1965000</v>
      </c>
      <c r="AQ27" s="59">
        <f>'Time &amp; Technical'!AQ129</f>
        <v>1965000</v>
      </c>
      <c r="AR27" s="59">
        <f>'Time &amp; Technical'!AR129</f>
        <v>1976000</v>
      </c>
      <c r="AS27" s="59">
        <f>'Time &amp; Technical'!AS129</f>
        <v>1976000</v>
      </c>
      <c r="AT27" s="59">
        <f>'Time &amp; Technical'!AT129</f>
        <v>1976000</v>
      </c>
      <c r="AU27" s="59">
        <f>'Time &amp; Technical'!AU129</f>
        <v>1976000</v>
      </c>
      <c r="AV27" s="59">
        <f>'Time &amp; Technical'!AV129</f>
        <v>1976000</v>
      </c>
      <c r="AW27" s="59">
        <f>'Time &amp; Technical'!AW129</f>
        <v>1976000</v>
      </c>
      <c r="AX27" s="59">
        <f>'Time &amp; Technical'!AX129</f>
        <v>1976000</v>
      </c>
      <c r="AY27" s="59">
        <f>'Time &amp; Technical'!AY129</f>
        <v>1976000</v>
      </c>
      <c r="AZ27" s="59">
        <f>'Time &amp; Technical'!AZ129</f>
        <v>1976000</v>
      </c>
      <c r="BA27" s="59">
        <f>'Time &amp; Technical'!BA129</f>
        <v>1976000</v>
      </c>
      <c r="BB27" s="59">
        <f>'Time &amp; Technical'!BB129</f>
        <v>1976000</v>
      </c>
      <c r="BC27" s="59">
        <f>'Time &amp; Technical'!BC129</f>
        <v>1976000</v>
      </c>
      <c r="BD27" s="59">
        <f>'Time &amp; Technical'!BD129</f>
        <v>1976000</v>
      </c>
      <c r="BE27" s="59">
        <f>'Time &amp; Technical'!BE129</f>
        <v>1976000</v>
      </c>
      <c r="BF27" s="59">
        <f>'Time &amp; Technical'!BF129</f>
        <v>1976000</v>
      </c>
      <c r="BG27" s="59">
        <f>'Time &amp; Technical'!BG129</f>
        <v>1976000</v>
      </c>
      <c r="BH27" s="59">
        <f>'Time &amp; Technical'!BH129</f>
        <v>1976000</v>
      </c>
      <c r="BI27" s="59">
        <f>'Time &amp; Technical'!BI129</f>
        <v>1976000</v>
      </c>
      <c r="BJ27" s="59">
        <f>'Time &amp; Technical'!BJ129</f>
        <v>1976000</v>
      </c>
      <c r="BK27" s="59" t="s">
        <v>102</v>
      </c>
    </row>
    <row r="28" spans="1:63" ht="11.25" customHeight="1" x14ac:dyDescent="0.25">
      <c r="A28" s="12"/>
      <c r="B28" s="12" t="s">
        <v>470</v>
      </c>
      <c r="C28" s="33" t="s">
        <v>102</v>
      </c>
      <c r="D28" s="12"/>
      <c r="E28" s="389">
        <f t="shared" si="0"/>
        <v>90.236919767325745</v>
      </c>
      <c r="F28" s="332" t="s">
        <v>26</v>
      </c>
      <c r="G28" s="373">
        <f>'Time &amp; Technical'!G165</f>
        <v>1.0042578039033445</v>
      </c>
      <c r="H28" s="373">
        <f>'Time &amp; Technical'!H165</f>
        <v>1.0128096694981923</v>
      </c>
      <c r="I28" s="373">
        <f>'Time &amp; Technical'!I165</f>
        <v>1.0214343594264612</v>
      </c>
      <c r="J28" s="373">
        <f>'Time &amp; Technical'!J165</f>
        <v>1.0301324938316134</v>
      </c>
      <c r="K28" s="373">
        <f>'Time &amp; Technical'!K165</f>
        <v>1.0389046981380101</v>
      </c>
      <c r="L28" s="373">
        <f>'Time &amp; Technical'!L165</f>
        <v>1.0477516030958802</v>
      </c>
      <c r="M28" s="373">
        <f>'Time &amp; Technical'!M165</f>
        <v>1.0566738448266744</v>
      </c>
      <c r="N28" s="373">
        <f>'Time &amp; Technical'!N165</f>
        <v>1.0656720648688045</v>
      </c>
      <c r="O28" s="373">
        <f>'Time &amp; Technical'!O165</f>
        <v>1.0747469102237717</v>
      </c>
      <c r="P28" s="373">
        <f>'Time &amp; Technical'!P165</f>
        <v>1.0838990334026881</v>
      </c>
      <c r="Q28" s="373">
        <f>'Time &amp; Technical'!Q165</f>
        <v>1.0931290924731947</v>
      </c>
      <c r="R28" s="373">
        <f>'Time &amp; Technical'!R165</f>
        <v>1.1024377511067784</v>
      </c>
      <c r="S28" s="373">
        <f>'Time &amp; Technical'!S165</f>
        <v>1.111825678626492</v>
      </c>
      <c r="T28" s="373">
        <f>'Time &amp; Technical'!T165</f>
        <v>1.1212935500550811</v>
      </c>
      <c r="U28" s="373">
        <f>'Time &amp; Technical'!U165</f>
        <v>1.1308420461635205</v>
      </c>
      <c r="V28" s="373">
        <f>'Time &amp; Technical'!V165</f>
        <v>1.1404718535199625</v>
      </c>
      <c r="W28" s="373">
        <f>'Time &amp; Technical'!W165</f>
        <v>1.1551016841879389</v>
      </c>
      <c r="X28" s="373">
        <f>'Time &amp; Technical'!X165</f>
        <v>1.1778570739942062</v>
      </c>
      <c r="Y28" s="373">
        <f>'Time &amp; Technical'!Y165</f>
        <v>1.2040672384307745</v>
      </c>
      <c r="Z28" s="373">
        <f>'Time &amp; Technical'!Z165</f>
        <v>1.2308606423239454</v>
      </c>
      <c r="AA28" s="373">
        <f>'Time &amp; Technical'!AA165</f>
        <v>1.2582502641601594</v>
      </c>
      <c r="AB28" s="373">
        <f>'Time &amp; Technical'!AB165</f>
        <v>1.2862493712285228</v>
      </c>
      <c r="AC28" s="373">
        <f>'Time &amp; Technical'!AC165</f>
        <v>1.3148715260473665</v>
      </c>
      <c r="AD28" s="373">
        <f>'Time &amp; Technical'!AD165</f>
        <v>1.3441305929338065</v>
      </c>
      <c r="AE28" s="373">
        <f>'Time &amp; Technical'!AE165</f>
        <v>1.374040744719498</v>
      </c>
      <c r="AF28" s="373">
        <f>'Time &amp; Technical'!AF165</f>
        <v>1.4046164696158279</v>
      </c>
      <c r="AG28" s="373">
        <f>'Time &amp; Technical'!AG165</f>
        <v>1.4358725782318755</v>
      </c>
      <c r="AH28" s="373">
        <f>'Time &amp; Technical'!AH165</f>
        <v>1.4678242107485404</v>
      </c>
      <c r="AI28" s="373">
        <f>'Time &amp; Technical'!AI165</f>
        <v>1.5004868442523103</v>
      </c>
      <c r="AJ28" s="373">
        <f>'Time &amp; Technical'!AJ165</f>
        <v>1.5338763002322249</v>
      </c>
      <c r="AK28" s="373">
        <f>'Time &amp; Technical'!AK165</f>
        <v>1.5680087522436641</v>
      </c>
      <c r="AL28" s="373">
        <f>'Time &amp; Technical'!AL165</f>
        <v>1.6029007337426751</v>
      </c>
      <c r="AM28" s="373">
        <f>'Time &amp; Technical'!AM165</f>
        <v>1.6385691460946292</v>
      </c>
      <c r="AN28" s="373">
        <f>'Time &amp; Technical'!AN165</f>
        <v>1.6750312667610952</v>
      </c>
      <c r="AO28" s="373">
        <f>'Time &amp; Technical'!AO165</f>
        <v>1.7123047576688872</v>
      </c>
      <c r="AP28" s="373">
        <f>'Time &amp; Technical'!AP165</f>
        <v>1.7504076737653445</v>
      </c>
      <c r="AQ28" s="373">
        <f>'Time &amp; Technical'!AQ165</f>
        <v>1.7893584717639874</v>
      </c>
      <c r="AR28" s="373">
        <f>'Time &amp; Technical'!AR165</f>
        <v>1.8291760190847852</v>
      </c>
      <c r="AS28" s="373">
        <f>'Time &amp; Technical'!AS165</f>
        <v>1.8698796029933669</v>
      </c>
      <c r="AT28" s="373">
        <f>'Time &amp; Technical'!AT165</f>
        <v>1.9114889399436004</v>
      </c>
      <c r="AU28" s="373">
        <f>'Time &amp; Technical'!AU165</f>
        <v>1.9540241851280682</v>
      </c>
      <c r="AV28" s="373">
        <f>'Time &amp; Technical'!AV165</f>
        <v>1.9975059422410624</v>
      </c>
      <c r="AW28" s="373">
        <f>'Time &amp; Technical'!AW165</f>
        <v>2.0419552734588313</v>
      </c>
      <c r="AX28" s="373">
        <f>'Time &amp; Technical'!AX165</f>
        <v>2.0873937096419102</v>
      </c>
      <c r="AY28" s="373">
        <f>'Time &amp; Technical'!AY165</f>
        <v>2.1338432607644791</v>
      </c>
      <c r="AZ28" s="373">
        <f>'Time &amp; Technical'!AZ165</f>
        <v>2.1813264265757963</v>
      </c>
      <c r="BA28" s="373">
        <f>'Time &amp; Technical'!BA165</f>
        <v>2.2298662074988806</v>
      </c>
      <c r="BB28" s="373">
        <f>'Time &amp; Technical'!BB165</f>
        <v>2.2794861157717072</v>
      </c>
      <c r="BC28" s="373">
        <f>'Time &amp; Technical'!BC165</f>
        <v>2.3302101868363305</v>
      </c>
      <c r="BD28" s="373">
        <f>'Time &amp; Technical'!BD165</f>
        <v>2.3820629909814341</v>
      </c>
      <c r="BE28" s="373">
        <f>'Time &amp; Technical'!BE165</f>
        <v>2.4350696452439653</v>
      </c>
      <c r="BF28" s="373">
        <f>'Time &amp; Technical'!BF165</f>
        <v>2.489255825575599</v>
      </c>
      <c r="BG28" s="373">
        <f>'Time &amp; Technical'!BG165</f>
        <v>2.544647779279944</v>
      </c>
      <c r="BH28" s="373">
        <f>'Time &amp; Technical'!BH165</f>
        <v>2.6012723377265008</v>
      </c>
      <c r="BI28" s="373">
        <f>'Time &amp; Technical'!BI165</f>
        <v>2.659156929347541</v>
      </c>
      <c r="BJ28" s="373">
        <f>'Time &amp; Technical'!BJ165</f>
        <v>2.7183295929241931</v>
      </c>
      <c r="BK28" s="45" t="s">
        <v>102</v>
      </c>
    </row>
    <row r="29" spans="1:63" ht="11.25" customHeight="1" x14ac:dyDescent="0.25">
      <c r="A29" s="12"/>
      <c r="B29" s="12" t="s">
        <v>374</v>
      </c>
      <c r="C29" s="33" t="s">
        <v>456</v>
      </c>
      <c r="D29" s="12"/>
      <c r="E29" s="390">
        <f t="shared" si="0"/>
        <v>107025953.19622797</v>
      </c>
      <c r="F29" s="303" t="s">
        <v>26</v>
      </c>
      <c r="G29" s="1">
        <f>G28*G27</f>
        <v>0</v>
      </c>
      <c r="H29" s="1">
        <f t="shared" ref="H29:BJ29" si="10">H28*H27</f>
        <v>0</v>
      </c>
      <c r="I29" s="1">
        <f t="shared" si="10"/>
        <v>0</v>
      </c>
      <c r="J29" s="1">
        <f t="shared" si="10"/>
        <v>0</v>
      </c>
      <c r="K29" s="1">
        <f t="shared" si="10"/>
        <v>0</v>
      </c>
      <c r="L29" s="1">
        <f t="shared" si="10"/>
        <v>0</v>
      </c>
      <c r="M29" s="1">
        <f t="shared" si="10"/>
        <v>0</v>
      </c>
      <c r="N29" s="1">
        <f t="shared" si="10"/>
        <v>0</v>
      </c>
      <c r="O29" s="1">
        <f t="shared" si="10"/>
        <v>0</v>
      </c>
      <c r="P29" s="1">
        <f t="shared" si="10"/>
        <v>0</v>
      </c>
      <c r="Q29" s="1">
        <f t="shared" si="10"/>
        <v>0</v>
      </c>
      <c r="R29" s="1">
        <f t="shared" si="10"/>
        <v>0</v>
      </c>
      <c r="S29" s="1">
        <f t="shared" si="10"/>
        <v>0</v>
      </c>
      <c r="T29" s="1">
        <f t="shared" si="10"/>
        <v>0</v>
      </c>
      <c r="U29" s="1">
        <f t="shared" si="10"/>
        <v>0</v>
      </c>
      <c r="V29" s="1">
        <f t="shared" si="10"/>
        <v>0</v>
      </c>
      <c r="W29" s="1">
        <f t="shared" si="10"/>
        <v>0</v>
      </c>
      <c r="X29" s="1">
        <f t="shared" si="10"/>
        <v>0</v>
      </c>
      <c r="Y29" s="1">
        <f t="shared" si="10"/>
        <v>0</v>
      </c>
      <c r="Z29" s="1">
        <f t="shared" si="10"/>
        <v>0</v>
      </c>
      <c r="AA29" s="1">
        <f t="shared" si="10"/>
        <v>0</v>
      </c>
      <c r="AB29" s="1">
        <f t="shared" si="10"/>
        <v>0</v>
      </c>
      <c r="AC29" s="1">
        <f t="shared" si="10"/>
        <v>0</v>
      </c>
      <c r="AD29" s="1">
        <f t="shared" si="10"/>
        <v>0</v>
      </c>
      <c r="AE29" s="1">
        <f t="shared" si="10"/>
        <v>0</v>
      </c>
      <c r="AF29" s="1">
        <f t="shared" si="10"/>
        <v>0</v>
      </c>
      <c r="AG29" s="1">
        <f t="shared" si="10"/>
        <v>0</v>
      </c>
      <c r="AH29" s="1">
        <f t="shared" si="10"/>
        <v>0</v>
      </c>
      <c r="AI29" s="1">
        <f t="shared" si="10"/>
        <v>0</v>
      </c>
      <c r="AJ29" s="1">
        <f t="shared" si="10"/>
        <v>0</v>
      </c>
      <c r="AK29" s="1">
        <f t="shared" si="10"/>
        <v>2867888.0078536617</v>
      </c>
      <c r="AL29" s="1">
        <f t="shared" si="10"/>
        <v>3095201.3168571056</v>
      </c>
      <c r="AM29" s="1">
        <f t="shared" si="10"/>
        <v>3164077.0211087288</v>
      </c>
      <c r="AN29" s="1">
        <f t="shared" si="10"/>
        <v>3271336.0639844188</v>
      </c>
      <c r="AO29" s="1">
        <f t="shared" si="10"/>
        <v>3344131.191727337</v>
      </c>
      <c r="AP29" s="1">
        <f t="shared" si="10"/>
        <v>3439551.078948902</v>
      </c>
      <c r="AQ29" s="1">
        <f t="shared" si="10"/>
        <v>3516089.3970162352</v>
      </c>
      <c r="AR29" s="1">
        <f t="shared" si="10"/>
        <v>3614451.8137115357</v>
      </c>
      <c r="AS29" s="1">
        <f t="shared" si="10"/>
        <v>3694882.0955148931</v>
      </c>
      <c r="AT29" s="1">
        <f t="shared" si="10"/>
        <v>3777102.1453285543</v>
      </c>
      <c r="AU29" s="1">
        <f t="shared" si="10"/>
        <v>3861151.7898130626</v>
      </c>
      <c r="AV29" s="1">
        <f t="shared" si="10"/>
        <v>3947071.741868339</v>
      </c>
      <c r="AW29" s="1">
        <f t="shared" si="10"/>
        <v>4034903.6203546505</v>
      </c>
      <c r="AX29" s="1">
        <f t="shared" si="10"/>
        <v>4124689.9702524147</v>
      </c>
      <c r="AY29" s="1">
        <f t="shared" si="10"/>
        <v>4216474.2832706105</v>
      </c>
      <c r="AZ29" s="1">
        <f t="shared" si="10"/>
        <v>4310301.0189137738</v>
      </c>
      <c r="BA29" s="1">
        <f t="shared" si="10"/>
        <v>4406215.6260177884</v>
      </c>
      <c r="BB29" s="1">
        <f t="shared" si="10"/>
        <v>4504264.5647648936</v>
      </c>
      <c r="BC29" s="1">
        <f t="shared" si="10"/>
        <v>4604495.329188589</v>
      </c>
      <c r="BD29" s="1">
        <f t="shared" si="10"/>
        <v>4706956.4701793138</v>
      </c>
      <c r="BE29" s="1">
        <f t="shared" si="10"/>
        <v>4811697.6190020759</v>
      </c>
      <c r="BF29" s="1">
        <f t="shared" si="10"/>
        <v>4918769.5113373837</v>
      </c>
      <c r="BG29" s="1">
        <f t="shared" si="10"/>
        <v>5028224.0118571697</v>
      </c>
      <c r="BH29" s="1">
        <f t="shared" si="10"/>
        <v>5140114.1393475654</v>
      </c>
      <c r="BI29" s="1">
        <f t="shared" si="10"/>
        <v>5254494.0923907412</v>
      </c>
      <c r="BJ29" s="1">
        <f t="shared" si="10"/>
        <v>5371419.2756182058</v>
      </c>
      <c r="BK29" s="1" t="s">
        <v>102</v>
      </c>
    </row>
    <row r="30" spans="1:63" ht="11.25" customHeight="1" x14ac:dyDescent="0.25">
      <c r="A30" s="12"/>
      <c r="B30" s="12" t="s">
        <v>194</v>
      </c>
      <c r="C30" s="33" t="s">
        <v>479</v>
      </c>
      <c r="D30" s="12"/>
      <c r="E30" s="390">
        <f t="shared" si="0"/>
        <v>94673792484.418869</v>
      </c>
      <c r="F30" s="303" t="s">
        <v>26</v>
      </c>
      <c r="G30" s="1">
        <f>G29*G23</f>
        <v>0</v>
      </c>
      <c r="H30" s="1">
        <f t="shared" ref="H30:BJ30" si="11">H29*H23</f>
        <v>0</v>
      </c>
      <c r="I30" s="1">
        <f t="shared" si="11"/>
        <v>0</v>
      </c>
      <c r="J30" s="1">
        <f t="shared" si="11"/>
        <v>0</v>
      </c>
      <c r="K30" s="1">
        <f t="shared" si="11"/>
        <v>0</v>
      </c>
      <c r="L30" s="1">
        <f t="shared" si="11"/>
        <v>0</v>
      </c>
      <c r="M30" s="1">
        <f t="shared" si="11"/>
        <v>0</v>
      </c>
      <c r="N30" s="1">
        <f t="shared" si="11"/>
        <v>0</v>
      </c>
      <c r="O30" s="1">
        <f t="shared" si="11"/>
        <v>0</v>
      </c>
      <c r="P30" s="1">
        <f t="shared" si="11"/>
        <v>0</v>
      </c>
      <c r="Q30" s="1">
        <f t="shared" si="11"/>
        <v>0</v>
      </c>
      <c r="R30" s="1">
        <f t="shared" si="11"/>
        <v>0</v>
      </c>
      <c r="S30" s="1">
        <f t="shared" si="11"/>
        <v>0</v>
      </c>
      <c r="T30" s="1">
        <f t="shared" si="11"/>
        <v>0</v>
      </c>
      <c r="U30" s="1">
        <f t="shared" si="11"/>
        <v>0</v>
      </c>
      <c r="V30" s="1">
        <f t="shared" si="11"/>
        <v>0</v>
      </c>
      <c r="W30" s="1">
        <f t="shared" si="11"/>
        <v>0</v>
      </c>
      <c r="X30" s="1">
        <f t="shared" si="11"/>
        <v>0</v>
      </c>
      <c r="Y30" s="1">
        <f t="shared" si="11"/>
        <v>0</v>
      </c>
      <c r="Z30" s="1">
        <f t="shared" si="11"/>
        <v>0</v>
      </c>
      <c r="AA30" s="1">
        <f t="shared" si="11"/>
        <v>0</v>
      </c>
      <c r="AB30" s="1">
        <f t="shared" si="11"/>
        <v>0</v>
      </c>
      <c r="AC30" s="1">
        <f t="shared" si="11"/>
        <v>0</v>
      </c>
      <c r="AD30" s="1">
        <f t="shared" si="11"/>
        <v>0</v>
      </c>
      <c r="AE30" s="1">
        <f t="shared" si="11"/>
        <v>0</v>
      </c>
      <c r="AF30" s="1">
        <f t="shared" si="11"/>
        <v>0</v>
      </c>
      <c r="AG30" s="1">
        <f t="shared" si="11"/>
        <v>0</v>
      </c>
      <c r="AH30" s="1">
        <f t="shared" si="11"/>
        <v>0</v>
      </c>
      <c r="AI30" s="1">
        <f t="shared" si="11"/>
        <v>0</v>
      </c>
      <c r="AJ30" s="1">
        <f t="shared" si="11"/>
        <v>0</v>
      </c>
      <c r="AK30" s="1">
        <f t="shared" si="11"/>
        <v>2742872197.2132258</v>
      </c>
      <c r="AL30" s="1">
        <f t="shared" si="11"/>
        <v>2706212467.8549528</v>
      </c>
      <c r="AM30" s="1">
        <f t="shared" si="11"/>
        <v>3089597327.5625958</v>
      </c>
      <c r="AN30" s="1">
        <f t="shared" si="11"/>
        <v>3132768101.9768281</v>
      </c>
      <c r="AO30" s="1">
        <f t="shared" si="11"/>
        <v>3176859919.8582683</v>
      </c>
      <c r="AP30" s="1">
        <f t="shared" si="11"/>
        <v>3204109819.5930295</v>
      </c>
      <c r="AQ30" s="1">
        <f t="shared" si="11"/>
        <v>3249205729.0376139</v>
      </c>
      <c r="AR30" s="1">
        <f t="shared" si="11"/>
        <v>3274853583.1749654</v>
      </c>
      <c r="AS30" s="1">
        <f t="shared" si="11"/>
        <v>3320945168.3410091</v>
      </c>
      <c r="AT30" s="1">
        <f t="shared" si="11"/>
        <v>3103483601.8104262</v>
      </c>
      <c r="AU30" s="1">
        <f t="shared" si="11"/>
        <v>3543149237.6088476</v>
      </c>
      <c r="AV30" s="1">
        <f t="shared" si="11"/>
        <v>3593016921.9780908</v>
      </c>
      <c r="AW30" s="1">
        <f t="shared" si="11"/>
        <v>3643586463.8694382</v>
      </c>
      <c r="AX30" s="1">
        <f t="shared" si="11"/>
        <v>3694867741.5033736</v>
      </c>
      <c r="AY30" s="1">
        <f t="shared" si="11"/>
        <v>3746870772.1303697</v>
      </c>
      <c r="AZ30" s="1">
        <f t="shared" si="11"/>
        <v>3799605713.9876418</v>
      </c>
      <c r="BA30" s="1">
        <f t="shared" si="11"/>
        <v>3853082868.2834563</v>
      </c>
      <c r="BB30" s="1">
        <f t="shared" si="11"/>
        <v>3600775951.4162784</v>
      </c>
      <c r="BC30" s="1">
        <f t="shared" si="11"/>
        <v>4110892211.4550219</v>
      </c>
      <c r="BD30" s="1">
        <f t="shared" si="11"/>
        <v>4168750535.0900612</v>
      </c>
      <c r="BE30" s="1">
        <f t="shared" si="11"/>
        <v>4227423179.6660724</v>
      </c>
      <c r="BF30" s="1">
        <f t="shared" si="11"/>
        <v>4286921606.2581959</v>
      </c>
      <c r="BG30" s="1">
        <f t="shared" si="11"/>
        <v>4347257437.2492857</v>
      </c>
      <c r="BH30" s="1">
        <f t="shared" si="11"/>
        <v>4408442458.6002026</v>
      </c>
      <c r="BI30" s="1">
        <f t="shared" si="11"/>
        <v>4470488622.1520958</v>
      </c>
      <c r="BJ30" s="1">
        <f t="shared" si="11"/>
        <v>4177752846.7475319</v>
      </c>
      <c r="BK30" s="1" t="s">
        <v>102</v>
      </c>
    </row>
    <row r="31" spans="1:63" ht="11.25" customHeight="1" x14ac:dyDescent="0.25">
      <c r="A31" s="12"/>
      <c r="B31" s="63" t="s">
        <v>375</v>
      </c>
      <c r="C31" s="64" t="s">
        <v>459</v>
      </c>
      <c r="D31" s="63"/>
      <c r="E31" s="399">
        <f t="shared" si="0"/>
        <v>1444581.2902682279</v>
      </c>
      <c r="F31" s="333" t="s">
        <v>26</v>
      </c>
      <c r="G31" s="66">
        <f>'Time &amp; Technical'!G180</f>
        <v>22715</v>
      </c>
      <c r="H31" s="66">
        <f>'Time &amp; Technical'!H180</f>
        <v>22715</v>
      </c>
      <c r="I31" s="66">
        <f>'Time &amp; Technical'!I180</f>
        <v>22715</v>
      </c>
      <c r="J31" s="66">
        <f>'Time &amp; Technical'!J180</f>
        <v>22715</v>
      </c>
      <c r="K31" s="66">
        <f>'Time &amp; Technical'!K180</f>
        <v>22715</v>
      </c>
      <c r="L31" s="66">
        <f>'Time &amp; Technical'!L180</f>
        <v>22715</v>
      </c>
      <c r="M31" s="66">
        <f>'Time &amp; Technical'!M180</f>
        <v>22727.384764263377</v>
      </c>
      <c r="N31" s="66">
        <f>'Time &amp; Technical'!N180</f>
        <v>22752.167797732756</v>
      </c>
      <c r="O31" s="66">
        <f>'Time &amp; Technical'!O180</f>
        <v>22776.977855813824</v>
      </c>
      <c r="P31" s="66">
        <f>'Time &amp; Technical'!P180</f>
        <v>22801.814967975515</v>
      </c>
      <c r="Q31" s="66">
        <f>'Time &amp; Technical'!Q180</f>
        <v>22826.679163718905</v>
      </c>
      <c r="R31" s="66">
        <f>'Time &amp; Technical'!R180</f>
        <v>22851.57047257723</v>
      </c>
      <c r="S31" s="66">
        <f>'Time &amp; Technical'!S180</f>
        <v>22876.488924115933</v>
      </c>
      <c r="T31" s="66">
        <f>'Time &amp; Technical'!T180</f>
        <v>22901.434547932698</v>
      </c>
      <c r="U31" s="66">
        <f>'Time &amp; Technical'!U180</f>
        <v>22926.40737365749</v>
      </c>
      <c r="V31" s="66">
        <f>'Time &amp; Technical'!V180</f>
        <v>22951.407430952575</v>
      </c>
      <c r="W31" s="66">
        <f>'Time &amp; Technical'!W180</f>
        <v>22988.968880754379</v>
      </c>
      <c r="X31" s="66">
        <f>'Time &amp; Technical'!X180</f>
        <v>23097.509555304245</v>
      </c>
      <c r="Y31" s="66">
        <f>'Time &amp; Technical'!Y180</f>
        <v>23265.087396253079</v>
      </c>
      <c r="Z31" s="66">
        <f>'Time &amp; Technical'!Z180</f>
        <v>23433.881053682468</v>
      </c>
      <c r="AA31" s="66">
        <f>'Time &amp; Technical'!AA180</f>
        <v>23603.899348625702</v>
      </c>
      <c r="AB31" s="66">
        <f>'Time &amp; Technical'!AB180</f>
        <v>23775.151166114738</v>
      </c>
      <c r="AC31" s="66">
        <f>'Time &amp; Technical'!AC180</f>
        <v>23962.255919606527</v>
      </c>
      <c r="AD31" s="66">
        <f>'Time &amp; Technical'!AD180</f>
        <v>24165.452520568782</v>
      </c>
      <c r="AE31" s="66">
        <f>'Time &amp; Technical'!AE180</f>
        <v>24370.372200475736</v>
      </c>
      <c r="AF31" s="66">
        <f>'Time &amp; Technical'!AF180</f>
        <v>24577.029570797444</v>
      </c>
      <c r="AG31" s="66">
        <f>'Time &amp; Technical'!AG180</f>
        <v>24785.439366907194</v>
      </c>
      <c r="AH31" s="66">
        <f>'Time &amp; Technical'!AH180</f>
        <v>24995.616449132194</v>
      </c>
      <c r="AI31" s="66">
        <f>'Time &amp; Technical'!AI180</f>
        <v>25207.575803813157</v>
      </c>
      <c r="AJ31" s="66">
        <f>'Time &amp; Technical'!AJ180</f>
        <v>25421.33254437289</v>
      </c>
      <c r="AK31" s="66">
        <f>'Time &amp; Technical'!AK180</f>
        <v>25636.901912393914</v>
      </c>
      <c r="AL31" s="66">
        <f>'Time &amp; Technical'!AL180</f>
        <v>25854.299278705272</v>
      </c>
      <c r="AM31" s="66">
        <f>'Time &amp; Technical'!AM180</f>
        <v>26073.540144478487</v>
      </c>
      <c r="AN31" s="66">
        <f>'Time &amp; Technical'!AN180</f>
        <v>26294.640142332857</v>
      </c>
      <c r="AO31" s="66">
        <f>'Time &amp; Technical'!AO180</f>
        <v>26517.615037450138</v>
      </c>
      <c r="AP31" s="66">
        <f>'Time &amp; Technical'!AP180</f>
        <v>26742.480728698625</v>
      </c>
      <c r="AQ31" s="66">
        <f>'Time &amp; Technical'!AQ180</f>
        <v>26969.253249766807</v>
      </c>
      <c r="AR31" s="66">
        <f>'Time &amp; Technical'!AR180</f>
        <v>27197.948770306633</v>
      </c>
      <c r="AS31" s="66">
        <f>'Time &amp; Technical'!AS180</f>
        <v>27428.583597086435</v>
      </c>
      <c r="AT31" s="66">
        <f>'Time &amp; Technical'!AT180</f>
        <v>27661.174175153701</v>
      </c>
      <c r="AU31" s="66">
        <f>'Time &amp; Technical'!AU180</f>
        <v>27895.737089007613</v>
      </c>
      <c r="AV31" s="66">
        <f>'Time &amp; Technical'!AV180</f>
        <v>28132.28906378162</v>
      </c>
      <c r="AW31" s="66">
        <f>'Time &amp; Technical'!AW180</f>
        <v>28370.846966435965</v>
      </c>
      <c r="AX31" s="66">
        <f>'Time &amp; Technical'!AX180</f>
        <v>28611.427806960379</v>
      </c>
      <c r="AY31" s="66">
        <f>'Time &amp; Technical'!AY180</f>
        <v>28854.048739586939</v>
      </c>
      <c r="AZ31" s="66">
        <f>'Time &amp; Technical'!AZ180</f>
        <v>29098.727064013226</v>
      </c>
      <c r="BA31" s="66">
        <f>'Time &amp; Technical'!BA180</f>
        <v>29345.48022663586</v>
      </c>
      <c r="BB31" s="66">
        <f>'Time &amp; Technical'!BB180</f>
        <v>29594.325821794475</v>
      </c>
      <c r="BC31" s="66">
        <f>'Time &amp; Technical'!BC180</f>
        <v>29845.281593026251</v>
      </c>
      <c r="BD31" s="66">
        <f>'Time &amp; Technical'!BD180</f>
        <v>30098.365434331117</v>
      </c>
      <c r="BE31" s="66">
        <f>'Time &amp; Technical'!BE180</f>
        <v>30353.595391447623</v>
      </c>
      <c r="BF31" s="66">
        <f>'Time &amp; Technical'!BF180</f>
        <v>30610.989663139677</v>
      </c>
      <c r="BG31" s="66">
        <f>'Time &amp; Technical'!BG180</f>
        <v>30870.566602494175</v>
      </c>
      <c r="BH31" s="66">
        <f>'Time &amp; Technical'!BH180</f>
        <v>31132.344718229644</v>
      </c>
      <c r="BI31" s="66">
        <f>'Time &amp; Technical'!BI180</f>
        <v>31396.342676015971</v>
      </c>
      <c r="BJ31" s="66">
        <f>'Time &amp; Technical'!BJ180</f>
        <v>31662.579299805329</v>
      </c>
      <c r="BK31" s="66" t="s">
        <v>102</v>
      </c>
    </row>
    <row r="32" spans="1:63" ht="11.25" customHeight="1" x14ac:dyDescent="0.25">
      <c r="A32" s="12"/>
      <c r="B32" s="17" t="s">
        <v>194</v>
      </c>
      <c r="C32" s="65" t="s">
        <v>1</v>
      </c>
      <c r="D32" s="17"/>
      <c r="E32" s="397">
        <f t="shared" si="0"/>
        <v>3301097.2873288104</v>
      </c>
      <c r="F32" s="317" t="s">
        <v>26</v>
      </c>
      <c r="G32" s="59">
        <f>G30/G31</f>
        <v>0</v>
      </c>
      <c r="H32" s="59">
        <f t="shared" ref="H32:BJ32" si="12">H30/H31</f>
        <v>0</v>
      </c>
      <c r="I32" s="59">
        <f t="shared" si="12"/>
        <v>0</v>
      </c>
      <c r="J32" s="59">
        <f t="shared" si="12"/>
        <v>0</v>
      </c>
      <c r="K32" s="59">
        <f t="shared" si="12"/>
        <v>0</v>
      </c>
      <c r="L32" s="59">
        <f t="shared" si="12"/>
        <v>0</v>
      </c>
      <c r="M32" s="59">
        <f t="shared" si="12"/>
        <v>0</v>
      </c>
      <c r="N32" s="59">
        <f t="shared" si="12"/>
        <v>0</v>
      </c>
      <c r="O32" s="59">
        <f t="shared" si="12"/>
        <v>0</v>
      </c>
      <c r="P32" s="59">
        <f t="shared" si="12"/>
        <v>0</v>
      </c>
      <c r="Q32" s="59">
        <f t="shared" si="12"/>
        <v>0</v>
      </c>
      <c r="R32" s="59">
        <f t="shared" si="12"/>
        <v>0</v>
      </c>
      <c r="S32" s="59">
        <f t="shared" si="12"/>
        <v>0</v>
      </c>
      <c r="T32" s="59">
        <f t="shared" si="12"/>
        <v>0</v>
      </c>
      <c r="U32" s="59">
        <f t="shared" si="12"/>
        <v>0</v>
      </c>
      <c r="V32" s="59">
        <f t="shared" si="12"/>
        <v>0</v>
      </c>
      <c r="W32" s="59">
        <f t="shared" si="12"/>
        <v>0</v>
      </c>
      <c r="X32" s="59">
        <f t="shared" si="12"/>
        <v>0</v>
      </c>
      <c r="Y32" s="59">
        <f t="shared" si="12"/>
        <v>0</v>
      </c>
      <c r="Z32" s="59">
        <f t="shared" si="12"/>
        <v>0</v>
      </c>
      <c r="AA32" s="59">
        <f t="shared" si="12"/>
        <v>0</v>
      </c>
      <c r="AB32" s="59">
        <f t="shared" si="12"/>
        <v>0</v>
      </c>
      <c r="AC32" s="59">
        <f t="shared" si="12"/>
        <v>0</v>
      </c>
      <c r="AD32" s="59">
        <f t="shared" si="12"/>
        <v>0</v>
      </c>
      <c r="AE32" s="59">
        <f t="shared" si="12"/>
        <v>0</v>
      </c>
      <c r="AF32" s="59">
        <f t="shared" si="12"/>
        <v>0</v>
      </c>
      <c r="AG32" s="59">
        <f t="shared" si="12"/>
        <v>0</v>
      </c>
      <c r="AH32" s="59">
        <f t="shared" si="12"/>
        <v>0</v>
      </c>
      <c r="AI32" s="59">
        <f t="shared" si="12"/>
        <v>0</v>
      </c>
      <c r="AJ32" s="59">
        <f t="shared" si="12"/>
        <v>0</v>
      </c>
      <c r="AK32" s="59">
        <f t="shared" si="12"/>
        <v>106989.2222775643</v>
      </c>
      <c r="AL32" s="59">
        <f t="shared" si="12"/>
        <v>104671.66171020181</v>
      </c>
      <c r="AM32" s="59">
        <f t="shared" si="12"/>
        <v>118495.50580560003</v>
      </c>
      <c r="AN32" s="59">
        <f t="shared" si="12"/>
        <v>119140.93842011748</v>
      </c>
      <c r="AO32" s="59">
        <f t="shared" si="12"/>
        <v>119801.87190181589</v>
      </c>
      <c r="AP32" s="59">
        <f t="shared" si="12"/>
        <v>119813.48522220481</v>
      </c>
      <c r="AQ32" s="59">
        <f t="shared" si="12"/>
        <v>120478.14965235304</v>
      </c>
      <c r="AR32" s="59">
        <f t="shared" si="12"/>
        <v>120408.10911263601</v>
      </c>
      <c r="AS32" s="59">
        <f t="shared" si="12"/>
        <v>121076.07221445339</v>
      </c>
      <c r="AT32" s="59">
        <f t="shared" si="12"/>
        <v>112196.3797400217</v>
      </c>
      <c r="AU32" s="59">
        <f t="shared" si="12"/>
        <v>127014.00311824113</v>
      </c>
      <c r="AV32" s="59">
        <f t="shared" si="12"/>
        <v>127718.61236858439</v>
      </c>
      <c r="AW32" s="59">
        <f t="shared" si="12"/>
        <v>128427.13043357397</v>
      </c>
      <c r="AX32" s="59">
        <f t="shared" si="12"/>
        <v>129139.57899733033</v>
      </c>
      <c r="AY32" s="59">
        <f t="shared" si="12"/>
        <v>129855.97986426664</v>
      </c>
      <c r="AZ32" s="59">
        <f t="shared" si="12"/>
        <v>130576.35495975573</v>
      </c>
      <c r="BA32" s="59">
        <f t="shared" si="12"/>
        <v>131300.72633080132</v>
      </c>
      <c r="BB32" s="59">
        <f t="shared" si="12"/>
        <v>121671.15997501519</v>
      </c>
      <c r="BC32" s="59">
        <f t="shared" si="12"/>
        <v>137740.10470102538</v>
      </c>
      <c r="BD32" s="59">
        <f t="shared" si="12"/>
        <v>138504.21692119722</v>
      </c>
      <c r="BE32" s="59">
        <f t="shared" si="12"/>
        <v>139272.56804830389</v>
      </c>
      <c r="BF32" s="59">
        <f t="shared" si="12"/>
        <v>140045.18159765043</v>
      </c>
      <c r="BG32" s="59">
        <f t="shared" si="12"/>
        <v>140822.08121499303</v>
      </c>
      <c r="BH32" s="59">
        <f t="shared" si="12"/>
        <v>141603.29067726227</v>
      </c>
      <c r="BI32" s="59">
        <f t="shared" si="12"/>
        <v>142388.83389329145</v>
      </c>
      <c r="BJ32" s="59">
        <f t="shared" si="12"/>
        <v>131946.06817054914</v>
      </c>
      <c r="BK32" s="59" t="s">
        <v>102</v>
      </c>
    </row>
    <row r="33" spans="1:64" ht="11.25" customHeight="1" x14ac:dyDescent="0.25">
      <c r="A33" s="12"/>
      <c r="B33" s="214" t="s">
        <v>195</v>
      </c>
      <c r="C33" s="217" t="s">
        <v>1</v>
      </c>
      <c r="D33" s="214"/>
      <c r="E33" s="396">
        <f t="shared" si="0"/>
        <v>4225852.0593254259</v>
      </c>
      <c r="F33" s="310" t="s">
        <v>26</v>
      </c>
      <c r="G33" s="216">
        <f>SUM(G32,G24)</f>
        <v>0</v>
      </c>
      <c r="H33" s="216">
        <f t="shared" ref="H33:BJ33" si="13">SUM(H32,H24)</f>
        <v>0</v>
      </c>
      <c r="I33" s="216">
        <f t="shared" si="13"/>
        <v>0</v>
      </c>
      <c r="J33" s="216">
        <f t="shared" si="13"/>
        <v>0</v>
      </c>
      <c r="K33" s="216">
        <f t="shared" si="13"/>
        <v>0</v>
      </c>
      <c r="L33" s="216">
        <f t="shared" si="13"/>
        <v>0</v>
      </c>
      <c r="M33" s="216">
        <f t="shared" si="13"/>
        <v>0</v>
      </c>
      <c r="N33" s="216">
        <f t="shared" si="13"/>
        <v>0</v>
      </c>
      <c r="O33" s="216">
        <f t="shared" si="13"/>
        <v>0</v>
      </c>
      <c r="P33" s="216">
        <f t="shared" si="13"/>
        <v>0</v>
      </c>
      <c r="Q33" s="216">
        <f t="shared" si="13"/>
        <v>0</v>
      </c>
      <c r="R33" s="216">
        <f t="shared" si="13"/>
        <v>0</v>
      </c>
      <c r="S33" s="216">
        <f t="shared" si="13"/>
        <v>0</v>
      </c>
      <c r="T33" s="216">
        <f t="shared" si="13"/>
        <v>0</v>
      </c>
      <c r="U33" s="216">
        <f t="shared" si="13"/>
        <v>0</v>
      </c>
      <c r="V33" s="216">
        <f t="shared" si="13"/>
        <v>0</v>
      </c>
      <c r="W33" s="216">
        <f t="shared" si="13"/>
        <v>64048.323387617595</v>
      </c>
      <c r="X33" s="216">
        <f t="shared" si="13"/>
        <v>64804.362648154536</v>
      </c>
      <c r="Y33" s="216">
        <f t="shared" si="13"/>
        <v>64285.927746969312</v>
      </c>
      <c r="Z33" s="216">
        <f t="shared" si="13"/>
        <v>65361.631860283051</v>
      </c>
      <c r="AA33" s="216">
        <f t="shared" si="13"/>
        <v>64838.738805400797</v>
      </c>
      <c r="AB33" s="216">
        <f t="shared" si="13"/>
        <v>65922.081693033411</v>
      </c>
      <c r="AC33" s="216">
        <f t="shared" si="13"/>
        <v>65394.705039489141</v>
      </c>
      <c r="AD33" s="216">
        <f t="shared" si="13"/>
        <v>61195.354232421072</v>
      </c>
      <c r="AE33" s="216">
        <f t="shared" si="13"/>
        <v>68343.985003690177</v>
      </c>
      <c r="AF33" s="216">
        <f t="shared" si="13"/>
        <v>68308.878416357373</v>
      </c>
      <c r="AG33" s="216">
        <f t="shared" si="13"/>
        <v>67762.407389026514</v>
      </c>
      <c r="AH33" s="216">
        <f t="shared" si="13"/>
        <v>68091.84566888462</v>
      </c>
      <c r="AI33" s="216">
        <f t="shared" si="13"/>
        <v>67547.110903533525</v>
      </c>
      <c r="AJ33" s="216">
        <f t="shared" si="13"/>
        <v>68849.41920175367</v>
      </c>
      <c r="AK33" s="216">
        <f t="shared" si="13"/>
        <v>106989.2222775643</v>
      </c>
      <c r="AL33" s="216">
        <f t="shared" si="13"/>
        <v>104671.66171020181</v>
      </c>
      <c r="AM33" s="216">
        <f t="shared" si="13"/>
        <v>118495.50580560003</v>
      </c>
      <c r="AN33" s="216">
        <f t="shared" si="13"/>
        <v>119140.93842011748</v>
      </c>
      <c r="AO33" s="216">
        <f t="shared" si="13"/>
        <v>119801.87190181589</v>
      </c>
      <c r="AP33" s="216">
        <f t="shared" si="13"/>
        <v>119813.48522220481</v>
      </c>
      <c r="AQ33" s="216">
        <f t="shared" si="13"/>
        <v>120478.14965235304</v>
      </c>
      <c r="AR33" s="216">
        <f t="shared" si="13"/>
        <v>120408.10911263601</v>
      </c>
      <c r="AS33" s="216">
        <f t="shared" si="13"/>
        <v>121076.07221445339</v>
      </c>
      <c r="AT33" s="216">
        <f t="shared" si="13"/>
        <v>112196.3797400217</v>
      </c>
      <c r="AU33" s="216">
        <f t="shared" si="13"/>
        <v>127014.00311824113</v>
      </c>
      <c r="AV33" s="216">
        <f t="shared" si="13"/>
        <v>127718.61236858439</v>
      </c>
      <c r="AW33" s="216">
        <f t="shared" si="13"/>
        <v>128427.13043357397</v>
      </c>
      <c r="AX33" s="216">
        <f t="shared" si="13"/>
        <v>129139.57899733033</v>
      </c>
      <c r="AY33" s="216">
        <f t="shared" si="13"/>
        <v>129855.97986426664</v>
      </c>
      <c r="AZ33" s="216">
        <f t="shared" si="13"/>
        <v>130576.35495975573</v>
      </c>
      <c r="BA33" s="216">
        <f t="shared" si="13"/>
        <v>131300.72633080132</v>
      </c>
      <c r="BB33" s="216">
        <f t="shared" si="13"/>
        <v>121671.15997501519</v>
      </c>
      <c r="BC33" s="216">
        <f t="shared" si="13"/>
        <v>137740.10470102538</v>
      </c>
      <c r="BD33" s="216">
        <f t="shared" si="13"/>
        <v>138504.21692119722</v>
      </c>
      <c r="BE33" s="216">
        <f t="shared" si="13"/>
        <v>139272.56804830389</v>
      </c>
      <c r="BF33" s="216">
        <f t="shared" si="13"/>
        <v>140045.18159765043</v>
      </c>
      <c r="BG33" s="216">
        <f t="shared" si="13"/>
        <v>140822.08121499303</v>
      </c>
      <c r="BH33" s="216">
        <f t="shared" si="13"/>
        <v>141603.29067726227</v>
      </c>
      <c r="BI33" s="216">
        <f t="shared" si="13"/>
        <v>142388.83389329145</v>
      </c>
      <c r="BJ33" s="216">
        <f t="shared" si="13"/>
        <v>131946.06817054914</v>
      </c>
      <c r="BK33" s="216" t="s">
        <v>102</v>
      </c>
    </row>
    <row r="34" spans="1:64" ht="11.25" customHeight="1" x14ac:dyDescent="0.25">
      <c r="A34" s="12"/>
      <c r="B34" s="17"/>
      <c r="C34" s="65"/>
      <c r="D34" s="17"/>
      <c r="E34" s="397"/>
      <c r="F34" s="317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 t="s">
        <v>102</v>
      </c>
    </row>
    <row r="35" spans="1:64" ht="11.25" customHeight="1" x14ac:dyDescent="0.25">
      <c r="A35" s="12" t="s">
        <v>26</v>
      </c>
      <c r="B35" s="228" t="s">
        <v>196</v>
      </c>
      <c r="C35" s="231" t="s">
        <v>1</v>
      </c>
      <c r="D35" s="228"/>
      <c r="E35" s="400">
        <f t="shared" si="0"/>
        <v>4422225.9160367223</v>
      </c>
      <c r="F35" s="334" t="s">
        <v>26</v>
      </c>
      <c r="G35" s="232">
        <f>SUM(G33,G14)</f>
        <v>0</v>
      </c>
      <c r="H35" s="232">
        <f t="shared" ref="H35:BJ35" si="14">SUM(H33,H14)</f>
        <v>0</v>
      </c>
      <c r="I35" s="232">
        <f t="shared" si="14"/>
        <v>0</v>
      </c>
      <c r="J35" s="232">
        <f t="shared" si="14"/>
        <v>0</v>
      </c>
      <c r="K35" s="232">
        <f t="shared" si="14"/>
        <v>0</v>
      </c>
      <c r="L35" s="232">
        <f t="shared" si="14"/>
        <v>0</v>
      </c>
      <c r="M35" s="232">
        <f t="shared" si="14"/>
        <v>0</v>
      </c>
      <c r="N35" s="232">
        <f t="shared" si="14"/>
        <v>0</v>
      </c>
      <c r="O35" s="232">
        <f t="shared" si="14"/>
        <v>0</v>
      </c>
      <c r="P35" s="232">
        <f t="shared" si="14"/>
        <v>0</v>
      </c>
      <c r="Q35" s="232">
        <f t="shared" si="14"/>
        <v>0</v>
      </c>
      <c r="R35" s="232">
        <f t="shared" si="14"/>
        <v>0</v>
      </c>
      <c r="S35" s="232">
        <f t="shared" si="14"/>
        <v>0</v>
      </c>
      <c r="T35" s="232">
        <f t="shared" si="14"/>
        <v>0</v>
      </c>
      <c r="U35" s="232">
        <f t="shared" si="14"/>
        <v>0</v>
      </c>
      <c r="V35" s="232">
        <f t="shared" si="14"/>
        <v>0</v>
      </c>
      <c r="W35" s="232">
        <f t="shared" si="14"/>
        <v>77255.968276576561</v>
      </c>
      <c r="X35" s="232">
        <f t="shared" si="14"/>
        <v>78299.405889897258</v>
      </c>
      <c r="Y35" s="232">
        <f t="shared" si="14"/>
        <v>77673.010642778085</v>
      </c>
      <c r="Z35" s="232">
        <f t="shared" si="14"/>
        <v>79040.017679904617</v>
      </c>
      <c r="AA35" s="232">
        <f t="shared" si="14"/>
        <v>78407.697538465392</v>
      </c>
      <c r="AB35" s="232">
        <f t="shared" si="14"/>
        <v>79786.300968129493</v>
      </c>
      <c r="AC35" s="232">
        <f t="shared" si="14"/>
        <v>79148.010560384457</v>
      </c>
      <c r="AD35" s="232">
        <f t="shared" si="14"/>
        <v>74129.752311313263</v>
      </c>
      <c r="AE35" s="232">
        <f t="shared" si="14"/>
        <v>82789.334972221506</v>
      </c>
      <c r="AF35" s="232">
        <f t="shared" si="14"/>
        <v>83032.734732281999</v>
      </c>
      <c r="AG35" s="232">
        <f t="shared" si="14"/>
        <v>82368.472854423744</v>
      </c>
      <c r="AH35" s="232">
        <f t="shared" si="14"/>
        <v>82979.516076454704</v>
      </c>
      <c r="AI35" s="232">
        <f t="shared" si="14"/>
        <v>82315.679947843048</v>
      </c>
      <c r="AJ35" s="232">
        <f t="shared" si="14"/>
        <v>83902.726257237475</v>
      </c>
      <c r="AK35" s="232">
        <f t="shared" si="14"/>
        <v>106989.2222775643</v>
      </c>
      <c r="AL35" s="232">
        <f t="shared" si="14"/>
        <v>104671.66171020181</v>
      </c>
      <c r="AM35" s="232">
        <f t="shared" si="14"/>
        <v>118495.50580560003</v>
      </c>
      <c r="AN35" s="232">
        <f t="shared" si="14"/>
        <v>119140.93842011748</v>
      </c>
      <c r="AO35" s="232">
        <f t="shared" si="14"/>
        <v>119801.87190181589</v>
      </c>
      <c r="AP35" s="232">
        <f t="shared" si="14"/>
        <v>119813.48522220481</v>
      </c>
      <c r="AQ35" s="232">
        <f t="shared" si="14"/>
        <v>120478.14965235304</v>
      </c>
      <c r="AR35" s="232">
        <f t="shared" si="14"/>
        <v>120408.10911263601</v>
      </c>
      <c r="AS35" s="232">
        <f t="shared" si="14"/>
        <v>121076.07221445339</v>
      </c>
      <c r="AT35" s="232">
        <f t="shared" si="14"/>
        <v>112196.3797400217</v>
      </c>
      <c r="AU35" s="232">
        <f t="shared" si="14"/>
        <v>127014.00311824113</v>
      </c>
      <c r="AV35" s="232">
        <f t="shared" si="14"/>
        <v>127718.61236858439</v>
      </c>
      <c r="AW35" s="232">
        <f t="shared" si="14"/>
        <v>128427.13043357397</v>
      </c>
      <c r="AX35" s="232">
        <f t="shared" si="14"/>
        <v>129139.57899733033</v>
      </c>
      <c r="AY35" s="232">
        <f t="shared" si="14"/>
        <v>129855.97986426664</v>
      </c>
      <c r="AZ35" s="232">
        <f t="shared" si="14"/>
        <v>130576.35495975573</v>
      </c>
      <c r="BA35" s="232">
        <f t="shared" si="14"/>
        <v>131300.72633080132</v>
      </c>
      <c r="BB35" s="232">
        <f t="shared" si="14"/>
        <v>121671.15997501519</v>
      </c>
      <c r="BC35" s="232">
        <f t="shared" si="14"/>
        <v>137740.10470102538</v>
      </c>
      <c r="BD35" s="232">
        <f t="shared" si="14"/>
        <v>138504.21692119722</v>
      </c>
      <c r="BE35" s="232">
        <f t="shared" si="14"/>
        <v>139272.56804830389</v>
      </c>
      <c r="BF35" s="232">
        <f t="shared" si="14"/>
        <v>140045.18159765043</v>
      </c>
      <c r="BG35" s="232">
        <f t="shared" si="14"/>
        <v>140822.08121499303</v>
      </c>
      <c r="BH35" s="232">
        <f t="shared" si="14"/>
        <v>141603.29067726227</v>
      </c>
      <c r="BI35" s="232">
        <f t="shared" si="14"/>
        <v>142388.83389329145</v>
      </c>
      <c r="BJ35" s="232">
        <f t="shared" si="14"/>
        <v>131946.06817054914</v>
      </c>
      <c r="BK35" s="232" t="s">
        <v>102</v>
      </c>
    </row>
    <row r="36" spans="1:64" ht="11.25" customHeight="1" x14ac:dyDescent="0.25">
      <c r="A36" s="12"/>
      <c r="B36" s="12"/>
      <c r="C36" s="61"/>
      <c r="D36" s="12"/>
      <c r="E36" s="388"/>
      <c r="F36" s="335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</row>
    <row r="37" spans="1:64" ht="11.25" customHeight="1" x14ac:dyDescent="0.25">
      <c r="A37" s="12"/>
      <c r="B37" s="12"/>
      <c r="C37" s="61"/>
      <c r="D37" s="12"/>
      <c r="E37" s="388"/>
      <c r="F37" s="335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</row>
    <row r="38" spans="1:64" ht="11.25" customHeight="1" x14ac:dyDescent="0.25">
      <c r="A38" s="12"/>
      <c r="D38" s="12"/>
      <c r="E38" s="389"/>
      <c r="F38" s="80"/>
      <c r="G38" s="386"/>
      <c r="H38" s="386"/>
      <c r="I38" s="386"/>
      <c r="J38" s="386"/>
      <c r="K38" s="386"/>
      <c r="L38" s="386"/>
      <c r="M38" s="386"/>
      <c r="N38" s="386"/>
      <c r="O38" s="386"/>
      <c r="P38" s="386"/>
      <c r="Q38" s="386"/>
      <c r="R38" s="386"/>
      <c r="S38" s="386"/>
      <c r="T38" s="386"/>
      <c r="U38" s="386"/>
      <c r="V38" s="412">
        <v>2026</v>
      </c>
      <c r="W38" s="412">
        <f t="shared" ref="W38:AP38" si="15">V38+1</f>
        <v>2027</v>
      </c>
      <c r="X38" s="412">
        <f t="shared" si="15"/>
        <v>2028</v>
      </c>
      <c r="Y38" s="412">
        <f t="shared" si="15"/>
        <v>2029</v>
      </c>
      <c r="Z38" s="412">
        <f t="shared" si="15"/>
        <v>2030</v>
      </c>
      <c r="AA38" s="412">
        <f t="shared" si="15"/>
        <v>2031</v>
      </c>
      <c r="AB38" s="412">
        <f t="shared" si="15"/>
        <v>2032</v>
      </c>
      <c r="AC38" s="412">
        <f t="shared" si="15"/>
        <v>2033</v>
      </c>
      <c r="AD38" s="412">
        <f t="shared" si="15"/>
        <v>2034</v>
      </c>
      <c r="AE38" s="412">
        <f t="shared" si="15"/>
        <v>2035</v>
      </c>
      <c r="AF38" s="412">
        <f t="shared" si="15"/>
        <v>2036</v>
      </c>
      <c r="AG38" s="412">
        <f t="shared" si="15"/>
        <v>2037</v>
      </c>
      <c r="AH38" s="412">
        <f t="shared" si="15"/>
        <v>2038</v>
      </c>
      <c r="AI38" s="412">
        <f t="shared" si="15"/>
        <v>2039</v>
      </c>
      <c r="AJ38" s="412">
        <f t="shared" si="15"/>
        <v>2040</v>
      </c>
      <c r="AK38" s="412">
        <f t="shared" si="15"/>
        <v>2041</v>
      </c>
      <c r="AL38" s="412">
        <f t="shared" si="15"/>
        <v>2042</v>
      </c>
      <c r="AM38" s="412">
        <f t="shared" si="15"/>
        <v>2043</v>
      </c>
      <c r="AN38" s="412">
        <f t="shared" si="15"/>
        <v>2044</v>
      </c>
      <c r="AO38" s="412">
        <f t="shared" si="15"/>
        <v>2045</v>
      </c>
      <c r="AP38" s="412">
        <f t="shared" si="15"/>
        <v>2046</v>
      </c>
      <c r="AR38" s="412"/>
      <c r="AS38" s="412"/>
      <c r="AT38" s="412"/>
      <c r="AU38" s="412"/>
      <c r="AV38" s="412"/>
      <c r="AW38" s="412"/>
      <c r="AX38" s="412"/>
      <c r="AY38" s="412"/>
      <c r="AZ38" s="412"/>
      <c r="BA38" s="412"/>
      <c r="BB38" s="412"/>
      <c r="BC38" s="412"/>
      <c r="BD38" s="412"/>
      <c r="BE38" s="412"/>
      <c r="BF38" s="412"/>
      <c r="BG38" s="412"/>
      <c r="BH38" s="412"/>
      <c r="BI38" s="412"/>
      <c r="BJ38" s="386"/>
      <c r="BK38" s="23"/>
    </row>
    <row r="39" spans="1:64" ht="11.25" customHeight="1" x14ac:dyDescent="0.25">
      <c r="A39" s="12"/>
      <c r="B39" s="37"/>
      <c r="C39" s="37"/>
      <c r="D39" s="37"/>
      <c r="E39" s="401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413" t="s">
        <v>77</v>
      </c>
      <c r="V39" s="54">
        <f>V35+W35</f>
        <v>77255.968276576561</v>
      </c>
      <c r="W39" s="54">
        <f>SUM(X35:Y35)</f>
        <v>155972.41653267533</v>
      </c>
      <c r="X39" s="54">
        <f>SUM(Z35:AA35)</f>
        <v>157447.71521837002</v>
      </c>
      <c r="Y39" s="54">
        <f>SUM(AB35:AC35)</f>
        <v>158934.31152851396</v>
      </c>
      <c r="Z39" s="54">
        <f>SUM(AD35:AE35)</f>
        <v>156919.08728353475</v>
      </c>
      <c r="AA39" s="54">
        <f>SUM(AF35:AG35)</f>
        <v>165401.20758670574</v>
      </c>
      <c r="AB39" s="54">
        <f>SUM(AH35:AI35)</f>
        <v>165295.19602429774</v>
      </c>
      <c r="AC39" s="54">
        <f>SUM(AJ35:AK35)</f>
        <v>190891.94853480178</v>
      </c>
      <c r="AD39" s="54">
        <f>SUM(AL35:AM35)</f>
        <v>223167.16751580185</v>
      </c>
      <c r="AE39" s="54">
        <f>SUM(AN35:AO35)</f>
        <v>238942.81032193336</v>
      </c>
      <c r="AF39" s="54">
        <f>SUM(AP35:AQ35)</f>
        <v>240291.63487455784</v>
      </c>
      <c r="AG39" s="54">
        <f>SUM(AR35:AS35)</f>
        <v>241484.18132708941</v>
      </c>
      <c r="AH39" s="54">
        <f>SUM(AT35:AU35)</f>
        <v>239210.38285826283</v>
      </c>
      <c r="AI39" s="54">
        <f>SUM(AV35:AW35)</f>
        <v>256145.74280215835</v>
      </c>
      <c r="AJ39" s="54">
        <f>SUM(AX35:AY35)</f>
        <v>258995.55886159698</v>
      </c>
      <c r="AK39" s="54">
        <f>SUM(AZ35:BA35)</f>
        <v>261877.08129055705</v>
      </c>
      <c r="AL39" s="54">
        <f>SUM(BB35:BC35)</f>
        <v>259411.26467604056</v>
      </c>
      <c r="AM39" s="54">
        <f>SUM(BD35:BE35)</f>
        <v>277776.78496950108</v>
      </c>
      <c r="AN39" s="54">
        <f>SUM(BF35:BG35)</f>
        <v>280867.26281264343</v>
      </c>
      <c r="AO39" s="54">
        <f>SUM(BH35:BI35)</f>
        <v>283992.12457055371</v>
      </c>
      <c r="AP39" s="54">
        <f>SUM(BJ35)</f>
        <v>131946.06817054914</v>
      </c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</row>
    <row r="40" spans="1:64" ht="11.25" customHeight="1" x14ac:dyDescent="0.25">
      <c r="A40" s="12"/>
      <c r="B40" s="40"/>
      <c r="C40" s="40"/>
      <c r="D40" s="40"/>
      <c r="E40" s="402"/>
      <c r="F40" s="336"/>
      <c r="G40" s="40"/>
      <c r="H40" s="40"/>
      <c r="I40" s="40"/>
      <c r="J40" s="40"/>
      <c r="K40" s="40"/>
      <c r="L40" s="40"/>
      <c r="M40" s="37"/>
      <c r="N40" s="37"/>
      <c r="O40" s="37"/>
      <c r="P40" s="37"/>
      <c r="Q40" s="37"/>
      <c r="R40" s="37"/>
      <c r="S40" s="37"/>
      <c r="T40" s="37"/>
      <c r="U40" s="413" t="s">
        <v>200</v>
      </c>
      <c r="V40" s="54">
        <f>Costs!W75</f>
        <v>39274.965260583682</v>
      </c>
      <c r="W40" s="54">
        <f>Costs!X75</f>
        <v>78978.139196294389</v>
      </c>
      <c r="X40" s="54">
        <f>Costs!Y75</f>
        <v>79552.494079793847</v>
      </c>
      <c r="Y40" s="54">
        <f>Costs!Z75</f>
        <v>80137.140301948239</v>
      </c>
      <c r="Z40" s="54">
        <f>Costs!AA75</f>
        <v>92103.80616106141</v>
      </c>
      <c r="AA40" s="54">
        <f>Costs!AB75</f>
        <v>83198.789432800171</v>
      </c>
      <c r="AB40" s="54">
        <f>Costs!AC75</f>
        <v>83755.487707247143</v>
      </c>
      <c r="AC40" s="54">
        <f>Costs!AD75</f>
        <v>125035.75013414086</v>
      </c>
      <c r="AD40" s="54">
        <f>Costs!AE75</f>
        <v>185577.81649316804</v>
      </c>
      <c r="AE40" s="54">
        <f>Costs!AF75</f>
        <v>174856.72445297087</v>
      </c>
      <c r="AF40" s="54">
        <f>Costs!AG75</f>
        <v>176674.31881230342</v>
      </c>
      <c r="AG40" s="54">
        <f>Costs!AH75</f>
        <v>178492.70390722947</v>
      </c>
      <c r="AH40" s="54">
        <f>Costs!AI75</f>
        <v>194244.87330191775</v>
      </c>
      <c r="AI40" s="54">
        <f>Costs!AJ75</f>
        <v>191051.37585363275</v>
      </c>
      <c r="AJ40" s="54">
        <f>Costs!AK75</f>
        <v>195125.90765371959</v>
      </c>
      <c r="AK40" s="54">
        <f>Costs!AL75</f>
        <v>199292.25963784871</v>
      </c>
      <c r="AL40" s="54">
        <f>Costs!AM75</f>
        <v>224762.3253695399</v>
      </c>
      <c r="AM40" s="54">
        <f>Costs!AN75</f>
        <v>213364.92410830723</v>
      </c>
      <c r="AN40" s="54">
        <f>Costs!AO75</f>
        <v>217935.13375592857</v>
      </c>
      <c r="AO40" s="54">
        <f>Costs!AP75</f>
        <v>222608.08943456298</v>
      </c>
      <c r="AP40" s="54">
        <f>Costs!AQ75</f>
        <v>124884.18519078166</v>
      </c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</row>
    <row r="41" spans="1:64" ht="11.25" customHeight="1" x14ac:dyDescent="0.25">
      <c r="A41" s="12"/>
      <c r="B41" s="40"/>
      <c r="C41" s="40"/>
      <c r="D41" s="40"/>
      <c r="E41" s="402"/>
      <c r="F41" s="336"/>
      <c r="G41" s="40"/>
      <c r="H41" s="40"/>
      <c r="I41" s="40"/>
      <c r="J41" s="40"/>
      <c r="K41" s="40"/>
      <c r="L41" s="40"/>
      <c r="M41" s="37"/>
      <c r="N41" s="37"/>
      <c r="O41" s="37"/>
      <c r="P41" s="37"/>
      <c r="Q41" s="37"/>
      <c r="R41" s="37"/>
      <c r="S41" s="37"/>
      <c r="T41" s="37"/>
      <c r="U41" s="413" t="s">
        <v>142</v>
      </c>
      <c r="V41" s="54">
        <f>-Debt!V29</f>
        <v>19585.209233762856</v>
      </c>
      <c r="W41" s="54">
        <f>-Debt!W29</f>
        <v>39170.418467525713</v>
      </c>
      <c r="X41" s="54">
        <f>-Debt!X29</f>
        <v>39170.418467525713</v>
      </c>
      <c r="Y41" s="54">
        <f>-Debt!Y29</f>
        <v>39170.418467525713</v>
      </c>
      <c r="Z41" s="54">
        <f>-Debt!Z29</f>
        <v>39170.418467525713</v>
      </c>
      <c r="AA41" s="54">
        <f>-Debt!AA29</f>
        <v>39170.418467525713</v>
      </c>
      <c r="AB41" s="54">
        <f>-Debt!AB29</f>
        <v>39170.418467525713</v>
      </c>
      <c r="AC41" s="54">
        <f>-Debt!AC29</f>
        <v>39170.418467525713</v>
      </c>
      <c r="AD41" s="54">
        <f>-Debt!AD29</f>
        <v>39170.418467525713</v>
      </c>
      <c r="AE41" s="54">
        <f>-Debt!AE29</f>
        <v>39170.418467525713</v>
      </c>
      <c r="AF41" s="54">
        <f>-Debt!AF29</f>
        <v>39170.418467525713</v>
      </c>
      <c r="AG41" s="54">
        <f>-Debt!AG29</f>
        <v>39170.418467525713</v>
      </c>
      <c r="AH41" s="54">
        <f>-Debt!AH29</f>
        <v>39170.418467525713</v>
      </c>
      <c r="AI41" s="54">
        <f>-Debt!AI29</f>
        <v>19585.209233762856</v>
      </c>
      <c r="AJ41" s="54">
        <f>-Debt!AJ29</f>
        <v>0</v>
      </c>
      <c r="AK41" s="54">
        <f>-Debt!AK29</f>
        <v>0</v>
      </c>
      <c r="AL41" s="54">
        <f>-Debt!AL29</f>
        <v>0</v>
      </c>
      <c r="AM41" s="54">
        <f>-Debt!AM29</f>
        <v>0</v>
      </c>
      <c r="AN41" s="54">
        <f>-Debt!AN29</f>
        <v>0</v>
      </c>
      <c r="AO41" s="54">
        <f>-Debt!AO29</f>
        <v>0</v>
      </c>
      <c r="AP41" s="54">
        <f>-Debt!AP29</f>
        <v>0</v>
      </c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</row>
    <row r="42" spans="1:64" ht="11.25" customHeight="1" x14ac:dyDescent="0.25">
      <c r="A42" s="12"/>
      <c r="B42" s="40"/>
      <c r="C42" s="40"/>
      <c r="D42" s="40"/>
      <c r="E42" s="402"/>
      <c r="F42" s="336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13" t="s">
        <v>492</v>
      </c>
      <c r="V42" s="54">
        <f>-Debt!V30</f>
        <v>7977.0583274995479</v>
      </c>
      <c r="W42" s="54">
        <f>-Debt!W30</f>
        <v>16805.153290681359</v>
      </c>
      <c r="X42" s="54">
        <f>-Debt!X30</f>
        <v>18007.318712022847</v>
      </c>
      <c r="Y42" s="54">
        <f>-Debt!Y30</f>
        <v>19295.481664911429</v>
      </c>
      <c r="Z42" s="54">
        <f>-Debt!Z30</f>
        <v>20675.794027700038</v>
      </c>
      <c r="AA42" s="54">
        <f>-Debt!AA30</f>
        <v>22154.847756573941</v>
      </c>
      <c r="AB42" s="54">
        <f>-Debt!AB30</f>
        <v>23739.706366748411</v>
      </c>
      <c r="AC42" s="54">
        <f>-Debt!AC30</f>
        <v>25437.938665690333</v>
      </c>
      <c r="AD42" s="54">
        <f>-Debt!AD30</f>
        <v>27257.65489946345</v>
      </c>
      <c r="AE42" s="54">
        <f>-Debt!AE30</f>
        <v>29207.54548482125</v>
      </c>
      <c r="AF42" s="54">
        <f>-Debt!AF30</f>
        <v>31296.922512020457</v>
      </c>
      <c r="AG42" s="54">
        <f>-Debt!AG30</f>
        <v>33535.764216559852</v>
      </c>
      <c r="AH42" s="54">
        <f>-Debt!AH30</f>
        <v>35934.762632228259</v>
      </c>
      <c r="AI42" s="54">
        <f>-Debt!AI30</f>
        <v>18920.165419275327</v>
      </c>
      <c r="AJ42" s="54">
        <f>-Debt!AJ30</f>
        <v>0</v>
      </c>
      <c r="AK42" s="54">
        <f>-Debt!AK30</f>
        <v>0</v>
      </c>
      <c r="AL42" s="54">
        <f>-Debt!AL30</f>
        <v>0</v>
      </c>
      <c r="AM42" s="54">
        <f>-Debt!AM30</f>
        <v>0</v>
      </c>
      <c r="AN42" s="54">
        <f>-Debt!AN30</f>
        <v>0</v>
      </c>
      <c r="AO42" s="54">
        <f>-Debt!AO30</f>
        <v>0</v>
      </c>
      <c r="AP42" s="54">
        <f>-Debt!AP30</f>
        <v>0</v>
      </c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</row>
    <row r="43" spans="1:64" ht="11.25" customHeight="1" x14ac:dyDescent="0.25">
      <c r="A43" s="12"/>
      <c r="B43" s="40"/>
      <c r="C43" s="40"/>
      <c r="D43" s="40"/>
      <c r="E43" s="402"/>
      <c r="F43" s="336"/>
      <c r="G43" s="40"/>
      <c r="H43" s="40"/>
      <c r="I43" s="40"/>
      <c r="J43" s="40"/>
      <c r="K43" s="40"/>
      <c r="L43" s="40"/>
      <c r="M43" s="42"/>
      <c r="N43" s="42"/>
      <c r="O43" s="42"/>
      <c r="P43" s="42"/>
      <c r="Q43" s="42"/>
      <c r="R43" s="42"/>
      <c r="S43" s="42"/>
      <c r="T43" s="42"/>
      <c r="U43" s="413" t="s">
        <v>491</v>
      </c>
      <c r="V43" s="54">
        <f>-Debt!V31</f>
        <v>11608.150906263309</v>
      </c>
      <c r="W43" s="54">
        <f>-Debt!W31</f>
        <v>22365.265176844354</v>
      </c>
      <c r="X43" s="54">
        <f>-Debt!X31</f>
        <v>21163.099755502866</v>
      </c>
      <c r="Y43" s="54">
        <f>-Debt!Y31</f>
        <v>19874.936802614284</v>
      </c>
      <c r="Z43" s="54">
        <f>-Debt!Z31</f>
        <v>18494.624439825675</v>
      </c>
      <c r="AA43" s="54">
        <f>-Debt!AA31</f>
        <v>17015.570710951775</v>
      </c>
      <c r="AB43" s="54">
        <f>-Debt!AB31</f>
        <v>15430.712100777304</v>
      </c>
      <c r="AC43" s="54">
        <f>-Debt!AC31</f>
        <v>13732.479801835379</v>
      </c>
      <c r="AD43" s="54">
        <f>-Debt!AD31</f>
        <v>11912.763568062268</v>
      </c>
      <c r="AE43" s="54">
        <f>-Debt!AE31</f>
        <v>9962.8729827044663</v>
      </c>
      <c r="AF43" s="54">
        <f>-Debt!AF31</f>
        <v>7873.495955505261</v>
      </c>
      <c r="AG43" s="54">
        <f>-Debt!AG31</f>
        <v>5634.6542509658648</v>
      </c>
      <c r="AH43" s="54">
        <f>-Debt!AH31</f>
        <v>3235.6558352974535</v>
      </c>
      <c r="AI43" s="54">
        <f>-Debt!AI31</f>
        <v>665.04381448752849</v>
      </c>
      <c r="AJ43" s="54">
        <f>-Debt!AJ31</f>
        <v>0</v>
      </c>
      <c r="AK43" s="54">
        <f>-Debt!AK31</f>
        <v>0</v>
      </c>
      <c r="AL43" s="54">
        <f>-Debt!AL31</f>
        <v>0</v>
      </c>
      <c r="AM43" s="54">
        <f>-Debt!AM31</f>
        <v>0</v>
      </c>
      <c r="AN43" s="54">
        <f>-Debt!AN31</f>
        <v>0</v>
      </c>
      <c r="AO43" s="54">
        <f>-Debt!AO31</f>
        <v>0</v>
      </c>
      <c r="AP43" s="54">
        <f>-Debt!AP31</f>
        <v>0</v>
      </c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</row>
    <row r="44" spans="1:64" ht="11.25" customHeight="1" x14ac:dyDescent="0.25">
      <c r="A44" s="12"/>
      <c r="B44" s="40"/>
      <c r="C44" s="40"/>
      <c r="D44" s="40"/>
      <c r="E44" s="402"/>
      <c r="F44" s="336"/>
      <c r="G44" s="40"/>
      <c r="H44" s="40"/>
      <c r="I44" s="40"/>
      <c r="J44" s="40"/>
      <c r="K44" s="40"/>
      <c r="L44" s="40"/>
      <c r="M44" s="42"/>
      <c r="N44" s="42"/>
      <c r="O44" s="42"/>
      <c r="P44" s="42"/>
      <c r="Q44" s="42"/>
      <c r="R44" s="42"/>
      <c r="S44" s="42"/>
      <c r="T44" s="42"/>
      <c r="U44" s="413" t="s">
        <v>89</v>
      </c>
      <c r="V44" s="42">
        <f>Tax!W32</f>
        <v>4404.7111782174261</v>
      </c>
      <c r="W44" s="42">
        <f>Tax!X32</f>
        <v>9280.2493414542241</v>
      </c>
      <c r="X44" s="42">
        <f>Tax!Y32</f>
        <v>9806.0266473383963</v>
      </c>
      <c r="Y44" s="42">
        <f>Tax!Z32</f>
        <v>10353.554907557927</v>
      </c>
      <c r="Z44" s="42">
        <f>Tax!AA32</f>
        <v>7203.1604722319917</v>
      </c>
      <c r="AA44" s="42">
        <f>Tax!AB32</f>
        <v>11919.708162308523</v>
      </c>
      <c r="AB44" s="42">
        <f>Tax!AC32</f>
        <v>12150.245355638397</v>
      </c>
      <c r="AC44" s="42">
        <f>Tax!AD32</f>
        <v>8653.9259512764511</v>
      </c>
      <c r="AD44" s="42">
        <f>Tax!AE32</f>
        <v>3298.8642543146648</v>
      </c>
      <c r="AE44" s="42">
        <f>Tax!AF32</f>
        <v>8825.421645898361</v>
      </c>
      <c r="AF44" s="42">
        <f>Tax!AG32</f>
        <v>9240.6667054028658</v>
      </c>
      <c r="AG44" s="42">
        <f>Tax!AH32</f>
        <v>9643.9174709390936</v>
      </c>
      <c r="AH44" s="42">
        <f>Tax!AI32</f>
        <v>5729.5150353558356</v>
      </c>
      <c r="AI44" s="42">
        <f>Tax!AJ32</f>
        <v>11704.584070867055</v>
      </c>
      <c r="AJ44" s="42">
        <f>Tax!AK32</f>
        <v>11541.446080455007</v>
      </c>
      <c r="AK44" s="42">
        <f>Tax!AL32</f>
        <v>11220.238691662755</v>
      </c>
      <c r="AL44" s="42">
        <f>Tax!AM32</f>
        <v>5817.9906067719239</v>
      </c>
      <c r="AM44" s="42">
        <f>Tax!AN32</f>
        <v>11281.56786836886</v>
      </c>
      <c r="AN44" s="42">
        <f>Tax!AO32</f>
        <v>10911.634917249114</v>
      </c>
      <c r="AO44" s="42">
        <f>Tax!AP32</f>
        <v>10524.611437068073</v>
      </c>
      <c r="AP44" s="42">
        <f>Tax!AQ32</f>
        <v>0</v>
      </c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</row>
    <row r="45" spans="1:64" ht="11.25" customHeight="1" x14ac:dyDescent="0.25">
      <c r="A45" s="12"/>
      <c r="B45" s="40"/>
      <c r="C45" s="40"/>
      <c r="D45" s="40"/>
      <c r="E45" s="402"/>
      <c r="F45" s="336"/>
      <c r="G45" s="40"/>
      <c r="H45" s="40"/>
      <c r="I45" s="40"/>
      <c r="J45" s="40"/>
      <c r="K45" s="40"/>
      <c r="L45" s="40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</row>
    <row r="46" spans="1:64" ht="11.25" customHeight="1" x14ac:dyDescent="0.25">
      <c r="A46" s="22"/>
      <c r="B46" s="192"/>
      <c r="C46" s="76"/>
      <c r="D46" s="22"/>
      <c r="E46" s="403"/>
      <c r="F46" s="80"/>
      <c r="G46" s="191"/>
      <c r="H46" s="191"/>
      <c r="I46" s="191"/>
      <c r="J46" s="191"/>
      <c r="K46" s="191"/>
      <c r="L46" s="191"/>
      <c r="M46" s="191"/>
      <c r="N46" s="191"/>
      <c r="O46" s="191"/>
      <c r="P46" s="191"/>
      <c r="Q46" s="191"/>
      <c r="R46" s="191"/>
      <c r="S46" s="191"/>
      <c r="T46" s="191"/>
      <c r="U46" s="191"/>
      <c r="V46" s="191"/>
      <c r="W46" s="191"/>
      <c r="X46" s="191"/>
      <c r="Y46" s="191"/>
      <c r="Z46" s="191"/>
      <c r="AA46" s="191"/>
      <c r="AB46" s="82"/>
      <c r="AC46" s="82"/>
      <c r="AD46" s="82"/>
      <c r="AE46" s="82"/>
      <c r="AF46" s="82"/>
      <c r="AG46" s="82"/>
      <c r="AH46" s="82"/>
      <c r="AI46" s="82"/>
      <c r="AJ46" s="82"/>
      <c r="AK46" s="82"/>
      <c r="AL46" s="82"/>
      <c r="AM46" s="82"/>
      <c r="AN46" s="82"/>
      <c r="AO46" s="82"/>
      <c r="AP46" s="82"/>
      <c r="AQ46" s="82"/>
      <c r="AR46" s="82"/>
      <c r="AS46" s="82"/>
      <c r="AT46" s="82"/>
      <c r="AU46" s="82"/>
      <c r="AV46" s="82"/>
      <c r="AW46" s="82"/>
      <c r="AX46" s="82"/>
      <c r="AY46" s="82"/>
      <c r="AZ46" s="82"/>
      <c r="BA46" s="82"/>
      <c r="BB46" s="82"/>
      <c r="BC46" s="82"/>
      <c r="BD46" s="82"/>
      <c r="BE46" s="82"/>
      <c r="BF46" s="82"/>
      <c r="BG46" s="82"/>
      <c r="BH46" s="82"/>
      <c r="BI46" s="82"/>
      <c r="BJ46" s="82"/>
      <c r="BK46" s="12"/>
      <c r="BL46" s="12"/>
    </row>
    <row r="47" spans="1:64" ht="11.25" customHeight="1" x14ac:dyDescent="0.25">
      <c r="A47" s="37"/>
      <c r="B47" s="37"/>
      <c r="C47" s="39"/>
      <c r="D47" s="37"/>
      <c r="E47" s="401"/>
      <c r="F47" s="192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</row>
    <row r="48" spans="1:64" ht="11.25" customHeight="1" x14ac:dyDescent="0.25">
      <c r="A48" s="37"/>
      <c r="B48" s="37"/>
      <c r="C48" s="39"/>
      <c r="D48" s="37"/>
      <c r="E48" s="401"/>
      <c r="F48" s="192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</row>
    <row r="49" spans="1:64" ht="11.25" customHeight="1" x14ac:dyDescent="0.25">
      <c r="A49" s="37"/>
      <c r="B49" s="189"/>
      <c r="C49" s="190"/>
      <c r="D49" s="37"/>
      <c r="E49" s="401"/>
      <c r="F49" s="192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37"/>
      <c r="BL49" s="37"/>
    </row>
    <row r="50" spans="1:64" ht="11.25" customHeight="1" x14ac:dyDescent="0.25">
      <c r="A50" s="37"/>
      <c r="B50" s="189"/>
      <c r="C50" s="190"/>
      <c r="D50" s="37"/>
      <c r="E50" s="401"/>
      <c r="F50" s="192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37"/>
      <c r="BL50" s="37"/>
    </row>
    <row r="51" spans="1:64" ht="11.25" customHeight="1" x14ac:dyDescent="0.25">
      <c r="A51" s="37"/>
      <c r="B51" s="37"/>
      <c r="C51" s="190"/>
      <c r="D51" s="37"/>
      <c r="E51" s="401"/>
      <c r="F51" s="19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37"/>
      <c r="BL51" s="37"/>
    </row>
    <row r="52" spans="1:64" ht="11.25" customHeight="1" x14ac:dyDescent="0.25">
      <c r="A52" s="37"/>
      <c r="B52" s="37"/>
      <c r="C52" s="190"/>
      <c r="D52" s="37"/>
      <c r="E52" s="401"/>
      <c r="F52" s="19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37"/>
      <c r="BL52" s="37"/>
    </row>
    <row r="53" spans="1:64" ht="11.25" customHeight="1" x14ac:dyDescent="0.25">
      <c r="A53" s="37"/>
      <c r="B53" s="34"/>
      <c r="C53" s="35"/>
      <c r="D53" s="36"/>
      <c r="E53" s="401"/>
      <c r="F53" s="192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</row>
    <row r="54" spans="1:64" ht="11.25" customHeight="1" x14ac:dyDescent="0.25">
      <c r="A54" s="37"/>
      <c r="B54" s="34"/>
      <c r="C54" s="35"/>
      <c r="D54" s="38"/>
      <c r="E54" s="401"/>
      <c r="F54" s="192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</row>
    <row r="55" spans="1:64" ht="11.25" customHeight="1" x14ac:dyDescent="0.25">
      <c r="A55" s="37"/>
      <c r="B55" s="37"/>
      <c r="C55" s="39"/>
      <c r="D55" s="37"/>
      <c r="E55" s="401"/>
      <c r="F55" s="192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  <c r="BK55" s="37"/>
      <c r="BL55" s="37"/>
    </row>
    <row r="56" spans="1:64" ht="11.25" customHeight="1" x14ac:dyDescent="0.25">
      <c r="A56" s="37"/>
      <c r="B56" s="189"/>
      <c r="C56" s="190"/>
      <c r="D56" s="37"/>
      <c r="E56" s="401"/>
      <c r="F56" s="192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  <c r="BK56" s="37"/>
      <c r="BL56" s="37"/>
    </row>
    <row r="57" spans="1:64" ht="11.25" customHeight="1" x14ac:dyDescent="0.25">
      <c r="A57" s="37"/>
      <c r="B57" s="189"/>
      <c r="C57" s="190"/>
      <c r="D57" s="37"/>
      <c r="E57" s="401"/>
      <c r="F57" s="192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</row>
    <row r="58" spans="1:64" ht="11.25" customHeight="1" x14ac:dyDescent="0.25">
      <c r="A58" s="37"/>
      <c r="B58" s="189"/>
      <c r="C58" s="190"/>
      <c r="D58" s="37"/>
      <c r="E58" s="401"/>
      <c r="F58" s="192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  <c r="BK58" s="37"/>
      <c r="BL58" s="37"/>
    </row>
    <row r="59" spans="1:64" ht="11.25" customHeight="1" x14ac:dyDescent="0.25">
      <c r="A59" s="37"/>
      <c r="B59" s="189"/>
      <c r="C59" s="190"/>
      <c r="D59" s="37"/>
      <c r="E59" s="401"/>
      <c r="F59" s="192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  <c r="BK59" s="37"/>
      <c r="BL59" s="37"/>
    </row>
    <row r="60" spans="1:64" ht="11.25" customHeight="1" x14ac:dyDescent="0.25">
      <c r="A60" s="37"/>
      <c r="B60" s="189"/>
      <c r="C60" s="190"/>
      <c r="D60" s="37"/>
      <c r="E60" s="401"/>
      <c r="F60" s="192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  <c r="BK60" s="37"/>
      <c r="BL60" s="37"/>
    </row>
    <row r="61" spans="1:64" ht="11.25" customHeight="1" x14ac:dyDescent="0.25">
      <c r="A61" s="12"/>
      <c r="B61" s="12"/>
      <c r="C61" s="76"/>
      <c r="D61" s="12"/>
      <c r="E61" s="389"/>
      <c r="F61" s="80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23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</row>
    <row r="62" spans="1:64" ht="11.25" customHeight="1" x14ac:dyDescent="0.25">
      <c r="A62" s="12"/>
      <c r="B62" s="12"/>
      <c r="C62" s="76"/>
      <c r="D62" s="12"/>
      <c r="E62" s="389"/>
      <c r="F62" s="80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7" tint="0.79998168889431442"/>
  </sheetPr>
  <dimension ref="A1:BK80"/>
  <sheetViews>
    <sheetView tabSelected="1" zoomScale="110" zoomScaleNormal="110" zoomScalePageLayoutView="120" workbookViewId="0">
      <pane xSplit="5" ySplit="3" topLeftCell="V34" activePane="bottomRight" state="frozen"/>
      <selection activeCell="H66" sqref="H66"/>
      <selection pane="topRight" activeCell="H66" sqref="H66"/>
      <selection pane="bottomLeft" activeCell="H66" sqref="H66"/>
      <selection pane="bottomRight" activeCell="V71" sqref="V71"/>
    </sheetView>
  </sheetViews>
  <sheetFormatPr defaultColWidth="8.7109375" defaultRowHeight="10.7" customHeight="1" x14ac:dyDescent="0.25"/>
  <cols>
    <col min="1" max="1" width="1.7109375" customWidth="1"/>
    <col min="2" max="2" width="24.7109375" customWidth="1"/>
    <col min="3" max="3" width="15.85546875" bestFit="1" customWidth="1"/>
    <col min="4" max="4" width="8.7109375" customWidth="1"/>
    <col min="5" max="5" width="10.7109375" customWidth="1"/>
    <col min="6" max="6" width="1.7109375" style="305" customWidth="1"/>
    <col min="7" max="28" width="8.7109375" customWidth="1"/>
    <col min="29" max="62" width="9.28515625" bestFit="1" customWidth="1"/>
    <col min="63" max="63" width="3" bestFit="1" customWidth="1"/>
  </cols>
  <sheetData>
    <row r="1" spans="1:63" ht="11.1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63" ht="11.1" customHeight="1" x14ac:dyDescent="0.25">
      <c r="A2" s="200" t="s">
        <v>395</v>
      </c>
      <c r="B2" s="201"/>
      <c r="C2" s="202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63" ht="11.1" customHeight="1" x14ac:dyDescent="0.25">
      <c r="A3" s="200"/>
      <c r="B3" s="201"/>
      <c r="C3" s="202"/>
      <c r="D3" s="200"/>
      <c r="E3" s="203" t="s">
        <v>403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63" ht="11.1" customHeight="1" x14ac:dyDescent="0.25">
      <c r="A4" s="17"/>
      <c r="B4" s="18"/>
      <c r="C4" s="151"/>
      <c r="D4" s="17"/>
      <c r="E4" s="152"/>
      <c r="F4" s="80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t="s">
        <v>102</v>
      </c>
    </row>
    <row r="5" spans="1:63" ht="11.1" customHeight="1" x14ac:dyDescent="0.25">
      <c r="A5" s="17">
        <v>1</v>
      </c>
      <c r="B5" s="18" t="s">
        <v>414</v>
      </c>
      <c r="C5" s="151"/>
      <c r="D5" s="17"/>
      <c r="E5" s="152"/>
      <c r="F5" s="80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t="s">
        <v>102</v>
      </c>
    </row>
    <row r="6" spans="1:63" ht="11.25" customHeight="1" x14ac:dyDescent="0.25">
      <c r="A6" s="12" t="s">
        <v>26</v>
      </c>
      <c r="B6" s="17" t="s">
        <v>198</v>
      </c>
      <c r="C6" s="68"/>
      <c r="D6" s="12"/>
      <c r="E6" s="32"/>
      <c r="F6" s="80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t="s">
        <v>102</v>
      </c>
    </row>
    <row r="7" spans="1:63" ht="11.25" customHeight="1" x14ac:dyDescent="0.25">
      <c r="A7" s="12"/>
      <c r="B7" s="12" t="s">
        <v>105</v>
      </c>
      <c r="C7" s="68" t="s">
        <v>101</v>
      </c>
      <c r="D7" s="12"/>
      <c r="E7" s="23">
        <f>SUM(G7:BJ7)</f>
        <v>40</v>
      </c>
      <c r="F7" s="80" t="s">
        <v>26</v>
      </c>
      <c r="G7" s="20">
        <f>'Time &amp; Technical'!G26</f>
        <v>0</v>
      </c>
      <c r="H7" s="20">
        <f>'Time &amp; Technical'!H26</f>
        <v>0</v>
      </c>
      <c r="I7" s="20">
        <f>'Time &amp; Technical'!I26</f>
        <v>0</v>
      </c>
      <c r="J7" s="20">
        <f>'Time &amp; Technical'!J26</f>
        <v>0</v>
      </c>
      <c r="K7" s="20">
        <f>'Time &amp; Technical'!K26</f>
        <v>0</v>
      </c>
      <c r="L7" s="20">
        <f>'Time &amp; Technical'!L26</f>
        <v>0</v>
      </c>
      <c r="M7" s="20">
        <f>'Time &amp; Technical'!M26</f>
        <v>0</v>
      </c>
      <c r="N7" s="20">
        <f>'Time &amp; Technical'!N26</f>
        <v>0</v>
      </c>
      <c r="O7" s="20">
        <f>'Time &amp; Technical'!O26</f>
        <v>0</v>
      </c>
      <c r="P7" s="20">
        <f>'Time &amp; Technical'!P26</f>
        <v>0</v>
      </c>
      <c r="Q7" s="20">
        <f>'Time &amp; Technical'!Q26</f>
        <v>0</v>
      </c>
      <c r="R7" s="20">
        <f>'Time &amp; Technical'!R26</f>
        <v>0</v>
      </c>
      <c r="S7" s="20">
        <f>'Time &amp; Technical'!S26</f>
        <v>0</v>
      </c>
      <c r="T7" s="20">
        <f>'Time &amp; Technical'!T26</f>
        <v>0</v>
      </c>
      <c r="U7" s="20">
        <f>'Time &amp; Technical'!U26</f>
        <v>0</v>
      </c>
      <c r="V7" s="20">
        <f>'Time &amp; Technical'!V26</f>
        <v>0</v>
      </c>
      <c r="W7" s="20">
        <f>'Time &amp; Technical'!W26</f>
        <v>1</v>
      </c>
      <c r="X7" s="20">
        <f>'Time &amp; Technical'!X26</f>
        <v>1</v>
      </c>
      <c r="Y7" s="20">
        <f>'Time &amp; Technical'!Y26</f>
        <v>1</v>
      </c>
      <c r="Z7" s="20">
        <f>'Time &amp; Technical'!Z26</f>
        <v>1</v>
      </c>
      <c r="AA7" s="20">
        <f>'Time &amp; Technical'!AA26</f>
        <v>1</v>
      </c>
      <c r="AB7" s="20">
        <f>'Time &amp; Technical'!AB26</f>
        <v>1</v>
      </c>
      <c r="AC7" s="20">
        <f>'Time &amp; Technical'!AC26</f>
        <v>1</v>
      </c>
      <c r="AD7" s="20">
        <f>'Time &amp; Technical'!AD26</f>
        <v>1</v>
      </c>
      <c r="AE7" s="20">
        <f>'Time &amp; Technical'!AE26</f>
        <v>1</v>
      </c>
      <c r="AF7" s="20">
        <f>'Time &amp; Technical'!AF26</f>
        <v>1</v>
      </c>
      <c r="AG7" s="20">
        <f>'Time &amp; Technical'!AG26</f>
        <v>1</v>
      </c>
      <c r="AH7" s="20">
        <f>'Time &amp; Technical'!AH26</f>
        <v>1</v>
      </c>
      <c r="AI7" s="20">
        <f>'Time &amp; Technical'!AI26</f>
        <v>1</v>
      </c>
      <c r="AJ7" s="20">
        <f>'Time &amp; Technical'!AJ26</f>
        <v>1</v>
      </c>
      <c r="AK7" s="20">
        <f>'Time &amp; Technical'!AK26</f>
        <v>1</v>
      </c>
      <c r="AL7" s="20">
        <f>'Time &amp; Technical'!AL26</f>
        <v>1</v>
      </c>
      <c r="AM7" s="20">
        <f>'Time &amp; Technical'!AM26</f>
        <v>1</v>
      </c>
      <c r="AN7" s="20">
        <f>'Time &amp; Technical'!AN26</f>
        <v>1</v>
      </c>
      <c r="AO7" s="20">
        <f>'Time &amp; Technical'!AO26</f>
        <v>1</v>
      </c>
      <c r="AP7" s="20">
        <f>'Time &amp; Technical'!AP26</f>
        <v>1</v>
      </c>
      <c r="AQ7" s="20">
        <f>'Time &amp; Technical'!AQ26</f>
        <v>1</v>
      </c>
      <c r="AR7" s="20">
        <f>'Time &amp; Technical'!AR26</f>
        <v>1</v>
      </c>
      <c r="AS7" s="20">
        <f>'Time &amp; Technical'!AS26</f>
        <v>1</v>
      </c>
      <c r="AT7" s="20">
        <f>'Time &amp; Technical'!AT26</f>
        <v>1</v>
      </c>
      <c r="AU7" s="20">
        <f>'Time &amp; Technical'!AU26</f>
        <v>1</v>
      </c>
      <c r="AV7" s="20">
        <f>'Time &amp; Technical'!AV26</f>
        <v>1</v>
      </c>
      <c r="AW7" s="20">
        <f>'Time &amp; Technical'!AW26</f>
        <v>1</v>
      </c>
      <c r="AX7" s="20">
        <f>'Time &amp; Technical'!AX26</f>
        <v>1</v>
      </c>
      <c r="AY7" s="20">
        <f>'Time &amp; Technical'!AY26</f>
        <v>1</v>
      </c>
      <c r="AZ7" s="20">
        <f>'Time &amp; Technical'!AZ26</f>
        <v>1</v>
      </c>
      <c r="BA7" s="20">
        <f>'Time &amp; Technical'!BA26</f>
        <v>1</v>
      </c>
      <c r="BB7" s="20">
        <f>'Time &amp; Technical'!BB26</f>
        <v>1</v>
      </c>
      <c r="BC7" s="20">
        <f>'Time &amp; Technical'!BC26</f>
        <v>1</v>
      </c>
      <c r="BD7" s="20">
        <f>'Time &amp; Technical'!BD26</f>
        <v>1</v>
      </c>
      <c r="BE7" s="20">
        <f>'Time &amp; Technical'!BE26</f>
        <v>1</v>
      </c>
      <c r="BF7" s="20">
        <f>'Time &amp; Technical'!BF26</f>
        <v>1</v>
      </c>
      <c r="BG7" s="20">
        <f>'Time &amp; Technical'!BG26</f>
        <v>1</v>
      </c>
      <c r="BH7" s="20">
        <f>'Time &amp; Technical'!BH26</f>
        <v>1</v>
      </c>
      <c r="BI7" s="20">
        <f>'Time &amp; Technical'!BI26</f>
        <v>1</v>
      </c>
      <c r="BJ7" s="20">
        <f>'Time &amp; Technical'!BJ26</f>
        <v>1</v>
      </c>
      <c r="BK7" t="s">
        <v>102</v>
      </c>
    </row>
    <row r="8" spans="1:63" ht="11.25" customHeight="1" x14ac:dyDescent="0.25">
      <c r="A8" s="12"/>
      <c r="B8" s="20" t="s">
        <v>376</v>
      </c>
      <c r="C8" s="14" t="s">
        <v>101</v>
      </c>
      <c r="D8" s="12"/>
      <c r="E8" s="23">
        <f t="shared" ref="E8:E71" si="0">SUM(G8:BJ8)</f>
        <v>14</v>
      </c>
      <c r="F8" s="80" t="s">
        <v>26</v>
      </c>
      <c r="G8" s="20">
        <f>'Time &amp; Technical'!G115</f>
        <v>0</v>
      </c>
      <c r="H8" s="20">
        <f>'Time &amp; Technical'!H115</f>
        <v>0</v>
      </c>
      <c r="I8" s="20">
        <f>'Time &amp; Technical'!I115</f>
        <v>0</v>
      </c>
      <c r="J8" s="20">
        <f>'Time &amp; Technical'!J115</f>
        <v>0</v>
      </c>
      <c r="K8" s="20">
        <f>'Time &amp; Technical'!K115</f>
        <v>0</v>
      </c>
      <c r="L8" s="20">
        <f>'Time &amp; Technical'!L115</f>
        <v>0</v>
      </c>
      <c r="M8" s="20">
        <f>'Time &amp; Technical'!M115</f>
        <v>0</v>
      </c>
      <c r="N8" s="20">
        <f>'Time &amp; Technical'!N115</f>
        <v>0</v>
      </c>
      <c r="O8" s="20">
        <f>'Time &amp; Technical'!O115</f>
        <v>0</v>
      </c>
      <c r="P8" s="20">
        <f>'Time &amp; Technical'!P115</f>
        <v>0</v>
      </c>
      <c r="Q8" s="20">
        <f>'Time &amp; Technical'!Q115</f>
        <v>0</v>
      </c>
      <c r="R8" s="20">
        <f>'Time &amp; Technical'!R115</f>
        <v>0</v>
      </c>
      <c r="S8" s="20">
        <f>'Time &amp; Technical'!S115</f>
        <v>0</v>
      </c>
      <c r="T8" s="20">
        <f>'Time &amp; Technical'!T115</f>
        <v>0</v>
      </c>
      <c r="U8" s="20">
        <f>'Time &amp; Technical'!U115</f>
        <v>0</v>
      </c>
      <c r="V8" s="20">
        <f>'Time &amp; Technical'!V115</f>
        <v>0</v>
      </c>
      <c r="W8" s="20">
        <f>'Time &amp; Technical'!W115</f>
        <v>1</v>
      </c>
      <c r="X8" s="20">
        <f>'Time &amp; Technical'!X115</f>
        <v>1</v>
      </c>
      <c r="Y8" s="20">
        <f>'Time &amp; Technical'!Y115</f>
        <v>1</v>
      </c>
      <c r="Z8" s="20">
        <f>'Time &amp; Technical'!Z115</f>
        <v>1</v>
      </c>
      <c r="AA8" s="20">
        <f>'Time &amp; Technical'!AA115</f>
        <v>1</v>
      </c>
      <c r="AB8" s="20">
        <f>'Time &amp; Technical'!AB115</f>
        <v>1</v>
      </c>
      <c r="AC8" s="20">
        <f>'Time &amp; Technical'!AC115</f>
        <v>1</v>
      </c>
      <c r="AD8" s="20">
        <f>'Time &amp; Technical'!AD115</f>
        <v>1</v>
      </c>
      <c r="AE8" s="20">
        <f>'Time &amp; Technical'!AE115</f>
        <v>1</v>
      </c>
      <c r="AF8" s="20">
        <f>'Time &amp; Technical'!AF115</f>
        <v>1</v>
      </c>
      <c r="AG8" s="20">
        <f>'Time &amp; Technical'!AG115</f>
        <v>1</v>
      </c>
      <c r="AH8" s="20">
        <f>'Time &amp; Technical'!AH115</f>
        <v>1</v>
      </c>
      <c r="AI8" s="20">
        <f>'Time &amp; Technical'!AI115</f>
        <v>1</v>
      </c>
      <c r="AJ8" s="20">
        <f>'Time &amp; Technical'!AJ115</f>
        <v>1</v>
      </c>
      <c r="AK8" s="20">
        <f>'Time &amp; Technical'!AK115</f>
        <v>0</v>
      </c>
      <c r="AL8" s="20">
        <f>'Time &amp; Technical'!AL115</f>
        <v>0</v>
      </c>
      <c r="AM8" s="20">
        <f>'Time &amp; Technical'!AM115</f>
        <v>0</v>
      </c>
      <c r="AN8" s="20">
        <f>'Time &amp; Technical'!AN115</f>
        <v>0</v>
      </c>
      <c r="AO8" s="20">
        <f>'Time &amp; Technical'!AO115</f>
        <v>0</v>
      </c>
      <c r="AP8" s="20">
        <f>'Time &amp; Technical'!AP115</f>
        <v>0</v>
      </c>
      <c r="AQ8" s="20">
        <f>'Time &amp; Technical'!AQ115</f>
        <v>0</v>
      </c>
      <c r="AR8" s="20">
        <f>'Time &amp; Technical'!AR115</f>
        <v>0</v>
      </c>
      <c r="AS8" s="20">
        <f>'Time &amp; Technical'!AS115</f>
        <v>0</v>
      </c>
      <c r="AT8" s="20">
        <f>'Time &amp; Technical'!AT115</f>
        <v>0</v>
      </c>
      <c r="AU8" s="20">
        <f>'Time &amp; Technical'!AU115</f>
        <v>0</v>
      </c>
      <c r="AV8" s="20">
        <f>'Time &amp; Technical'!AV115</f>
        <v>0</v>
      </c>
      <c r="AW8" s="20">
        <f>'Time &amp; Technical'!AW115</f>
        <v>0</v>
      </c>
      <c r="AX8" s="20">
        <f>'Time &amp; Technical'!AX115</f>
        <v>0</v>
      </c>
      <c r="AY8" s="20">
        <f>'Time &amp; Technical'!AY115</f>
        <v>0</v>
      </c>
      <c r="AZ8" s="20">
        <f>'Time &amp; Technical'!AZ115</f>
        <v>0</v>
      </c>
      <c r="BA8" s="20">
        <f>'Time &amp; Technical'!BA115</f>
        <v>0</v>
      </c>
      <c r="BB8" s="20">
        <f>'Time &amp; Technical'!BB115</f>
        <v>0</v>
      </c>
      <c r="BC8" s="20">
        <f>'Time &amp; Technical'!BC115</f>
        <v>0</v>
      </c>
      <c r="BD8" s="20">
        <f>'Time &amp; Technical'!BD115</f>
        <v>0</v>
      </c>
      <c r="BE8" s="20">
        <f>'Time &amp; Technical'!BE115</f>
        <v>0</v>
      </c>
      <c r="BF8" s="20">
        <f>'Time &amp; Technical'!BF115</f>
        <v>0</v>
      </c>
      <c r="BG8" s="20">
        <f>'Time &amp; Technical'!BG115</f>
        <v>0</v>
      </c>
      <c r="BH8" s="20">
        <f>'Time &amp; Technical'!BH115</f>
        <v>0</v>
      </c>
      <c r="BI8" s="20">
        <f>'Time &amp; Technical'!BI115</f>
        <v>0</v>
      </c>
      <c r="BJ8" s="20">
        <f>'Time &amp; Technical'!BJ115</f>
        <v>0</v>
      </c>
      <c r="BK8" t="s">
        <v>102</v>
      </c>
    </row>
    <row r="9" spans="1:63" ht="11.25" customHeight="1" x14ac:dyDescent="0.25">
      <c r="A9" s="12"/>
      <c r="B9" s="20" t="s">
        <v>381</v>
      </c>
      <c r="C9" s="14" t="s">
        <v>352</v>
      </c>
      <c r="D9" s="12"/>
      <c r="E9" s="23">
        <f t="shared" si="0"/>
        <v>296105.86100308743</v>
      </c>
      <c r="F9" s="80" t="s">
        <v>26</v>
      </c>
      <c r="G9" s="1">
        <f>'Time &amp; Technical'!G73</f>
        <v>0</v>
      </c>
      <c r="H9" s="1">
        <f>'Time &amp; Technical'!H73</f>
        <v>0</v>
      </c>
      <c r="I9" s="1">
        <f>'Time &amp; Technical'!I73</f>
        <v>0</v>
      </c>
      <c r="J9" s="1">
        <f>'Time &amp; Technical'!J73</f>
        <v>0</v>
      </c>
      <c r="K9" s="1">
        <f>'Time &amp; Technical'!K73</f>
        <v>0</v>
      </c>
      <c r="L9" s="1">
        <f>'Time &amp; Technical'!L73</f>
        <v>0</v>
      </c>
      <c r="M9" s="1">
        <f>'Time &amp; Technical'!M73</f>
        <v>0</v>
      </c>
      <c r="N9" s="1">
        <f>'Time &amp; Technical'!N73</f>
        <v>0</v>
      </c>
      <c r="O9" s="1">
        <f>'Time &amp; Technical'!O73</f>
        <v>0</v>
      </c>
      <c r="P9" s="1">
        <f>'Time &amp; Technical'!P73</f>
        <v>0</v>
      </c>
      <c r="Q9" s="1">
        <f>'Time &amp; Technical'!Q73</f>
        <v>0</v>
      </c>
      <c r="R9" s="1">
        <f>'Time &amp; Technical'!R73</f>
        <v>0</v>
      </c>
      <c r="S9" s="1">
        <f>'Time &amp; Technical'!S73</f>
        <v>0</v>
      </c>
      <c r="T9" s="1">
        <f>'Time &amp; Technical'!T73</f>
        <v>0</v>
      </c>
      <c r="U9" s="1">
        <f>'Time &amp; Technical'!U73</f>
        <v>0</v>
      </c>
      <c r="V9" s="1">
        <f>'Time &amp; Technical'!V73</f>
        <v>0</v>
      </c>
      <c r="W9" s="1">
        <f>'Time &amp; Technical'!W73</f>
        <v>7643.5709829365478</v>
      </c>
      <c r="X9" s="1">
        <f>'Time &amp; Technical'!X73</f>
        <v>7623.3674961144507</v>
      </c>
      <c r="Y9" s="1">
        <f>'Time &amp; Technical'!Y73</f>
        <v>7603.217411148722</v>
      </c>
      <c r="Z9" s="1">
        <f>'Time &amp; Technical'!Z73</f>
        <v>7583.1205868875741</v>
      </c>
      <c r="AA9" s="1">
        <f>'Time &amp; Technical'!AA73</f>
        <v>7563.0768825523146</v>
      </c>
      <c r="AB9" s="1">
        <f>'Time &amp; Technical'!AB73</f>
        <v>7543.086157736353</v>
      </c>
      <c r="AC9" s="1">
        <f>'Time &amp; Technical'!AC73</f>
        <v>7523.1482724042235</v>
      </c>
      <c r="AD9" s="1">
        <f>'Time &amp; Technical'!AD73</f>
        <v>6881.6837690927678</v>
      </c>
      <c r="AE9" s="1">
        <f>'Time &amp; Technical'!AE73</f>
        <v>7690.3005427304679</v>
      </c>
      <c r="AF9" s="1">
        <f>'Time &amp; Technical'!AF73</f>
        <v>7669.9735403359255</v>
      </c>
      <c r="AG9" s="1">
        <f>'Time &amp; Technical'!AG73</f>
        <v>7649.7002662741088</v>
      </c>
      <c r="AH9" s="1">
        <f>'Time &amp; Technical'!AH73</f>
        <v>7629.4805785302942</v>
      </c>
      <c r="AI9" s="1">
        <f>'Time &amp; Technical'!AI73</f>
        <v>7609.3143354651211</v>
      </c>
      <c r="AJ9" s="1">
        <f>'Time &amp; Technical'!AJ73</f>
        <v>7589.2013958136204</v>
      </c>
      <c r="AK9" s="1">
        <f>'Time &amp; Technical'!AK73</f>
        <v>7492.5136382925757</v>
      </c>
      <c r="AL9" s="1">
        <f>'Time &amp; Technical'!AL73</f>
        <v>6853.6612103574162</v>
      </c>
      <c r="AM9" s="1">
        <f>'Time &amp; Technical'!AM73</f>
        <v>7658.9852562566784</v>
      </c>
      <c r="AN9" s="1">
        <f>'Time &amp; Technical'!AN73</f>
        <v>7551.9371511270301</v>
      </c>
      <c r="AO9" s="1">
        <f>'Time &amp; Technical'!AO73</f>
        <v>7531.9758708491709</v>
      </c>
      <c r="AP9" s="1">
        <f>'Time &amp; Technical'!AP73</f>
        <v>7425.7217504776054</v>
      </c>
      <c r="AQ9" s="1">
        <f>'Time &amp; Technical'!AQ73</f>
        <v>7406.0940827467421</v>
      </c>
      <c r="AR9" s="1">
        <f>'Time &amp; Technical'!AR73</f>
        <v>7300.6285472524924</v>
      </c>
      <c r="AS9" s="1">
        <f>'Time &amp; Technical'!AS73</f>
        <v>7281.3315258763923</v>
      </c>
      <c r="AT9" s="1">
        <f>'Time &amp; Technical'!AT73</f>
        <v>6660.4856324324119</v>
      </c>
      <c r="AU9" s="1">
        <f>'Time &amp; Technical'!AU73</f>
        <v>7443.1110165203218</v>
      </c>
      <c r="AV9" s="1">
        <f>'Time &amp; Technical'!AV73</f>
        <v>7423.4373854814557</v>
      </c>
      <c r="AW9" s="1">
        <f>'Time &amp; Technical'!AW73</f>
        <v>7403.8157557841523</v>
      </c>
      <c r="AX9" s="1">
        <f>'Time &amp; Technical'!AX73</f>
        <v>7384.2459899784644</v>
      </c>
      <c r="AY9" s="1">
        <f>'Time &amp; Technical'!AY73</f>
        <v>7364.7279509777518</v>
      </c>
      <c r="AZ9" s="1">
        <f>'Time &amp; Technical'!AZ73</f>
        <v>7345.2615020577296</v>
      </c>
      <c r="BA9" s="1">
        <f>'Time &amp; Technical'!BA73</f>
        <v>7325.8465068554906</v>
      </c>
      <c r="BB9" s="1">
        <f>'Time &amp; Technical'!BB73</f>
        <v>6701.2050242339819</v>
      </c>
      <c r="BC9" s="1">
        <f>'Time &amp; Technical'!BC73</f>
        <v>7488.6150488732283</v>
      </c>
      <c r="BD9" s="1">
        <f>'Time &amp; Technical'!BD73</f>
        <v>7468.8211415760461</v>
      </c>
      <c r="BE9" s="1">
        <f>'Time &amp; Technical'!BE73</f>
        <v>7449.0795535346333</v>
      </c>
      <c r="BF9" s="1">
        <f>'Time &amp; Technical'!BF73</f>
        <v>7429.3901464587307</v>
      </c>
      <c r="BG9" s="1">
        <f>'Time &amp; Technical'!BG73</f>
        <v>7409.7527824236131</v>
      </c>
      <c r="BH9" s="1">
        <f>'Time &amp; Technical'!BH73</f>
        <v>7390.1673238691092</v>
      </c>
      <c r="BI9" s="1">
        <f>'Time &amp; Technical'!BI73</f>
        <v>7370.6336335986571</v>
      </c>
      <c r="BJ9" s="1">
        <f>'Time &amp; Technical'!BJ73</f>
        <v>6742.1733571729037</v>
      </c>
      <c r="BK9" t="s">
        <v>102</v>
      </c>
    </row>
    <row r="10" spans="1:63" ht="11.25" customHeight="1" x14ac:dyDescent="0.25">
      <c r="A10" s="12"/>
      <c r="B10" s="13" t="s">
        <v>433</v>
      </c>
      <c r="C10" s="14" t="s">
        <v>451</v>
      </c>
      <c r="D10" s="364">
        <f>'Time &amp; Technical'!D116</f>
        <v>75</v>
      </c>
      <c r="E10" s="23">
        <f t="shared" si="0"/>
        <v>0</v>
      </c>
      <c r="F10" s="80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t="s">
        <v>102</v>
      </c>
    </row>
    <row r="11" spans="1:63" ht="11.25" customHeight="1" x14ac:dyDescent="0.25">
      <c r="A11" s="12"/>
      <c r="B11" s="19" t="s">
        <v>370</v>
      </c>
      <c r="C11" s="14" t="s">
        <v>102</v>
      </c>
      <c r="D11" s="12"/>
      <c r="E11" s="383">
        <f t="shared" si="0"/>
        <v>77.175271781058484</v>
      </c>
      <c r="F11" s="80" t="s">
        <v>26</v>
      </c>
      <c r="G11" s="44">
        <f>'Time &amp; Technical'!G171</f>
        <v>1.0037085358888664</v>
      </c>
      <c r="H11" s="44">
        <f>'Time &amp; Technical'!H171</f>
        <v>1.0111531141434773</v>
      </c>
      <c r="I11" s="44">
        <f>'Time &amp; Technical'!I171</f>
        <v>1.0186529093693575</v>
      </c>
      <c r="J11" s="44">
        <f>'Time &amp; Technical'!J171</f>
        <v>1.0262083311147465</v>
      </c>
      <c r="K11" s="44">
        <f>'Time &amp; Technical'!K171</f>
        <v>1.0338197919655321</v>
      </c>
      <c r="L11" s="44">
        <f>'Time &amp; Technical'!L171</f>
        <v>1.0414877075677813</v>
      </c>
      <c r="M11" s="44">
        <f>'Time &amp; Technical'!M171</f>
        <v>1.0492124966504379</v>
      </c>
      <c r="N11" s="44">
        <f>'Time &amp; Technical'!N171</f>
        <v>1.0569945810481887</v>
      </c>
      <c r="O11" s="44">
        <f>'Time &amp; Technical'!O171</f>
        <v>1.0648343857244977</v>
      </c>
      <c r="P11" s="44">
        <f>'Time &amp; Technical'!P171</f>
        <v>1.0727323387948144</v>
      </c>
      <c r="Q11" s="44">
        <f>'Time &amp; Technical'!Q171</f>
        <v>1.0806888715499507</v>
      </c>
      <c r="R11" s="44">
        <f>'Time &amp; Technical'!R171</f>
        <v>1.088704418479634</v>
      </c>
      <c r="S11" s="44">
        <f>'Time &amp; Technical'!S171</f>
        <v>1.0967794172962324</v>
      </c>
      <c r="T11" s="44">
        <f>'Time &amp; Technical'!T171</f>
        <v>1.1049143089586586</v>
      </c>
      <c r="U11" s="44">
        <f>'Time &amp; Technical'!U171</f>
        <v>1.1131095376964493</v>
      </c>
      <c r="V11" s="44">
        <f>'Time &amp; Technical'!V171</f>
        <v>1.1213655510340228</v>
      </c>
      <c r="W11" s="44">
        <f>'Time &amp; Technical'!W171</f>
        <v>1.133887748412298</v>
      </c>
      <c r="X11" s="44">
        <f>'Time &amp; Technical'!X171</f>
        <v>1.1507703805622977</v>
      </c>
      <c r="Y11" s="44">
        <f>'Time &amp; Technical'!Y171</f>
        <v>1.1679043808646667</v>
      </c>
      <c r="Z11" s="44">
        <f>'Time &amp; Technical'!Z171</f>
        <v>1.1852934919791667</v>
      </c>
      <c r="AA11" s="44">
        <f>'Time &amp; Technical'!AA171</f>
        <v>1.2029415122906066</v>
      </c>
      <c r="AB11" s="44">
        <f>'Time &amp; Technical'!AB171</f>
        <v>1.2208522967385416</v>
      </c>
      <c r="AC11" s="44">
        <f>'Time &amp; Technical'!AC171</f>
        <v>1.238271903311835</v>
      </c>
      <c r="AD11" s="44">
        <f>'Time &amp; Technical'!AD171</f>
        <v>1.2551826689614272</v>
      </c>
      <c r="AE11" s="44">
        <f>'Time &amp; Technical'!AE171</f>
        <v>1.2723243806529108</v>
      </c>
      <c r="AF11" s="44">
        <f>'Time &amp; Technical'!AF171</f>
        <v>1.2897001923578668</v>
      </c>
      <c r="AG11" s="44">
        <f>'Time &amp; Technical'!AG171</f>
        <v>1.3073133011208662</v>
      </c>
      <c r="AH11" s="44">
        <f>'Time &amp; Technical'!AH171</f>
        <v>1.3251669476477081</v>
      </c>
      <c r="AI11" s="44">
        <f>'Time &amp; Technical'!AI171</f>
        <v>1.3432644169016901</v>
      </c>
      <c r="AJ11" s="44">
        <f>'Time &amp; Technical'!AJ171</f>
        <v>1.3616090387080204</v>
      </c>
      <c r="AK11" s="44">
        <f>'Time &amp; Technical'!AK171</f>
        <v>1.3802041883664868</v>
      </c>
      <c r="AL11" s="44">
        <f>'Time &amp; Technical'!AL171</f>
        <v>1.3990532872724912</v>
      </c>
      <c r="AM11" s="44">
        <f>'Time &amp; Technical'!AM171</f>
        <v>1.4181598035465655</v>
      </c>
      <c r="AN11" s="44">
        <f>'Time &amp; Technical'!AN171</f>
        <v>1.4375272526724852</v>
      </c>
      <c r="AO11" s="44">
        <f>'Time &amp; Technical'!AO171</f>
        <v>1.4571591981440966</v>
      </c>
      <c r="AP11" s="44">
        <f>'Time &amp; Technical'!AP171</f>
        <v>1.4770592521209789</v>
      </c>
      <c r="AQ11" s="44">
        <f>'Time &amp; Technical'!AQ171</f>
        <v>1.4972310760930596</v>
      </c>
      <c r="AR11" s="44">
        <f>'Time &amp; Technical'!AR171</f>
        <v>1.517678381554306</v>
      </c>
      <c r="AS11" s="44">
        <f>'Time &amp; Technical'!AS171</f>
        <v>1.5384049306856187</v>
      </c>
      <c r="AT11" s="44">
        <f>'Time &amp; Technical'!AT171</f>
        <v>1.5594145370470496</v>
      </c>
      <c r="AU11" s="44">
        <f>'Time &amp; Technical'!AU171</f>
        <v>1.5807110662794734</v>
      </c>
      <c r="AV11" s="44">
        <f>'Time &amp; Technical'!AV171</f>
        <v>1.6022984368158437</v>
      </c>
      <c r="AW11" s="44">
        <f>'Time &amp; Technical'!AW171</f>
        <v>1.6241806206021594</v>
      </c>
      <c r="AX11" s="44">
        <f>'Time &amp; Technical'!AX171</f>
        <v>1.6463616438282798</v>
      </c>
      <c r="AY11" s="44">
        <f>'Time &amp; Technical'!AY171</f>
        <v>1.6688455876687192</v>
      </c>
      <c r="AZ11" s="44">
        <f>'Time &amp; Technical'!AZ171</f>
        <v>1.6916365890335578</v>
      </c>
      <c r="BA11" s="44">
        <f>'Time &amp; Technical'!BA171</f>
        <v>1.7147388413296092</v>
      </c>
      <c r="BB11" s="44">
        <f>'Time &amp; Technical'!BB171</f>
        <v>1.7381565952319811</v>
      </c>
      <c r="BC11" s="44">
        <f>'Time &amp; Technical'!BC171</f>
        <v>1.7618941594661739</v>
      </c>
      <c r="BD11" s="44">
        <f>'Time &amp; Technical'!BD171</f>
        <v>1.7859559016008608</v>
      </c>
      <c r="BE11" s="44">
        <f>'Time &amp; Technical'!BE171</f>
        <v>1.8103462488514941</v>
      </c>
      <c r="BF11" s="44">
        <f>'Time &amp; Technical'!BF171</f>
        <v>1.835069688894885</v>
      </c>
      <c r="BG11" s="44">
        <f>'Time &amp; Technical'!BG171</f>
        <v>1.8601307706949104</v>
      </c>
      <c r="BH11" s="44">
        <f>'Time &amp; Technical'!BH171</f>
        <v>1.8855341053394945</v>
      </c>
      <c r="BI11" s="44">
        <f>'Time &amp; Technical'!BI171</f>
        <v>1.9112843668890207</v>
      </c>
      <c r="BJ11" s="44">
        <f>'Time &amp; Technical'!BJ171</f>
        <v>1.9373862932363308</v>
      </c>
      <c r="BK11" t="s">
        <v>102</v>
      </c>
    </row>
    <row r="12" spans="1:63" ht="11.25" customHeight="1" x14ac:dyDescent="0.25">
      <c r="A12" s="12"/>
      <c r="B12" s="127" t="s">
        <v>316</v>
      </c>
      <c r="C12" s="128" t="s">
        <v>317</v>
      </c>
      <c r="D12" s="270">
        <f>'Time &amp; Technical'!D111</f>
        <v>2.85</v>
      </c>
      <c r="E12" s="23">
        <f t="shared" si="0"/>
        <v>0</v>
      </c>
      <c r="F12" s="80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t="s">
        <v>102</v>
      </c>
    </row>
    <row r="13" spans="1:63" ht="11.25" customHeight="1" x14ac:dyDescent="0.25">
      <c r="A13" s="12"/>
      <c r="B13" s="127" t="s">
        <v>318</v>
      </c>
      <c r="C13" s="128" t="s">
        <v>319</v>
      </c>
      <c r="D13" s="271">
        <f>'Time &amp; Technical'!D112</f>
        <v>14</v>
      </c>
      <c r="E13" s="23">
        <f t="shared" si="0"/>
        <v>0</v>
      </c>
      <c r="F13" s="80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t="s">
        <v>102</v>
      </c>
    </row>
    <row r="14" spans="1:63" ht="11.25" customHeight="1" x14ac:dyDescent="0.25">
      <c r="A14" s="12"/>
      <c r="B14" s="127" t="s">
        <v>320</v>
      </c>
      <c r="C14" s="128" t="s">
        <v>102</v>
      </c>
      <c r="D14" s="271">
        <f>'Time &amp; Technical'!D113</f>
        <v>71.52</v>
      </c>
      <c r="E14" s="23">
        <f t="shared" si="0"/>
        <v>0</v>
      </c>
      <c r="F14" s="80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t="s">
        <v>102</v>
      </c>
    </row>
    <row r="15" spans="1:63" ht="11.25" customHeight="1" x14ac:dyDescent="0.25">
      <c r="A15" s="12"/>
      <c r="B15" s="69" t="s">
        <v>474</v>
      </c>
      <c r="C15" s="70" t="s">
        <v>199</v>
      </c>
      <c r="D15" s="63"/>
      <c r="E15" s="23">
        <f t="shared" si="0"/>
        <v>5788.1453835793864</v>
      </c>
      <c r="F15" s="80" t="s">
        <v>26</v>
      </c>
      <c r="G15" s="71">
        <f>$D$10*G11</f>
        <v>75.278140191664988</v>
      </c>
      <c r="H15" s="71">
        <f t="shared" ref="H15:BJ15" si="1">$D$10*H11</f>
        <v>75.836483560760797</v>
      </c>
      <c r="I15" s="71">
        <f t="shared" si="1"/>
        <v>76.398968202701809</v>
      </c>
      <c r="J15" s="71">
        <f t="shared" si="1"/>
        <v>76.965624833605986</v>
      </c>
      <c r="K15" s="71">
        <f t="shared" si="1"/>
        <v>77.53648439741491</v>
      </c>
      <c r="L15" s="71">
        <f t="shared" si="1"/>
        <v>78.111578067583594</v>
      </c>
      <c r="M15" s="71">
        <f t="shared" si="1"/>
        <v>78.690937248782845</v>
      </c>
      <c r="N15" s="71">
        <f t="shared" si="1"/>
        <v>79.274593578614144</v>
      </c>
      <c r="O15" s="71">
        <f t="shared" si="1"/>
        <v>79.862578929337332</v>
      </c>
      <c r="P15" s="71">
        <f t="shared" si="1"/>
        <v>80.454925409611079</v>
      </c>
      <c r="Q15" s="71">
        <f t="shared" si="1"/>
        <v>81.051665366246311</v>
      </c>
      <c r="R15" s="71">
        <f t="shared" si="1"/>
        <v>81.652831385972547</v>
      </c>
      <c r="S15" s="71">
        <f t="shared" si="1"/>
        <v>82.258456297217435</v>
      </c>
      <c r="T15" s="71">
        <f t="shared" si="1"/>
        <v>82.868573171899399</v>
      </c>
      <c r="U15" s="71">
        <f t="shared" si="1"/>
        <v>83.483215327233694</v>
      </c>
      <c r="V15" s="71">
        <f t="shared" si="1"/>
        <v>84.102416327551708</v>
      </c>
      <c r="W15" s="71">
        <f t="shared" si="1"/>
        <v>85.041581130922353</v>
      </c>
      <c r="X15" s="71">
        <f t="shared" si="1"/>
        <v>86.307778542172329</v>
      </c>
      <c r="Y15" s="71">
        <f t="shared" si="1"/>
        <v>87.592828564850009</v>
      </c>
      <c r="Z15" s="71">
        <f t="shared" si="1"/>
        <v>88.897011898437498</v>
      </c>
      <c r="AA15" s="71">
        <f t="shared" si="1"/>
        <v>90.220613421795491</v>
      </c>
      <c r="AB15" s="71">
        <f t="shared" si="1"/>
        <v>91.563922255390622</v>
      </c>
      <c r="AC15" s="71">
        <f t="shared" si="1"/>
        <v>92.87039274838763</v>
      </c>
      <c r="AD15" s="71">
        <f t="shared" si="1"/>
        <v>94.138700172107036</v>
      </c>
      <c r="AE15" s="71">
        <f t="shared" si="1"/>
        <v>95.424328548968305</v>
      </c>
      <c r="AF15" s="71">
        <f t="shared" si="1"/>
        <v>96.727514426840017</v>
      </c>
      <c r="AG15" s="71">
        <f t="shared" si="1"/>
        <v>98.048497584064961</v>
      </c>
      <c r="AH15" s="71">
        <f t="shared" si="1"/>
        <v>99.387521073578114</v>
      </c>
      <c r="AI15" s="71">
        <f t="shared" si="1"/>
        <v>100.74483126762675</v>
      </c>
      <c r="AJ15" s="71">
        <f t="shared" si="1"/>
        <v>102.12067790310154</v>
      </c>
      <c r="AK15" s="71">
        <f t="shared" si="1"/>
        <v>103.51531412748652</v>
      </c>
      <c r="AL15" s="71">
        <f t="shared" si="1"/>
        <v>104.92899654543685</v>
      </c>
      <c r="AM15" s="71">
        <f t="shared" si="1"/>
        <v>106.36198526599242</v>
      </c>
      <c r="AN15" s="71">
        <f t="shared" si="1"/>
        <v>107.81454395043639</v>
      </c>
      <c r="AO15" s="71">
        <f t="shared" si="1"/>
        <v>109.28693986080724</v>
      </c>
      <c r="AP15" s="71">
        <f t="shared" si="1"/>
        <v>110.77944390907342</v>
      </c>
      <c r="AQ15" s="71">
        <f t="shared" si="1"/>
        <v>112.29233070697947</v>
      </c>
      <c r="AR15" s="71">
        <f t="shared" si="1"/>
        <v>113.82587861657295</v>
      </c>
      <c r="AS15" s="71">
        <f t="shared" si="1"/>
        <v>115.38036980142139</v>
      </c>
      <c r="AT15" s="71">
        <f t="shared" si="1"/>
        <v>116.95609027852872</v>
      </c>
      <c r="AU15" s="71">
        <f t="shared" si="1"/>
        <v>118.5533299709605</v>
      </c>
      <c r="AV15" s="71">
        <f t="shared" si="1"/>
        <v>120.17238276118827</v>
      </c>
      <c r="AW15" s="71">
        <f t="shared" si="1"/>
        <v>121.81354654516196</v>
      </c>
      <c r="AX15" s="71">
        <f t="shared" si="1"/>
        <v>123.47712328712099</v>
      </c>
      <c r="AY15" s="71">
        <f t="shared" si="1"/>
        <v>125.16341907515394</v>
      </c>
      <c r="AZ15" s="71">
        <f t="shared" si="1"/>
        <v>126.87274417751684</v>
      </c>
      <c r="BA15" s="71">
        <f t="shared" si="1"/>
        <v>128.60541309972069</v>
      </c>
      <c r="BB15" s="71">
        <f t="shared" si="1"/>
        <v>130.36174464239858</v>
      </c>
      <c r="BC15" s="71">
        <f t="shared" si="1"/>
        <v>132.14206195996303</v>
      </c>
      <c r="BD15" s="71">
        <f t="shared" si="1"/>
        <v>133.94669262006457</v>
      </c>
      <c r="BE15" s="71">
        <f t="shared" si="1"/>
        <v>135.77596866386205</v>
      </c>
      <c r="BF15" s="71">
        <f t="shared" si="1"/>
        <v>137.63022666711637</v>
      </c>
      <c r="BG15" s="71">
        <f t="shared" si="1"/>
        <v>139.50980780211827</v>
      </c>
      <c r="BH15" s="71">
        <f t="shared" si="1"/>
        <v>141.41505790046207</v>
      </c>
      <c r="BI15" s="71">
        <f t="shared" si="1"/>
        <v>143.34632751667655</v>
      </c>
      <c r="BJ15" s="71">
        <f t="shared" si="1"/>
        <v>145.30397199272483</v>
      </c>
      <c r="BK15" t="s">
        <v>102</v>
      </c>
    </row>
    <row r="16" spans="1:63" ht="11.25" customHeight="1" x14ac:dyDescent="0.25">
      <c r="A16" s="12"/>
      <c r="B16" s="72" t="s">
        <v>377</v>
      </c>
      <c r="C16" s="14" t="s">
        <v>335</v>
      </c>
      <c r="D16" s="12"/>
      <c r="E16" s="23">
        <f>SUM(G16:BJ16)</f>
        <v>55.463285787727102</v>
      </c>
      <c r="F16" s="337" t="s">
        <v>26</v>
      </c>
      <c r="G16" s="375">
        <f>IF(G8=0,0,$D$12+((G15-$D$13)/$D$14))</f>
        <v>0</v>
      </c>
      <c r="H16" s="375">
        <f t="shared" ref="H16:BJ16" si="2">IF(H8=0,0,$D$12+((H15-$D$13)/$D$14))</f>
        <v>0</v>
      </c>
      <c r="I16" s="375">
        <f t="shared" si="2"/>
        <v>0</v>
      </c>
      <c r="J16" s="375">
        <f t="shared" si="2"/>
        <v>0</v>
      </c>
      <c r="K16" s="375">
        <f t="shared" si="2"/>
        <v>0</v>
      </c>
      <c r="L16" s="375">
        <f t="shared" si="2"/>
        <v>0</v>
      </c>
      <c r="M16" s="375">
        <f t="shared" si="2"/>
        <v>0</v>
      </c>
      <c r="N16" s="375">
        <f t="shared" si="2"/>
        <v>0</v>
      </c>
      <c r="O16" s="375">
        <f t="shared" si="2"/>
        <v>0</v>
      </c>
      <c r="P16" s="375">
        <f t="shared" si="2"/>
        <v>0</v>
      </c>
      <c r="Q16" s="375">
        <f t="shared" si="2"/>
        <v>0</v>
      </c>
      <c r="R16" s="375">
        <f t="shared" si="2"/>
        <v>0</v>
      </c>
      <c r="S16" s="375">
        <f t="shared" si="2"/>
        <v>0</v>
      </c>
      <c r="T16" s="375">
        <f t="shared" si="2"/>
        <v>0</v>
      </c>
      <c r="U16" s="375">
        <f t="shared" si="2"/>
        <v>0</v>
      </c>
      <c r="V16" s="375">
        <f t="shared" si="2"/>
        <v>0</v>
      </c>
      <c r="W16" s="375">
        <f t="shared" si="2"/>
        <v>3.8433106981392946</v>
      </c>
      <c r="X16" s="375">
        <f t="shared" si="2"/>
        <v>3.8610148006455862</v>
      </c>
      <c r="Y16" s="375">
        <f t="shared" si="2"/>
        <v>3.8789825023049502</v>
      </c>
      <c r="Z16" s="375">
        <f t="shared" si="2"/>
        <v>3.8972177278864306</v>
      </c>
      <c r="AA16" s="375">
        <f t="shared" si="2"/>
        <v>3.915724460595575</v>
      </c>
      <c r="AB16" s="375">
        <f t="shared" si="2"/>
        <v>3.9345067429445</v>
      </c>
      <c r="AC16" s="375">
        <f t="shared" si="2"/>
        <v>3.9527739478242117</v>
      </c>
      <c r="AD16" s="375">
        <f t="shared" si="2"/>
        <v>3.9705075527419886</v>
      </c>
      <c r="AE16" s="375">
        <f t="shared" si="2"/>
        <v>3.988483341009065</v>
      </c>
      <c r="AF16" s="375">
        <f t="shared" si="2"/>
        <v>4.0067046200620808</v>
      </c>
      <c r="AG16" s="375">
        <f t="shared" si="2"/>
        <v>4.0251747425065014</v>
      </c>
      <c r="AH16" s="375">
        <f t="shared" si="2"/>
        <v>4.0438971067334748</v>
      </c>
      <c r="AI16" s="375">
        <f t="shared" si="2"/>
        <v>4.0628751575451165</v>
      </c>
      <c r="AJ16" s="375">
        <f t="shared" si="2"/>
        <v>4.0821123867883324</v>
      </c>
      <c r="AK16" s="375">
        <f t="shared" si="2"/>
        <v>0</v>
      </c>
      <c r="AL16" s="375">
        <f t="shared" si="2"/>
        <v>0</v>
      </c>
      <c r="AM16" s="375">
        <f t="shared" si="2"/>
        <v>0</v>
      </c>
      <c r="AN16" s="375">
        <f t="shared" si="2"/>
        <v>0</v>
      </c>
      <c r="AO16" s="375">
        <f t="shared" si="2"/>
        <v>0</v>
      </c>
      <c r="AP16" s="375">
        <f t="shared" si="2"/>
        <v>0</v>
      </c>
      <c r="AQ16" s="375">
        <f t="shared" si="2"/>
        <v>0</v>
      </c>
      <c r="AR16" s="375">
        <f t="shared" si="2"/>
        <v>0</v>
      </c>
      <c r="AS16" s="375">
        <f t="shared" si="2"/>
        <v>0</v>
      </c>
      <c r="AT16" s="375">
        <f t="shared" si="2"/>
        <v>0</v>
      </c>
      <c r="AU16" s="375">
        <f t="shared" si="2"/>
        <v>0</v>
      </c>
      <c r="AV16" s="375">
        <f t="shared" si="2"/>
        <v>0</v>
      </c>
      <c r="AW16" s="375">
        <f t="shared" si="2"/>
        <v>0</v>
      </c>
      <c r="AX16" s="375">
        <f t="shared" si="2"/>
        <v>0</v>
      </c>
      <c r="AY16" s="375">
        <f t="shared" si="2"/>
        <v>0</v>
      </c>
      <c r="AZ16" s="375">
        <f t="shared" si="2"/>
        <v>0</v>
      </c>
      <c r="BA16" s="375">
        <f t="shared" si="2"/>
        <v>0</v>
      </c>
      <c r="BB16" s="375">
        <f t="shared" si="2"/>
        <v>0</v>
      </c>
      <c r="BC16" s="375">
        <f t="shared" si="2"/>
        <v>0</v>
      </c>
      <c r="BD16" s="375">
        <f t="shared" si="2"/>
        <v>0</v>
      </c>
      <c r="BE16" s="375">
        <f t="shared" si="2"/>
        <v>0</v>
      </c>
      <c r="BF16" s="375">
        <f t="shared" si="2"/>
        <v>0</v>
      </c>
      <c r="BG16" s="375">
        <f t="shared" si="2"/>
        <v>0</v>
      </c>
      <c r="BH16" s="375">
        <f t="shared" si="2"/>
        <v>0</v>
      </c>
      <c r="BI16" s="375">
        <f t="shared" si="2"/>
        <v>0</v>
      </c>
      <c r="BJ16" s="375">
        <f t="shared" si="2"/>
        <v>0</v>
      </c>
      <c r="BK16" t="s">
        <v>102</v>
      </c>
    </row>
    <row r="17" spans="1:63" ht="11.25" customHeight="1" x14ac:dyDescent="0.25">
      <c r="A17" s="12"/>
      <c r="B17" s="157" t="s">
        <v>411</v>
      </c>
      <c r="C17" s="14" t="s">
        <v>1</v>
      </c>
      <c r="D17" s="12"/>
      <c r="E17" s="23">
        <f t="shared" si="0"/>
        <v>419154.53848308977</v>
      </c>
      <c r="F17" s="80" t="s">
        <v>26</v>
      </c>
      <c r="G17" s="157">
        <f>G9*G16</f>
        <v>0</v>
      </c>
      <c r="H17" s="157">
        <f t="shared" ref="H17:BJ17" si="3">H9*H16</f>
        <v>0</v>
      </c>
      <c r="I17" s="157">
        <f t="shared" si="3"/>
        <v>0</v>
      </c>
      <c r="J17" s="157">
        <f t="shared" si="3"/>
        <v>0</v>
      </c>
      <c r="K17" s="157">
        <f t="shared" si="3"/>
        <v>0</v>
      </c>
      <c r="L17" s="157">
        <f t="shared" si="3"/>
        <v>0</v>
      </c>
      <c r="M17" s="157">
        <f t="shared" si="3"/>
        <v>0</v>
      </c>
      <c r="N17" s="157">
        <f t="shared" si="3"/>
        <v>0</v>
      </c>
      <c r="O17" s="157">
        <f t="shared" si="3"/>
        <v>0</v>
      </c>
      <c r="P17" s="157">
        <f t="shared" si="3"/>
        <v>0</v>
      </c>
      <c r="Q17" s="157">
        <f t="shared" si="3"/>
        <v>0</v>
      </c>
      <c r="R17" s="157">
        <f t="shared" si="3"/>
        <v>0</v>
      </c>
      <c r="S17" s="157">
        <f t="shared" si="3"/>
        <v>0</v>
      </c>
      <c r="T17" s="157">
        <f t="shared" si="3"/>
        <v>0</v>
      </c>
      <c r="U17" s="157">
        <f t="shared" si="3"/>
        <v>0</v>
      </c>
      <c r="V17" s="157">
        <f t="shared" si="3"/>
        <v>0</v>
      </c>
      <c r="W17" s="157">
        <f t="shared" si="3"/>
        <v>29376.618130707117</v>
      </c>
      <c r="X17" s="157">
        <f t="shared" si="3"/>
        <v>29433.934733258378</v>
      </c>
      <c r="Y17" s="157">
        <f t="shared" si="3"/>
        <v>29492.747299066235</v>
      </c>
      <c r="Z17" s="157">
        <f t="shared" si="3"/>
        <v>29553.071983918806</v>
      </c>
      <c r="AA17" s="157">
        <f t="shared" si="3"/>
        <v>29614.925146375026</v>
      </c>
      <c r="AB17" s="157">
        <f t="shared" si="3"/>
        <v>29678.323350225</v>
      </c>
      <c r="AC17" s="157">
        <f t="shared" si="3"/>
        <v>29737.304496778139</v>
      </c>
      <c r="AD17" s="157">
        <f t="shared" si="3"/>
        <v>27323.77738076479</v>
      </c>
      <c r="AE17" s="157">
        <f t="shared" si="3"/>
        <v>30672.635602033442</v>
      </c>
      <c r="AF17" s="157">
        <f t="shared" si="3"/>
        <v>30731.318419817868</v>
      </c>
      <c r="AG17" s="157">
        <f t="shared" si="3"/>
        <v>30791.380299551802</v>
      </c>
      <c r="AH17" s="157">
        <f t="shared" si="3"/>
        <v>30852.834437397894</v>
      </c>
      <c r="AI17" s="157">
        <f t="shared" si="3"/>
        <v>30915.694179513168</v>
      </c>
      <c r="AJ17" s="157">
        <f t="shared" si="3"/>
        <v>30979.973023682083</v>
      </c>
      <c r="AK17" s="157">
        <f t="shared" si="3"/>
        <v>0</v>
      </c>
      <c r="AL17" s="157">
        <f t="shared" si="3"/>
        <v>0</v>
      </c>
      <c r="AM17" s="157">
        <f t="shared" si="3"/>
        <v>0</v>
      </c>
      <c r="AN17" s="157">
        <f t="shared" si="3"/>
        <v>0</v>
      </c>
      <c r="AO17" s="157">
        <f t="shared" si="3"/>
        <v>0</v>
      </c>
      <c r="AP17" s="157">
        <f t="shared" si="3"/>
        <v>0</v>
      </c>
      <c r="AQ17" s="157">
        <f t="shared" si="3"/>
        <v>0</v>
      </c>
      <c r="AR17" s="157">
        <f t="shared" si="3"/>
        <v>0</v>
      </c>
      <c r="AS17" s="157">
        <f t="shared" si="3"/>
        <v>0</v>
      </c>
      <c r="AT17" s="157">
        <f t="shared" si="3"/>
        <v>0</v>
      </c>
      <c r="AU17" s="157">
        <f t="shared" si="3"/>
        <v>0</v>
      </c>
      <c r="AV17" s="157">
        <f t="shared" si="3"/>
        <v>0</v>
      </c>
      <c r="AW17" s="157">
        <f t="shared" si="3"/>
        <v>0</v>
      </c>
      <c r="AX17" s="157">
        <f t="shared" si="3"/>
        <v>0</v>
      </c>
      <c r="AY17" s="157">
        <f t="shared" si="3"/>
        <v>0</v>
      </c>
      <c r="AZ17" s="157">
        <f t="shared" si="3"/>
        <v>0</v>
      </c>
      <c r="BA17" s="157">
        <f t="shared" si="3"/>
        <v>0</v>
      </c>
      <c r="BB17" s="157">
        <f t="shared" si="3"/>
        <v>0</v>
      </c>
      <c r="BC17" s="157">
        <f t="shared" si="3"/>
        <v>0</v>
      </c>
      <c r="BD17" s="157">
        <f t="shared" si="3"/>
        <v>0</v>
      </c>
      <c r="BE17" s="157">
        <f t="shared" si="3"/>
        <v>0</v>
      </c>
      <c r="BF17" s="157">
        <f t="shared" si="3"/>
        <v>0</v>
      </c>
      <c r="BG17" s="157">
        <f t="shared" si="3"/>
        <v>0</v>
      </c>
      <c r="BH17" s="157">
        <f t="shared" si="3"/>
        <v>0</v>
      </c>
      <c r="BI17" s="157">
        <f t="shared" si="3"/>
        <v>0</v>
      </c>
      <c r="BJ17" s="157">
        <f t="shared" si="3"/>
        <v>0</v>
      </c>
      <c r="BK17" t="s">
        <v>102</v>
      </c>
    </row>
    <row r="18" spans="1:63" ht="11.25" customHeight="1" x14ac:dyDescent="0.25">
      <c r="A18" s="12"/>
      <c r="B18" s="72"/>
      <c r="C18" s="73"/>
      <c r="D18" s="17"/>
      <c r="E18" s="23">
        <f t="shared" si="0"/>
        <v>0</v>
      </c>
      <c r="F18" s="313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72"/>
      <c r="AP18" s="72"/>
      <c r="AQ18" s="72"/>
      <c r="AR18" s="72"/>
      <c r="AS18" s="72"/>
      <c r="AT18" s="72"/>
      <c r="AU18" s="72"/>
      <c r="AV18" s="72"/>
      <c r="AW18" s="72"/>
      <c r="AX18" s="72"/>
      <c r="AY18" s="72"/>
      <c r="AZ18" s="72"/>
      <c r="BA18" s="72"/>
      <c r="BB18" s="72"/>
      <c r="BC18" s="72"/>
      <c r="BD18" s="72"/>
      <c r="BE18" s="72"/>
      <c r="BF18" s="72"/>
      <c r="BG18" s="72"/>
      <c r="BH18" s="72"/>
      <c r="BI18" s="72"/>
      <c r="BJ18" s="72"/>
      <c r="BK18" t="s">
        <v>102</v>
      </c>
    </row>
    <row r="19" spans="1:63" ht="11.25" customHeight="1" x14ac:dyDescent="0.25">
      <c r="A19" s="12" t="s">
        <v>26</v>
      </c>
      <c r="B19" s="72" t="s">
        <v>378</v>
      </c>
      <c r="C19" s="73"/>
      <c r="D19" s="17"/>
      <c r="E19" s="23">
        <f t="shared" si="0"/>
        <v>0</v>
      </c>
      <c r="F19" s="313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t="s">
        <v>102</v>
      </c>
    </row>
    <row r="20" spans="1:63" ht="11.1" customHeight="1" x14ac:dyDescent="0.25">
      <c r="A20" s="12"/>
      <c r="B20" s="6" t="s">
        <v>437</v>
      </c>
      <c r="C20" s="7" t="s">
        <v>448</v>
      </c>
      <c r="D20" s="363">
        <f>Assumptions!D88</f>
        <v>53.15</v>
      </c>
      <c r="E20" s="23">
        <f t="shared" si="0"/>
        <v>0</v>
      </c>
      <c r="F20" s="80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  <c r="AB20" s="72"/>
      <c r="AC20" s="72"/>
      <c r="AD20" s="72"/>
      <c r="AE20" s="72"/>
      <c r="AF20" s="72"/>
      <c r="AG20" s="72"/>
      <c r="AH20" s="72"/>
      <c r="AI20" s="72"/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2"/>
      <c r="AW20" s="72"/>
      <c r="AX20" s="72"/>
      <c r="AY20" s="72"/>
      <c r="AZ20" s="72"/>
      <c r="BA20" s="72"/>
      <c r="BB20" s="72"/>
      <c r="BC20" s="72"/>
      <c r="BD20" s="72"/>
      <c r="BE20" s="72"/>
      <c r="BF20" s="72"/>
      <c r="BG20" s="72"/>
      <c r="BH20" s="72"/>
      <c r="BI20" s="72"/>
      <c r="BJ20" s="72"/>
      <c r="BK20" t="s">
        <v>102</v>
      </c>
    </row>
    <row r="21" spans="1:63" ht="11.25" customHeight="1" x14ac:dyDescent="0.25">
      <c r="A21" s="12"/>
      <c r="B21" s="19" t="s">
        <v>370</v>
      </c>
      <c r="C21" s="14" t="s">
        <v>102</v>
      </c>
      <c r="D21" s="12"/>
      <c r="E21" s="23">
        <f t="shared" si="0"/>
        <v>77.175271781058484</v>
      </c>
      <c r="F21" s="80" t="s">
        <v>26</v>
      </c>
      <c r="G21" s="44">
        <f>'Time &amp; Technical'!G171</f>
        <v>1.0037085358888664</v>
      </c>
      <c r="H21" s="44">
        <f>'Time &amp; Technical'!H171</f>
        <v>1.0111531141434773</v>
      </c>
      <c r="I21" s="44">
        <f>'Time &amp; Technical'!I171</f>
        <v>1.0186529093693575</v>
      </c>
      <c r="J21" s="44">
        <f>'Time &amp; Technical'!J171</f>
        <v>1.0262083311147465</v>
      </c>
      <c r="K21" s="44">
        <f>'Time &amp; Technical'!K171</f>
        <v>1.0338197919655321</v>
      </c>
      <c r="L21" s="44">
        <f>'Time &amp; Technical'!L171</f>
        <v>1.0414877075677813</v>
      </c>
      <c r="M21" s="44">
        <f>'Time &amp; Technical'!M171</f>
        <v>1.0492124966504379</v>
      </c>
      <c r="N21" s="44">
        <f>'Time &amp; Technical'!N171</f>
        <v>1.0569945810481887</v>
      </c>
      <c r="O21" s="44">
        <f>'Time &amp; Technical'!O171</f>
        <v>1.0648343857244977</v>
      </c>
      <c r="P21" s="44">
        <f>'Time &amp; Technical'!P171</f>
        <v>1.0727323387948144</v>
      </c>
      <c r="Q21" s="44">
        <f>'Time &amp; Technical'!Q171</f>
        <v>1.0806888715499507</v>
      </c>
      <c r="R21" s="44">
        <f>'Time &amp; Technical'!R171</f>
        <v>1.088704418479634</v>
      </c>
      <c r="S21" s="44">
        <f>'Time &amp; Technical'!S171</f>
        <v>1.0967794172962324</v>
      </c>
      <c r="T21" s="44">
        <f>'Time &amp; Technical'!T171</f>
        <v>1.1049143089586586</v>
      </c>
      <c r="U21" s="44">
        <f>'Time &amp; Technical'!U171</f>
        <v>1.1131095376964493</v>
      </c>
      <c r="V21" s="44">
        <f>'Time &amp; Technical'!V171</f>
        <v>1.1213655510340228</v>
      </c>
      <c r="W21" s="44">
        <f>'Time &amp; Technical'!W171</f>
        <v>1.133887748412298</v>
      </c>
      <c r="X21" s="44">
        <f>'Time &amp; Technical'!X171</f>
        <v>1.1507703805622977</v>
      </c>
      <c r="Y21" s="44">
        <f>'Time &amp; Technical'!Y171</f>
        <v>1.1679043808646667</v>
      </c>
      <c r="Z21" s="44">
        <f>'Time &amp; Technical'!Z171</f>
        <v>1.1852934919791667</v>
      </c>
      <c r="AA21" s="44">
        <f>'Time &amp; Technical'!AA171</f>
        <v>1.2029415122906066</v>
      </c>
      <c r="AB21" s="44">
        <f>'Time &amp; Technical'!AB171</f>
        <v>1.2208522967385416</v>
      </c>
      <c r="AC21" s="44">
        <f>'Time &amp; Technical'!AC171</f>
        <v>1.238271903311835</v>
      </c>
      <c r="AD21" s="44">
        <f>'Time &amp; Technical'!AD171</f>
        <v>1.2551826689614272</v>
      </c>
      <c r="AE21" s="44">
        <f>'Time &amp; Technical'!AE171</f>
        <v>1.2723243806529108</v>
      </c>
      <c r="AF21" s="44">
        <f>'Time &amp; Technical'!AF171</f>
        <v>1.2897001923578668</v>
      </c>
      <c r="AG21" s="44">
        <f>'Time &amp; Technical'!AG171</f>
        <v>1.3073133011208662</v>
      </c>
      <c r="AH21" s="44">
        <f>'Time &amp; Technical'!AH171</f>
        <v>1.3251669476477081</v>
      </c>
      <c r="AI21" s="44">
        <f>'Time &amp; Technical'!AI171</f>
        <v>1.3432644169016901</v>
      </c>
      <c r="AJ21" s="44">
        <f>'Time &amp; Technical'!AJ171</f>
        <v>1.3616090387080204</v>
      </c>
      <c r="AK21" s="44">
        <f>'Time &amp; Technical'!AK171</f>
        <v>1.3802041883664868</v>
      </c>
      <c r="AL21" s="44">
        <f>'Time &amp; Technical'!AL171</f>
        <v>1.3990532872724912</v>
      </c>
      <c r="AM21" s="44">
        <f>'Time &amp; Technical'!AM171</f>
        <v>1.4181598035465655</v>
      </c>
      <c r="AN21" s="44">
        <f>'Time &amp; Technical'!AN171</f>
        <v>1.4375272526724852</v>
      </c>
      <c r="AO21" s="44">
        <f>'Time &amp; Technical'!AO171</f>
        <v>1.4571591981440966</v>
      </c>
      <c r="AP21" s="44">
        <f>'Time &amp; Technical'!AP171</f>
        <v>1.4770592521209789</v>
      </c>
      <c r="AQ21" s="44">
        <f>'Time &amp; Technical'!AQ171</f>
        <v>1.4972310760930596</v>
      </c>
      <c r="AR21" s="44">
        <f>'Time &amp; Technical'!AR171</f>
        <v>1.517678381554306</v>
      </c>
      <c r="AS21" s="44">
        <f>'Time &amp; Technical'!AS171</f>
        <v>1.5384049306856187</v>
      </c>
      <c r="AT21" s="44">
        <f>'Time &amp; Technical'!AT171</f>
        <v>1.5594145370470496</v>
      </c>
      <c r="AU21" s="44">
        <f>'Time &amp; Technical'!AU171</f>
        <v>1.5807110662794734</v>
      </c>
      <c r="AV21" s="44">
        <f>'Time &amp; Technical'!AV171</f>
        <v>1.6022984368158437</v>
      </c>
      <c r="AW21" s="44">
        <f>'Time &amp; Technical'!AW171</f>
        <v>1.6241806206021594</v>
      </c>
      <c r="AX21" s="44">
        <f>'Time &amp; Technical'!AX171</f>
        <v>1.6463616438282798</v>
      </c>
      <c r="AY21" s="44">
        <f>'Time &amp; Technical'!AY171</f>
        <v>1.6688455876687192</v>
      </c>
      <c r="AZ21" s="44">
        <f>'Time &amp; Technical'!AZ171</f>
        <v>1.6916365890335578</v>
      </c>
      <c r="BA21" s="44">
        <f>'Time &amp; Technical'!BA171</f>
        <v>1.7147388413296092</v>
      </c>
      <c r="BB21" s="44">
        <f>'Time &amp; Technical'!BB171</f>
        <v>1.7381565952319811</v>
      </c>
      <c r="BC21" s="44">
        <f>'Time &amp; Technical'!BC171</f>
        <v>1.7618941594661739</v>
      </c>
      <c r="BD21" s="44">
        <f>'Time &amp; Technical'!BD171</f>
        <v>1.7859559016008608</v>
      </c>
      <c r="BE21" s="44">
        <f>'Time &amp; Technical'!BE171</f>
        <v>1.8103462488514941</v>
      </c>
      <c r="BF21" s="44">
        <f>'Time &amp; Technical'!BF171</f>
        <v>1.835069688894885</v>
      </c>
      <c r="BG21" s="44">
        <f>'Time &amp; Technical'!BG171</f>
        <v>1.8601307706949104</v>
      </c>
      <c r="BH21" s="44">
        <f>'Time &amp; Technical'!BH171</f>
        <v>1.8855341053394945</v>
      </c>
      <c r="BI21" s="44">
        <f>'Time &amp; Technical'!BI171</f>
        <v>1.9112843668890207</v>
      </c>
      <c r="BJ21" s="44">
        <f>'Time &amp; Technical'!BJ171</f>
        <v>1.9373862932363308</v>
      </c>
      <c r="BK21" t="s">
        <v>102</v>
      </c>
    </row>
    <row r="22" spans="1:63" ht="11.25" customHeight="1" x14ac:dyDescent="0.25">
      <c r="A22" s="12"/>
      <c r="B22" s="19" t="s">
        <v>438</v>
      </c>
      <c r="C22" s="14" t="s">
        <v>441</v>
      </c>
      <c r="D22" s="12"/>
      <c r="E22" s="23">
        <f t="shared" si="0"/>
        <v>4101.8656951632584</v>
      </c>
      <c r="F22" s="80" t="s">
        <v>26</v>
      </c>
      <c r="G22" s="153">
        <f>$D$20*G21</f>
        <v>53.34710868249325</v>
      </c>
      <c r="H22" s="153">
        <f t="shared" ref="H22:BJ22" si="4">$D$20*H21</f>
        <v>53.742788016725818</v>
      </c>
      <c r="I22" s="153">
        <f t="shared" si="4"/>
        <v>54.141402132981348</v>
      </c>
      <c r="J22" s="153">
        <f t="shared" si="4"/>
        <v>54.542972798748778</v>
      </c>
      <c r="K22" s="153">
        <f t="shared" si="4"/>
        <v>54.947521942968031</v>
      </c>
      <c r="L22" s="153">
        <f t="shared" si="4"/>
        <v>55.355071657227576</v>
      </c>
      <c r="M22" s="153">
        <f t="shared" si="4"/>
        <v>55.765644196970776</v>
      </c>
      <c r="N22" s="153">
        <f t="shared" si="4"/>
        <v>56.179261982711225</v>
      </c>
      <c r="O22" s="153">
        <f t="shared" si="4"/>
        <v>56.595947601257052</v>
      </c>
      <c r="P22" s="153">
        <f t="shared" si="4"/>
        <v>57.015723806944386</v>
      </c>
      <c r="Q22" s="153">
        <f t="shared" si="4"/>
        <v>57.438613522879884</v>
      </c>
      <c r="R22" s="153">
        <f t="shared" si="4"/>
        <v>57.864639842192545</v>
      </c>
      <c r="S22" s="153">
        <f t="shared" si="4"/>
        <v>58.293826029294749</v>
      </c>
      <c r="T22" s="153">
        <f t="shared" si="4"/>
        <v>58.726195521152704</v>
      </c>
      <c r="U22" s="153">
        <f t="shared" si="4"/>
        <v>59.161771928566274</v>
      </c>
      <c r="V22" s="153">
        <f t="shared" si="4"/>
        <v>59.60057903745831</v>
      </c>
      <c r="W22" s="153">
        <f t="shared" si="4"/>
        <v>60.266133828113638</v>
      </c>
      <c r="X22" s="153">
        <f t="shared" si="4"/>
        <v>61.163445726886124</v>
      </c>
      <c r="Y22" s="153">
        <f t="shared" si="4"/>
        <v>62.074117842957037</v>
      </c>
      <c r="Z22" s="153">
        <f t="shared" si="4"/>
        <v>62.998349098692707</v>
      </c>
      <c r="AA22" s="153">
        <f t="shared" si="4"/>
        <v>63.936341378245743</v>
      </c>
      <c r="AB22" s="153">
        <f t="shared" si="4"/>
        <v>64.888299571653477</v>
      </c>
      <c r="AC22" s="153">
        <f t="shared" si="4"/>
        <v>65.814151661024027</v>
      </c>
      <c r="AD22" s="153">
        <f t="shared" si="4"/>
        <v>66.712958855299846</v>
      </c>
      <c r="AE22" s="153">
        <f t="shared" si="4"/>
        <v>67.624040831702203</v>
      </c>
      <c r="AF22" s="153">
        <f t="shared" si="4"/>
        <v>68.547565223820612</v>
      </c>
      <c r="AG22" s="153">
        <f t="shared" si="4"/>
        <v>69.48370195457403</v>
      </c>
      <c r="AH22" s="153">
        <f t="shared" si="4"/>
        <v>70.432623267475691</v>
      </c>
      <c r="AI22" s="153">
        <f t="shared" si="4"/>
        <v>71.394503758324831</v>
      </c>
      <c r="AJ22" s="153">
        <f t="shared" si="4"/>
        <v>72.369520407331279</v>
      </c>
      <c r="AK22" s="153">
        <f t="shared" si="4"/>
        <v>73.35785261167878</v>
      </c>
      <c r="AL22" s="153">
        <f t="shared" si="4"/>
        <v>74.35968221853291</v>
      </c>
      <c r="AM22" s="153">
        <f t="shared" si="4"/>
        <v>75.375193558499959</v>
      </c>
      <c r="AN22" s="153">
        <f t="shared" si="4"/>
        <v>76.404573479542577</v>
      </c>
      <c r="AO22" s="153">
        <f t="shared" si="4"/>
        <v>77.448011381358725</v>
      </c>
      <c r="AP22" s="153">
        <f t="shared" si="4"/>
        <v>78.505699250230023</v>
      </c>
      <c r="AQ22" s="153">
        <f t="shared" si="4"/>
        <v>79.577831694346116</v>
      </c>
      <c r="AR22" s="153">
        <f t="shared" si="4"/>
        <v>80.664605979611366</v>
      </c>
      <c r="AS22" s="153">
        <f t="shared" si="4"/>
        <v>81.766222065940624</v>
      </c>
      <c r="AT22" s="153">
        <f t="shared" si="4"/>
        <v>82.882882644050682</v>
      </c>
      <c r="AU22" s="153">
        <f t="shared" si="4"/>
        <v>84.014793172754011</v>
      </c>
      <c r="AV22" s="153">
        <f t="shared" si="4"/>
        <v>85.162161916762088</v>
      </c>
      <c r="AW22" s="153">
        <f t="shared" si="4"/>
        <v>86.325199985004772</v>
      </c>
      <c r="AX22" s="153">
        <f t="shared" si="4"/>
        <v>87.504121369473069</v>
      </c>
      <c r="AY22" s="153">
        <f t="shared" si="4"/>
        <v>88.699142984592427</v>
      </c>
      <c r="AZ22" s="153">
        <f t="shared" si="4"/>
        <v>89.910484707133591</v>
      </c>
      <c r="BA22" s="153">
        <f t="shared" si="4"/>
        <v>91.138369416668723</v>
      </c>
      <c r="BB22" s="153">
        <f t="shared" si="4"/>
        <v>92.383023036579786</v>
      </c>
      <c r="BC22" s="153">
        <f t="shared" si="4"/>
        <v>93.644674575627135</v>
      </c>
      <c r="BD22" s="153">
        <f t="shared" si="4"/>
        <v>94.923556170085746</v>
      </c>
      <c r="BE22" s="153">
        <f t="shared" si="4"/>
        <v>96.219903126456913</v>
      </c>
      <c r="BF22" s="153">
        <f t="shared" si="4"/>
        <v>97.533953964763128</v>
      </c>
      <c r="BG22" s="153">
        <f t="shared" si="4"/>
        <v>98.865950462434483</v>
      </c>
      <c r="BH22" s="153">
        <f t="shared" si="4"/>
        <v>100.21613769879413</v>
      </c>
      <c r="BI22" s="153">
        <f t="shared" si="4"/>
        <v>101.58476410015145</v>
      </c>
      <c r="BJ22" s="153">
        <f t="shared" si="4"/>
        <v>102.97208148551098</v>
      </c>
      <c r="BK22" t="s">
        <v>102</v>
      </c>
    </row>
    <row r="23" spans="1:63" ht="11.25" customHeight="1" x14ac:dyDescent="0.25">
      <c r="A23" s="12"/>
      <c r="B23" s="154" t="s">
        <v>334</v>
      </c>
      <c r="C23" s="155" t="s">
        <v>440</v>
      </c>
      <c r="D23" s="255">
        <f>'Time &amp; Technical'!D118</f>
        <v>155</v>
      </c>
      <c r="E23" s="23">
        <f t="shared" si="0"/>
        <v>0</v>
      </c>
      <c r="F23" s="344"/>
      <c r="G23" s="156"/>
      <c r="H23" s="156"/>
      <c r="I23" s="156"/>
      <c r="J23" s="156"/>
      <c r="K23" s="156"/>
      <c r="L23" s="156"/>
      <c r="M23" s="156"/>
      <c r="N23" s="156"/>
      <c r="O23" s="156"/>
      <c r="P23" s="156"/>
      <c r="Q23" s="156"/>
      <c r="R23" s="156"/>
      <c r="S23" s="156"/>
      <c r="T23" s="156"/>
      <c r="U23" s="182"/>
      <c r="V23" s="156"/>
      <c r="W23" s="156"/>
      <c r="X23" s="156"/>
      <c r="Y23" s="156"/>
      <c r="Z23" s="156"/>
      <c r="AA23" s="156"/>
      <c r="AB23" s="156"/>
      <c r="AC23" s="156"/>
      <c r="AD23" s="156"/>
      <c r="AE23" s="156"/>
      <c r="AF23" s="156"/>
      <c r="AG23" s="156"/>
      <c r="AH23" s="156"/>
      <c r="AI23" s="156"/>
      <c r="AJ23" s="156"/>
      <c r="AK23" s="156"/>
      <c r="AL23" s="156"/>
      <c r="AM23" s="156"/>
      <c r="AN23" s="156"/>
      <c r="AO23" s="156"/>
      <c r="AP23" s="156"/>
      <c r="AQ23" s="156"/>
      <c r="AR23" s="156"/>
      <c r="AS23" s="156"/>
      <c r="AT23" s="156"/>
      <c r="AU23" s="156"/>
      <c r="AV23" s="156"/>
      <c r="AW23" s="156"/>
      <c r="AX23" s="156"/>
      <c r="AY23" s="156"/>
      <c r="AZ23" s="156"/>
      <c r="BA23" s="156"/>
      <c r="BB23" s="156"/>
      <c r="BC23" s="156"/>
      <c r="BD23" s="156"/>
      <c r="BE23" s="156"/>
      <c r="BF23" s="156"/>
      <c r="BG23" s="156"/>
      <c r="BH23" s="156"/>
      <c r="BI23" s="156"/>
      <c r="BJ23" s="156"/>
      <c r="BK23" t="s">
        <v>102</v>
      </c>
    </row>
    <row r="24" spans="1:63" ht="11.25" customHeight="1" x14ac:dyDescent="0.25">
      <c r="A24" s="12"/>
      <c r="B24" s="157" t="s">
        <v>378</v>
      </c>
      <c r="C24" s="14" t="s">
        <v>335</v>
      </c>
      <c r="D24" s="12"/>
      <c r="E24" s="23">
        <f t="shared" si="0"/>
        <v>1.4379439177794568</v>
      </c>
      <c r="F24" s="80" t="s">
        <v>26</v>
      </c>
      <c r="G24" s="376">
        <f>IF(G8=0,0,G22*$D$23/(100*1000))</f>
        <v>0</v>
      </c>
      <c r="H24" s="376">
        <f t="shared" ref="H24:BJ24" si="5">IF(H8=0,0,H22*$D$23/(100*1000))</f>
        <v>0</v>
      </c>
      <c r="I24" s="376">
        <f t="shared" si="5"/>
        <v>0</v>
      </c>
      <c r="J24" s="376">
        <f t="shared" si="5"/>
        <v>0</v>
      </c>
      <c r="K24" s="376">
        <f t="shared" si="5"/>
        <v>0</v>
      </c>
      <c r="L24" s="376">
        <f t="shared" si="5"/>
        <v>0</v>
      </c>
      <c r="M24" s="376">
        <f t="shared" si="5"/>
        <v>0</v>
      </c>
      <c r="N24" s="376">
        <f t="shared" si="5"/>
        <v>0</v>
      </c>
      <c r="O24" s="376">
        <f t="shared" si="5"/>
        <v>0</v>
      </c>
      <c r="P24" s="376">
        <f t="shared" si="5"/>
        <v>0</v>
      </c>
      <c r="Q24" s="376">
        <f t="shared" si="5"/>
        <v>0</v>
      </c>
      <c r="R24" s="376">
        <f t="shared" si="5"/>
        <v>0</v>
      </c>
      <c r="S24" s="376">
        <f t="shared" si="5"/>
        <v>0</v>
      </c>
      <c r="T24" s="376">
        <f t="shared" si="5"/>
        <v>0</v>
      </c>
      <c r="U24" s="376">
        <f t="shared" si="5"/>
        <v>0</v>
      </c>
      <c r="V24" s="376">
        <f t="shared" si="5"/>
        <v>0</v>
      </c>
      <c r="W24" s="376">
        <f t="shared" si="5"/>
        <v>9.3412507433576139E-2</v>
      </c>
      <c r="X24" s="376">
        <f t="shared" si="5"/>
        <v>9.4803340876673498E-2</v>
      </c>
      <c r="Y24" s="376">
        <f t="shared" si="5"/>
        <v>9.6214882656583414E-2</v>
      </c>
      <c r="Z24" s="376">
        <f t="shared" si="5"/>
        <v>9.76474411029737E-2</v>
      </c>
      <c r="AA24" s="376">
        <f t="shared" si="5"/>
        <v>9.9101329136280905E-2</v>
      </c>
      <c r="AB24" s="376">
        <f t="shared" si="5"/>
        <v>0.10057686433606289</v>
      </c>
      <c r="AC24" s="376">
        <f t="shared" si="5"/>
        <v>0.10201193507458724</v>
      </c>
      <c r="AD24" s="376">
        <f t="shared" si="5"/>
        <v>0.10340508622571477</v>
      </c>
      <c r="AE24" s="376">
        <f t="shared" si="5"/>
        <v>0.10481726328913842</v>
      </c>
      <c r="AF24" s="376">
        <f t="shared" si="5"/>
        <v>0.10624872609692194</v>
      </c>
      <c r="AG24" s="376">
        <f t="shared" si="5"/>
        <v>0.10769973802958975</v>
      </c>
      <c r="AH24" s="376">
        <f t="shared" si="5"/>
        <v>0.10917056606458733</v>
      </c>
      <c r="AI24" s="376">
        <f t="shared" si="5"/>
        <v>0.11066148082540349</v>
      </c>
      <c r="AJ24" s="376">
        <f t="shared" si="5"/>
        <v>0.11217275663136349</v>
      </c>
      <c r="AK24" s="376">
        <f t="shared" si="5"/>
        <v>0</v>
      </c>
      <c r="AL24" s="376">
        <f t="shared" si="5"/>
        <v>0</v>
      </c>
      <c r="AM24" s="376">
        <f t="shared" si="5"/>
        <v>0</v>
      </c>
      <c r="AN24" s="376">
        <f t="shared" si="5"/>
        <v>0</v>
      </c>
      <c r="AO24" s="376">
        <f t="shared" si="5"/>
        <v>0</v>
      </c>
      <c r="AP24" s="376">
        <f t="shared" si="5"/>
        <v>0</v>
      </c>
      <c r="AQ24" s="376">
        <f t="shared" si="5"/>
        <v>0</v>
      </c>
      <c r="AR24" s="376">
        <f t="shared" si="5"/>
        <v>0</v>
      </c>
      <c r="AS24" s="376">
        <f t="shared" si="5"/>
        <v>0</v>
      </c>
      <c r="AT24" s="376">
        <f t="shared" si="5"/>
        <v>0</v>
      </c>
      <c r="AU24" s="376">
        <f t="shared" si="5"/>
        <v>0</v>
      </c>
      <c r="AV24" s="376">
        <f t="shared" si="5"/>
        <v>0</v>
      </c>
      <c r="AW24" s="376">
        <f t="shared" si="5"/>
        <v>0</v>
      </c>
      <c r="AX24" s="376">
        <f t="shared" si="5"/>
        <v>0</v>
      </c>
      <c r="AY24" s="376">
        <f t="shared" si="5"/>
        <v>0</v>
      </c>
      <c r="AZ24" s="376">
        <f t="shared" si="5"/>
        <v>0</v>
      </c>
      <c r="BA24" s="376">
        <f t="shared" si="5"/>
        <v>0</v>
      </c>
      <c r="BB24" s="376">
        <f t="shared" si="5"/>
        <v>0</v>
      </c>
      <c r="BC24" s="376">
        <f t="shared" si="5"/>
        <v>0</v>
      </c>
      <c r="BD24" s="376">
        <f t="shared" si="5"/>
        <v>0</v>
      </c>
      <c r="BE24" s="376">
        <f t="shared" si="5"/>
        <v>0</v>
      </c>
      <c r="BF24" s="376">
        <f t="shared" si="5"/>
        <v>0</v>
      </c>
      <c r="BG24" s="376">
        <f t="shared" si="5"/>
        <v>0</v>
      </c>
      <c r="BH24" s="376">
        <f t="shared" si="5"/>
        <v>0</v>
      </c>
      <c r="BI24" s="376">
        <f t="shared" si="5"/>
        <v>0</v>
      </c>
      <c r="BJ24" s="376">
        <f t="shared" si="5"/>
        <v>0</v>
      </c>
      <c r="BK24" s="377" t="s">
        <v>102</v>
      </c>
    </row>
    <row r="25" spans="1:63" s="178" customFormat="1" ht="11.25" customHeight="1" x14ac:dyDescent="0.25">
      <c r="A25" s="17"/>
      <c r="B25" s="72" t="s">
        <v>412</v>
      </c>
      <c r="C25" s="73" t="s">
        <v>1</v>
      </c>
      <c r="D25" s="17"/>
      <c r="E25" s="23">
        <f t="shared" si="0"/>
        <v>10867.110008225616</v>
      </c>
      <c r="F25" s="80" t="s">
        <v>26</v>
      </c>
      <c r="G25" s="178">
        <f>G24*G9</f>
        <v>0</v>
      </c>
      <c r="H25" s="178">
        <f t="shared" ref="H25:BJ25" si="6">H24*H9</f>
        <v>0</v>
      </c>
      <c r="I25" s="178">
        <f t="shared" si="6"/>
        <v>0</v>
      </c>
      <c r="J25" s="178">
        <f t="shared" si="6"/>
        <v>0</v>
      </c>
      <c r="K25" s="178">
        <f t="shared" si="6"/>
        <v>0</v>
      </c>
      <c r="L25" s="178">
        <f t="shared" si="6"/>
        <v>0</v>
      </c>
      <c r="M25" s="178">
        <f t="shared" si="6"/>
        <v>0</v>
      </c>
      <c r="N25" s="178">
        <f t="shared" si="6"/>
        <v>0</v>
      </c>
      <c r="O25" s="178">
        <f t="shared" si="6"/>
        <v>0</v>
      </c>
      <c r="P25" s="178">
        <f t="shared" si="6"/>
        <v>0</v>
      </c>
      <c r="Q25" s="178">
        <f t="shared" si="6"/>
        <v>0</v>
      </c>
      <c r="R25" s="178">
        <f t="shared" si="6"/>
        <v>0</v>
      </c>
      <c r="S25" s="178">
        <f t="shared" si="6"/>
        <v>0</v>
      </c>
      <c r="T25" s="178">
        <f t="shared" si="6"/>
        <v>0</v>
      </c>
      <c r="U25" s="178">
        <f t="shared" si="6"/>
        <v>0</v>
      </c>
      <c r="V25" s="178">
        <f t="shared" si="6"/>
        <v>0</v>
      </c>
      <c r="W25" s="178">
        <f t="shared" si="6"/>
        <v>714.00513126262717</v>
      </c>
      <c r="X25" s="178">
        <f t="shared" si="6"/>
        <v>722.72070736229114</v>
      </c>
      <c r="Y25" s="178">
        <f t="shared" si="6"/>
        <v>731.5426710261662</v>
      </c>
      <c r="Z25" s="178">
        <f t="shared" si="6"/>
        <v>740.4723208848518</v>
      </c>
      <c r="AA25" s="178">
        <f t="shared" si="6"/>
        <v>749.51097142081426</v>
      </c>
      <c r="AB25" s="178">
        <f t="shared" si="6"/>
        <v>758.6599531618831</v>
      </c>
      <c r="AC25" s="178">
        <f t="shared" si="6"/>
        <v>767.45091312099282</v>
      </c>
      <c r="AD25" s="178">
        <f t="shared" si="6"/>
        <v>711.60110352113952</v>
      </c>
      <c r="AE25" s="178">
        <f t="shared" si="6"/>
        <v>806.07625675998349</v>
      </c>
      <c r="AF25" s="178">
        <f t="shared" si="6"/>
        <v>814.92491785779043</v>
      </c>
      <c r="AG25" s="178">
        <f t="shared" si="6"/>
        <v>823.87071468260444</v>
      </c>
      <c r="AH25" s="178">
        <f t="shared" si="6"/>
        <v>832.91471353692748</v>
      </c>
      <c r="AI25" s="178">
        <f t="shared" si="6"/>
        <v>842.05799242854141</v>
      </c>
      <c r="AJ25" s="178">
        <f t="shared" si="6"/>
        <v>851.3016411990053</v>
      </c>
      <c r="AK25" s="178">
        <f t="shared" si="6"/>
        <v>0</v>
      </c>
      <c r="AL25" s="178">
        <f t="shared" si="6"/>
        <v>0</v>
      </c>
      <c r="AM25" s="178">
        <f t="shared" si="6"/>
        <v>0</v>
      </c>
      <c r="AN25" s="178">
        <f t="shared" si="6"/>
        <v>0</v>
      </c>
      <c r="AO25" s="178">
        <f t="shared" si="6"/>
        <v>0</v>
      </c>
      <c r="AP25" s="178">
        <f t="shared" si="6"/>
        <v>0</v>
      </c>
      <c r="AQ25" s="178">
        <f t="shared" si="6"/>
        <v>0</v>
      </c>
      <c r="AR25" s="178">
        <f t="shared" si="6"/>
        <v>0</v>
      </c>
      <c r="AS25" s="178">
        <f t="shared" si="6"/>
        <v>0</v>
      </c>
      <c r="AT25" s="178">
        <f t="shared" si="6"/>
        <v>0</v>
      </c>
      <c r="AU25" s="178">
        <f t="shared" si="6"/>
        <v>0</v>
      </c>
      <c r="AV25" s="178">
        <f t="shared" si="6"/>
        <v>0</v>
      </c>
      <c r="AW25" s="178">
        <f t="shared" si="6"/>
        <v>0</v>
      </c>
      <c r="AX25" s="178">
        <f t="shared" si="6"/>
        <v>0</v>
      </c>
      <c r="AY25" s="178">
        <f t="shared" si="6"/>
        <v>0</v>
      </c>
      <c r="AZ25" s="178">
        <f t="shared" si="6"/>
        <v>0</v>
      </c>
      <c r="BA25" s="178">
        <f t="shared" si="6"/>
        <v>0</v>
      </c>
      <c r="BB25" s="178">
        <f t="shared" si="6"/>
        <v>0</v>
      </c>
      <c r="BC25" s="178">
        <f t="shared" si="6"/>
        <v>0</v>
      </c>
      <c r="BD25" s="178">
        <f t="shared" si="6"/>
        <v>0</v>
      </c>
      <c r="BE25" s="178">
        <f t="shared" si="6"/>
        <v>0</v>
      </c>
      <c r="BF25" s="178">
        <f t="shared" si="6"/>
        <v>0</v>
      </c>
      <c r="BG25" s="178">
        <f t="shared" si="6"/>
        <v>0</v>
      </c>
      <c r="BH25" s="178">
        <f t="shared" si="6"/>
        <v>0</v>
      </c>
      <c r="BI25" s="178">
        <f t="shared" si="6"/>
        <v>0</v>
      </c>
      <c r="BJ25" s="178">
        <f t="shared" si="6"/>
        <v>0</v>
      </c>
      <c r="BK25" t="s">
        <v>102</v>
      </c>
    </row>
    <row r="26" spans="1:63" ht="11.25" customHeight="1" x14ac:dyDescent="0.25">
      <c r="A26" s="12"/>
      <c r="B26" s="72"/>
      <c r="C26" s="73"/>
      <c r="D26" s="17"/>
      <c r="E26" s="23">
        <f t="shared" si="0"/>
        <v>0</v>
      </c>
      <c r="F26" s="313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378"/>
      <c r="X26" s="378"/>
      <c r="Y26" s="378"/>
      <c r="Z26" s="378"/>
      <c r="AA26" s="378"/>
      <c r="AB26" s="378"/>
      <c r="AC26" s="378"/>
      <c r="AD26" s="378"/>
      <c r="AE26" s="378"/>
      <c r="AF26" s="378"/>
      <c r="AG26" s="378"/>
      <c r="AH26" s="378"/>
      <c r="AI26" s="378"/>
      <c r="AJ26" s="378"/>
      <c r="AK26" s="378"/>
      <c r="AL26" s="378"/>
      <c r="AM26" s="378"/>
      <c r="AN26" s="378"/>
      <c r="AO26" s="378"/>
      <c r="AP26" s="378"/>
      <c r="AQ26" s="378"/>
      <c r="AR26" s="378"/>
      <c r="AS26" s="378"/>
      <c r="AT26" s="378"/>
      <c r="AU26" s="378"/>
      <c r="AV26" s="378"/>
      <c r="AW26" s="378"/>
      <c r="AX26" s="378"/>
      <c r="AY26" s="378"/>
      <c r="AZ26" s="378"/>
      <c r="BA26" s="378"/>
      <c r="BB26" s="378"/>
      <c r="BC26" s="378"/>
      <c r="BD26" s="378"/>
      <c r="BE26" s="378"/>
      <c r="BF26" s="378"/>
      <c r="BG26" s="378"/>
      <c r="BH26" s="378"/>
      <c r="BI26" s="378"/>
      <c r="BJ26" s="378"/>
      <c r="BK26" s="379" t="s">
        <v>102</v>
      </c>
    </row>
    <row r="27" spans="1:63" ht="11.25" customHeight="1" x14ac:dyDescent="0.25">
      <c r="A27" s="17">
        <v>2</v>
      </c>
      <c r="B27" s="72" t="s">
        <v>373</v>
      </c>
      <c r="C27" s="73"/>
      <c r="D27" s="17"/>
      <c r="E27" s="23">
        <f t="shared" si="0"/>
        <v>0</v>
      </c>
      <c r="F27" s="313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72"/>
      <c r="AG27" s="72"/>
      <c r="AH27" s="72"/>
      <c r="AI27" s="72"/>
      <c r="AJ27" s="72"/>
      <c r="AK27" s="72"/>
      <c r="AL27" s="72"/>
      <c r="AM27" s="72"/>
      <c r="AN27" s="72"/>
      <c r="AO27" s="72"/>
      <c r="AP27" s="72"/>
      <c r="AQ27" s="72"/>
      <c r="AR27" s="72"/>
      <c r="AS27" s="72"/>
      <c r="AT27" s="72"/>
      <c r="AU27" s="72"/>
      <c r="AV27" s="72"/>
      <c r="AW27" s="72"/>
      <c r="AX27" s="72"/>
      <c r="AY27" s="72"/>
      <c r="AZ27" s="72"/>
      <c r="BA27" s="72"/>
      <c r="BB27" s="72"/>
      <c r="BC27" s="72"/>
      <c r="BD27" s="72"/>
      <c r="BE27" s="72"/>
      <c r="BF27" s="72"/>
      <c r="BG27" s="72"/>
      <c r="BH27" s="72"/>
      <c r="BI27" s="72"/>
      <c r="BJ27" s="72"/>
      <c r="BK27" t="s">
        <v>102</v>
      </c>
    </row>
    <row r="28" spans="1:63" ht="11.25" customHeight="1" x14ac:dyDescent="0.25">
      <c r="A28" s="12" t="s">
        <v>26</v>
      </c>
      <c r="B28" s="157" t="s">
        <v>379</v>
      </c>
      <c r="C28" s="14" t="s">
        <v>449</v>
      </c>
      <c r="D28" s="76"/>
      <c r="E28" s="23">
        <f t="shared" si="0"/>
        <v>182</v>
      </c>
      <c r="F28" s="80" t="s">
        <v>26</v>
      </c>
      <c r="G28" s="72">
        <f>'Time &amp; Technical'!G136</f>
        <v>0</v>
      </c>
      <c r="H28" s="72">
        <f>'Time &amp; Technical'!H136</f>
        <v>0</v>
      </c>
      <c r="I28" s="72">
        <f>'Time &amp; Technical'!I136</f>
        <v>0</v>
      </c>
      <c r="J28" s="72">
        <f>'Time &amp; Technical'!J136</f>
        <v>0</v>
      </c>
      <c r="K28" s="72">
        <f>'Time &amp; Technical'!K136</f>
        <v>0</v>
      </c>
      <c r="L28" s="72">
        <f>'Time &amp; Technical'!L136</f>
        <v>0</v>
      </c>
      <c r="M28" s="72">
        <f>'Time &amp; Technical'!M136</f>
        <v>0</v>
      </c>
      <c r="N28" s="72">
        <f>'Time &amp; Technical'!N136</f>
        <v>0</v>
      </c>
      <c r="O28" s="72">
        <f>'Time &amp; Technical'!O136</f>
        <v>0</v>
      </c>
      <c r="P28" s="72">
        <f>'Time &amp; Technical'!P136</f>
        <v>0</v>
      </c>
      <c r="Q28" s="72">
        <f>'Time &amp; Technical'!Q136</f>
        <v>0</v>
      </c>
      <c r="R28" s="72">
        <f>'Time &amp; Technical'!R136</f>
        <v>0</v>
      </c>
      <c r="S28" s="72">
        <f>'Time &amp; Technical'!S136</f>
        <v>0</v>
      </c>
      <c r="T28" s="72">
        <f>'Time &amp; Technical'!T136</f>
        <v>0</v>
      </c>
      <c r="U28" s="72">
        <f>'Time &amp; Technical'!U136</f>
        <v>0</v>
      </c>
      <c r="V28" s="72">
        <f>'Time &amp; Technical'!V136</f>
        <v>0</v>
      </c>
      <c r="W28" s="72">
        <f>'Time &amp; Technical'!W136</f>
        <v>0</v>
      </c>
      <c r="X28" s="72">
        <f>'Time &amp; Technical'!X136</f>
        <v>0</v>
      </c>
      <c r="Y28" s="72">
        <f>'Time &amp; Technical'!Y136</f>
        <v>0</v>
      </c>
      <c r="Z28" s="72">
        <f>'Time &amp; Technical'!Z136</f>
        <v>0</v>
      </c>
      <c r="AA28" s="72">
        <f>'Time &amp; Technical'!AA136</f>
        <v>0</v>
      </c>
      <c r="AB28" s="72">
        <f>'Time &amp; Technical'!AB136</f>
        <v>0</v>
      </c>
      <c r="AC28" s="72">
        <f>'Time &amp; Technical'!AC136</f>
        <v>0</v>
      </c>
      <c r="AD28" s="72">
        <f>'Time &amp; Technical'!AD136</f>
        <v>0</v>
      </c>
      <c r="AE28" s="72">
        <f>'Time &amp; Technical'!AE136</f>
        <v>0</v>
      </c>
      <c r="AF28" s="72">
        <f>'Time &amp; Technical'!AF136</f>
        <v>0</v>
      </c>
      <c r="AG28" s="72">
        <f>'Time &amp; Technical'!AG136</f>
        <v>0</v>
      </c>
      <c r="AH28" s="72">
        <f>'Time &amp; Technical'!AH136</f>
        <v>0</v>
      </c>
      <c r="AI28" s="72">
        <f>'Time &amp; Technical'!AI136</f>
        <v>0</v>
      </c>
      <c r="AJ28" s="72">
        <f>'Time &amp; Technical'!AJ136</f>
        <v>0</v>
      </c>
      <c r="AK28" s="72">
        <f>'Time &amp; Technical'!AK136</f>
        <v>7</v>
      </c>
      <c r="AL28" s="72">
        <f>'Time &amp; Technical'!AL136</f>
        <v>7</v>
      </c>
      <c r="AM28" s="72">
        <f>'Time &amp; Technical'!AM136</f>
        <v>7</v>
      </c>
      <c r="AN28" s="72">
        <f>'Time &amp; Technical'!AN136</f>
        <v>7</v>
      </c>
      <c r="AO28" s="72">
        <f>'Time &amp; Technical'!AO136</f>
        <v>7</v>
      </c>
      <c r="AP28" s="72">
        <f>'Time &amp; Technical'!AP136</f>
        <v>7</v>
      </c>
      <c r="AQ28" s="72">
        <f>'Time &amp; Technical'!AQ136</f>
        <v>7</v>
      </c>
      <c r="AR28" s="72">
        <f>'Time &amp; Technical'!AR136</f>
        <v>7</v>
      </c>
      <c r="AS28" s="72">
        <f>'Time &amp; Technical'!AS136</f>
        <v>7</v>
      </c>
      <c r="AT28" s="72">
        <f>'Time &amp; Technical'!AT136</f>
        <v>7</v>
      </c>
      <c r="AU28" s="72">
        <f>'Time &amp; Technical'!AU136</f>
        <v>7</v>
      </c>
      <c r="AV28" s="72">
        <f>'Time &amp; Technical'!AV136</f>
        <v>7</v>
      </c>
      <c r="AW28" s="72">
        <f>'Time &amp; Technical'!AW136</f>
        <v>7</v>
      </c>
      <c r="AX28" s="72">
        <f>'Time &amp; Technical'!AX136</f>
        <v>7</v>
      </c>
      <c r="AY28" s="72">
        <f>'Time &amp; Technical'!AY136</f>
        <v>7</v>
      </c>
      <c r="AZ28" s="72">
        <f>'Time &amp; Technical'!AZ136</f>
        <v>7</v>
      </c>
      <c r="BA28" s="72">
        <f>'Time &amp; Technical'!BA136</f>
        <v>7</v>
      </c>
      <c r="BB28" s="72">
        <f>'Time &amp; Technical'!BB136</f>
        <v>7</v>
      </c>
      <c r="BC28" s="72">
        <f>'Time &amp; Technical'!BC136</f>
        <v>7</v>
      </c>
      <c r="BD28" s="72">
        <f>'Time &amp; Technical'!BD136</f>
        <v>7</v>
      </c>
      <c r="BE28" s="72">
        <f>'Time &amp; Technical'!BE136</f>
        <v>7</v>
      </c>
      <c r="BF28" s="72">
        <f>'Time &amp; Technical'!BF136</f>
        <v>7</v>
      </c>
      <c r="BG28" s="72">
        <f>'Time &amp; Technical'!BG136</f>
        <v>7</v>
      </c>
      <c r="BH28" s="72">
        <f>'Time &amp; Technical'!BH136</f>
        <v>7</v>
      </c>
      <c r="BI28" s="72">
        <f>'Time &amp; Technical'!BI136</f>
        <v>7</v>
      </c>
      <c r="BJ28" s="72">
        <f>'Time &amp; Technical'!BJ136</f>
        <v>7</v>
      </c>
      <c r="BK28" t="s">
        <v>102</v>
      </c>
    </row>
    <row r="29" spans="1:63" ht="11.25" customHeight="1" x14ac:dyDescent="0.25">
      <c r="A29" s="12"/>
      <c r="B29" s="157" t="s">
        <v>380</v>
      </c>
      <c r="C29" s="14" t="s">
        <v>335</v>
      </c>
      <c r="D29" s="17"/>
      <c r="E29" s="23">
        <f t="shared" si="0"/>
        <v>299.15495976286144</v>
      </c>
      <c r="F29" s="80" t="s">
        <v>26</v>
      </c>
      <c r="G29" s="72">
        <f>G28*G21</f>
        <v>0</v>
      </c>
      <c r="H29" s="72">
        <f t="shared" ref="H29:BJ29" si="7">H28*H21</f>
        <v>0</v>
      </c>
      <c r="I29" s="72">
        <f t="shared" si="7"/>
        <v>0</v>
      </c>
      <c r="J29" s="72">
        <f t="shared" si="7"/>
        <v>0</v>
      </c>
      <c r="K29" s="72">
        <f t="shared" si="7"/>
        <v>0</v>
      </c>
      <c r="L29" s="72">
        <f t="shared" si="7"/>
        <v>0</v>
      </c>
      <c r="M29" s="72">
        <f t="shared" si="7"/>
        <v>0</v>
      </c>
      <c r="N29" s="72">
        <f t="shared" si="7"/>
        <v>0</v>
      </c>
      <c r="O29" s="72">
        <f t="shared" si="7"/>
        <v>0</v>
      </c>
      <c r="P29" s="72">
        <f t="shared" si="7"/>
        <v>0</v>
      </c>
      <c r="Q29" s="72">
        <f t="shared" si="7"/>
        <v>0</v>
      </c>
      <c r="R29" s="72">
        <f t="shared" si="7"/>
        <v>0</v>
      </c>
      <c r="S29" s="72">
        <f t="shared" si="7"/>
        <v>0</v>
      </c>
      <c r="T29" s="72">
        <f t="shared" si="7"/>
        <v>0</v>
      </c>
      <c r="U29" s="72">
        <f t="shared" si="7"/>
        <v>0</v>
      </c>
      <c r="V29" s="72">
        <f t="shared" si="7"/>
        <v>0</v>
      </c>
      <c r="W29" s="72">
        <f t="shared" si="7"/>
        <v>0</v>
      </c>
      <c r="X29" s="72">
        <f t="shared" si="7"/>
        <v>0</v>
      </c>
      <c r="Y29" s="72">
        <f t="shared" si="7"/>
        <v>0</v>
      </c>
      <c r="Z29" s="72">
        <f t="shared" si="7"/>
        <v>0</v>
      </c>
      <c r="AA29" s="72">
        <f t="shared" si="7"/>
        <v>0</v>
      </c>
      <c r="AB29" s="72">
        <f t="shared" si="7"/>
        <v>0</v>
      </c>
      <c r="AC29" s="72">
        <f t="shared" si="7"/>
        <v>0</v>
      </c>
      <c r="AD29" s="72">
        <f t="shared" si="7"/>
        <v>0</v>
      </c>
      <c r="AE29" s="72">
        <f t="shared" si="7"/>
        <v>0</v>
      </c>
      <c r="AF29" s="72">
        <f t="shared" si="7"/>
        <v>0</v>
      </c>
      <c r="AG29" s="72">
        <f t="shared" si="7"/>
        <v>0</v>
      </c>
      <c r="AH29" s="72">
        <f t="shared" si="7"/>
        <v>0</v>
      </c>
      <c r="AI29" s="72">
        <f t="shared" si="7"/>
        <v>0</v>
      </c>
      <c r="AJ29" s="72">
        <f t="shared" si="7"/>
        <v>0</v>
      </c>
      <c r="AK29" s="72">
        <f t="shared" si="7"/>
        <v>9.661429318565407</v>
      </c>
      <c r="AL29" s="72">
        <f t="shared" si="7"/>
        <v>9.7933730109074393</v>
      </c>
      <c r="AM29" s="72">
        <f t="shared" si="7"/>
        <v>9.9271186248259582</v>
      </c>
      <c r="AN29" s="72">
        <f t="shared" si="7"/>
        <v>10.062690768707396</v>
      </c>
      <c r="AO29" s="72">
        <f t="shared" si="7"/>
        <v>10.200114387008675</v>
      </c>
      <c r="AP29" s="72">
        <f t="shared" si="7"/>
        <v>10.339414764846852</v>
      </c>
      <c r="AQ29" s="72">
        <f t="shared" si="7"/>
        <v>10.480617532651417</v>
      </c>
      <c r="AR29" s="72">
        <f t="shared" si="7"/>
        <v>10.623748670880142</v>
      </c>
      <c r="AS29" s="72">
        <f t="shared" si="7"/>
        <v>10.76883451479933</v>
      </c>
      <c r="AT29" s="72">
        <f t="shared" si="7"/>
        <v>10.915901759329348</v>
      </c>
      <c r="AU29" s="72">
        <f t="shared" si="7"/>
        <v>11.064977463956314</v>
      </c>
      <c r="AV29" s="72">
        <f t="shared" si="7"/>
        <v>11.216089057710906</v>
      </c>
      <c r="AW29" s="72">
        <f t="shared" si="7"/>
        <v>11.369264344215116</v>
      </c>
      <c r="AX29" s="72">
        <f t="shared" si="7"/>
        <v>11.524531506797958</v>
      </c>
      <c r="AY29" s="72">
        <f t="shared" si="7"/>
        <v>11.681919113681033</v>
      </c>
      <c r="AZ29" s="72">
        <f t="shared" si="7"/>
        <v>11.841456123234906</v>
      </c>
      <c r="BA29" s="72">
        <f t="shared" si="7"/>
        <v>12.003171889307264</v>
      </c>
      <c r="BB29" s="72">
        <f t="shared" si="7"/>
        <v>12.167096166623868</v>
      </c>
      <c r="BC29" s="72">
        <f t="shared" si="7"/>
        <v>12.333259116263218</v>
      </c>
      <c r="BD29" s="72">
        <f t="shared" si="7"/>
        <v>12.501691311206026</v>
      </c>
      <c r="BE29" s="72">
        <f t="shared" si="7"/>
        <v>12.672423741960458</v>
      </c>
      <c r="BF29" s="72">
        <f t="shared" si="7"/>
        <v>12.845487822264195</v>
      </c>
      <c r="BG29" s="72">
        <f t="shared" si="7"/>
        <v>13.020915394864373</v>
      </c>
      <c r="BH29" s="72">
        <f t="shared" si="7"/>
        <v>13.198738737376461</v>
      </c>
      <c r="BI29" s="72">
        <f t="shared" si="7"/>
        <v>13.378990568223145</v>
      </c>
      <c r="BJ29" s="72">
        <f t="shared" si="7"/>
        <v>13.561704052654315</v>
      </c>
      <c r="BK29" t="s">
        <v>102</v>
      </c>
    </row>
    <row r="30" spans="1:63" ht="11.25" customHeight="1" x14ac:dyDescent="0.25">
      <c r="A30" s="12"/>
      <c r="B30" s="178" t="s">
        <v>413</v>
      </c>
      <c r="C30" s="73" t="s">
        <v>1</v>
      </c>
      <c r="D30" s="17"/>
      <c r="E30" s="23">
        <f t="shared" si="0"/>
        <v>2188444.7532645157</v>
      </c>
      <c r="F30" s="80" t="s">
        <v>26</v>
      </c>
      <c r="G30" s="59">
        <f>G29*G9</f>
        <v>0</v>
      </c>
      <c r="H30" s="59">
        <f t="shared" ref="H30:BJ30" si="8">H29*H9</f>
        <v>0</v>
      </c>
      <c r="I30" s="59">
        <f t="shared" si="8"/>
        <v>0</v>
      </c>
      <c r="J30" s="59">
        <f t="shared" si="8"/>
        <v>0</v>
      </c>
      <c r="K30" s="59">
        <f t="shared" si="8"/>
        <v>0</v>
      </c>
      <c r="L30" s="59">
        <f t="shared" si="8"/>
        <v>0</v>
      </c>
      <c r="M30" s="59">
        <f t="shared" si="8"/>
        <v>0</v>
      </c>
      <c r="N30" s="59">
        <f t="shared" si="8"/>
        <v>0</v>
      </c>
      <c r="O30" s="59">
        <f t="shared" si="8"/>
        <v>0</v>
      </c>
      <c r="P30" s="59">
        <f t="shared" si="8"/>
        <v>0</v>
      </c>
      <c r="Q30" s="59">
        <f t="shared" si="8"/>
        <v>0</v>
      </c>
      <c r="R30" s="59">
        <f t="shared" si="8"/>
        <v>0</v>
      </c>
      <c r="S30" s="59">
        <f t="shared" si="8"/>
        <v>0</v>
      </c>
      <c r="T30" s="59">
        <f t="shared" si="8"/>
        <v>0</v>
      </c>
      <c r="U30" s="59">
        <f t="shared" si="8"/>
        <v>0</v>
      </c>
      <c r="V30" s="59">
        <f t="shared" si="8"/>
        <v>0</v>
      </c>
      <c r="W30" s="59">
        <f t="shared" si="8"/>
        <v>0</v>
      </c>
      <c r="X30" s="59">
        <f t="shared" si="8"/>
        <v>0</v>
      </c>
      <c r="Y30" s="59">
        <f t="shared" si="8"/>
        <v>0</v>
      </c>
      <c r="Z30" s="59">
        <f t="shared" si="8"/>
        <v>0</v>
      </c>
      <c r="AA30" s="59">
        <f t="shared" si="8"/>
        <v>0</v>
      </c>
      <c r="AB30" s="59">
        <f t="shared" si="8"/>
        <v>0</v>
      </c>
      <c r="AC30" s="59">
        <f t="shared" si="8"/>
        <v>0</v>
      </c>
      <c r="AD30" s="59">
        <f t="shared" si="8"/>
        <v>0</v>
      </c>
      <c r="AE30" s="59">
        <f t="shared" si="8"/>
        <v>0</v>
      </c>
      <c r="AF30" s="59">
        <f t="shared" si="8"/>
        <v>0</v>
      </c>
      <c r="AG30" s="59">
        <f t="shared" si="8"/>
        <v>0</v>
      </c>
      <c r="AH30" s="59">
        <f t="shared" si="8"/>
        <v>0</v>
      </c>
      <c r="AI30" s="59">
        <f t="shared" si="8"/>
        <v>0</v>
      </c>
      <c r="AJ30" s="59">
        <f t="shared" si="8"/>
        <v>0</v>
      </c>
      <c r="AK30" s="59">
        <f t="shared" si="8"/>
        <v>72388.390934751063</v>
      </c>
      <c r="AL30" s="59">
        <f t="shared" si="8"/>
        <v>67120.460723417535</v>
      </c>
      <c r="AM30" s="59">
        <f t="shared" si="8"/>
        <v>76031.655184653093</v>
      </c>
      <c r="AN30" s="59">
        <f t="shared" si="8"/>
        <v>75992.808256504402</v>
      </c>
      <c r="AO30" s="59">
        <f t="shared" si="8"/>
        <v>76827.015442850825</v>
      </c>
      <c r="AP30" s="59">
        <f t="shared" si="8"/>
        <v>76777.617106532562</v>
      </c>
      <c r="AQ30" s="59">
        <f t="shared" si="8"/>
        <v>77620.439492101417</v>
      </c>
      <c r="AR30" s="59">
        <f t="shared" si="8"/>
        <v>77560.042825463286</v>
      </c>
      <c r="AS30" s="59">
        <f t="shared" si="8"/>
        <v>78411.454249554168</v>
      </c>
      <c r="AT30" s="59">
        <f t="shared" si="8"/>
        <v>72705.206833056815</v>
      </c>
      <c r="AU30" s="59">
        <f t="shared" si="8"/>
        <v>82357.855659522334</v>
      </c>
      <c r="AV30" s="59">
        <f t="shared" si="8"/>
        <v>83261.934829900623</v>
      </c>
      <c r="AW30" s="59">
        <f t="shared" si="8"/>
        <v>84175.938483374863</v>
      </c>
      <c r="AX30" s="59">
        <f t="shared" si="8"/>
        <v>85099.975565453293</v>
      </c>
      <c r="AY30" s="59">
        <f t="shared" si="8"/>
        <v>86034.156217587952</v>
      </c>
      <c r="AZ30" s="59">
        <f t="shared" si="8"/>
        <v>86978.591790303122</v>
      </c>
      <c r="BA30" s="59">
        <f t="shared" si="8"/>
        <v>87933.394856467639</v>
      </c>
      <c r="BB30" s="59">
        <f t="shared" si="8"/>
        <v>81534.205962117878</v>
      </c>
      <c r="BC30" s="59">
        <f t="shared" si="8"/>
        <v>92359.029819701667</v>
      </c>
      <c r="BD30" s="59">
        <f t="shared" si="8"/>
        <v>93372.896370593124</v>
      </c>
      <c r="BE30" s="59">
        <f t="shared" si="8"/>
        <v>94397.892589964496</v>
      </c>
      <c r="BF30" s="59">
        <f t="shared" si="8"/>
        <v>95434.140653185226</v>
      </c>
      <c r="BG30" s="59">
        <f t="shared" si="8"/>
        <v>96481.764076798747</v>
      </c>
      <c r="BH30" s="59">
        <f t="shared" si="8"/>
        <v>97540.887733244948</v>
      </c>
      <c r="BI30" s="59">
        <f t="shared" si="8"/>
        <v>98611.63786574472</v>
      </c>
      <c r="BJ30" s="59">
        <f t="shared" si="8"/>
        <v>91435.359741669716</v>
      </c>
      <c r="BK30" t="s">
        <v>102</v>
      </c>
    </row>
    <row r="31" spans="1:63" ht="11.25" customHeight="1" x14ac:dyDescent="0.25">
      <c r="A31" s="12" t="s">
        <v>26</v>
      </c>
      <c r="B31" s="218" t="s">
        <v>382</v>
      </c>
      <c r="C31" s="219" t="s">
        <v>1</v>
      </c>
      <c r="D31" s="214"/>
      <c r="E31" s="23">
        <f t="shared" si="0"/>
        <v>2618466.4017558298</v>
      </c>
      <c r="F31" s="322" t="s">
        <v>26</v>
      </c>
      <c r="G31" s="216">
        <f>SUM(G17,G25,G30)</f>
        <v>0</v>
      </c>
      <c r="H31" s="216">
        <f t="shared" ref="H31:BJ31" si="9">SUM(H17,H25,H30)</f>
        <v>0</v>
      </c>
      <c r="I31" s="216">
        <f t="shared" si="9"/>
        <v>0</v>
      </c>
      <c r="J31" s="216">
        <f t="shared" si="9"/>
        <v>0</v>
      </c>
      <c r="K31" s="216">
        <f t="shared" si="9"/>
        <v>0</v>
      </c>
      <c r="L31" s="216">
        <f t="shared" si="9"/>
        <v>0</v>
      </c>
      <c r="M31" s="216">
        <f t="shared" si="9"/>
        <v>0</v>
      </c>
      <c r="N31" s="216">
        <f t="shared" si="9"/>
        <v>0</v>
      </c>
      <c r="O31" s="216">
        <f t="shared" si="9"/>
        <v>0</v>
      </c>
      <c r="P31" s="216">
        <f t="shared" si="9"/>
        <v>0</v>
      </c>
      <c r="Q31" s="216">
        <f t="shared" si="9"/>
        <v>0</v>
      </c>
      <c r="R31" s="216">
        <f t="shared" si="9"/>
        <v>0</v>
      </c>
      <c r="S31" s="216">
        <f t="shared" si="9"/>
        <v>0</v>
      </c>
      <c r="T31" s="216">
        <f t="shared" si="9"/>
        <v>0</v>
      </c>
      <c r="U31" s="216">
        <f t="shared" si="9"/>
        <v>0</v>
      </c>
      <c r="V31" s="216">
        <f t="shared" si="9"/>
        <v>0</v>
      </c>
      <c r="W31" s="216">
        <f t="shared" si="9"/>
        <v>30090.623261969744</v>
      </c>
      <c r="X31" s="216">
        <f t="shared" si="9"/>
        <v>30156.655440620671</v>
      </c>
      <c r="Y31" s="216">
        <f t="shared" si="9"/>
        <v>30224.289970092403</v>
      </c>
      <c r="Z31" s="216">
        <f t="shared" si="9"/>
        <v>30293.544304803658</v>
      </c>
      <c r="AA31" s="216">
        <f t="shared" si="9"/>
        <v>30364.436117795842</v>
      </c>
      <c r="AB31" s="216">
        <f t="shared" si="9"/>
        <v>30436.983303386885</v>
      </c>
      <c r="AC31" s="216">
        <f t="shared" si="9"/>
        <v>30504.755409899131</v>
      </c>
      <c r="AD31" s="216">
        <f t="shared" si="9"/>
        <v>28035.378484285931</v>
      </c>
      <c r="AE31" s="216">
        <f t="shared" si="9"/>
        <v>31478.711858793427</v>
      </c>
      <c r="AF31" s="216">
        <f t="shared" si="9"/>
        <v>31546.24333767566</v>
      </c>
      <c r="AG31" s="216">
        <f t="shared" si="9"/>
        <v>31615.251014234407</v>
      </c>
      <c r="AH31" s="216">
        <f t="shared" si="9"/>
        <v>31685.749150934822</v>
      </c>
      <c r="AI31" s="216">
        <f t="shared" si="9"/>
        <v>31757.752171941709</v>
      </c>
      <c r="AJ31" s="216">
        <f t="shared" si="9"/>
        <v>31831.27466488109</v>
      </c>
      <c r="AK31" s="216">
        <f t="shared" si="9"/>
        <v>72388.390934751063</v>
      </c>
      <c r="AL31" s="216">
        <f t="shared" si="9"/>
        <v>67120.460723417535</v>
      </c>
      <c r="AM31" s="216">
        <f t="shared" si="9"/>
        <v>76031.655184653093</v>
      </c>
      <c r="AN31" s="216">
        <f t="shared" si="9"/>
        <v>75992.808256504402</v>
      </c>
      <c r="AO31" s="216">
        <f t="shared" si="9"/>
        <v>76827.015442850825</v>
      </c>
      <c r="AP31" s="216">
        <f t="shared" si="9"/>
        <v>76777.617106532562</v>
      </c>
      <c r="AQ31" s="216">
        <f t="shared" si="9"/>
        <v>77620.439492101417</v>
      </c>
      <c r="AR31" s="216">
        <f t="shared" si="9"/>
        <v>77560.042825463286</v>
      </c>
      <c r="AS31" s="216">
        <f t="shared" si="9"/>
        <v>78411.454249554168</v>
      </c>
      <c r="AT31" s="216">
        <f t="shared" si="9"/>
        <v>72705.206833056815</v>
      </c>
      <c r="AU31" s="216">
        <f t="shared" si="9"/>
        <v>82357.855659522334</v>
      </c>
      <c r="AV31" s="216">
        <f t="shared" si="9"/>
        <v>83261.934829900623</v>
      </c>
      <c r="AW31" s="216">
        <f t="shared" si="9"/>
        <v>84175.938483374863</v>
      </c>
      <c r="AX31" s="216">
        <f t="shared" si="9"/>
        <v>85099.975565453293</v>
      </c>
      <c r="AY31" s="216">
        <f t="shared" si="9"/>
        <v>86034.156217587952</v>
      </c>
      <c r="AZ31" s="216">
        <f t="shared" si="9"/>
        <v>86978.591790303122</v>
      </c>
      <c r="BA31" s="216">
        <f t="shared" si="9"/>
        <v>87933.394856467639</v>
      </c>
      <c r="BB31" s="216">
        <f t="shared" si="9"/>
        <v>81534.205962117878</v>
      </c>
      <c r="BC31" s="216">
        <f t="shared" si="9"/>
        <v>92359.029819701667</v>
      </c>
      <c r="BD31" s="216">
        <f t="shared" si="9"/>
        <v>93372.896370593124</v>
      </c>
      <c r="BE31" s="216">
        <f t="shared" si="9"/>
        <v>94397.892589964496</v>
      </c>
      <c r="BF31" s="216">
        <f t="shared" si="9"/>
        <v>95434.140653185226</v>
      </c>
      <c r="BG31" s="216">
        <f t="shared" si="9"/>
        <v>96481.764076798747</v>
      </c>
      <c r="BH31" s="216">
        <f t="shared" si="9"/>
        <v>97540.887733244948</v>
      </c>
      <c r="BI31" s="216">
        <f t="shared" si="9"/>
        <v>98611.63786574472</v>
      </c>
      <c r="BJ31" s="216">
        <f t="shared" si="9"/>
        <v>91435.359741669716</v>
      </c>
      <c r="BK31" t="s">
        <v>102</v>
      </c>
    </row>
    <row r="32" spans="1:63" ht="11.25" customHeight="1" x14ac:dyDescent="0.25">
      <c r="A32" s="12"/>
      <c r="B32" s="12"/>
      <c r="C32" s="68"/>
      <c r="D32" s="12"/>
      <c r="E32" s="23">
        <f t="shared" si="0"/>
        <v>0</v>
      </c>
      <c r="F32" s="80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t="s">
        <v>102</v>
      </c>
    </row>
    <row r="33" spans="1:63" ht="11.25" customHeight="1" x14ac:dyDescent="0.25">
      <c r="A33" s="12" t="s">
        <v>26</v>
      </c>
      <c r="B33" s="17" t="s">
        <v>200</v>
      </c>
      <c r="C33" s="68"/>
      <c r="D33" s="12"/>
      <c r="E33" s="23">
        <f t="shared" si="0"/>
        <v>0</v>
      </c>
      <c r="F33" s="80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t="s">
        <v>102</v>
      </c>
    </row>
    <row r="34" spans="1:63" ht="11.25" customHeight="1" x14ac:dyDescent="0.25">
      <c r="A34" s="12"/>
      <c r="B34" s="12" t="s">
        <v>159</v>
      </c>
      <c r="C34" s="68" t="s">
        <v>101</v>
      </c>
      <c r="D34" s="12"/>
      <c r="E34" s="23">
        <f t="shared" si="0"/>
        <v>40</v>
      </c>
      <c r="F34" s="80" t="s">
        <v>26</v>
      </c>
      <c r="G34" s="20">
        <f>'Time &amp; Technical'!G26</f>
        <v>0</v>
      </c>
      <c r="H34" s="20">
        <f>'Time &amp; Technical'!H26</f>
        <v>0</v>
      </c>
      <c r="I34" s="20">
        <f>'Time &amp; Technical'!I26</f>
        <v>0</v>
      </c>
      <c r="J34" s="20">
        <f>'Time &amp; Technical'!J26</f>
        <v>0</v>
      </c>
      <c r="K34" s="20">
        <f>'Time &amp; Technical'!K26</f>
        <v>0</v>
      </c>
      <c r="L34" s="20">
        <f>'Time &amp; Technical'!L26</f>
        <v>0</v>
      </c>
      <c r="M34" s="20">
        <f>'Time &amp; Technical'!M26</f>
        <v>0</v>
      </c>
      <c r="N34" s="20">
        <f>'Time &amp; Technical'!N26</f>
        <v>0</v>
      </c>
      <c r="O34" s="20">
        <f>'Time &amp; Technical'!O26</f>
        <v>0</v>
      </c>
      <c r="P34" s="20">
        <f>'Time &amp; Technical'!P26</f>
        <v>0</v>
      </c>
      <c r="Q34" s="20">
        <f>'Time &amp; Technical'!Q26</f>
        <v>0</v>
      </c>
      <c r="R34" s="20">
        <f>'Time &amp; Technical'!R26</f>
        <v>0</v>
      </c>
      <c r="S34" s="20">
        <f>'Time &amp; Technical'!S26</f>
        <v>0</v>
      </c>
      <c r="T34" s="20">
        <f>'Time &amp; Technical'!T26</f>
        <v>0</v>
      </c>
      <c r="U34" s="20">
        <f>'Time &amp; Technical'!U26</f>
        <v>0</v>
      </c>
      <c r="V34" s="20">
        <f>'Time &amp; Technical'!V26</f>
        <v>0</v>
      </c>
      <c r="W34" s="20">
        <f>'Time &amp; Technical'!W26</f>
        <v>1</v>
      </c>
      <c r="X34" s="20">
        <f>'Time &amp; Technical'!X26</f>
        <v>1</v>
      </c>
      <c r="Y34" s="20">
        <f>'Time &amp; Technical'!Y26</f>
        <v>1</v>
      </c>
      <c r="Z34" s="20">
        <f>'Time &amp; Technical'!Z26</f>
        <v>1</v>
      </c>
      <c r="AA34" s="20">
        <f>'Time &amp; Technical'!AA26</f>
        <v>1</v>
      </c>
      <c r="AB34" s="20">
        <f>'Time &amp; Technical'!AB26</f>
        <v>1</v>
      </c>
      <c r="AC34" s="20">
        <f>'Time &amp; Technical'!AC26</f>
        <v>1</v>
      </c>
      <c r="AD34" s="20">
        <f>'Time &amp; Technical'!AD26</f>
        <v>1</v>
      </c>
      <c r="AE34" s="20">
        <f>'Time &amp; Technical'!AE26</f>
        <v>1</v>
      </c>
      <c r="AF34" s="20">
        <f>'Time &amp; Technical'!AF26</f>
        <v>1</v>
      </c>
      <c r="AG34" s="20">
        <f>'Time &amp; Technical'!AG26</f>
        <v>1</v>
      </c>
      <c r="AH34" s="20">
        <f>'Time &amp; Technical'!AH26</f>
        <v>1</v>
      </c>
      <c r="AI34" s="20">
        <f>'Time &amp; Technical'!AI26</f>
        <v>1</v>
      </c>
      <c r="AJ34" s="20">
        <f>'Time &amp; Technical'!AJ26</f>
        <v>1</v>
      </c>
      <c r="AK34" s="20">
        <f>'Time &amp; Technical'!AK26</f>
        <v>1</v>
      </c>
      <c r="AL34" s="20">
        <f>'Time &amp; Technical'!AL26</f>
        <v>1</v>
      </c>
      <c r="AM34" s="20">
        <f>'Time &amp; Technical'!AM26</f>
        <v>1</v>
      </c>
      <c r="AN34" s="20">
        <f>'Time &amp; Technical'!AN26</f>
        <v>1</v>
      </c>
      <c r="AO34" s="20">
        <f>'Time &amp; Technical'!AO26</f>
        <v>1</v>
      </c>
      <c r="AP34" s="20">
        <f>'Time &amp; Technical'!AP26</f>
        <v>1</v>
      </c>
      <c r="AQ34" s="20">
        <f>'Time &amp; Technical'!AQ26</f>
        <v>1</v>
      </c>
      <c r="AR34" s="20">
        <f>'Time &amp; Technical'!AR26</f>
        <v>1</v>
      </c>
      <c r="AS34" s="20">
        <f>'Time &amp; Technical'!AS26</f>
        <v>1</v>
      </c>
      <c r="AT34" s="20">
        <f>'Time &amp; Technical'!AT26</f>
        <v>1</v>
      </c>
      <c r="AU34" s="20">
        <f>'Time &amp; Technical'!AU26</f>
        <v>1</v>
      </c>
      <c r="AV34" s="20">
        <f>'Time &amp; Technical'!AV26</f>
        <v>1</v>
      </c>
      <c r="AW34" s="20">
        <f>'Time &amp; Technical'!AW26</f>
        <v>1</v>
      </c>
      <c r="AX34" s="20">
        <f>'Time &amp; Technical'!AX26</f>
        <v>1</v>
      </c>
      <c r="AY34" s="20">
        <f>'Time &amp; Technical'!AY26</f>
        <v>1</v>
      </c>
      <c r="AZ34" s="20">
        <f>'Time &amp; Technical'!AZ26</f>
        <v>1</v>
      </c>
      <c r="BA34" s="20">
        <f>'Time &amp; Technical'!BA26</f>
        <v>1</v>
      </c>
      <c r="BB34" s="20">
        <f>'Time &amp; Technical'!BB26</f>
        <v>1</v>
      </c>
      <c r="BC34" s="20">
        <f>'Time &amp; Technical'!BC26</f>
        <v>1</v>
      </c>
      <c r="BD34" s="20">
        <f>'Time &amp; Technical'!BD26</f>
        <v>1</v>
      </c>
      <c r="BE34" s="20">
        <f>'Time &amp; Technical'!BE26</f>
        <v>1</v>
      </c>
      <c r="BF34" s="20">
        <f>'Time &amp; Technical'!BF26</f>
        <v>1</v>
      </c>
      <c r="BG34" s="20">
        <f>'Time &amp; Technical'!BG26</f>
        <v>1</v>
      </c>
      <c r="BH34" s="20">
        <f>'Time &amp; Technical'!BH26</f>
        <v>1</v>
      </c>
      <c r="BI34" s="20">
        <f>'Time &amp; Technical'!BI26</f>
        <v>1</v>
      </c>
      <c r="BJ34" s="20">
        <f>'Time &amp; Technical'!BJ26</f>
        <v>1</v>
      </c>
      <c r="BK34" t="s">
        <v>102</v>
      </c>
    </row>
    <row r="35" spans="1:63" ht="11.25" customHeight="1" x14ac:dyDescent="0.25">
      <c r="A35" s="12"/>
      <c r="B35" s="12" t="s">
        <v>201</v>
      </c>
      <c r="C35" s="68" t="s">
        <v>101</v>
      </c>
      <c r="D35" s="12"/>
      <c r="E35" s="23">
        <f t="shared" si="0"/>
        <v>5</v>
      </c>
      <c r="F35" s="80" t="s">
        <v>26</v>
      </c>
      <c r="G35" s="20">
        <f>IF('Time &amp; Technical'!G58=8,1,0)</f>
        <v>0</v>
      </c>
      <c r="H35" s="20">
        <f>IF('Time &amp; Technical'!H58=8,1,0)</f>
        <v>0</v>
      </c>
      <c r="I35" s="20">
        <f>IF('Time &amp; Technical'!I58=8,1,0)</f>
        <v>0</v>
      </c>
      <c r="J35" s="20">
        <f>IF('Time &amp; Technical'!J58=8,1,0)</f>
        <v>0</v>
      </c>
      <c r="K35" s="20">
        <f>IF('Time &amp; Technical'!K58=8,1,0)</f>
        <v>0</v>
      </c>
      <c r="L35" s="20">
        <f>IF('Time &amp; Technical'!L58=8,1,0)</f>
        <v>0</v>
      </c>
      <c r="M35" s="20">
        <f>IF('Time &amp; Technical'!M58=8,1,0)</f>
        <v>0</v>
      </c>
      <c r="N35" s="20">
        <f>IF('Time &amp; Technical'!N58=8,1,0)</f>
        <v>0</v>
      </c>
      <c r="O35" s="20">
        <f>IF('Time &amp; Technical'!O58=8,1,0)</f>
        <v>0</v>
      </c>
      <c r="P35" s="20">
        <f>IF('Time &amp; Technical'!P58=8,1,0)</f>
        <v>0</v>
      </c>
      <c r="Q35" s="20">
        <f>IF('Time &amp; Technical'!Q58=8,1,0)</f>
        <v>0</v>
      </c>
      <c r="R35" s="20">
        <f>IF('Time &amp; Technical'!R58=8,1,0)</f>
        <v>0</v>
      </c>
      <c r="S35" s="20">
        <f>IF('Time &amp; Technical'!S58=8,1,0)</f>
        <v>0</v>
      </c>
      <c r="T35" s="20">
        <f>IF('Time &amp; Technical'!T58=8,1,0)</f>
        <v>0</v>
      </c>
      <c r="U35" s="20">
        <f>IF('Time &amp; Technical'!U58=8,1,0)</f>
        <v>0</v>
      </c>
      <c r="V35" s="20">
        <f>IF('Time &amp; Technical'!V58=8,1,0)</f>
        <v>0</v>
      </c>
      <c r="W35" s="20">
        <f>IF('Time &amp; Technical'!W58=8,1,0)</f>
        <v>0</v>
      </c>
      <c r="X35" s="20">
        <f>IF('Time &amp; Technical'!X58=8,1,0)</f>
        <v>0</v>
      </c>
      <c r="Y35" s="20">
        <f>IF('Time &amp; Technical'!Y58=8,1,0)</f>
        <v>0</v>
      </c>
      <c r="Z35" s="20">
        <f>IF('Time &amp; Technical'!Z58=8,1,0)</f>
        <v>0</v>
      </c>
      <c r="AA35" s="20">
        <f>IF('Time &amp; Technical'!AA58=8,1,0)</f>
        <v>0</v>
      </c>
      <c r="AB35" s="20">
        <f>IF('Time &amp; Technical'!AB58=8,1,0)</f>
        <v>0</v>
      </c>
      <c r="AC35" s="20">
        <f>IF('Time &amp; Technical'!AC58=8,1,0)</f>
        <v>0</v>
      </c>
      <c r="AD35" s="20">
        <f>IF('Time &amp; Technical'!AD58=8,1,0)</f>
        <v>1</v>
      </c>
      <c r="AE35" s="20">
        <f>IF('Time &amp; Technical'!AE58=8,1,0)</f>
        <v>0</v>
      </c>
      <c r="AF35" s="20">
        <f>IF('Time &amp; Technical'!AF58=8,1,0)</f>
        <v>0</v>
      </c>
      <c r="AG35" s="20">
        <f>IF('Time &amp; Technical'!AG58=8,1,0)</f>
        <v>0</v>
      </c>
      <c r="AH35" s="20">
        <f>IF('Time &amp; Technical'!AH58=8,1,0)</f>
        <v>0</v>
      </c>
      <c r="AI35" s="20">
        <f>IF('Time &amp; Technical'!AI58=8,1,0)</f>
        <v>0</v>
      </c>
      <c r="AJ35" s="20">
        <f>IF('Time &amp; Technical'!AJ58=8,1,0)</f>
        <v>0</v>
      </c>
      <c r="AK35" s="20">
        <f>IF('Time &amp; Technical'!AK58=8,1,0)</f>
        <v>0</v>
      </c>
      <c r="AL35" s="20">
        <f>IF('Time &amp; Technical'!AL58=8,1,0)</f>
        <v>1</v>
      </c>
      <c r="AM35" s="20">
        <f>IF('Time &amp; Technical'!AM58=8,1,0)</f>
        <v>0</v>
      </c>
      <c r="AN35" s="20">
        <f>IF('Time &amp; Technical'!AN58=8,1,0)</f>
        <v>0</v>
      </c>
      <c r="AO35" s="20">
        <f>IF('Time &amp; Technical'!AO58=8,1,0)</f>
        <v>0</v>
      </c>
      <c r="AP35" s="20">
        <f>IF('Time &amp; Technical'!AP58=8,1,0)</f>
        <v>0</v>
      </c>
      <c r="AQ35" s="20">
        <f>IF('Time &amp; Technical'!AQ58=8,1,0)</f>
        <v>0</v>
      </c>
      <c r="AR35" s="20">
        <f>IF('Time &amp; Technical'!AR58=8,1,0)</f>
        <v>0</v>
      </c>
      <c r="AS35" s="20">
        <f>IF('Time &amp; Technical'!AS58=8,1,0)</f>
        <v>0</v>
      </c>
      <c r="AT35" s="20">
        <f>IF('Time &amp; Technical'!AT58=8,1,0)</f>
        <v>1</v>
      </c>
      <c r="AU35" s="20">
        <f>IF('Time &amp; Technical'!AU58=8,1,0)</f>
        <v>0</v>
      </c>
      <c r="AV35" s="20">
        <f>IF('Time &amp; Technical'!AV58=8,1,0)</f>
        <v>0</v>
      </c>
      <c r="AW35" s="20">
        <f>IF('Time &amp; Technical'!AW58=8,1,0)</f>
        <v>0</v>
      </c>
      <c r="AX35" s="20">
        <f>IF('Time &amp; Technical'!AX58=8,1,0)</f>
        <v>0</v>
      </c>
      <c r="AY35" s="20">
        <f>IF('Time &amp; Technical'!AY58=8,1,0)</f>
        <v>0</v>
      </c>
      <c r="AZ35" s="20">
        <f>IF('Time &amp; Technical'!AZ58=8,1,0)</f>
        <v>0</v>
      </c>
      <c r="BA35" s="20">
        <f>IF('Time &amp; Technical'!BA58=8,1,0)</f>
        <v>0</v>
      </c>
      <c r="BB35" s="20">
        <f>IF('Time &amp; Technical'!BB58=8,1,0)</f>
        <v>1</v>
      </c>
      <c r="BC35" s="20">
        <f>IF('Time &amp; Technical'!BC58=8,1,0)</f>
        <v>0</v>
      </c>
      <c r="BD35" s="20">
        <f>IF('Time &amp; Technical'!BD58=8,1,0)</f>
        <v>0</v>
      </c>
      <c r="BE35" s="20">
        <f>IF('Time &amp; Technical'!BE58=8,1,0)</f>
        <v>0</v>
      </c>
      <c r="BF35" s="20">
        <f>IF('Time &amp; Technical'!BF58=8,1,0)</f>
        <v>0</v>
      </c>
      <c r="BG35" s="20">
        <f>IF('Time &amp; Technical'!BG58=8,1,0)</f>
        <v>0</v>
      </c>
      <c r="BH35" s="20">
        <f>IF('Time &amp; Technical'!BH58=8,1,0)</f>
        <v>0</v>
      </c>
      <c r="BI35" s="20">
        <f>IF('Time &amp; Technical'!BI58=8,1,0)</f>
        <v>0</v>
      </c>
      <c r="BJ35" s="20">
        <f>IF('Time &amp; Technical'!BJ58=8,1,0)</f>
        <v>1</v>
      </c>
      <c r="BK35" t="s">
        <v>102</v>
      </c>
    </row>
    <row r="36" spans="1:63" ht="11.25" customHeight="1" x14ac:dyDescent="0.25">
      <c r="A36" s="12"/>
      <c r="B36" s="19" t="s">
        <v>470</v>
      </c>
      <c r="C36" s="14" t="s">
        <v>102</v>
      </c>
      <c r="D36" s="12"/>
      <c r="E36" s="23">
        <f t="shared" si="0"/>
        <v>90.236919767325745</v>
      </c>
      <c r="F36" s="80" t="s">
        <v>26</v>
      </c>
      <c r="G36" s="44">
        <f>'Time &amp; Technical'!G165</f>
        <v>1.0042578039033445</v>
      </c>
      <c r="H36" s="44">
        <f>'Time &amp; Technical'!H165</f>
        <v>1.0128096694981923</v>
      </c>
      <c r="I36" s="44">
        <f>'Time &amp; Technical'!I165</f>
        <v>1.0214343594264612</v>
      </c>
      <c r="J36" s="44">
        <f>'Time &amp; Technical'!J165</f>
        <v>1.0301324938316134</v>
      </c>
      <c r="K36" s="44">
        <f>'Time &amp; Technical'!K165</f>
        <v>1.0389046981380101</v>
      </c>
      <c r="L36" s="44">
        <f>'Time &amp; Technical'!L165</f>
        <v>1.0477516030958802</v>
      </c>
      <c r="M36" s="44">
        <f>'Time &amp; Technical'!M165</f>
        <v>1.0566738448266744</v>
      </c>
      <c r="N36" s="44">
        <f>'Time &amp; Technical'!N165</f>
        <v>1.0656720648688045</v>
      </c>
      <c r="O36" s="44">
        <f>'Time &amp; Technical'!O165</f>
        <v>1.0747469102237717</v>
      </c>
      <c r="P36" s="44">
        <f>'Time &amp; Technical'!P165</f>
        <v>1.0838990334026881</v>
      </c>
      <c r="Q36" s="44">
        <f>'Time &amp; Technical'!Q165</f>
        <v>1.0931290924731947</v>
      </c>
      <c r="R36" s="44">
        <f>'Time &amp; Technical'!R165</f>
        <v>1.1024377511067784</v>
      </c>
      <c r="S36" s="44">
        <f>'Time &amp; Technical'!S165</f>
        <v>1.111825678626492</v>
      </c>
      <c r="T36" s="44">
        <f>'Time &amp; Technical'!T165</f>
        <v>1.1212935500550811</v>
      </c>
      <c r="U36" s="44">
        <f>'Time &amp; Technical'!U165</f>
        <v>1.1308420461635205</v>
      </c>
      <c r="V36" s="44">
        <f>'Time &amp; Technical'!V165</f>
        <v>1.1404718535199625</v>
      </c>
      <c r="W36" s="44">
        <f>'Time &amp; Technical'!W165</f>
        <v>1.1551016841879389</v>
      </c>
      <c r="X36" s="44">
        <f>'Time &amp; Technical'!X165</f>
        <v>1.1778570739942062</v>
      </c>
      <c r="Y36" s="44">
        <f>'Time &amp; Technical'!Y165</f>
        <v>1.2040672384307745</v>
      </c>
      <c r="Z36" s="44">
        <f>'Time &amp; Technical'!Z165</f>
        <v>1.2308606423239454</v>
      </c>
      <c r="AA36" s="44">
        <f>'Time &amp; Technical'!AA165</f>
        <v>1.2582502641601594</v>
      </c>
      <c r="AB36" s="44">
        <f>'Time &amp; Technical'!AB165</f>
        <v>1.2862493712285228</v>
      </c>
      <c r="AC36" s="44">
        <f>'Time &amp; Technical'!AC165</f>
        <v>1.3148715260473665</v>
      </c>
      <c r="AD36" s="44">
        <f>'Time &amp; Technical'!AD165</f>
        <v>1.3441305929338065</v>
      </c>
      <c r="AE36" s="44">
        <f>'Time &amp; Technical'!AE165</f>
        <v>1.374040744719498</v>
      </c>
      <c r="AF36" s="44">
        <f>'Time &amp; Technical'!AF165</f>
        <v>1.4046164696158279</v>
      </c>
      <c r="AG36" s="44">
        <f>'Time &amp; Technical'!AG165</f>
        <v>1.4358725782318755</v>
      </c>
      <c r="AH36" s="44">
        <f>'Time &amp; Technical'!AH165</f>
        <v>1.4678242107485404</v>
      </c>
      <c r="AI36" s="44">
        <f>'Time &amp; Technical'!AI165</f>
        <v>1.5004868442523103</v>
      </c>
      <c r="AJ36" s="44">
        <f>'Time &amp; Technical'!AJ165</f>
        <v>1.5338763002322249</v>
      </c>
      <c r="AK36" s="44">
        <f>'Time &amp; Technical'!AK165</f>
        <v>1.5680087522436641</v>
      </c>
      <c r="AL36" s="44">
        <f>'Time &amp; Technical'!AL165</f>
        <v>1.6029007337426751</v>
      </c>
      <c r="AM36" s="44">
        <f>'Time &amp; Technical'!AM165</f>
        <v>1.6385691460946292</v>
      </c>
      <c r="AN36" s="44">
        <f>'Time &amp; Technical'!AN165</f>
        <v>1.6750312667610952</v>
      </c>
      <c r="AO36" s="44">
        <f>'Time &amp; Technical'!AO165</f>
        <v>1.7123047576688872</v>
      </c>
      <c r="AP36" s="44">
        <f>'Time &amp; Technical'!AP165</f>
        <v>1.7504076737653445</v>
      </c>
      <c r="AQ36" s="44">
        <f>'Time &amp; Technical'!AQ165</f>
        <v>1.7893584717639874</v>
      </c>
      <c r="AR36" s="44">
        <f>'Time &amp; Technical'!AR165</f>
        <v>1.8291760190847852</v>
      </c>
      <c r="AS36" s="44">
        <f>'Time &amp; Technical'!AS165</f>
        <v>1.8698796029933669</v>
      </c>
      <c r="AT36" s="44">
        <f>'Time &amp; Technical'!AT165</f>
        <v>1.9114889399436004</v>
      </c>
      <c r="AU36" s="44">
        <f>'Time &amp; Technical'!AU165</f>
        <v>1.9540241851280682</v>
      </c>
      <c r="AV36" s="44">
        <f>'Time &amp; Technical'!AV165</f>
        <v>1.9975059422410624</v>
      </c>
      <c r="AW36" s="44">
        <f>'Time &amp; Technical'!AW165</f>
        <v>2.0419552734588313</v>
      </c>
      <c r="AX36" s="44">
        <f>'Time &amp; Technical'!AX165</f>
        <v>2.0873937096419102</v>
      </c>
      <c r="AY36" s="44">
        <f>'Time &amp; Technical'!AY165</f>
        <v>2.1338432607644791</v>
      </c>
      <c r="AZ36" s="44">
        <f>'Time &amp; Technical'!AZ165</f>
        <v>2.1813264265757963</v>
      </c>
      <c r="BA36" s="44">
        <f>'Time &amp; Technical'!BA165</f>
        <v>2.2298662074988806</v>
      </c>
      <c r="BB36" s="44">
        <f>'Time &amp; Technical'!BB165</f>
        <v>2.2794861157717072</v>
      </c>
      <c r="BC36" s="44">
        <f>'Time &amp; Technical'!BC165</f>
        <v>2.3302101868363305</v>
      </c>
      <c r="BD36" s="44">
        <f>'Time &amp; Technical'!BD165</f>
        <v>2.3820629909814341</v>
      </c>
      <c r="BE36" s="44">
        <f>'Time &amp; Technical'!BE165</f>
        <v>2.4350696452439653</v>
      </c>
      <c r="BF36" s="44">
        <f>'Time &amp; Technical'!BF165</f>
        <v>2.489255825575599</v>
      </c>
      <c r="BG36" s="44">
        <f>'Time &amp; Technical'!BG165</f>
        <v>2.544647779279944</v>
      </c>
      <c r="BH36" s="44">
        <f>'Time &amp; Technical'!BH165</f>
        <v>2.6012723377265008</v>
      </c>
      <c r="BI36" s="44">
        <f>'Time &amp; Technical'!BI165</f>
        <v>2.659156929347541</v>
      </c>
      <c r="BJ36" s="44">
        <f>'Time &amp; Technical'!BJ165</f>
        <v>2.7183295929241931</v>
      </c>
      <c r="BK36" t="s">
        <v>102</v>
      </c>
    </row>
    <row r="37" spans="1:63" ht="11.25" customHeight="1" x14ac:dyDescent="0.25">
      <c r="A37" s="12"/>
      <c r="B37" s="12" t="s">
        <v>375</v>
      </c>
      <c r="C37" s="68" t="s">
        <v>459</v>
      </c>
      <c r="D37" s="12"/>
      <c r="E37" s="23">
        <f t="shared" si="0"/>
        <v>1444581.2902682279</v>
      </c>
      <c r="F37" s="80" t="s">
        <v>26</v>
      </c>
      <c r="G37" s="44">
        <f>'Time &amp; Technical'!G180</f>
        <v>22715</v>
      </c>
      <c r="H37" s="44">
        <f>'Time &amp; Technical'!H180</f>
        <v>22715</v>
      </c>
      <c r="I37" s="44">
        <f>'Time &amp; Technical'!I180</f>
        <v>22715</v>
      </c>
      <c r="J37" s="44">
        <f>'Time &amp; Technical'!J180</f>
        <v>22715</v>
      </c>
      <c r="K37" s="44">
        <f>'Time &amp; Technical'!K180</f>
        <v>22715</v>
      </c>
      <c r="L37" s="44">
        <f>'Time &amp; Technical'!L180</f>
        <v>22715</v>
      </c>
      <c r="M37" s="44">
        <f>'Time &amp; Technical'!M180</f>
        <v>22727.384764263377</v>
      </c>
      <c r="N37" s="44">
        <f>'Time &amp; Technical'!N180</f>
        <v>22752.167797732756</v>
      </c>
      <c r="O37" s="44">
        <f>'Time &amp; Technical'!O180</f>
        <v>22776.977855813824</v>
      </c>
      <c r="P37" s="44">
        <f>'Time &amp; Technical'!P180</f>
        <v>22801.814967975515</v>
      </c>
      <c r="Q37" s="44">
        <f>'Time &amp; Technical'!Q180</f>
        <v>22826.679163718905</v>
      </c>
      <c r="R37" s="44">
        <f>'Time &amp; Technical'!R180</f>
        <v>22851.57047257723</v>
      </c>
      <c r="S37" s="44">
        <f>'Time &amp; Technical'!S180</f>
        <v>22876.488924115933</v>
      </c>
      <c r="T37" s="44">
        <f>'Time &amp; Technical'!T180</f>
        <v>22901.434547932698</v>
      </c>
      <c r="U37" s="44">
        <f>'Time &amp; Technical'!U180</f>
        <v>22926.40737365749</v>
      </c>
      <c r="V37" s="44">
        <f>'Time &amp; Technical'!V180</f>
        <v>22951.407430952575</v>
      </c>
      <c r="W37" s="44">
        <f>'Time &amp; Technical'!W180</f>
        <v>22988.968880754379</v>
      </c>
      <c r="X37" s="44">
        <f>'Time &amp; Technical'!X180</f>
        <v>23097.509555304245</v>
      </c>
      <c r="Y37" s="44">
        <f>'Time &amp; Technical'!Y180</f>
        <v>23265.087396253079</v>
      </c>
      <c r="Z37" s="44">
        <f>'Time &amp; Technical'!Z180</f>
        <v>23433.881053682468</v>
      </c>
      <c r="AA37" s="44">
        <f>'Time &amp; Technical'!AA180</f>
        <v>23603.899348625702</v>
      </c>
      <c r="AB37" s="44">
        <f>'Time &amp; Technical'!AB180</f>
        <v>23775.151166114738</v>
      </c>
      <c r="AC37" s="44">
        <f>'Time &amp; Technical'!AC180</f>
        <v>23962.255919606527</v>
      </c>
      <c r="AD37" s="44">
        <f>'Time &amp; Technical'!AD180</f>
        <v>24165.452520568782</v>
      </c>
      <c r="AE37" s="44">
        <f>'Time &amp; Technical'!AE180</f>
        <v>24370.372200475736</v>
      </c>
      <c r="AF37" s="44">
        <f>'Time &amp; Technical'!AF180</f>
        <v>24577.029570797444</v>
      </c>
      <c r="AG37" s="44">
        <f>'Time &amp; Technical'!AG180</f>
        <v>24785.439366907194</v>
      </c>
      <c r="AH37" s="44">
        <f>'Time &amp; Technical'!AH180</f>
        <v>24995.616449132194</v>
      </c>
      <c r="AI37" s="44">
        <f>'Time &amp; Technical'!AI180</f>
        <v>25207.575803813157</v>
      </c>
      <c r="AJ37" s="44">
        <f>'Time &amp; Technical'!AJ180</f>
        <v>25421.33254437289</v>
      </c>
      <c r="AK37" s="44">
        <f>'Time &amp; Technical'!AK180</f>
        <v>25636.901912393914</v>
      </c>
      <c r="AL37" s="44">
        <f>'Time &amp; Technical'!AL180</f>
        <v>25854.299278705272</v>
      </c>
      <c r="AM37" s="44">
        <f>'Time &amp; Technical'!AM180</f>
        <v>26073.540144478487</v>
      </c>
      <c r="AN37" s="44">
        <f>'Time &amp; Technical'!AN180</f>
        <v>26294.640142332857</v>
      </c>
      <c r="AO37" s="44">
        <f>'Time &amp; Technical'!AO180</f>
        <v>26517.615037450138</v>
      </c>
      <c r="AP37" s="44">
        <f>'Time &amp; Technical'!AP180</f>
        <v>26742.480728698625</v>
      </c>
      <c r="AQ37" s="44">
        <f>'Time &amp; Technical'!AQ180</f>
        <v>26969.253249766807</v>
      </c>
      <c r="AR37" s="44">
        <f>'Time &amp; Technical'!AR180</f>
        <v>27197.948770306633</v>
      </c>
      <c r="AS37" s="44">
        <f>'Time &amp; Technical'!AS180</f>
        <v>27428.583597086435</v>
      </c>
      <c r="AT37" s="44">
        <f>'Time &amp; Technical'!AT180</f>
        <v>27661.174175153701</v>
      </c>
      <c r="AU37" s="44">
        <f>'Time &amp; Technical'!AU180</f>
        <v>27895.737089007613</v>
      </c>
      <c r="AV37" s="44">
        <f>'Time &amp; Technical'!AV180</f>
        <v>28132.28906378162</v>
      </c>
      <c r="AW37" s="44">
        <f>'Time &amp; Technical'!AW180</f>
        <v>28370.846966435965</v>
      </c>
      <c r="AX37" s="44">
        <f>'Time &amp; Technical'!AX180</f>
        <v>28611.427806960379</v>
      </c>
      <c r="AY37" s="44">
        <f>'Time &amp; Technical'!AY180</f>
        <v>28854.048739586939</v>
      </c>
      <c r="AZ37" s="44">
        <f>'Time &amp; Technical'!AZ180</f>
        <v>29098.727064013226</v>
      </c>
      <c r="BA37" s="44">
        <f>'Time &amp; Technical'!BA180</f>
        <v>29345.48022663586</v>
      </c>
      <c r="BB37" s="44">
        <f>'Time &amp; Technical'!BB180</f>
        <v>29594.325821794475</v>
      </c>
      <c r="BC37" s="44">
        <f>'Time &amp; Technical'!BC180</f>
        <v>29845.281593026251</v>
      </c>
      <c r="BD37" s="44">
        <f>'Time &amp; Technical'!BD180</f>
        <v>30098.365434331117</v>
      </c>
      <c r="BE37" s="44">
        <f>'Time &amp; Technical'!BE180</f>
        <v>30353.595391447623</v>
      </c>
      <c r="BF37" s="44">
        <f>'Time &amp; Technical'!BF180</f>
        <v>30610.989663139677</v>
      </c>
      <c r="BG37" s="44">
        <f>'Time &amp; Technical'!BG180</f>
        <v>30870.566602494175</v>
      </c>
      <c r="BH37" s="44">
        <f>'Time &amp; Technical'!BH180</f>
        <v>31132.344718229644</v>
      </c>
      <c r="BI37" s="44">
        <f>'Time &amp; Technical'!BI180</f>
        <v>31396.342676015971</v>
      </c>
      <c r="BJ37" s="44">
        <f>'Time &amp; Technical'!BJ180</f>
        <v>31662.579299805329</v>
      </c>
      <c r="BK37" t="s">
        <v>102</v>
      </c>
    </row>
    <row r="38" spans="1:63" ht="11.25" customHeight="1" x14ac:dyDescent="0.25">
      <c r="A38" s="12"/>
      <c r="B38" s="19" t="s">
        <v>370</v>
      </c>
      <c r="C38" s="14" t="s">
        <v>102</v>
      </c>
      <c r="D38" s="12"/>
      <c r="E38" s="23">
        <f t="shared" si="0"/>
        <v>77.175271781058484</v>
      </c>
      <c r="F38" s="80" t="s">
        <v>26</v>
      </c>
      <c r="G38" s="44">
        <f>'Time &amp; Technical'!G171</f>
        <v>1.0037085358888664</v>
      </c>
      <c r="H38" s="44">
        <f>'Time &amp; Technical'!H171</f>
        <v>1.0111531141434773</v>
      </c>
      <c r="I38" s="44">
        <f>'Time &amp; Technical'!I171</f>
        <v>1.0186529093693575</v>
      </c>
      <c r="J38" s="44">
        <f>'Time &amp; Technical'!J171</f>
        <v>1.0262083311147465</v>
      </c>
      <c r="K38" s="44">
        <f>'Time &amp; Technical'!K171</f>
        <v>1.0338197919655321</v>
      </c>
      <c r="L38" s="44">
        <f>'Time &amp; Technical'!L171</f>
        <v>1.0414877075677813</v>
      </c>
      <c r="M38" s="44">
        <f>'Time &amp; Technical'!M171</f>
        <v>1.0492124966504379</v>
      </c>
      <c r="N38" s="44">
        <f>'Time &amp; Technical'!N171</f>
        <v>1.0569945810481887</v>
      </c>
      <c r="O38" s="44">
        <f>'Time &amp; Technical'!O171</f>
        <v>1.0648343857244977</v>
      </c>
      <c r="P38" s="44">
        <f>'Time &amp; Technical'!P171</f>
        <v>1.0727323387948144</v>
      </c>
      <c r="Q38" s="44">
        <f>'Time &amp; Technical'!Q171</f>
        <v>1.0806888715499507</v>
      </c>
      <c r="R38" s="44">
        <f>'Time &amp; Technical'!R171</f>
        <v>1.088704418479634</v>
      </c>
      <c r="S38" s="44">
        <f>'Time &amp; Technical'!S171</f>
        <v>1.0967794172962324</v>
      </c>
      <c r="T38" s="44">
        <f>'Time &amp; Technical'!T171</f>
        <v>1.1049143089586586</v>
      </c>
      <c r="U38" s="44">
        <f>'Time &amp; Technical'!U171</f>
        <v>1.1131095376964493</v>
      </c>
      <c r="V38" s="44">
        <f>'Time &amp; Technical'!V171</f>
        <v>1.1213655510340228</v>
      </c>
      <c r="W38" s="44">
        <f>'Time &amp; Technical'!W171</f>
        <v>1.133887748412298</v>
      </c>
      <c r="X38" s="44">
        <f>'Time &amp; Technical'!X171</f>
        <v>1.1507703805622977</v>
      </c>
      <c r="Y38" s="44">
        <f>'Time &amp; Technical'!Y171</f>
        <v>1.1679043808646667</v>
      </c>
      <c r="Z38" s="44">
        <f>'Time &amp; Technical'!Z171</f>
        <v>1.1852934919791667</v>
      </c>
      <c r="AA38" s="44">
        <f>'Time &amp; Technical'!AA171</f>
        <v>1.2029415122906066</v>
      </c>
      <c r="AB38" s="44">
        <f>'Time &amp; Technical'!AB171</f>
        <v>1.2208522967385416</v>
      </c>
      <c r="AC38" s="44">
        <f>'Time &amp; Technical'!AC171</f>
        <v>1.238271903311835</v>
      </c>
      <c r="AD38" s="44">
        <f>'Time &amp; Technical'!AD171</f>
        <v>1.2551826689614272</v>
      </c>
      <c r="AE38" s="44">
        <f>'Time &amp; Technical'!AE171</f>
        <v>1.2723243806529108</v>
      </c>
      <c r="AF38" s="44">
        <f>'Time &amp; Technical'!AF171</f>
        <v>1.2897001923578668</v>
      </c>
      <c r="AG38" s="44">
        <f>'Time &amp; Technical'!AG171</f>
        <v>1.3073133011208662</v>
      </c>
      <c r="AH38" s="44">
        <f>'Time &amp; Technical'!AH171</f>
        <v>1.3251669476477081</v>
      </c>
      <c r="AI38" s="44">
        <f>'Time &amp; Technical'!AI171</f>
        <v>1.3432644169016901</v>
      </c>
      <c r="AJ38" s="44">
        <f>'Time &amp; Technical'!AJ171</f>
        <v>1.3616090387080204</v>
      </c>
      <c r="AK38" s="44">
        <f>'Time &amp; Technical'!AK171</f>
        <v>1.3802041883664868</v>
      </c>
      <c r="AL38" s="44">
        <f>'Time &amp; Technical'!AL171</f>
        <v>1.3990532872724912</v>
      </c>
      <c r="AM38" s="44">
        <f>'Time &amp; Technical'!AM171</f>
        <v>1.4181598035465655</v>
      </c>
      <c r="AN38" s="44">
        <f>'Time &amp; Technical'!AN171</f>
        <v>1.4375272526724852</v>
      </c>
      <c r="AO38" s="44">
        <f>'Time &amp; Technical'!AO171</f>
        <v>1.4571591981440966</v>
      </c>
      <c r="AP38" s="44">
        <f>'Time &amp; Technical'!AP171</f>
        <v>1.4770592521209789</v>
      </c>
      <c r="AQ38" s="44">
        <f>'Time &amp; Technical'!AQ171</f>
        <v>1.4972310760930596</v>
      </c>
      <c r="AR38" s="44">
        <f>'Time &amp; Technical'!AR171</f>
        <v>1.517678381554306</v>
      </c>
      <c r="AS38" s="44">
        <f>'Time &amp; Technical'!AS171</f>
        <v>1.5384049306856187</v>
      </c>
      <c r="AT38" s="44">
        <f>'Time &amp; Technical'!AT171</f>
        <v>1.5594145370470496</v>
      </c>
      <c r="AU38" s="44">
        <f>'Time &amp; Technical'!AU171</f>
        <v>1.5807110662794734</v>
      </c>
      <c r="AV38" s="44">
        <f>'Time &amp; Technical'!AV171</f>
        <v>1.6022984368158437</v>
      </c>
      <c r="AW38" s="44">
        <f>'Time &amp; Technical'!AW171</f>
        <v>1.6241806206021594</v>
      </c>
      <c r="AX38" s="44">
        <f>'Time &amp; Technical'!AX171</f>
        <v>1.6463616438282798</v>
      </c>
      <c r="AY38" s="44">
        <f>'Time &amp; Technical'!AY171</f>
        <v>1.6688455876687192</v>
      </c>
      <c r="AZ38" s="44">
        <f>'Time &amp; Technical'!AZ171</f>
        <v>1.6916365890335578</v>
      </c>
      <c r="BA38" s="44">
        <f>'Time &amp; Technical'!BA171</f>
        <v>1.7147388413296092</v>
      </c>
      <c r="BB38" s="44">
        <f>'Time &amp; Technical'!BB171</f>
        <v>1.7381565952319811</v>
      </c>
      <c r="BC38" s="44">
        <f>'Time &amp; Technical'!BC171</f>
        <v>1.7618941594661739</v>
      </c>
      <c r="BD38" s="44">
        <f>'Time &amp; Technical'!BD171</f>
        <v>1.7859559016008608</v>
      </c>
      <c r="BE38" s="44">
        <f>'Time &amp; Technical'!BE171</f>
        <v>1.8103462488514941</v>
      </c>
      <c r="BF38" s="44">
        <f>'Time &amp; Technical'!BF171</f>
        <v>1.835069688894885</v>
      </c>
      <c r="BG38" s="44">
        <f>'Time &amp; Technical'!BG171</f>
        <v>1.8601307706949104</v>
      </c>
      <c r="BH38" s="44">
        <f>'Time &amp; Technical'!BH171</f>
        <v>1.8855341053394945</v>
      </c>
      <c r="BI38" s="44">
        <f>'Time &amp; Technical'!BI171</f>
        <v>1.9112843668890207</v>
      </c>
      <c r="BJ38" s="44">
        <f>'Time &amp; Technical'!BJ171</f>
        <v>1.9373862932363308</v>
      </c>
      <c r="BK38" t="s">
        <v>102</v>
      </c>
    </row>
    <row r="39" spans="1:63" ht="11.25" customHeight="1" x14ac:dyDescent="0.25">
      <c r="A39" s="12"/>
      <c r="B39" s="12" t="s">
        <v>386</v>
      </c>
      <c r="C39" s="68" t="s">
        <v>477</v>
      </c>
      <c r="D39" s="262">
        <f>Assumptions!D115</f>
        <v>60000</v>
      </c>
      <c r="E39" s="23">
        <f t="shared" si="0"/>
        <v>0</v>
      </c>
      <c r="F39" s="80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t="s">
        <v>102</v>
      </c>
    </row>
    <row r="40" spans="1:63" ht="11.25" customHeight="1" x14ac:dyDescent="0.25">
      <c r="A40" s="12"/>
      <c r="B40" s="20" t="s">
        <v>353</v>
      </c>
      <c r="C40" s="14" t="s">
        <v>112</v>
      </c>
      <c r="D40" s="12"/>
      <c r="E40" s="23">
        <f t="shared" si="0"/>
        <v>37139.896263869756</v>
      </c>
      <c r="F40" s="80" t="s">
        <v>26</v>
      </c>
      <c r="G40" s="1">
        <f>'Time &amp; Technical'!G63</f>
        <v>0</v>
      </c>
      <c r="H40" s="1">
        <f>'Time &amp; Technical'!H63</f>
        <v>0</v>
      </c>
      <c r="I40" s="1">
        <f>'Time &amp; Technical'!I63</f>
        <v>0</v>
      </c>
      <c r="J40" s="1">
        <f>'Time &amp; Technical'!J63</f>
        <v>0</v>
      </c>
      <c r="K40" s="1">
        <f>'Time &amp; Technical'!K63</f>
        <v>0</v>
      </c>
      <c r="L40" s="1">
        <f>'Time &amp; Technical'!L63</f>
        <v>0</v>
      </c>
      <c r="M40" s="1">
        <f>'Time &amp; Technical'!M63</f>
        <v>0</v>
      </c>
      <c r="N40" s="1">
        <f>'Time &amp; Technical'!N63</f>
        <v>0</v>
      </c>
      <c r="O40" s="1">
        <f>'Time &amp; Technical'!O63</f>
        <v>0</v>
      </c>
      <c r="P40" s="1">
        <f>'Time &amp; Technical'!P63</f>
        <v>0</v>
      </c>
      <c r="Q40" s="1">
        <f>'Time &amp; Technical'!Q63</f>
        <v>0</v>
      </c>
      <c r="R40" s="1">
        <f>'Time &amp; Technical'!R63</f>
        <v>0</v>
      </c>
      <c r="S40" s="1">
        <f>'Time &amp; Technical'!S63</f>
        <v>0</v>
      </c>
      <c r="T40" s="1">
        <f>'Time &amp; Technical'!T63</f>
        <v>0</v>
      </c>
      <c r="U40" s="1">
        <f>'Time &amp; Technical'!U63</f>
        <v>0</v>
      </c>
      <c r="V40" s="1">
        <f>'Time &amp; Technical'!V63</f>
        <v>0</v>
      </c>
      <c r="W40" s="1">
        <f>'Time &amp; Technical'!W63</f>
        <v>1042.1037474876</v>
      </c>
      <c r="X40" s="1">
        <f>'Time &amp; Technical'!X63</f>
        <v>1033.7669175076992</v>
      </c>
      <c r="Y40" s="1">
        <f>'Time &amp; Technical'!Y63</f>
        <v>1025.4967821676378</v>
      </c>
      <c r="Z40" s="1">
        <f>'Time &amp; Technical'!Z63</f>
        <v>1017.2928079102965</v>
      </c>
      <c r="AA40" s="1">
        <f>'Time &amp; Technical'!AA63</f>
        <v>1009.1544654470142</v>
      </c>
      <c r="AB40" s="1">
        <f>'Time &amp; Technical'!AB63</f>
        <v>1001.0812297234381</v>
      </c>
      <c r="AC40" s="1">
        <f>'Time &amp; Technical'!AC63</f>
        <v>993.0725798856505</v>
      </c>
      <c r="AD40" s="1">
        <f>'Time &amp; Technical'!AD63</f>
        <v>907.8426781180857</v>
      </c>
      <c r="AE40" s="1">
        <f>'Time &amp; Technical'!AE63</f>
        <v>1013.8937368245653</v>
      </c>
      <c r="AF40" s="1">
        <f>'Time &amp; Technical'!AF63</f>
        <v>1005.7825869299688</v>
      </c>
      <c r="AG40" s="1">
        <f>'Time &amp; Technical'!AG63</f>
        <v>997.73632623452897</v>
      </c>
      <c r="AH40" s="1">
        <f>'Time &amp; Technical'!AH63</f>
        <v>989.75443562465284</v>
      </c>
      <c r="AI40" s="1">
        <f>'Time &amp; Technical'!AI63</f>
        <v>981.83640013965544</v>
      </c>
      <c r="AJ40" s="1">
        <f>'Time &amp; Technical'!AJ63</f>
        <v>973.98170893853819</v>
      </c>
      <c r="AK40" s="1">
        <f>'Time &amp; Technical'!AK63</f>
        <v>956.40840566365137</v>
      </c>
      <c r="AL40" s="1">
        <f>'Time &amp; Technical'!AL63</f>
        <v>874.32518625407693</v>
      </c>
      <c r="AM40" s="1">
        <f>'Time &amp; Technical'!AM63</f>
        <v>976.46084686015809</v>
      </c>
      <c r="AN40" s="1">
        <f>'Time &amp; Technical'!AN63</f>
        <v>957.64178326612591</v>
      </c>
      <c r="AO40" s="1">
        <f>'Time &amp; Technical'!AO63</f>
        <v>949.98064899999679</v>
      </c>
      <c r="AP40" s="1">
        <f>'Time &amp; Technical'!AP63</f>
        <v>931.54884054583613</v>
      </c>
      <c r="AQ40" s="1">
        <f>'Time &amp; Technical'!AQ63</f>
        <v>924.09644982146938</v>
      </c>
      <c r="AR40" s="1">
        <f>'Time &amp; Technical'!AR63</f>
        <v>906.04433312728258</v>
      </c>
      <c r="AS40" s="1">
        <f>'Time &amp; Technical'!AS63</f>
        <v>898.79597846226409</v>
      </c>
      <c r="AT40" s="1">
        <f>'Time &amp; Technical'!AT63</f>
        <v>821.65731357007485</v>
      </c>
      <c r="AU40" s="1">
        <f>'Time &amp; Technical'!AU63</f>
        <v>917.64049446509557</v>
      </c>
      <c r="AV40" s="1">
        <f>'Time &amp; Technical'!AV63</f>
        <v>910.29937050937485</v>
      </c>
      <c r="AW40" s="1">
        <f>'Time &amp; Technical'!AW63</f>
        <v>903.01697554530006</v>
      </c>
      <c r="AX40" s="1">
        <f>'Time &amp; Technical'!AX63</f>
        <v>895.79283974093755</v>
      </c>
      <c r="AY40" s="1">
        <f>'Time &amp; Technical'!AY63</f>
        <v>888.62649702301007</v>
      </c>
      <c r="AZ40" s="1">
        <f>'Time &amp; Technical'!AZ63</f>
        <v>881.5174850468261</v>
      </c>
      <c r="BA40" s="1">
        <f>'Time &amp; Technical'!BA63</f>
        <v>874.46534516645124</v>
      </c>
      <c r="BB40" s="1">
        <f>'Time &amp; Technical'!BB63</f>
        <v>799.41484334285008</v>
      </c>
      <c r="BC40" s="1">
        <f>'Time &amp; Technical'!BC63</f>
        <v>892.79973537934927</v>
      </c>
      <c r="BD40" s="1">
        <f>'Time &amp; Technical'!BD63</f>
        <v>885.65733749631443</v>
      </c>
      <c r="BE40" s="1">
        <f>'Time &amp; Technical'!BE63</f>
        <v>878.57207879634393</v>
      </c>
      <c r="BF40" s="1">
        <f>'Time &amp; Technical'!BF63</f>
        <v>871.54350216597322</v>
      </c>
      <c r="BG40" s="1">
        <f>'Time &amp; Technical'!BG63</f>
        <v>864.57115414864541</v>
      </c>
      <c r="BH40" s="1">
        <f>'Time &amp; Technical'!BH63</f>
        <v>857.65458491545598</v>
      </c>
      <c r="BI40" s="1">
        <f>'Time &amp; Technical'!BI63</f>
        <v>850.79334823613226</v>
      </c>
      <c r="BJ40" s="1">
        <f>'Time &amp; Technical'!BJ63</f>
        <v>777.77448238141994</v>
      </c>
      <c r="BK40" t="s">
        <v>102</v>
      </c>
    </row>
    <row r="41" spans="1:63" ht="11.25" customHeight="1" x14ac:dyDescent="0.25">
      <c r="A41" s="12"/>
      <c r="B41" s="12" t="s">
        <v>385</v>
      </c>
      <c r="C41" s="68" t="s">
        <v>478</v>
      </c>
      <c r="D41" s="12"/>
      <c r="E41" s="23">
        <f t="shared" si="0"/>
        <v>2228393775.8321853</v>
      </c>
      <c r="F41" s="80" t="s">
        <v>26</v>
      </c>
      <c r="G41" s="1">
        <f>G40*$D$39</f>
        <v>0</v>
      </c>
      <c r="H41" s="1">
        <f t="shared" ref="H41:BJ41" si="10">H40*$D$39</f>
        <v>0</v>
      </c>
      <c r="I41" s="1">
        <f t="shared" si="10"/>
        <v>0</v>
      </c>
      <c r="J41" s="1">
        <f t="shared" si="10"/>
        <v>0</v>
      </c>
      <c r="K41" s="1">
        <f t="shared" si="10"/>
        <v>0</v>
      </c>
      <c r="L41" s="1">
        <f t="shared" si="10"/>
        <v>0</v>
      </c>
      <c r="M41" s="1">
        <f t="shared" si="10"/>
        <v>0</v>
      </c>
      <c r="N41" s="1">
        <f t="shared" si="10"/>
        <v>0</v>
      </c>
      <c r="O41" s="1">
        <f t="shared" si="10"/>
        <v>0</v>
      </c>
      <c r="P41" s="1">
        <f t="shared" si="10"/>
        <v>0</v>
      </c>
      <c r="Q41" s="1">
        <f t="shared" si="10"/>
        <v>0</v>
      </c>
      <c r="R41" s="1">
        <f t="shared" si="10"/>
        <v>0</v>
      </c>
      <c r="S41" s="1">
        <f t="shared" si="10"/>
        <v>0</v>
      </c>
      <c r="T41" s="1">
        <f t="shared" si="10"/>
        <v>0</v>
      </c>
      <c r="U41" s="1">
        <f t="shared" si="10"/>
        <v>0</v>
      </c>
      <c r="V41" s="1">
        <f t="shared" si="10"/>
        <v>0</v>
      </c>
      <c r="W41" s="1">
        <f t="shared" si="10"/>
        <v>62526224.849256001</v>
      </c>
      <c r="X41" s="1">
        <f t="shared" si="10"/>
        <v>62026015.050461948</v>
      </c>
      <c r="Y41" s="1">
        <f t="shared" si="10"/>
        <v>61529806.930058263</v>
      </c>
      <c r="Z41" s="1">
        <f t="shared" si="10"/>
        <v>61037568.474617787</v>
      </c>
      <c r="AA41" s="1">
        <f t="shared" si="10"/>
        <v>60549267.926820852</v>
      </c>
      <c r="AB41" s="1">
        <f t="shared" si="10"/>
        <v>60064873.783406287</v>
      </c>
      <c r="AC41" s="1">
        <f t="shared" si="10"/>
        <v>59584354.793139033</v>
      </c>
      <c r="AD41" s="1">
        <f t="shared" si="10"/>
        <v>54470560.687085144</v>
      </c>
      <c r="AE41" s="1">
        <f t="shared" si="10"/>
        <v>60833624.209473915</v>
      </c>
      <c r="AF41" s="1">
        <f t="shared" si="10"/>
        <v>60346955.215798132</v>
      </c>
      <c r="AG41" s="1">
        <f t="shared" si="10"/>
        <v>59864179.574071735</v>
      </c>
      <c r="AH41" s="1">
        <f t="shared" si="10"/>
        <v>59385266.137479171</v>
      </c>
      <c r="AI41" s="1">
        <f t="shared" si="10"/>
        <v>58910184.008379325</v>
      </c>
      <c r="AJ41" s="1">
        <f t="shared" si="10"/>
        <v>58438902.53631229</v>
      </c>
      <c r="AK41" s="1">
        <f t="shared" si="10"/>
        <v>57384504.339819081</v>
      </c>
      <c r="AL41" s="1">
        <f t="shared" si="10"/>
        <v>52459511.175244614</v>
      </c>
      <c r="AM41" s="1">
        <f t="shared" si="10"/>
        <v>58587650.811609484</v>
      </c>
      <c r="AN41" s="1">
        <f t="shared" si="10"/>
        <v>57458506.995967552</v>
      </c>
      <c r="AO41" s="1">
        <f t="shared" si="10"/>
        <v>56998838.939999804</v>
      </c>
      <c r="AP41" s="1">
        <f t="shared" si="10"/>
        <v>55892930.432750165</v>
      </c>
      <c r="AQ41" s="1">
        <f t="shared" si="10"/>
        <v>55445786.989288166</v>
      </c>
      <c r="AR41" s="1">
        <f t="shared" si="10"/>
        <v>54362659.987636954</v>
      </c>
      <c r="AS41" s="1">
        <f t="shared" si="10"/>
        <v>53927758.707735844</v>
      </c>
      <c r="AT41" s="1">
        <f t="shared" si="10"/>
        <v>49299438.814204492</v>
      </c>
      <c r="AU41" s="1">
        <f t="shared" si="10"/>
        <v>55058429.667905733</v>
      </c>
      <c r="AV41" s="1">
        <f t="shared" si="10"/>
        <v>54617962.230562493</v>
      </c>
      <c r="AW41" s="1">
        <f t="shared" si="10"/>
        <v>54181018.532718003</v>
      </c>
      <c r="AX41" s="1">
        <f t="shared" si="10"/>
        <v>53747570.384456255</v>
      </c>
      <c r="AY41" s="1">
        <f t="shared" si="10"/>
        <v>53317589.821380608</v>
      </c>
      <c r="AZ41" s="1">
        <f t="shared" si="10"/>
        <v>52891049.102809563</v>
      </c>
      <c r="BA41" s="1">
        <f t="shared" si="10"/>
        <v>52467920.709987074</v>
      </c>
      <c r="BB41" s="1">
        <f t="shared" si="10"/>
        <v>47964890.600571007</v>
      </c>
      <c r="BC41" s="1">
        <f t="shared" si="10"/>
        <v>53567984.122760959</v>
      </c>
      <c r="BD41" s="1">
        <f t="shared" si="10"/>
        <v>53139440.249778867</v>
      </c>
      <c r="BE41" s="1">
        <f t="shared" si="10"/>
        <v>52714324.727780633</v>
      </c>
      <c r="BF41" s="1">
        <f t="shared" si="10"/>
        <v>52292610.129958391</v>
      </c>
      <c r="BG41" s="1">
        <f t="shared" si="10"/>
        <v>51874269.248918727</v>
      </c>
      <c r="BH41" s="1">
        <f t="shared" si="10"/>
        <v>51459275.094927356</v>
      </c>
      <c r="BI41" s="1">
        <f t="shared" si="10"/>
        <v>51047600.894167937</v>
      </c>
      <c r="BJ41" s="1">
        <f t="shared" si="10"/>
        <v>46666468.942885198</v>
      </c>
      <c r="BK41" t="s">
        <v>102</v>
      </c>
    </row>
    <row r="42" spans="1:63" ht="11.25" customHeight="1" x14ac:dyDescent="0.25">
      <c r="A42" s="12"/>
      <c r="B42" s="12" t="s">
        <v>383</v>
      </c>
      <c r="C42" s="68" t="s">
        <v>479</v>
      </c>
      <c r="D42" s="12"/>
      <c r="E42" s="23">
        <f t="shared" si="0"/>
        <v>4007869723.3418236</v>
      </c>
      <c r="F42" s="80" t="s">
        <v>26</v>
      </c>
      <c r="G42" s="1">
        <f>G41*G36</f>
        <v>0</v>
      </c>
      <c r="H42" s="1">
        <f t="shared" ref="H42:BJ42" si="11">H41*H36</f>
        <v>0</v>
      </c>
      <c r="I42" s="1">
        <f t="shared" si="11"/>
        <v>0</v>
      </c>
      <c r="J42" s="1">
        <f t="shared" si="11"/>
        <v>0</v>
      </c>
      <c r="K42" s="1">
        <f t="shared" si="11"/>
        <v>0</v>
      </c>
      <c r="L42" s="1">
        <f t="shared" si="11"/>
        <v>0</v>
      </c>
      <c r="M42" s="1">
        <f t="shared" si="11"/>
        <v>0</v>
      </c>
      <c r="N42" s="1">
        <f t="shared" si="11"/>
        <v>0</v>
      </c>
      <c r="O42" s="1">
        <f t="shared" si="11"/>
        <v>0</v>
      </c>
      <c r="P42" s="1">
        <f t="shared" si="11"/>
        <v>0</v>
      </c>
      <c r="Q42" s="1">
        <f t="shared" si="11"/>
        <v>0</v>
      </c>
      <c r="R42" s="1">
        <f t="shared" si="11"/>
        <v>0</v>
      </c>
      <c r="S42" s="1">
        <f t="shared" si="11"/>
        <v>0</v>
      </c>
      <c r="T42" s="1">
        <f t="shared" si="11"/>
        <v>0</v>
      </c>
      <c r="U42" s="1">
        <f t="shared" si="11"/>
        <v>0</v>
      </c>
      <c r="V42" s="1">
        <f t="shared" si="11"/>
        <v>0</v>
      </c>
      <c r="W42" s="1">
        <f t="shared" si="11"/>
        <v>72224147.629289359</v>
      </c>
      <c r="X42" s="1">
        <f t="shared" si="11"/>
        <v>73057780.598857716</v>
      </c>
      <c r="Y42" s="1">
        <f t="shared" si="11"/>
        <v>74086024.711453974</v>
      </c>
      <c r="Z42" s="1">
        <f t="shared" si="11"/>
        <v>75128740.738559857</v>
      </c>
      <c r="AA42" s="1">
        <f t="shared" si="11"/>
        <v>76186132.363626599</v>
      </c>
      <c r="AB42" s="1">
        <f t="shared" si="11"/>
        <v>77258406.136826918</v>
      </c>
      <c r="AC42" s="1">
        <f t="shared" si="11"/>
        <v>78345771.515402436</v>
      </c>
      <c r="AD42" s="1">
        <f t="shared" si="11"/>
        <v>73215547.033768654</v>
      </c>
      <c r="AE42" s="1">
        <f t="shared" si="11"/>
        <v>83587878.312771618</v>
      </c>
      <c r="AF42" s="1">
        <f t="shared" si="11"/>
        <v>84764327.187278837</v>
      </c>
      <c r="AG42" s="1">
        <f t="shared" si="11"/>
        <v>85957333.868758366</v>
      </c>
      <c r="AH42" s="1">
        <f t="shared" si="11"/>
        <v>87167131.398337394</v>
      </c>
      <c r="AI42" s="1">
        <f t="shared" si="11"/>
        <v>88393956.097056001</v>
      </c>
      <c r="AJ42" s="1">
        <f t="shared" si="11"/>
        <v>89638047.612030283</v>
      </c>
      <c r="AK42" s="1">
        <f t="shared" si="11"/>
        <v>89979405.048000842</v>
      </c>
      <c r="AL42" s="1">
        <f t="shared" si="11"/>
        <v>84087388.954581648</v>
      </c>
      <c r="AM42" s="1">
        <f t="shared" si="11"/>
        <v>95999916.962069258</v>
      </c>
      <c r="AN42" s="1">
        <f t="shared" si="11"/>
        <v>96244795.759656772</v>
      </c>
      <c r="AO42" s="1">
        <f t="shared" si="11"/>
        <v>97599383.098564297</v>
      </c>
      <c r="AP42" s="1">
        <f t="shared" si="11"/>
        <v>97835414.338718444</v>
      </c>
      <c r="AQ42" s="1">
        <f t="shared" si="11"/>
        <v>99212388.672904253</v>
      </c>
      <c r="AR42" s="1">
        <f t="shared" si="11"/>
        <v>99438873.983045503</v>
      </c>
      <c r="AS42" s="1">
        <f t="shared" si="11"/>
        <v>100838416.04274318</v>
      </c>
      <c r="AT42" s="1">
        <f t="shared" si="11"/>
        <v>94235332.038778126</v>
      </c>
      <c r="AU42" s="1">
        <f t="shared" si="11"/>
        <v>107585503.16626056</v>
      </c>
      <c r="AV42" s="1">
        <f t="shared" si="11"/>
        <v>109099704.10864648</v>
      </c>
      <c r="AW42" s="1">
        <f t="shared" si="11"/>
        <v>110635216.5142542</v>
      </c>
      <c r="AX42" s="1">
        <f t="shared" si="11"/>
        <v>112192340.32904981</v>
      </c>
      <c r="AY42" s="1">
        <f t="shared" si="11"/>
        <v>113771379.72055779</v>
      </c>
      <c r="AZ42" s="1">
        <f t="shared" si="11"/>
        <v>115372643.13727656</v>
      </c>
      <c r="BA42" s="1">
        <f t="shared" si="11"/>
        <v>116996443.36893086</v>
      </c>
      <c r="BB42" s="1">
        <f t="shared" si="11"/>
        <v>109335302.16851047</v>
      </c>
      <c r="BC42" s="1">
        <f t="shared" si="11"/>
        <v>124824662.2911444</v>
      </c>
      <c r="BD42" s="1">
        <f t="shared" si="11"/>
        <v>126581493.98046745</v>
      </c>
      <c r="BE42" s="1">
        <f t="shared" si="11"/>
        <v>128363052.01415198</v>
      </c>
      <c r="BF42" s="1">
        <f t="shared" si="11"/>
        <v>130169684.40055251</v>
      </c>
      <c r="BG42" s="1">
        <f t="shared" si="11"/>
        <v>132001744.04603092</v>
      </c>
      <c r="BH42" s="1">
        <f t="shared" si="11"/>
        <v>133859588.82389279</v>
      </c>
      <c r="BI42" s="1">
        <f t="shared" si="11"/>
        <v>135743581.64429441</v>
      </c>
      <c r="BJ42" s="1">
        <f t="shared" si="11"/>
        <v>126854843.52472262</v>
      </c>
      <c r="BK42" t="s">
        <v>102</v>
      </c>
    </row>
    <row r="43" spans="1:63" ht="11.25" customHeight="1" x14ac:dyDescent="0.25">
      <c r="A43" s="17"/>
      <c r="B43" s="56" t="s">
        <v>389</v>
      </c>
      <c r="C43" s="74" t="s">
        <v>1</v>
      </c>
      <c r="D43" s="272"/>
      <c r="E43" s="23">
        <f t="shared" si="0"/>
        <v>147119.63432681991</v>
      </c>
      <c r="F43" s="321" t="s">
        <v>26</v>
      </c>
      <c r="G43" s="58">
        <f>G42/G37</f>
        <v>0</v>
      </c>
      <c r="H43" s="58">
        <f t="shared" ref="H43:BJ43" si="12">H42/H37</f>
        <v>0</v>
      </c>
      <c r="I43" s="58">
        <f t="shared" si="12"/>
        <v>0</v>
      </c>
      <c r="J43" s="58">
        <f t="shared" si="12"/>
        <v>0</v>
      </c>
      <c r="K43" s="58">
        <f t="shared" si="12"/>
        <v>0</v>
      </c>
      <c r="L43" s="58">
        <f t="shared" si="12"/>
        <v>0</v>
      </c>
      <c r="M43" s="58">
        <f t="shared" si="12"/>
        <v>0</v>
      </c>
      <c r="N43" s="58">
        <f t="shared" si="12"/>
        <v>0</v>
      </c>
      <c r="O43" s="58">
        <f t="shared" si="12"/>
        <v>0</v>
      </c>
      <c r="P43" s="58">
        <f t="shared" si="12"/>
        <v>0</v>
      </c>
      <c r="Q43" s="58">
        <f t="shared" si="12"/>
        <v>0</v>
      </c>
      <c r="R43" s="58">
        <f t="shared" si="12"/>
        <v>0</v>
      </c>
      <c r="S43" s="58">
        <f t="shared" si="12"/>
        <v>0</v>
      </c>
      <c r="T43" s="58">
        <f t="shared" si="12"/>
        <v>0</v>
      </c>
      <c r="U43" s="58">
        <f t="shared" si="12"/>
        <v>0</v>
      </c>
      <c r="V43" s="58">
        <f t="shared" si="12"/>
        <v>0</v>
      </c>
      <c r="W43" s="58">
        <f t="shared" si="12"/>
        <v>3141.6871284624285</v>
      </c>
      <c r="X43" s="58">
        <f t="shared" si="12"/>
        <v>3163.0154941133169</v>
      </c>
      <c r="Y43" s="58">
        <f t="shared" si="12"/>
        <v>3184.4292458314935</v>
      </c>
      <c r="Z43" s="58">
        <f t="shared" si="12"/>
        <v>3205.9879695751001</v>
      </c>
      <c r="AA43" s="58">
        <f t="shared" si="12"/>
        <v>3227.6926468110196</v>
      </c>
      <c r="AB43" s="58">
        <f t="shared" si="12"/>
        <v>3249.5442656507093</v>
      </c>
      <c r="AC43" s="58">
        <f t="shared" si="12"/>
        <v>3269.5490682618884</v>
      </c>
      <c r="AD43" s="58">
        <f t="shared" si="12"/>
        <v>3029.7610595725514</v>
      </c>
      <c r="AE43" s="58">
        <f t="shared" si="12"/>
        <v>3429.8974847474792</v>
      </c>
      <c r="AF43" s="58">
        <f t="shared" si="12"/>
        <v>3448.9248158775158</v>
      </c>
      <c r="AG43" s="58">
        <f t="shared" si="12"/>
        <v>3468.0577009873841</v>
      </c>
      <c r="AH43" s="58">
        <f t="shared" si="12"/>
        <v>3487.2967256370143</v>
      </c>
      <c r="AI43" s="58">
        <f t="shared" si="12"/>
        <v>3506.6424786347216</v>
      </c>
      <c r="AJ43" s="58">
        <f t="shared" si="12"/>
        <v>3526.0955520552366</v>
      </c>
      <c r="AK43" s="58">
        <f t="shared" si="12"/>
        <v>3509.7612556882764</v>
      </c>
      <c r="AL43" s="58">
        <f t="shared" si="12"/>
        <v>3252.35613806945</v>
      </c>
      <c r="AM43" s="58">
        <f t="shared" si="12"/>
        <v>3681.8903927167275</v>
      </c>
      <c r="AN43" s="58">
        <f t="shared" si="12"/>
        <v>3660.243883874577</v>
      </c>
      <c r="AO43" s="58">
        <f t="shared" si="12"/>
        <v>3680.5490599636214</v>
      </c>
      <c r="AP43" s="58">
        <f t="shared" si="12"/>
        <v>3658.4270296856425</v>
      </c>
      <c r="AQ43" s="58">
        <f t="shared" si="12"/>
        <v>3678.722126789406</v>
      </c>
      <c r="AR43" s="58">
        <f t="shared" si="12"/>
        <v>3656.1166734606072</v>
      </c>
      <c r="AS43" s="58">
        <f t="shared" si="12"/>
        <v>3676.3989538801634</v>
      </c>
      <c r="AT43" s="58">
        <f t="shared" si="12"/>
        <v>3406.7726641706995</v>
      </c>
      <c r="AU43" s="58">
        <f t="shared" si="12"/>
        <v>3856.7004995417346</v>
      </c>
      <c r="AV43" s="58">
        <f t="shared" si="12"/>
        <v>3878.0955172647086</v>
      </c>
      <c r="AW43" s="58">
        <f t="shared" si="12"/>
        <v>3899.6092236915174</v>
      </c>
      <c r="AX43" s="58">
        <f t="shared" si="12"/>
        <v>3921.2422772468726</v>
      </c>
      <c r="AY43" s="58">
        <f t="shared" si="12"/>
        <v>3942.9953400080967</v>
      </c>
      <c r="AZ43" s="58">
        <f t="shared" si="12"/>
        <v>3964.869077725376</v>
      </c>
      <c r="BA43" s="58">
        <f t="shared" si="12"/>
        <v>3986.864159842145</v>
      </c>
      <c r="BB43" s="58">
        <f t="shared" si="12"/>
        <v>3694.4684202939829</v>
      </c>
      <c r="BC43" s="58">
        <f t="shared" si="12"/>
        <v>4182.3918431485445</v>
      </c>
      <c r="BD43" s="58">
        <f t="shared" si="12"/>
        <v>4205.5936312104423</v>
      </c>
      <c r="BE43" s="58">
        <f t="shared" si="12"/>
        <v>4228.9241310213729</v>
      </c>
      <c r="BF43" s="58">
        <f t="shared" si="12"/>
        <v>4252.3840566088184</v>
      </c>
      <c r="BG43" s="58">
        <f t="shared" si="12"/>
        <v>4275.9741259613256</v>
      </c>
      <c r="BH43" s="58">
        <f t="shared" si="12"/>
        <v>4299.6950610504737</v>
      </c>
      <c r="BI43" s="58">
        <f t="shared" si="12"/>
        <v>4323.5475878529796</v>
      </c>
      <c r="BJ43" s="58">
        <f t="shared" si="12"/>
        <v>4006.4595598344877</v>
      </c>
      <c r="BK43" t="s">
        <v>102</v>
      </c>
    </row>
    <row r="44" spans="1:63" ht="11.25" customHeight="1" x14ac:dyDescent="0.25">
      <c r="A44" s="12"/>
      <c r="B44" s="12" t="s">
        <v>387</v>
      </c>
      <c r="C44" s="68" t="s">
        <v>480</v>
      </c>
      <c r="D44" s="263">
        <f>Assumptions!D116</f>
        <v>153500000</v>
      </c>
      <c r="E44" s="23">
        <f t="shared" si="0"/>
        <v>0</v>
      </c>
      <c r="F44" s="80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t="s">
        <v>102</v>
      </c>
    </row>
    <row r="45" spans="1:63" ht="11.25" customHeight="1" x14ac:dyDescent="0.25">
      <c r="A45" s="12"/>
      <c r="B45" s="12" t="s">
        <v>388</v>
      </c>
      <c r="C45" s="61" t="s">
        <v>481</v>
      </c>
      <c r="D45" s="31"/>
      <c r="E45" s="23">
        <f t="shared" si="0"/>
        <v>3070000000</v>
      </c>
      <c r="F45" s="80" t="s">
        <v>26</v>
      </c>
      <c r="G45" s="1">
        <f>IF(G7=1,$D$44*G3,0)</f>
        <v>0</v>
      </c>
      <c r="H45" s="1">
        <f t="shared" ref="H45:BJ45" si="13">IF(H7=1,$D$44*H3,0)</f>
        <v>0</v>
      </c>
      <c r="I45" s="1">
        <f t="shared" si="13"/>
        <v>0</v>
      </c>
      <c r="J45" s="1">
        <f t="shared" si="13"/>
        <v>0</v>
      </c>
      <c r="K45" s="1">
        <f t="shared" si="13"/>
        <v>0</v>
      </c>
      <c r="L45" s="1">
        <f t="shared" si="13"/>
        <v>0</v>
      </c>
      <c r="M45" s="1">
        <f t="shared" si="13"/>
        <v>0</v>
      </c>
      <c r="N45" s="1">
        <f t="shared" si="13"/>
        <v>0</v>
      </c>
      <c r="O45" s="1">
        <f t="shared" si="13"/>
        <v>0</v>
      </c>
      <c r="P45" s="1">
        <f t="shared" si="13"/>
        <v>0</v>
      </c>
      <c r="Q45" s="1">
        <f t="shared" si="13"/>
        <v>0</v>
      </c>
      <c r="R45" s="1">
        <f t="shared" si="13"/>
        <v>0</v>
      </c>
      <c r="S45" s="1">
        <f t="shared" si="13"/>
        <v>0</v>
      </c>
      <c r="T45" s="1">
        <f t="shared" si="13"/>
        <v>0</v>
      </c>
      <c r="U45" s="1">
        <f t="shared" si="13"/>
        <v>0</v>
      </c>
      <c r="V45" s="1">
        <f t="shared" si="13"/>
        <v>0</v>
      </c>
      <c r="W45" s="1">
        <f t="shared" si="13"/>
        <v>76750000</v>
      </c>
      <c r="X45" s="1">
        <f t="shared" si="13"/>
        <v>76750000</v>
      </c>
      <c r="Y45" s="1">
        <f t="shared" si="13"/>
        <v>76750000</v>
      </c>
      <c r="Z45" s="1">
        <f t="shared" si="13"/>
        <v>76750000</v>
      </c>
      <c r="AA45" s="1">
        <f t="shared" si="13"/>
        <v>76750000</v>
      </c>
      <c r="AB45" s="1">
        <f t="shared" si="13"/>
        <v>76750000</v>
      </c>
      <c r="AC45" s="1">
        <f t="shared" si="13"/>
        <v>76750000</v>
      </c>
      <c r="AD45" s="1">
        <f t="shared" si="13"/>
        <v>76750000</v>
      </c>
      <c r="AE45" s="1">
        <f t="shared" si="13"/>
        <v>76750000</v>
      </c>
      <c r="AF45" s="1">
        <f t="shared" si="13"/>
        <v>76750000</v>
      </c>
      <c r="AG45" s="1">
        <f t="shared" si="13"/>
        <v>76750000</v>
      </c>
      <c r="AH45" s="1">
        <f t="shared" si="13"/>
        <v>76750000</v>
      </c>
      <c r="AI45" s="1">
        <f t="shared" si="13"/>
        <v>76750000</v>
      </c>
      <c r="AJ45" s="1">
        <f t="shared" si="13"/>
        <v>76750000</v>
      </c>
      <c r="AK45" s="1">
        <f t="shared" si="13"/>
        <v>76750000</v>
      </c>
      <c r="AL45" s="1">
        <f t="shared" si="13"/>
        <v>76750000</v>
      </c>
      <c r="AM45" s="1">
        <f t="shared" si="13"/>
        <v>76750000</v>
      </c>
      <c r="AN45" s="1">
        <f t="shared" si="13"/>
        <v>76750000</v>
      </c>
      <c r="AO45" s="1">
        <f t="shared" si="13"/>
        <v>76750000</v>
      </c>
      <c r="AP45" s="1">
        <f t="shared" si="13"/>
        <v>76750000</v>
      </c>
      <c r="AQ45" s="1">
        <f t="shared" si="13"/>
        <v>76750000</v>
      </c>
      <c r="AR45" s="1">
        <f t="shared" si="13"/>
        <v>76750000</v>
      </c>
      <c r="AS45" s="1">
        <f t="shared" si="13"/>
        <v>76750000</v>
      </c>
      <c r="AT45" s="1">
        <f t="shared" si="13"/>
        <v>76750000</v>
      </c>
      <c r="AU45" s="1">
        <f t="shared" si="13"/>
        <v>76750000</v>
      </c>
      <c r="AV45" s="1">
        <f t="shared" si="13"/>
        <v>76750000</v>
      </c>
      <c r="AW45" s="1">
        <f t="shared" si="13"/>
        <v>76750000</v>
      </c>
      <c r="AX45" s="1">
        <f t="shared" si="13"/>
        <v>76750000</v>
      </c>
      <c r="AY45" s="1">
        <f t="shared" si="13"/>
        <v>76750000</v>
      </c>
      <c r="AZ45" s="1">
        <f t="shared" si="13"/>
        <v>76750000</v>
      </c>
      <c r="BA45" s="1">
        <f t="shared" si="13"/>
        <v>76750000</v>
      </c>
      <c r="BB45" s="1">
        <f t="shared" si="13"/>
        <v>76750000</v>
      </c>
      <c r="BC45" s="1">
        <f t="shared" si="13"/>
        <v>76750000</v>
      </c>
      <c r="BD45" s="1">
        <f t="shared" si="13"/>
        <v>76750000</v>
      </c>
      <c r="BE45" s="1">
        <f t="shared" si="13"/>
        <v>76750000</v>
      </c>
      <c r="BF45" s="1">
        <f t="shared" si="13"/>
        <v>76750000</v>
      </c>
      <c r="BG45" s="1">
        <f t="shared" si="13"/>
        <v>76750000</v>
      </c>
      <c r="BH45" s="1">
        <f t="shared" si="13"/>
        <v>76750000</v>
      </c>
      <c r="BI45" s="1">
        <f t="shared" si="13"/>
        <v>76750000</v>
      </c>
      <c r="BJ45" s="1">
        <f t="shared" si="13"/>
        <v>76750000</v>
      </c>
      <c r="BK45" t="s">
        <v>102</v>
      </c>
    </row>
    <row r="46" spans="1:63" ht="11.25" customHeight="1" x14ac:dyDescent="0.25">
      <c r="A46" s="12"/>
      <c r="B46" s="12" t="s">
        <v>384</v>
      </c>
      <c r="C46" s="68" t="s">
        <v>479</v>
      </c>
      <c r="D46" s="31"/>
      <c r="E46" s="23">
        <f t="shared" si="0"/>
        <v>5610473913.8621855</v>
      </c>
      <c r="F46" s="80" t="s">
        <v>26</v>
      </c>
      <c r="G46" s="1">
        <f>G45*G36</f>
        <v>0</v>
      </c>
      <c r="H46" s="1">
        <f t="shared" ref="H46:BJ46" si="14">H45*H36</f>
        <v>0</v>
      </c>
      <c r="I46" s="1">
        <f t="shared" si="14"/>
        <v>0</v>
      </c>
      <c r="J46" s="1">
        <f t="shared" si="14"/>
        <v>0</v>
      </c>
      <c r="K46" s="1">
        <f t="shared" si="14"/>
        <v>0</v>
      </c>
      <c r="L46" s="1">
        <f t="shared" si="14"/>
        <v>0</v>
      </c>
      <c r="M46" s="1">
        <f t="shared" si="14"/>
        <v>0</v>
      </c>
      <c r="N46" s="1">
        <f t="shared" si="14"/>
        <v>0</v>
      </c>
      <c r="O46" s="1">
        <f t="shared" si="14"/>
        <v>0</v>
      </c>
      <c r="P46" s="1">
        <f t="shared" si="14"/>
        <v>0</v>
      </c>
      <c r="Q46" s="1">
        <f t="shared" si="14"/>
        <v>0</v>
      </c>
      <c r="R46" s="1">
        <f t="shared" si="14"/>
        <v>0</v>
      </c>
      <c r="S46" s="1">
        <f t="shared" si="14"/>
        <v>0</v>
      </c>
      <c r="T46" s="1">
        <f t="shared" si="14"/>
        <v>0</v>
      </c>
      <c r="U46" s="1">
        <f t="shared" si="14"/>
        <v>0</v>
      </c>
      <c r="V46" s="1">
        <f t="shared" si="14"/>
        <v>0</v>
      </c>
      <c r="W46" s="1">
        <f t="shared" si="14"/>
        <v>88654054.261424318</v>
      </c>
      <c r="X46" s="1">
        <f t="shared" si="14"/>
        <v>90400530.429055333</v>
      </c>
      <c r="Y46" s="1">
        <f t="shared" si="14"/>
        <v>92412160.549561933</v>
      </c>
      <c r="Z46" s="1">
        <f t="shared" si="14"/>
        <v>94468554.298362806</v>
      </c>
      <c r="AA46" s="1">
        <f t="shared" si="14"/>
        <v>96570707.774292231</v>
      </c>
      <c r="AB46" s="1">
        <f t="shared" si="14"/>
        <v>98719639.241789117</v>
      </c>
      <c r="AC46" s="1">
        <f t="shared" si="14"/>
        <v>100916389.62413538</v>
      </c>
      <c r="AD46" s="1">
        <f t="shared" si="14"/>
        <v>103162023.00766966</v>
      </c>
      <c r="AE46" s="1">
        <f t="shared" si="14"/>
        <v>105457627.15722147</v>
      </c>
      <c r="AF46" s="1">
        <f t="shared" si="14"/>
        <v>107804314.04301479</v>
      </c>
      <c r="AG46" s="1">
        <f t="shared" si="14"/>
        <v>110203220.37929645</v>
      </c>
      <c r="AH46" s="1">
        <f t="shared" si="14"/>
        <v>112655508.17495048</v>
      </c>
      <c r="AI46" s="1">
        <f t="shared" si="14"/>
        <v>115162365.29636481</v>
      </c>
      <c r="AJ46" s="1">
        <f t="shared" si="14"/>
        <v>117725006.04282326</v>
      </c>
      <c r="AK46" s="1">
        <f t="shared" si="14"/>
        <v>120344671.73470122</v>
      </c>
      <c r="AL46" s="1">
        <f t="shared" si="14"/>
        <v>123022631.31475031</v>
      </c>
      <c r="AM46" s="1">
        <f t="shared" si="14"/>
        <v>125760181.96276279</v>
      </c>
      <c r="AN46" s="1">
        <f t="shared" si="14"/>
        <v>128558649.72391406</v>
      </c>
      <c r="AO46" s="1">
        <f t="shared" si="14"/>
        <v>131419390.15108709</v>
      </c>
      <c r="AP46" s="1">
        <f t="shared" si="14"/>
        <v>134343788.96149018</v>
      </c>
      <c r="AQ46" s="1">
        <f t="shared" si="14"/>
        <v>137333262.70788604</v>
      </c>
      <c r="AR46" s="1">
        <f t="shared" si="14"/>
        <v>140389259.46475726</v>
      </c>
      <c r="AS46" s="1">
        <f t="shared" si="14"/>
        <v>143513259.5297409</v>
      </c>
      <c r="AT46" s="1">
        <f t="shared" si="14"/>
        <v>146706776.14067134</v>
      </c>
      <c r="AU46" s="1">
        <f t="shared" si="14"/>
        <v>149971356.20857924</v>
      </c>
      <c r="AV46" s="1">
        <f t="shared" si="14"/>
        <v>153308581.06700155</v>
      </c>
      <c r="AW46" s="1">
        <f t="shared" si="14"/>
        <v>156720067.23796532</v>
      </c>
      <c r="AX46" s="1">
        <f t="shared" si="14"/>
        <v>160207467.2150166</v>
      </c>
      <c r="AY46" s="1">
        <f t="shared" si="14"/>
        <v>163772470.26367378</v>
      </c>
      <c r="AZ46" s="1">
        <f t="shared" si="14"/>
        <v>167416803.23969236</v>
      </c>
      <c r="BA46" s="1">
        <f t="shared" si="14"/>
        <v>171142231.42553908</v>
      </c>
      <c r="BB46" s="1">
        <f t="shared" si="14"/>
        <v>174950559.38547853</v>
      </c>
      <c r="BC46" s="1">
        <f t="shared" si="14"/>
        <v>178843631.83968836</v>
      </c>
      <c r="BD46" s="1">
        <f t="shared" si="14"/>
        <v>182823334.55782506</v>
      </c>
      <c r="BE46" s="1">
        <f t="shared" si="14"/>
        <v>186891595.27247435</v>
      </c>
      <c r="BF46" s="1">
        <f t="shared" si="14"/>
        <v>191050384.61292723</v>
      </c>
      <c r="BG46" s="1">
        <f t="shared" si="14"/>
        <v>195301717.05973572</v>
      </c>
      <c r="BH46" s="1">
        <f t="shared" si="14"/>
        <v>199647651.92050892</v>
      </c>
      <c r="BI46" s="1">
        <f t="shared" si="14"/>
        <v>204090294.32742378</v>
      </c>
      <c r="BJ46" s="1">
        <f t="shared" si="14"/>
        <v>208631796.25693181</v>
      </c>
      <c r="BK46" t="s">
        <v>102</v>
      </c>
    </row>
    <row r="47" spans="1:63" ht="11.25" customHeight="1" x14ac:dyDescent="0.25">
      <c r="A47" s="56"/>
      <c r="B47" s="56" t="s">
        <v>390</v>
      </c>
      <c r="C47" s="74" t="s">
        <v>1</v>
      </c>
      <c r="D47" s="272"/>
      <c r="E47" s="23">
        <f t="shared" si="0"/>
        <v>204714.50231872965</v>
      </c>
      <c r="F47" s="321" t="s">
        <v>26</v>
      </c>
      <c r="G47" s="58">
        <f>G46/G37</f>
        <v>0</v>
      </c>
      <c r="H47" s="58">
        <f t="shared" ref="H47:BJ47" si="15">H46/H37</f>
        <v>0</v>
      </c>
      <c r="I47" s="58">
        <f t="shared" si="15"/>
        <v>0</v>
      </c>
      <c r="J47" s="58">
        <f t="shared" si="15"/>
        <v>0</v>
      </c>
      <c r="K47" s="58">
        <f t="shared" si="15"/>
        <v>0</v>
      </c>
      <c r="L47" s="58">
        <f t="shared" si="15"/>
        <v>0</v>
      </c>
      <c r="M47" s="58">
        <f t="shared" si="15"/>
        <v>0</v>
      </c>
      <c r="N47" s="58">
        <f t="shared" si="15"/>
        <v>0</v>
      </c>
      <c r="O47" s="58">
        <f t="shared" si="15"/>
        <v>0</v>
      </c>
      <c r="P47" s="58">
        <f t="shared" si="15"/>
        <v>0</v>
      </c>
      <c r="Q47" s="58">
        <f t="shared" si="15"/>
        <v>0</v>
      </c>
      <c r="R47" s="58">
        <f t="shared" si="15"/>
        <v>0</v>
      </c>
      <c r="S47" s="58">
        <f t="shared" si="15"/>
        <v>0</v>
      </c>
      <c r="T47" s="58">
        <f t="shared" si="15"/>
        <v>0</v>
      </c>
      <c r="U47" s="58">
        <f t="shared" si="15"/>
        <v>0</v>
      </c>
      <c r="V47" s="58">
        <f t="shared" si="15"/>
        <v>0</v>
      </c>
      <c r="W47" s="58">
        <f t="shared" si="15"/>
        <v>3856.3736686616958</v>
      </c>
      <c r="X47" s="58">
        <f t="shared" si="15"/>
        <v>3913.8648351936818</v>
      </c>
      <c r="Y47" s="58">
        <f t="shared" si="15"/>
        <v>3972.1389812808193</v>
      </c>
      <c r="Z47" s="58">
        <f t="shared" si="15"/>
        <v>4031.2807802494904</v>
      </c>
      <c r="AA47" s="58">
        <f t="shared" si="15"/>
        <v>4091.3031507192431</v>
      </c>
      <c r="AB47" s="58">
        <f t="shared" si="15"/>
        <v>4152.2192036569741</v>
      </c>
      <c r="AC47" s="58">
        <f t="shared" si="15"/>
        <v>4211.4728247085877</v>
      </c>
      <c r="AD47" s="58">
        <f t="shared" si="15"/>
        <v>4268.9878420386203</v>
      </c>
      <c r="AE47" s="58">
        <f t="shared" si="15"/>
        <v>4327.2883273880743</v>
      </c>
      <c r="AF47" s="58">
        <f t="shared" si="15"/>
        <v>4386.3850076946828</v>
      </c>
      <c r="AG47" s="58">
        <f t="shared" si="15"/>
        <v>4446.2887563912473</v>
      </c>
      <c r="AH47" s="58">
        <f t="shared" si="15"/>
        <v>4507.0105954062874</v>
      </c>
      <c r="AI47" s="58">
        <f t="shared" si="15"/>
        <v>4568.5616971920072</v>
      </c>
      <c r="AJ47" s="58">
        <f t="shared" si="15"/>
        <v>4630.9533867799601</v>
      </c>
      <c r="AK47" s="58">
        <f t="shared" si="15"/>
        <v>4694.197143864787</v>
      </c>
      <c r="AL47" s="58">
        <f t="shared" si="15"/>
        <v>4758.3046049164104</v>
      </c>
      <c r="AM47" s="58">
        <f t="shared" si="15"/>
        <v>4823.2875653210685</v>
      </c>
      <c r="AN47" s="58">
        <f t="shared" si="15"/>
        <v>4889.1579815516106</v>
      </c>
      <c r="AO47" s="58">
        <f t="shared" si="15"/>
        <v>4955.9279733673975</v>
      </c>
      <c r="AP47" s="58">
        <f t="shared" si="15"/>
        <v>5023.6098260442786</v>
      </c>
      <c r="AQ47" s="58">
        <f t="shared" si="15"/>
        <v>5092.2159926350023</v>
      </c>
      <c r="AR47" s="58">
        <f t="shared" si="15"/>
        <v>5161.7590962604972</v>
      </c>
      <c r="AS47" s="58">
        <f t="shared" si="15"/>
        <v>5232.2519324324649</v>
      </c>
      <c r="AT47" s="58">
        <f t="shared" si="15"/>
        <v>5303.7074714076616</v>
      </c>
      <c r="AU47" s="58">
        <f t="shared" si="15"/>
        <v>5376.1388605743578</v>
      </c>
      <c r="AV47" s="58">
        <f t="shared" si="15"/>
        <v>5449.559426871373</v>
      </c>
      <c r="AW47" s="58">
        <f t="shared" si="15"/>
        <v>5523.9826792401527</v>
      </c>
      <c r="AX47" s="58">
        <f t="shared" si="15"/>
        <v>5599.4223111103356</v>
      </c>
      <c r="AY47" s="58">
        <f t="shared" si="15"/>
        <v>5675.892202919259</v>
      </c>
      <c r="AZ47" s="58">
        <f t="shared" si="15"/>
        <v>5753.4064246658709</v>
      </c>
      <c r="BA47" s="58">
        <f t="shared" si="15"/>
        <v>5831.979238499539</v>
      </c>
      <c r="BB47" s="58">
        <f t="shared" si="15"/>
        <v>5911.6251013441824</v>
      </c>
      <c r="BC47" s="58">
        <f t="shared" si="15"/>
        <v>5992.3586675582774</v>
      </c>
      <c r="BD47" s="58">
        <f t="shared" si="15"/>
        <v>6074.1947916311483</v>
      </c>
      <c r="BE47" s="58">
        <f t="shared" si="15"/>
        <v>6157.1485309161299</v>
      </c>
      <c r="BF47" s="58">
        <f t="shared" si="15"/>
        <v>6241.235148401006</v>
      </c>
      <c r="BG47" s="58">
        <f t="shared" si="15"/>
        <v>6326.4701155163248</v>
      </c>
      <c r="BH47" s="58">
        <f t="shared" si="15"/>
        <v>6412.8691149820334</v>
      </c>
      <c r="BI47" s="58">
        <f t="shared" si="15"/>
        <v>6500.4480436930226</v>
      </c>
      <c r="BJ47" s="58">
        <f t="shared" si="15"/>
        <v>6589.2230156440392</v>
      </c>
      <c r="BK47" t="s">
        <v>102</v>
      </c>
    </row>
    <row r="48" spans="1:63" ht="11.25" customHeight="1" x14ac:dyDescent="0.25">
      <c r="A48" s="12"/>
      <c r="B48" s="12" t="s">
        <v>391</v>
      </c>
      <c r="C48" s="68" t="s">
        <v>446</v>
      </c>
      <c r="D48" s="263">
        <f>Assumptions!D118</f>
        <v>10585</v>
      </c>
      <c r="E48" s="23">
        <f t="shared" si="0"/>
        <v>0</v>
      </c>
      <c r="F48" s="80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t="s">
        <v>102</v>
      </c>
    </row>
    <row r="49" spans="1:63" ht="11.25" customHeight="1" x14ac:dyDescent="0.25">
      <c r="A49" s="12"/>
      <c r="B49" s="12" t="s">
        <v>392</v>
      </c>
      <c r="C49" s="68" t="s">
        <v>446</v>
      </c>
      <c r="D49" s="31"/>
      <c r="E49" s="23">
        <f t="shared" si="0"/>
        <v>52925</v>
      </c>
      <c r="F49" s="80" t="s">
        <v>26</v>
      </c>
      <c r="G49" s="1">
        <f>IF(G35=1,$D$48,0)</f>
        <v>0</v>
      </c>
      <c r="H49" s="1">
        <f t="shared" ref="H49:BJ49" si="16">IF(H35=1,$D$48,0)</f>
        <v>0</v>
      </c>
      <c r="I49" s="1">
        <f t="shared" si="16"/>
        <v>0</v>
      </c>
      <c r="J49" s="1">
        <f t="shared" si="16"/>
        <v>0</v>
      </c>
      <c r="K49" s="1">
        <f t="shared" si="16"/>
        <v>0</v>
      </c>
      <c r="L49" s="1">
        <f t="shared" si="16"/>
        <v>0</v>
      </c>
      <c r="M49" s="1">
        <f t="shared" si="16"/>
        <v>0</v>
      </c>
      <c r="N49" s="1">
        <f t="shared" si="16"/>
        <v>0</v>
      </c>
      <c r="O49" s="1">
        <f t="shared" si="16"/>
        <v>0</v>
      </c>
      <c r="P49" s="1">
        <f t="shared" si="16"/>
        <v>0</v>
      </c>
      <c r="Q49" s="1">
        <f t="shared" si="16"/>
        <v>0</v>
      </c>
      <c r="R49" s="1">
        <f t="shared" si="16"/>
        <v>0</v>
      </c>
      <c r="S49" s="1">
        <f t="shared" si="16"/>
        <v>0</v>
      </c>
      <c r="T49" s="1">
        <f t="shared" si="16"/>
        <v>0</v>
      </c>
      <c r="U49" s="1">
        <f t="shared" si="16"/>
        <v>0</v>
      </c>
      <c r="V49" s="1">
        <f t="shared" si="16"/>
        <v>0</v>
      </c>
      <c r="W49" s="1">
        <f t="shared" si="16"/>
        <v>0</v>
      </c>
      <c r="X49" s="1">
        <f t="shared" si="16"/>
        <v>0</v>
      </c>
      <c r="Y49" s="1">
        <f t="shared" si="16"/>
        <v>0</v>
      </c>
      <c r="Z49" s="1">
        <f t="shared" si="16"/>
        <v>0</v>
      </c>
      <c r="AA49" s="1">
        <f t="shared" si="16"/>
        <v>0</v>
      </c>
      <c r="AB49" s="1">
        <f t="shared" si="16"/>
        <v>0</v>
      </c>
      <c r="AC49" s="1">
        <f t="shared" si="16"/>
        <v>0</v>
      </c>
      <c r="AD49" s="1">
        <f t="shared" si="16"/>
        <v>10585</v>
      </c>
      <c r="AE49" s="1">
        <f t="shared" si="16"/>
        <v>0</v>
      </c>
      <c r="AF49" s="1">
        <f t="shared" si="16"/>
        <v>0</v>
      </c>
      <c r="AG49" s="1">
        <f t="shared" si="16"/>
        <v>0</v>
      </c>
      <c r="AH49" s="1">
        <f t="shared" si="16"/>
        <v>0</v>
      </c>
      <c r="AI49" s="1">
        <f t="shared" si="16"/>
        <v>0</v>
      </c>
      <c r="AJ49" s="1">
        <f t="shared" si="16"/>
        <v>0</v>
      </c>
      <c r="AK49" s="1">
        <f t="shared" si="16"/>
        <v>0</v>
      </c>
      <c r="AL49" s="1">
        <f t="shared" si="16"/>
        <v>10585</v>
      </c>
      <c r="AM49" s="1">
        <f t="shared" si="16"/>
        <v>0</v>
      </c>
      <c r="AN49" s="1">
        <f t="shared" si="16"/>
        <v>0</v>
      </c>
      <c r="AO49" s="1">
        <f t="shared" si="16"/>
        <v>0</v>
      </c>
      <c r="AP49" s="1">
        <f t="shared" si="16"/>
        <v>0</v>
      </c>
      <c r="AQ49" s="1">
        <f t="shared" si="16"/>
        <v>0</v>
      </c>
      <c r="AR49" s="1">
        <f t="shared" si="16"/>
        <v>0</v>
      </c>
      <c r="AS49" s="1">
        <f t="shared" si="16"/>
        <v>0</v>
      </c>
      <c r="AT49" s="1">
        <f t="shared" si="16"/>
        <v>10585</v>
      </c>
      <c r="AU49" s="1">
        <f t="shared" si="16"/>
        <v>0</v>
      </c>
      <c r="AV49" s="1">
        <f t="shared" si="16"/>
        <v>0</v>
      </c>
      <c r="AW49" s="1">
        <f t="shared" si="16"/>
        <v>0</v>
      </c>
      <c r="AX49" s="1">
        <f t="shared" si="16"/>
        <v>0</v>
      </c>
      <c r="AY49" s="1">
        <f t="shared" si="16"/>
        <v>0</v>
      </c>
      <c r="AZ49" s="1">
        <f t="shared" si="16"/>
        <v>0</v>
      </c>
      <c r="BA49" s="1">
        <f t="shared" si="16"/>
        <v>0</v>
      </c>
      <c r="BB49" s="1">
        <f t="shared" si="16"/>
        <v>10585</v>
      </c>
      <c r="BC49" s="1">
        <f t="shared" si="16"/>
        <v>0</v>
      </c>
      <c r="BD49" s="1">
        <f t="shared" si="16"/>
        <v>0</v>
      </c>
      <c r="BE49" s="1">
        <f t="shared" si="16"/>
        <v>0</v>
      </c>
      <c r="BF49" s="1">
        <f t="shared" si="16"/>
        <v>0</v>
      </c>
      <c r="BG49" s="1">
        <f t="shared" si="16"/>
        <v>0</v>
      </c>
      <c r="BH49" s="1">
        <f t="shared" si="16"/>
        <v>0</v>
      </c>
      <c r="BI49" s="1">
        <f t="shared" si="16"/>
        <v>0</v>
      </c>
      <c r="BJ49" s="1">
        <f t="shared" si="16"/>
        <v>10585</v>
      </c>
      <c r="BK49" t="s">
        <v>102</v>
      </c>
    </row>
    <row r="50" spans="1:63" ht="11.25" customHeight="1" x14ac:dyDescent="0.25">
      <c r="A50" s="17"/>
      <c r="B50" s="56" t="s">
        <v>82</v>
      </c>
      <c r="C50" s="74" t="s">
        <v>1</v>
      </c>
      <c r="D50" s="272"/>
      <c r="E50" s="23">
        <f t="shared" si="0"/>
        <v>83507.111945816127</v>
      </c>
      <c r="F50" s="321" t="s">
        <v>26</v>
      </c>
      <c r="G50" s="58">
        <f>G49*G38</f>
        <v>0</v>
      </c>
      <c r="H50" s="58">
        <f t="shared" ref="H50:BJ50" si="17">H49*H38</f>
        <v>0</v>
      </c>
      <c r="I50" s="58">
        <f t="shared" si="17"/>
        <v>0</v>
      </c>
      <c r="J50" s="58">
        <f t="shared" si="17"/>
        <v>0</v>
      </c>
      <c r="K50" s="58">
        <f t="shared" si="17"/>
        <v>0</v>
      </c>
      <c r="L50" s="58">
        <f t="shared" si="17"/>
        <v>0</v>
      </c>
      <c r="M50" s="58">
        <f t="shared" si="17"/>
        <v>0</v>
      </c>
      <c r="N50" s="58">
        <f t="shared" si="17"/>
        <v>0</v>
      </c>
      <c r="O50" s="58">
        <f t="shared" si="17"/>
        <v>0</v>
      </c>
      <c r="P50" s="58">
        <f t="shared" si="17"/>
        <v>0</v>
      </c>
      <c r="Q50" s="58">
        <f t="shared" si="17"/>
        <v>0</v>
      </c>
      <c r="R50" s="58">
        <f t="shared" si="17"/>
        <v>0</v>
      </c>
      <c r="S50" s="58">
        <f t="shared" si="17"/>
        <v>0</v>
      </c>
      <c r="T50" s="58">
        <f t="shared" si="17"/>
        <v>0</v>
      </c>
      <c r="U50" s="58">
        <f t="shared" si="17"/>
        <v>0</v>
      </c>
      <c r="V50" s="58">
        <f t="shared" si="17"/>
        <v>0</v>
      </c>
      <c r="W50" s="58">
        <f t="shared" si="17"/>
        <v>0</v>
      </c>
      <c r="X50" s="58">
        <f t="shared" si="17"/>
        <v>0</v>
      </c>
      <c r="Y50" s="58">
        <f t="shared" si="17"/>
        <v>0</v>
      </c>
      <c r="Z50" s="58">
        <f t="shared" si="17"/>
        <v>0</v>
      </c>
      <c r="AA50" s="58">
        <f t="shared" si="17"/>
        <v>0</v>
      </c>
      <c r="AB50" s="58">
        <f t="shared" si="17"/>
        <v>0</v>
      </c>
      <c r="AC50" s="58">
        <f t="shared" si="17"/>
        <v>0</v>
      </c>
      <c r="AD50" s="58">
        <f t="shared" si="17"/>
        <v>13286.108550956707</v>
      </c>
      <c r="AE50" s="58">
        <f t="shared" si="17"/>
        <v>0</v>
      </c>
      <c r="AF50" s="58">
        <f t="shared" si="17"/>
        <v>0</v>
      </c>
      <c r="AG50" s="58">
        <f t="shared" si="17"/>
        <v>0</v>
      </c>
      <c r="AH50" s="58">
        <f t="shared" si="17"/>
        <v>0</v>
      </c>
      <c r="AI50" s="58">
        <f t="shared" si="17"/>
        <v>0</v>
      </c>
      <c r="AJ50" s="58">
        <f t="shared" si="17"/>
        <v>0</v>
      </c>
      <c r="AK50" s="58">
        <f t="shared" si="17"/>
        <v>0</v>
      </c>
      <c r="AL50" s="58">
        <f t="shared" si="17"/>
        <v>14808.979045779319</v>
      </c>
      <c r="AM50" s="58">
        <f t="shared" si="17"/>
        <v>0</v>
      </c>
      <c r="AN50" s="58">
        <f t="shared" si="17"/>
        <v>0</v>
      </c>
      <c r="AO50" s="58">
        <f t="shared" si="17"/>
        <v>0</v>
      </c>
      <c r="AP50" s="58">
        <f t="shared" si="17"/>
        <v>0</v>
      </c>
      <c r="AQ50" s="58">
        <f t="shared" si="17"/>
        <v>0</v>
      </c>
      <c r="AR50" s="58">
        <f t="shared" si="17"/>
        <v>0</v>
      </c>
      <c r="AS50" s="58">
        <f t="shared" si="17"/>
        <v>0</v>
      </c>
      <c r="AT50" s="58">
        <f t="shared" si="17"/>
        <v>16506.402874643019</v>
      </c>
      <c r="AU50" s="58">
        <f t="shared" si="17"/>
        <v>0</v>
      </c>
      <c r="AV50" s="58">
        <f t="shared" si="17"/>
        <v>0</v>
      </c>
      <c r="AW50" s="58">
        <f t="shared" si="17"/>
        <v>0</v>
      </c>
      <c r="AX50" s="58">
        <f t="shared" si="17"/>
        <v>0</v>
      </c>
      <c r="AY50" s="58">
        <f t="shared" si="17"/>
        <v>0</v>
      </c>
      <c r="AZ50" s="58">
        <f t="shared" si="17"/>
        <v>0</v>
      </c>
      <c r="BA50" s="58">
        <f t="shared" si="17"/>
        <v>0</v>
      </c>
      <c r="BB50" s="58">
        <f t="shared" si="17"/>
        <v>18398.387560530518</v>
      </c>
      <c r="BC50" s="58">
        <f t="shared" si="17"/>
        <v>0</v>
      </c>
      <c r="BD50" s="58">
        <f t="shared" si="17"/>
        <v>0</v>
      </c>
      <c r="BE50" s="58">
        <f t="shared" si="17"/>
        <v>0</v>
      </c>
      <c r="BF50" s="58">
        <f t="shared" si="17"/>
        <v>0</v>
      </c>
      <c r="BG50" s="58">
        <f t="shared" si="17"/>
        <v>0</v>
      </c>
      <c r="BH50" s="58">
        <f t="shared" si="17"/>
        <v>0</v>
      </c>
      <c r="BI50" s="58">
        <f t="shared" si="17"/>
        <v>0</v>
      </c>
      <c r="BJ50" s="58">
        <f t="shared" si="17"/>
        <v>20507.233913906563</v>
      </c>
      <c r="BK50" t="s">
        <v>102</v>
      </c>
    </row>
    <row r="51" spans="1:63" ht="11.25" customHeight="1" x14ac:dyDescent="0.25">
      <c r="A51" s="1"/>
      <c r="B51" s="1" t="s">
        <v>83</v>
      </c>
      <c r="C51" s="75" t="s">
        <v>479</v>
      </c>
      <c r="D51" s="263">
        <f>Assumptions!D117</f>
        <v>65000000</v>
      </c>
      <c r="E51" s="23">
        <f t="shared" si="0"/>
        <v>1300000000</v>
      </c>
      <c r="F51" s="80" t="s">
        <v>26</v>
      </c>
      <c r="G51" s="1">
        <f t="shared" ref="G51" si="18">IF(G34=1,$D$51*G3,0)</f>
        <v>0</v>
      </c>
      <c r="H51" s="1">
        <f>IF(H34=1,$D$51*H3,0)</f>
        <v>0</v>
      </c>
      <c r="I51" s="1">
        <f t="shared" ref="I51:BJ51" si="19">IF(I34=1,$D$51*I3,0)</f>
        <v>0</v>
      </c>
      <c r="J51" s="1">
        <f t="shared" si="19"/>
        <v>0</v>
      </c>
      <c r="K51" s="1">
        <f t="shared" si="19"/>
        <v>0</v>
      </c>
      <c r="L51" s="1">
        <f t="shared" si="19"/>
        <v>0</v>
      </c>
      <c r="M51" s="1">
        <f t="shared" si="19"/>
        <v>0</v>
      </c>
      <c r="N51" s="1">
        <f t="shared" si="19"/>
        <v>0</v>
      </c>
      <c r="O51" s="1">
        <f t="shared" si="19"/>
        <v>0</v>
      </c>
      <c r="P51" s="1">
        <f t="shared" si="19"/>
        <v>0</v>
      </c>
      <c r="Q51" s="1">
        <f t="shared" si="19"/>
        <v>0</v>
      </c>
      <c r="R51" s="1">
        <f t="shared" si="19"/>
        <v>0</v>
      </c>
      <c r="S51" s="1">
        <f t="shared" si="19"/>
        <v>0</v>
      </c>
      <c r="T51" s="1">
        <f t="shared" si="19"/>
        <v>0</v>
      </c>
      <c r="U51" s="1">
        <f t="shared" si="19"/>
        <v>0</v>
      </c>
      <c r="V51" s="1">
        <f t="shared" si="19"/>
        <v>0</v>
      </c>
      <c r="W51" s="1">
        <f t="shared" si="19"/>
        <v>32500000</v>
      </c>
      <c r="X51" s="1">
        <f t="shared" si="19"/>
        <v>32500000</v>
      </c>
      <c r="Y51" s="1">
        <f t="shared" si="19"/>
        <v>32500000</v>
      </c>
      <c r="Z51" s="1">
        <f t="shared" si="19"/>
        <v>32500000</v>
      </c>
      <c r="AA51" s="1">
        <f t="shared" si="19"/>
        <v>32500000</v>
      </c>
      <c r="AB51" s="1">
        <f t="shared" si="19"/>
        <v>32500000</v>
      </c>
      <c r="AC51" s="1">
        <f t="shared" si="19"/>
        <v>32500000</v>
      </c>
      <c r="AD51" s="1">
        <f t="shared" si="19"/>
        <v>32500000</v>
      </c>
      <c r="AE51" s="1">
        <f t="shared" si="19"/>
        <v>32500000</v>
      </c>
      <c r="AF51" s="1">
        <f t="shared" si="19"/>
        <v>32500000</v>
      </c>
      <c r="AG51" s="1">
        <f t="shared" si="19"/>
        <v>32500000</v>
      </c>
      <c r="AH51" s="1">
        <f t="shared" si="19"/>
        <v>32500000</v>
      </c>
      <c r="AI51" s="1">
        <f t="shared" si="19"/>
        <v>32500000</v>
      </c>
      <c r="AJ51" s="1">
        <f t="shared" si="19"/>
        <v>32500000</v>
      </c>
      <c r="AK51" s="1">
        <f t="shared" si="19"/>
        <v>32500000</v>
      </c>
      <c r="AL51" s="1">
        <f t="shared" si="19"/>
        <v>32500000</v>
      </c>
      <c r="AM51" s="1">
        <f t="shared" si="19"/>
        <v>32500000</v>
      </c>
      <c r="AN51" s="1">
        <f t="shared" si="19"/>
        <v>32500000</v>
      </c>
      <c r="AO51" s="1">
        <f t="shared" si="19"/>
        <v>32500000</v>
      </c>
      <c r="AP51" s="1">
        <f t="shared" si="19"/>
        <v>32500000</v>
      </c>
      <c r="AQ51" s="1">
        <f t="shared" si="19"/>
        <v>32500000</v>
      </c>
      <c r="AR51" s="1">
        <f t="shared" si="19"/>
        <v>32500000</v>
      </c>
      <c r="AS51" s="1">
        <f t="shared" si="19"/>
        <v>32500000</v>
      </c>
      <c r="AT51" s="1">
        <f t="shared" si="19"/>
        <v>32500000</v>
      </c>
      <c r="AU51" s="1">
        <f t="shared" si="19"/>
        <v>32500000</v>
      </c>
      <c r="AV51" s="1">
        <f t="shared" si="19"/>
        <v>32500000</v>
      </c>
      <c r="AW51" s="1">
        <f t="shared" si="19"/>
        <v>32500000</v>
      </c>
      <c r="AX51" s="1">
        <f t="shared" si="19"/>
        <v>32500000</v>
      </c>
      <c r="AY51" s="1">
        <f t="shared" si="19"/>
        <v>32500000</v>
      </c>
      <c r="AZ51" s="1">
        <f t="shared" si="19"/>
        <v>32500000</v>
      </c>
      <c r="BA51" s="1">
        <f t="shared" si="19"/>
        <v>32500000</v>
      </c>
      <c r="BB51" s="1">
        <f t="shared" si="19"/>
        <v>32500000</v>
      </c>
      <c r="BC51" s="1">
        <f t="shared" si="19"/>
        <v>32500000</v>
      </c>
      <c r="BD51" s="1">
        <f t="shared" si="19"/>
        <v>32500000</v>
      </c>
      <c r="BE51" s="1">
        <f t="shared" si="19"/>
        <v>32500000</v>
      </c>
      <c r="BF51" s="1">
        <f t="shared" si="19"/>
        <v>32500000</v>
      </c>
      <c r="BG51" s="1">
        <f t="shared" si="19"/>
        <v>32500000</v>
      </c>
      <c r="BH51" s="1">
        <f t="shared" si="19"/>
        <v>32500000</v>
      </c>
      <c r="BI51" s="1">
        <f t="shared" si="19"/>
        <v>32500000</v>
      </c>
      <c r="BJ51" s="1">
        <f t="shared" si="19"/>
        <v>32500000</v>
      </c>
      <c r="BK51" t="s">
        <v>102</v>
      </c>
    </row>
    <row r="52" spans="1:63" ht="11.25" customHeight="1" x14ac:dyDescent="0.25">
      <c r="A52" s="17"/>
      <c r="B52" s="56" t="s">
        <v>83</v>
      </c>
      <c r="C52" s="74" t="s">
        <v>1</v>
      </c>
      <c r="D52" s="272"/>
      <c r="E52" s="23">
        <f t="shared" si="0"/>
        <v>48602.995772821567</v>
      </c>
      <c r="F52" s="321" t="s">
        <v>26</v>
      </c>
      <c r="G52" s="58">
        <f>G51/G37</f>
        <v>0</v>
      </c>
      <c r="H52" s="58">
        <f t="shared" ref="H52:BJ52" si="20">H51/H37</f>
        <v>0</v>
      </c>
      <c r="I52" s="58">
        <f t="shared" si="20"/>
        <v>0</v>
      </c>
      <c r="J52" s="58">
        <f t="shared" si="20"/>
        <v>0</v>
      </c>
      <c r="K52" s="58">
        <f t="shared" si="20"/>
        <v>0</v>
      </c>
      <c r="L52" s="58">
        <f t="shared" si="20"/>
        <v>0</v>
      </c>
      <c r="M52" s="58">
        <f t="shared" si="20"/>
        <v>0</v>
      </c>
      <c r="N52" s="58">
        <f t="shared" si="20"/>
        <v>0</v>
      </c>
      <c r="O52" s="58">
        <f t="shared" si="20"/>
        <v>0</v>
      </c>
      <c r="P52" s="58">
        <f t="shared" si="20"/>
        <v>0</v>
      </c>
      <c r="Q52" s="58">
        <f t="shared" si="20"/>
        <v>0</v>
      </c>
      <c r="R52" s="58">
        <f t="shared" si="20"/>
        <v>0</v>
      </c>
      <c r="S52" s="58">
        <f t="shared" si="20"/>
        <v>0</v>
      </c>
      <c r="T52" s="58">
        <f t="shared" si="20"/>
        <v>0</v>
      </c>
      <c r="U52" s="58">
        <f t="shared" si="20"/>
        <v>0</v>
      </c>
      <c r="V52" s="58">
        <f t="shared" si="20"/>
        <v>0</v>
      </c>
      <c r="W52" s="58">
        <f t="shared" si="20"/>
        <v>1413.7215187240497</v>
      </c>
      <c r="X52" s="58">
        <f t="shared" si="20"/>
        <v>1407.078106069514</v>
      </c>
      <c r="Y52" s="58">
        <f t="shared" si="20"/>
        <v>1396.9429577657309</v>
      </c>
      <c r="Z52" s="58">
        <f t="shared" si="20"/>
        <v>1386.8808126809561</v>
      </c>
      <c r="AA52" s="58">
        <f t="shared" si="20"/>
        <v>1376.8911449748348</v>
      </c>
      <c r="AB52" s="58">
        <f t="shared" si="20"/>
        <v>1366.9734325946265</v>
      </c>
      <c r="AC52" s="58">
        <f t="shared" si="20"/>
        <v>1356.2996785042963</v>
      </c>
      <c r="AD52" s="58">
        <f t="shared" si="20"/>
        <v>1344.8951544498141</v>
      </c>
      <c r="AE52" s="58">
        <f t="shared" si="20"/>
        <v>1333.5865259934587</v>
      </c>
      <c r="AF52" s="58">
        <f t="shared" si="20"/>
        <v>1322.3729867915638</v>
      </c>
      <c r="AG52" s="58">
        <f t="shared" si="20"/>
        <v>1311.2537372806498</v>
      </c>
      <c r="AH52" s="58">
        <f t="shared" si="20"/>
        <v>1300.2279846204131</v>
      </c>
      <c r="AI52" s="58">
        <f t="shared" si="20"/>
        <v>1289.2949426371938</v>
      </c>
      <c r="AJ52" s="58">
        <f t="shared" si="20"/>
        <v>1278.453831767918</v>
      </c>
      <c r="AK52" s="58">
        <f t="shared" si="20"/>
        <v>1267.7038790045137</v>
      </c>
      <c r="AL52" s="58">
        <f t="shared" si="20"/>
        <v>1257.0443178387904</v>
      </c>
      <c r="AM52" s="58">
        <f t="shared" si="20"/>
        <v>1246.4743882077871</v>
      </c>
      <c r="AN52" s="58">
        <f t="shared" si="20"/>
        <v>1235.9933364395761</v>
      </c>
      <c r="AO52" s="58">
        <f t="shared" si="20"/>
        <v>1225.6004151995228</v>
      </c>
      <c r="AP52" s="58">
        <f t="shared" si="20"/>
        <v>1215.2948834369995</v>
      </c>
      <c r="AQ52" s="58">
        <f t="shared" si="20"/>
        <v>1205.0760063325451</v>
      </c>
      <c r="AR52" s="58">
        <f t="shared" si="20"/>
        <v>1194.9430552454708</v>
      </c>
      <c r="AS52" s="58">
        <f t="shared" si="20"/>
        <v>1184.8953076619046</v>
      </c>
      <c r="AT52" s="58">
        <f t="shared" si="20"/>
        <v>1174.9320471432738</v>
      </c>
      <c r="AU52" s="58">
        <f t="shared" si="20"/>
        <v>1165.0525632752222</v>
      </c>
      <c r="AV52" s="58">
        <f t="shared" si="20"/>
        <v>1155.2561516169512</v>
      </c>
      <c r="AW52" s="58">
        <f t="shared" si="20"/>
        <v>1145.5421136509958</v>
      </c>
      <c r="AX52" s="58">
        <f t="shared" si="20"/>
        <v>1135.909756733414</v>
      </c>
      <c r="AY52" s="58">
        <f t="shared" si="20"/>
        <v>1126.3583940444005</v>
      </c>
      <c r="AZ52" s="58">
        <f t="shared" si="20"/>
        <v>1116.887344539314</v>
      </c>
      <c r="BA52" s="58">
        <f t="shared" si="20"/>
        <v>1107.4959329001163</v>
      </c>
      <c r="BB52" s="58">
        <f t="shared" si="20"/>
        <v>1098.1834894872202</v>
      </c>
      <c r="BC52" s="58">
        <f t="shared" si="20"/>
        <v>1088.9493502917412</v>
      </c>
      <c r="BD52" s="58">
        <f t="shared" si="20"/>
        <v>1079.7928568881521</v>
      </c>
      <c r="BE52" s="58">
        <f t="shared" si="20"/>
        <v>1070.713356387334</v>
      </c>
      <c r="BF52" s="58">
        <f t="shared" si="20"/>
        <v>1061.7102013900251</v>
      </c>
      <c r="BG52" s="58">
        <f t="shared" si="20"/>
        <v>1052.7827499406562</v>
      </c>
      <c r="BH52" s="58">
        <f t="shared" si="20"/>
        <v>1043.9303654815797</v>
      </c>
      <c r="BI52" s="58">
        <f t="shared" si="20"/>
        <v>1035.1524168076789</v>
      </c>
      <c r="BJ52" s="58">
        <f t="shared" si="20"/>
        <v>1026.4482780213618</v>
      </c>
      <c r="BK52" t="s">
        <v>102</v>
      </c>
    </row>
    <row r="53" spans="1:63" ht="11.25" customHeight="1" x14ac:dyDescent="0.25">
      <c r="A53" s="12"/>
      <c r="B53" s="12" t="s">
        <v>202</v>
      </c>
      <c r="C53" s="76" t="s">
        <v>1</v>
      </c>
      <c r="D53" s="12"/>
      <c r="E53" s="23">
        <f t="shared" si="0"/>
        <v>4422225.9160367223</v>
      </c>
      <c r="F53" s="80"/>
      <c r="G53" s="1">
        <f>Revenues!G35</f>
        <v>0</v>
      </c>
      <c r="H53" s="1">
        <f>Revenues!H35</f>
        <v>0</v>
      </c>
      <c r="I53" s="1">
        <f>Revenues!I35</f>
        <v>0</v>
      </c>
      <c r="J53" s="1">
        <f>Revenues!J35</f>
        <v>0</v>
      </c>
      <c r="K53" s="1">
        <f>Revenues!K35</f>
        <v>0</v>
      </c>
      <c r="L53" s="1">
        <f>Revenues!L35</f>
        <v>0</v>
      </c>
      <c r="M53" s="1">
        <f>Revenues!M35</f>
        <v>0</v>
      </c>
      <c r="N53" s="1">
        <f>Revenues!N35</f>
        <v>0</v>
      </c>
      <c r="O53" s="1">
        <f>Revenues!O35</f>
        <v>0</v>
      </c>
      <c r="P53" s="1">
        <f>Revenues!P35</f>
        <v>0</v>
      </c>
      <c r="Q53" s="1">
        <f>Revenues!Q35</f>
        <v>0</v>
      </c>
      <c r="R53" s="1">
        <f>Revenues!R35</f>
        <v>0</v>
      </c>
      <c r="S53" s="1">
        <f>Revenues!S35</f>
        <v>0</v>
      </c>
      <c r="T53" s="1">
        <f>Revenues!T35</f>
        <v>0</v>
      </c>
      <c r="U53" s="1">
        <f>Revenues!U35</f>
        <v>0</v>
      </c>
      <c r="V53" s="1">
        <f>Revenues!V35</f>
        <v>0</v>
      </c>
      <c r="W53" s="1">
        <f>Revenues!W35</f>
        <v>77255.968276576561</v>
      </c>
      <c r="X53" s="1">
        <f>Revenues!X35</f>
        <v>78299.405889897258</v>
      </c>
      <c r="Y53" s="1">
        <f>Revenues!Y35</f>
        <v>77673.010642778085</v>
      </c>
      <c r="Z53" s="1">
        <f>Revenues!Z35</f>
        <v>79040.017679904617</v>
      </c>
      <c r="AA53" s="1">
        <f>Revenues!AA35</f>
        <v>78407.697538465392</v>
      </c>
      <c r="AB53" s="1">
        <f>Revenues!AB35</f>
        <v>79786.300968129493</v>
      </c>
      <c r="AC53" s="1">
        <f>Revenues!AC35</f>
        <v>79148.010560384457</v>
      </c>
      <c r="AD53" s="1">
        <f>Revenues!AD35</f>
        <v>74129.752311313263</v>
      </c>
      <c r="AE53" s="1">
        <f>Revenues!AE35</f>
        <v>82789.334972221506</v>
      </c>
      <c r="AF53" s="1">
        <f>Revenues!AF35</f>
        <v>83032.734732281999</v>
      </c>
      <c r="AG53" s="1">
        <f>Revenues!AG35</f>
        <v>82368.472854423744</v>
      </c>
      <c r="AH53" s="1">
        <f>Revenues!AH35</f>
        <v>82979.516076454704</v>
      </c>
      <c r="AI53" s="1">
        <f>Revenues!AI35</f>
        <v>82315.679947843048</v>
      </c>
      <c r="AJ53" s="1">
        <f>Revenues!AJ35</f>
        <v>83902.726257237475</v>
      </c>
      <c r="AK53" s="1">
        <f>Revenues!AK35</f>
        <v>106989.2222775643</v>
      </c>
      <c r="AL53" s="1">
        <f>Revenues!AL35</f>
        <v>104671.66171020181</v>
      </c>
      <c r="AM53" s="1">
        <f>Revenues!AM35</f>
        <v>118495.50580560003</v>
      </c>
      <c r="AN53" s="1">
        <f>Revenues!AN35</f>
        <v>119140.93842011748</v>
      </c>
      <c r="AO53" s="1">
        <f>Revenues!AO35</f>
        <v>119801.87190181589</v>
      </c>
      <c r="AP53" s="1">
        <f>Revenues!AP35</f>
        <v>119813.48522220481</v>
      </c>
      <c r="AQ53" s="1">
        <f>Revenues!AQ35</f>
        <v>120478.14965235304</v>
      </c>
      <c r="AR53" s="1">
        <f>Revenues!AR35</f>
        <v>120408.10911263601</v>
      </c>
      <c r="AS53" s="1">
        <f>Revenues!AS35</f>
        <v>121076.07221445339</v>
      </c>
      <c r="AT53" s="1">
        <f>Revenues!AT35</f>
        <v>112196.3797400217</v>
      </c>
      <c r="AU53" s="1">
        <f>Revenues!AU35</f>
        <v>127014.00311824113</v>
      </c>
      <c r="AV53" s="1">
        <f>Revenues!AV35</f>
        <v>127718.61236858439</v>
      </c>
      <c r="AW53" s="1">
        <f>Revenues!AW35</f>
        <v>128427.13043357397</v>
      </c>
      <c r="AX53" s="1">
        <f>Revenues!AX35</f>
        <v>129139.57899733033</v>
      </c>
      <c r="AY53" s="1">
        <f>Revenues!AY35</f>
        <v>129855.97986426664</v>
      </c>
      <c r="AZ53" s="1">
        <f>Revenues!AZ35</f>
        <v>130576.35495975573</v>
      </c>
      <c r="BA53" s="1">
        <f>Revenues!BA35</f>
        <v>131300.72633080132</v>
      </c>
      <c r="BB53" s="1">
        <f>Revenues!BB35</f>
        <v>121671.15997501519</v>
      </c>
      <c r="BC53" s="1">
        <f>Revenues!BC35</f>
        <v>137740.10470102538</v>
      </c>
      <c r="BD53" s="1">
        <f>Revenues!BD35</f>
        <v>138504.21692119722</v>
      </c>
      <c r="BE53" s="1">
        <f>Revenues!BE35</f>
        <v>139272.56804830389</v>
      </c>
      <c r="BF53" s="1">
        <f>Revenues!BF35</f>
        <v>140045.18159765043</v>
      </c>
      <c r="BG53" s="1">
        <f>Revenues!BG35</f>
        <v>140822.08121499303</v>
      </c>
      <c r="BH53" s="1">
        <f>Revenues!BH35</f>
        <v>141603.29067726227</v>
      </c>
      <c r="BI53" s="1">
        <f>Revenues!BI35</f>
        <v>142388.83389329145</v>
      </c>
      <c r="BJ53" s="1">
        <f>Revenues!BJ35</f>
        <v>131946.06817054914</v>
      </c>
      <c r="BK53" t="s">
        <v>102</v>
      </c>
    </row>
    <row r="54" spans="1:63" ht="11.25" customHeight="1" x14ac:dyDescent="0.25">
      <c r="A54" s="12"/>
      <c r="B54" s="12" t="s">
        <v>84</v>
      </c>
      <c r="C54" s="76" t="s">
        <v>34</v>
      </c>
      <c r="D54" s="372">
        <f>Assumptions!D137</f>
        <v>0.01</v>
      </c>
      <c r="E54" s="23">
        <f t="shared" si="0"/>
        <v>0</v>
      </c>
      <c r="F54" s="80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t="s">
        <v>102</v>
      </c>
    </row>
    <row r="55" spans="1:63" ht="11.25" customHeight="1" x14ac:dyDescent="0.25">
      <c r="A55" s="12"/>
      <c r="B55" s="77" t="s">
        <v>203</v>
      </c>
      <c r="C55" s="160" t="s">
        <v>1</v>
      </c>
      <c r="D55" s="77"/>
      <c r="E55" s="23">
        <f t="shared" si="0"/>
        <v>44222.259160367204</v>
      </c>
      <c r="F55" s="79">
        <f t="shared" ref="F55" si="21">$D$54*F53</f>
        <v>0</v>
      </c>
      <c r="G55" s="79">
        <f t="shared" ref="G55:BJ55" si="22">$D$54*G53</f>
        <v>0</v>
      </c>
      <c r="H55" s="79">
        <f t="shared" si="22"/>
        <v>0</v>
      </c>
      <c r="I55" s="79">
        <f t="shared" si="22"/>
        <v>0</v>
      </c>
      <c r="J55" s="79">
        <f t="shared" si="22"/>
        <v>0</v>
      </c>
      <c r="K55" s="79">
        <f t="shared" si="22"/>
        <v>0</v>
      </c>
      <c r="L55" s="79">
        <f t="shared" si="22"/>
        <v>0</v>
      </c>
      <c r="M55" s="79">
        <f t="shared" si="22"/>
        <v>0</v>
      </c>
      <c r="N55" s="79">
        <f t="shared" si="22"/>
        <v>0</v>
      </c>
      <c r="O55" s="79">
        <f t="shared" si="22"/>
        <v>0</v>
      </c>
      <c r="P55" s="79">
        <f t="shared" si="22"/>
        <v>0</v>
      </c>
      <c r="Q55" s="79">
        <f t="shared" si="22"/>
        <v>0</v>
      </c>
      <c r="R55" s="79">
        <f t="shared" si="22"/>
        <v>0</v>
      </c>
      <c r="S55" s="79">
        <f t="shared" si="22"/>
        <v>0</v>
      </c>
      <c r="T55" s="79">
        <f t="shared" si="22"/>
        <v>0</v>
      </c>
      <c r="U55" s="79">
        <f t="shared" si="22"/>
        <v>0</v>
      </c>
      <c r="V55" s="79">
        <f t="shared" si="22"/>
        <v>0</v>
      </c>
      <c r="W55" s="79">
        <f t="shared" si="22"/>
        <v>772.55968276576561</v>
      </c>
      <c r="X55" s="79">
        <f t="shared" si="22"/>
        <v>782.99405889897264</v>
      </c>
      <c r="Y55" s="79">
        <f t="shared" si="22"/>
        <v>776.73010642778081</v>
      </c>
      <c r="Z55" s="79">
        <f t="shared" si="22"/>
        <v>790.40017679904622</v>
      </c>
      <c r="AA55" s="79">
        <f t="shared" si="22"/>
        <v>784.07697538465391</v>
      </c>
      <c r="AB55" s="79">
        <f t="shared" si="22"/>
        <v>797.8630096812949</v>
      </c>
      <c r="AC55" s="79">
        <f t="shared" si="22"/>
        <v>791.48010560384455</v>
      </c>
      <c r="AD55" s="79">
        <f t="shared" si="22"/>
        <v>741.29752311313268</v>
      </c>
      <c r="AE55" s="79">
        <f t="shared" si="22"/>
        <v>827.89334972221513</v>
      </c>
      <c r="AF55" s="79">
        <f t="shared" si="22"/>
        <v>830.32734732282006</v>
      </c>
      <c r="AG55" s="79">
        <f t="shared" si="22"/>
        <v>823.68472854423749</v>
      </c>
      <c r="AH55" s="79">
        <f t="shared" si="22"/>
        <v>829.79516076454706</v>
      </c>
      <c r="AI55" s="79">
        <f t="shared" si="22"/>
        <v>823.15679947843046</v>
      </c>
      <c r="AJ55" s="79">
        <f t="shared" si="22"/>
        <v>839.02726257237475</v>
      </c>
      <c r="AK55" s="79">
        <f t="shared" si="22"/>
        <v>1069.8922227756429</v>
      </c>
      <c r="AL55" s="79">
        <f t="shared" si="22"/>
        <v>1046.7166171020181</v>
      </c>
      <c r="AM55" s="79">
        <f t="shared" si="22"/>
        <v>1184.9550580560003</v>
      </c>
      <c r="AN55" s="79">
        <f t="shared" si="22"/>
        <v>1191.4093842011748</v>
      </c>
      <c r="AO55" s="79">
        <f t="shared" si="22"/>
        <v>1198.0187190181589</v>
      </c>
      <c r="AP55" s="79">
        <f t="shared" si="22"/>
        <v>1198.134852222048</v>
      </c>
      <c r="AQ55" s="79">
        <f t="shared" si="22"/>
        <v>1204.7814965235304</v>
      </c>
      <c r="AR55" s="79">
        <f t="shared" si="22"/>
        <v>1204.0810911263602</v>
      </c>
      <c r="AS55" s="79">
        <f t="shared" si="22"/>
        <v>1210.7607221445339</v>
      </c>
      <c r="AT55" s="79">
        <f t="shared" si="22"/>
        <v>1121.9637974002171</v>
      </c>
      <c r="AU55" s="79">
        <f t="shared" si="22"/>
        <v>1270.1400311824113</v>
      </c>
      <c r="AV55" s="79">
        <f t="shared" si="22"/>
        <v>1277.186123685844</v>
      </c>
      <c r="AW55" s="79">
        <f t="shared" si="22"/>
        <v>1284.2713043357396</v>
      </c>
      <c r="AX55" s="79">
        <f t="shared" si="22"/>
        <v>1291.3957899733034</v>
      </c>
      <c r="AY55" s="79">
        <f t="shared" si="22"/>
        <v>1298.5597986426665</v>
      </c>
      <c r="AZ55" s="79">
        <f t="shared" si="22"/>
        <v>1305.7635495975574</v>
      </c>
      <c r="BA55" s="79">
        <f t="shared" si="22"/>
        <v>1313.0072633080133</v>
      </c>
      <c r="BB55" s="79">
        <f t="shared" si="22"/>
        <v>1216.7115997501519</v>
      </c>
      <c r="BC55" s="79">
        <f t="shared" si="22"/>
        <v>1377.4010470102539</v>
      </c>
      <c r="BD55" s="79">
        <f t="shared" si="22"/>
        <v>1385.0421692119724</v>
      </c>
      <c r="BE55" s="79">
        <f t="shared" si="22"/>
        <v>1392.725680483039</v>
      </c>
      <c r="BF55" s="79">
        <f t="shared" si="22"/>
        <v>1400.4518159765043</v>
      </c>
      <c r="BG55" s="79">
        <f t="shared" si="22"/>
        <v>1408.2208121499302</v>
      </c>
      <c r="BH55" s="79">
        <f t="shared" si="22"/>
        <v>1416.0329067726227</v>
      </c>
      <c r="BI55" s="79">
        <f t="shared" si="22"/>
        <v>1423.8883389329146</v>
      </c>
      <c r="BJ55" s="79">
        <f t="shared" si="22"/>
        <v>1319.4606817054914</v>
      </c>
      <c r="BK55" t="s">
        <v>102</v>
      </c>
    </row>
    <row r="56" spans="1:63" ht="11.25" customHeight="1" x14ac:dyDescent="0.25">
      <c r="A56" s="17"/>
      <c r="B56" s="77" t="s">
        <v>71</v>
      </c>
      <c r="C56" s="78" t="s">
        <v>1</v>
      </c>
      <c r="D56" s="77"/>
      <c r="E56" s="23">
        <f t="shared" si="0"/>
        <v>14274.304965395349</v>
      </c>
      <c r="F56" s="79">
        <f>IF('Time &amp; Technical'!F152=1,Assumptions!$D$119*Costs!F38,0)</f>
        <v>0</v>
      </c>
      <c r="G56" s="79">
        <f>IF('Time &amp; Technical'!G152=1,Assumptions!$D$119*Costs!G38,0)</f>
        <v>0</v>
      </c>
      <c r="H56" s="79">
        <f>IF('Time &amp; Technical'!H152=1,Assumptions!$D$119*Costs!H38,0)</f>
        <v>0</v>
      </c>
      <c r="I56" s="79">
        <f>IF('Time &amp; Technical'!I152=1,Assumptions!$D$119*Costs!I38,0)</f>
        <v>0</v>
      </c>
      <c r="J56" s="79">
        <f>IF('Time &amp; Technical'!J152=1,Assumptions!$D$119*Costs!J38,0)</f>
        <v>0</v>
      </c>
      <c r="K56" s="79">
        <f>IF('Time &amp; Technical'!K152=1,Assumptions!$D$119*Costs!K38,0)</f>
        <v>0</v>
      </c>
      <c r="L56" s="79">
        <f>IF('Time &amp; Technical'!L152=1,Assumptions!$D$119*Costs!L38,0)</f>
        <v>0</v>
      </c>
      <c r="M56" s="79">
        <f>IF('Time &amp; Technical'!M152=1,Assumptions!$D$119*Costs!M38,0)</f>
        <v>0</v>
      </c>
      <c r="N56" s="79">
        <f>IF('Time &amp; Technical'!N152=1,Assumptions!$D$119*Costs!N38,0)</f>
        <v>0</v>
      </c>
      <c r="O56" s="79">
        <f>IF('Time &amp; Technical'!O152=1,Assumptions!$D$119*Costs!O38,0)</f>
        <v>0</v>
      </c>
      <c r="P56" s="79">
        <f>IF('Time &amp; Technical'!P152=1,Assumptions!$D$119*Costs!P38,0)</f>
        <v>0</v>
      </c>
      <c r="Q56" s="79">
        <f>IF('Time &amp; Technical'!Q152=1,Assumptions!$D$119*Costs!Q38,0)</f>
        <v>0</v>
      </c>
      <c r="R56" s="79">
        <f>IF('Time &amp; Technical'!R152=1,Assumptions!$D$119*Costs!R38,0)</f>
        <v>0</v>
      </c>
      <c r="S56" s="79">
        <f>IF('Time &amp; Technical'!S152=1,Assumptions!$D$119*Costs!S38,0)</f>
        <v>0</v>
      </c>
      <c r="T56" s="79">
        <f>IF('Time &amp; Technical'!T152=1,Assumptions!$D$119*Costs!T38,0)</f>
        <v>0</v>
      </c>
      <c r="U56" s="79">
        <f>IF('Time &amp; Technical'!U152=1,Assumptions!$D$119*Costs!U38,0)</f>
        <v>0</v>
      </c>
      <c r="V56" s="79">
        <f>IF('Time &amp; Technical'!V152=1,Assumptions!$D$119*Costs!V38,0)</f>
        <v>0</v>
      </c>
      <c r="W56" s="79">
        <f>IF('Time &amp; Technical'!W152=1,Assumptions!$D$119*Costs!W38,0)</f>
        <v>0</v>
      </c>
      <c r="X56" s="79">
        <f>IF('Time &amp; Technical'!X152=1,Assumptions!$D$119*Costs!X38,0)</f>
        <v>0</v>
      </c>
      <c r="Y56" s="79">
        <f>IF('Time &amp; Technical'!Y152=1,Assumptions!$D$119*Costs!Y38,0)</f>
        <v>0</v>
      </c>
      <c r="Z56" s="79">
        <f>IF('Time &amp; Technical'!Z152=1,Assumptions!$D$119*Costs!Z38,0)</f>
        <v>0</v>
      </c>
      <c r="AA56" s="79">
        <f>IF('Time &amp; Technical'!AA152=1,Assumptions!$D$119*Costs!AA38,0)</f>
        <v>0</v>
      </c>
      <c r="AB56" s="79">
        <f>IF('Time &amp; Technical'!AB152=1,Assumptions!$D$119*Costs!AB38,0)</f>
        <v>0</v>
      </c>
      <c r="AC56" s="79">
        <f>IF('Time &amp; Technical'!AC152=1,Assumptions!$D$119*Costs!AC38,0)</f>
        <v>0</v>
      </c>
      <c r="AD56" s="79">
        <f>IF('Time &amp; Technical'!AD152=1,Assumptions!$D$119*Costs!AD38,0)</f>
        <v>0</v>
      </c>
      <c r="AE56" s="79">
        <f>IF('Time &amp; Technical'!AE152=1,Assumptions!$D$119*Costs!AE38,0)</f>
        <v>0</v>
      </c>
      <c r="AF56" s="79">
        <f>IF('Time &amp; Technical'!AF152=1,Assumptions!$D$119*Costs!AF38,0)</f>
        <v>0</v>
      </c>
      <c r="AG56" s="79">
        <f>IF('Time &amp; Technical'!AG152=1,Assumptions!$D$119*Costs!AG38,0)</f>
        <v>0</v>
      </c>
      <c r="AH56" s="79">
        <f>IF('Time &amp; Technical'!AH152=1,Assumptions!$D$119*Costs!AH38,0)</f>
        <v>0</v>
      </c>
      <c r="AI56" s="79">
        <f>IF('Time &amp; Technical'!AI152=1,Assumptions!$D$119*Costs!AI38,0)</f>
        <v>0</v>
      </c>
      <c r="AJ56" s="79">
        <f>IF('Time &amp; Technical'!AJ152=1,Assumptions!$D$119*Costs!AJ38,0)</f>
        <v>0</v>
      </c>
      <c r="AK56" s="79">
        <f>IF('Time &amp; Technical'!AK152=1,Assumptions!$D$119*Costs!AK38,0)</f>
        <v>0</v>
      </c>
      <c r="AL56" s="79">
        <f>IF('Time &amp; Technical'!AL152=1,Assumptions!$D$119*Costs!AL38,0)</f>
        <v>6365.6924570898354</v>
      </c>
      <c r="AM56" s="79">
        <f>IF('Time &amp; Technical'!AM152=1,Assumptions!$D$119*Costs!AM38,0)</f>
        <v>0</v>
      </c>
      <c r="AN56" s="79">
        <f>IF('Time &amp; Technical'!AN152=1,Assumptions!$D$119*Costs!AN38,0)</f>
        <v>0</v>
      </c>
      <c r="AO56" s="79">
        <f>IF('Time &amp; Technical'!AO152=1,Assumptions!$D$119*Costs!AO38,0)</f>
        <v>0</v>
      </c>
      <c r="AP56" s="79">
        <f>IF('Time &amp; Technical'!AP152=1,Assumptions!$D$119*Costs!AP38,0)</f>
        <v>0</v>
      </c>
      <c r="AQ56" s="79">
        <f>IF('Time &amp; Technical'!AQ152=1,Assumptions!$D$119*Costs!AQ38,0)</f>
        <v>0</v>
      </c>
      <c r="AR56" s="79">
        <f>IF('Time &amp; Technical'!AR152=1,Assumptions!$D$119*Costs!AR38,0)</f>
        <v>0</v>
      </c>
      <c r="AS56" s="79">
        <f>IF('Time &amp; Technical'!AS152=1,Assumptions!$D$119*Costs!AS38,0)</f>
        <v>0</v>
      </c>
      <c r="AT56" s="79">
        <f>IF('Time &amp; Technical'!AT152=1,Assumptions!$D$119*Costs!AT38,0)</f>
        <v>0</v>
      </c>
      <c r="AU56" s="79">
        <f>IF('Time &amp; Technical'!AU152=1,Assumptions!$D$119*Costs!AU38,0)</f>
        <v>0</v>
      </c>
      <c r="AV56" s="79">
        <f>IF('Time &amp; Technical'!AV152=1,Assumptions!$D$119*Costs!AV38,0)</f>
        <v>0</v>
      </c>
      <c r="AW56" s="79">
        <f>IF('Time &amp; Technical'!AW152=1,Assumptions!$D$119*Costs!AW38,0)</f>
        <v>0</v>
      </c>
      <c r="AX56" s="79">
        <f>IF('Time &amp; Technical'!AX152=1,Assumptions!$D$119*Costs!AX38,0)</f>
        <v>0</v>
      </c>
      <c r="AY56" s="79">
        <f>IF('Time &amp; Technical'!AY152=1,Assumptions!$D$119*Costs!AY38,0)</f>
        <v>0</v>
      </c>
      <c r="AZ56" s="79">
        <f>IF('Time &amp; Technical'!AZ152=1,Assumptions!$D$119*Costs!AZ38,0)</f>
        <v>0</v>
      </c>
      <c r="BA56" s="79">
        <f>IF('Time &amp; Technical'!BA152=1,Assumptions!$D$119*Costs!BA38,0)</f>
        <v>0</v>
      </c>
      <c r="BB56" s="79">
        <f>IF('Time &amp; Technical'!BB152=1,Assumptions!$D$119*Costs!BB38,0)</f>
        <v>7908.612508305514</v>
      </c>
      <c r="BC56" s="79">
        <f>IF('Time &amp; Technical'!BC152=1,Assumptions!$D$119*Costs!BC38,0)</f>
        <v>0</v>
      </c>
      <c r="BD56" s="79">
        <f>IF('Time &amp; Technical'!BD152=1,Assumptions!$D$119*Costs!BD38,0)</f>
        <v>0</v>
      </c>
      <c r="BE56" s="79">
        <f>IF('Time &amp; Technical'!BE152=1,Assumptions!$D$119*Costs!BE38,0)</f>
        <v>0</v>
      </c>
      <c r="BF56" s="79">
        <f>IF('Time &amp; Technical'!BF152=1,Assumptions!$D$119*Costs!BF38,0)</f>
        <v>0</v>
      </c>
      <c r="BG56" s="79">
        <f>IF('Time &amp; Technical'!BG152=1,Assumptions!$D$119*Costs!BG38,0)</f>
        <v>0</v>
      </c>
      <c r="BH56" s="79">
        <f>IF('Time &amp; Technical'!BH152=1,Assumptions!$D$119*Costs!BH38,0)</f>
        <v>0</v>
      </c>
      <c r="BI56" s="79">
        <f>IF('Time &amp; Technical'!BI152=1,Assumptions!$D$119*Costs!BI38,0)</f>
        <v>0</v>
      </c>
      <c r="BJ56" s="79">
        <f>IF('Time &amp; Technical'!BJ152=1,Assumptions!$D$119*Costs!BJ38,0)</f>
        <v>0</v>
      </c>
      <c r="BK56" t="s">
        <v>102</v>
      </c>
    </row>
    <row r="57" spans="1:63" ht="11.25" customHeight="1" x14ac:dyDescent="0.25">
      <c r="A57" s="12" t="s">
        <v>26</v>
      </c>
      <c r="B57" s="214" t="s">
        <v>483</v>
      </c>
      <c r="C57" s="221" t="s">
        <v>1</v>
      </c>
      <c r="D57" s="214"/>
      <c r="E57" s="23">
        <f t="shared" si="0"/>
        <v>3160907.2102457802</v>
      </c>
      <c r="F57" s="338" t="s">
        <v>26</v>
      </c>
      <c r="G57" s="216">
        <f>SUM(G43,G47,G50,G52,G55,G56)</f>
        <v>0</v>
      </c>
      <c r="H57" s="216">
        <f t="shared" ref="H57:BJ57" si="23">SUM(H43,H47,H50,H52,H55,H56,H31)</f>
        <v>0</v>
      </c>
      <c r="I57" s="216">
        <f t="shared" si="23"/>
        <v>0</v>
      </c>
      <c r="J57" s="216">
        <f t="shared" si="23"/>
        <v>0</v>
      </c>
      <c r="K57" s="216">
        <f t="shared" si="23"/>
        <v>0</v>
      </c>
      <c r="L57" s="216">
        <f t="shared" si="23"/>
        <v>0</v>
      </c>
      <c r="M57" s="216">
        <f t="shared" si="23"/>
        <v>0</v>
      </c>
      <c r="N57" s="216">
        <f t="shared" si="23"/>
        <v>0</v>
      </c>
      <c r="O57" s="216">
        <f t="shared" si="23"/>
        <v>0</v>
      </c>
      <c r="P57" s="216">
        <f t="shared" si="23"/>
        <v>0</v>
      </c>
      <c r="Q57" s="216">
        <f t="shared" si="23"/>
        <v>0</v>
      </c>
      <c r="R57" s="216">
        <f t="shared" si="23"/>
        <v>0</v>
      </c>
      <c r="S57" s="216">
        <f t="shared" si="23"/>
        <v>0</v>
      </c>
      <c r="T57" s="216">
        <f t="shared" si="23"/>
        <v>0</v>
      </c>
      <c r="U57" s="216">
        <f t="shared" si="23"/>
        <v>0</v>
      </c>
      <c r="V57" s="216">
        <f t="shared" si="23"/>
        <v>0</v>
      </c>
      <c r="W57" s="216">
        <f t="shared" si="23"/>
        <v>39274.965260583682</v>
      </c>
      <c r="X57" s="216">
        <f t="shared" si="23"/>
        <v>39423.607934896158</v>
      </c>
      <c r="Y57" s="216">
        <f t="shared" si="23"/>
        <v>39554.531261398224</v>
      </c>
      <c r="Z57" s="216">
        <f t="shared" si="23"/>
        <v>39708.094044108249</v>
      </c>
      <c r="AA57" s="216">
        <f t="shared" si="23"/>
        <v>39844.400035685598</v>
      </c>
      <c r="AB57" s="216">
        <f t="shared" si="23"/>
        <v>40003.583214970495</v>
      </c>
      <c r="AC57" s="216">
        <f t="shared" si="23"/>
        <v>40133.557086977751</v>
      </c>
      <c r="AD57" s="216">
        <f t="shared" si="23"/>
        <v>50706.428614416756</v>
      </c>
      <c r="AE57" s="216">
        <f t="shared" si="23"/>
        <v>41397.377546644653</v>
      </c>
      <c r="AF57" s="216">
        <f t="shared" si="23"/>
        <v>41534.253495362245</v>
      </c>
      <c r="AG57" s="216">
        <f t="shared" si="23"/>
        <v>41664.535937437926</v>
      </c>
      <c r="AH57" s="216">
        <f t="shared" si="23"/>
        <v>41810.079617363081</v>
      </c>
      <c r="AI57" s="216">
        <f t="shared" si="23"/>
        <v>41945.408089884062</v>
      </c>
      <c r="AJ57" s="216">
        <f t="shared" si="23"/>
        <v>42105.804698056578</v>
      </c>
      <c r="AK57" s="216">
        <f t="shared" si="23"/>
        <v>82929.945436084279</v>
      </c>
      <c r="AL57" s="216">
        <f t="shared" si="23"/>
        <v>98609.553904213361</v>
      </c>
      <c r="AM57" s="216">
        <f t="shared" si="23"/>
        <v>86968.262588954676</v>
      </c>
      <c r="AN57" s="216">
        <f t="shared" si="23"/>
        <v>86969.61284257134</v>
      </c>
      <c r="AO57" s="216">
        <f t="shared" si="23"/>
        <v>87887.11161039953</v>
      </c>
      <c r="AP57" s="216">
        <f t="shared" si="23"/>
        <v>87873.083697921538</v>
      </c>
      <c r="AQ57" s="216">
        <f t="shared" si="23"/>
        <v>88801.235114381896</v>
      </c>
      <c r="AR57" s="216">
        <f t="shared" si="23"/>
        <v>88776.942741556224</v>
      </c>
      <c r="AS57" s="216">
        <f t="shared" si="23"/>
        <v>89715.761165673233</v>
      </c>
      <c r="AT57" s="216">
        <f t="shared" si="23"/>
        <v>100218.98568782168</v>
      </c>
      <c r="AU57" s="216">
        <f t="shared" si="23"/>
        <v>94025.887614096064</v>
      </c>
      <c r="AV57" s="216">
        <f t="shared" si="23"/>
        <v>95022.032049339497</v>
      </c>
      <c r="AW57" s="216">
        <f t="shared" si="23"/>
        <v>96029.343804293268</v>
      </c>
      <c r="AX57" s="216">
        <f t="shared" si="23"/>
        <v>97047.945700517215</v>
      </c>
      <c r="AY57" s="216">
        <f t="shared" si="23"/>
        <v>98077.961953202379</v>
      </c>
      <c r="AZ57" s="216">
        <f t="shared" si="23"/>
        <v>99119.518186831236</v>
      </c>
      <c r="BA57" s="216">
        <f t="shared" si="23"/>
        <v>100172.74145101746</v>
      </c>
      <c r="BB57" s="216">
        <f t="shared" si="23"/>
        <v>119762.19464182944</v>
      </c>
      <c r="BC57" s="216">
        <f t="shared" si="23"/>
        <v>105000.13072771048</v>
      </c>
      <c r="BD57" s="216">
        <f t="shared" si="23"/>
        <v>106117.51981953483</v>
      </c>
      <c r="BE57" s="216">
        <f t="shared" si="23"/>
        <v>107247.40428877238</v>
      </c>
      <c r="BF57" s="216">
        <f t="shared" si="23"/>
        <v>108389.92187556159</v>
      </c>
      <c r="BG57" s="216">
        <f t="shared" si="23"/>
        <v>109545.21188036699</v>
      </c>
      <c r="BH57" s="216">
        <f t="shared" si="23"/>
        <v>110713.41518153166</v>
      </c>
      <c r="BI57" s="216">
        <f t="shared" si="23"/>
        <v>111894.67425303132</v>
      </c>
      <c r="BJ57" s="216">
        <f t="shared" si="23"/>
        <v>124884.18519078166</v>
      </c>
      <c r="BK57" t="s">
        <v>102</v>
      </c>
    </row>
    <row r="58" spans="1:63" ht="11.25" customHeight="1" x14ac:dyDescent="0.25">
      <c r="A58" s="12"/>
      <c r="B58" s="12"/>
      <c r="C58" s="76"/>
      <c r="D58" s="12"/>
      <c r="E58" s="23">
        <f t="shared" si="0"/>
        <v>0</v>
      </c>
      <c r="F58" s="80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t="s">
        <v>102</v>
      </c>
    </row>
    <row r="59" spans="1:63" ht="11.25" customHeight="1" x14ac:dyDescent="0.25">
      <c r="A59" s="12" t="s">
        <v>26</v>
      </c>
      <c r="B59" s="17" t="s">
        <v>204</v>
      </c>
      <c r="C59" s="76"/>
      <c r="D59" s="12"/>
      <c r="E59" s="23">
        <f t="shared" si="0"/>
        <v>0</v>
      </c>
      <c r="F59" s="80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t="s">
        <v>102</v>
      </c>
    </row>
    <row r="60" spans="1:63" ht="11.25" customHeight="1" x14ac:dyDescent="0.25">
      <c r="A60" s="22"/>
      <c r="B60" s="80" t="s">
        <v>393</v>
      </c>
      <c r="C60" s="81" t="s">
        <v>108</v>
      </c>
      <c r="D60" s="22"/>
      <c r="E60" s="23">
        <f t="shared" si="0"/>
        <v>180</v>
      </c>
      <c r="F60" s="80" t="s">
        <v>26</v>
      </c>
      <c r="G60" s="380">
        <f>'Time &amp; Technical'!G58</f>
        <v>0</v>
      </c>
      <c r="H60" s="380">
        <f>'Time &amp; Technical'!H58</f>
        <v>0</v>
      </c>
      <c r="I60" s="380">
        <f>'Time &amp; Technical'!I58</f>
        <v>0</v>
      </c>
      <c r="J60" s="380">
        <f>'Time &amp; Technical'!J58</f>
        <v>0</v>
      </c>
      <c r="K60" s="380">
        <f>'Time &amp; Technical'!K58</f>
        <v>0</v>
      </c>
      <c r="L60" s="380">
        <f>'Time &amp; Technical'!L58</f>
        <v>0</v>
      </c>
      <c r="M60" s="380">
        <f>'Time &amp; Technical'!M58</f>
        <v>0</v>
      </c>
      <c r="N60" s="380">
        <f>'Time &amp; Technical'!N58</f>
        <v>0</v>
      </c>
      <c r="O60" s="380">
        <f>'Time &amp; Technical'!O58</f>
        <v>0</v>
      </c>
      <c r="P60" s="380">
        <f>'Time &amp; Technical'!P58</f>
        <v>0</v>
      </c>
      <c r="Q60" s="380">
        <f>'Time &amp; Technical'!Q58</f>
        <v>0</v>
      </c>
      <c r="R60" s="380">
        <f>'Time &amp; Technical'!R58</f>
        <v>0</v>
      </c>
      <c r="S60" s="380">
        <f>'Time &amp; Technical'!S58</f>
        <v>0</v>
      </c>
      <c r="T60" s="380">
        <f>'Time &amp; Technical'!T58</f>
        <v>0</v>
      </c>
      <c r="U60" s="380">
        <f>'Time &amp; Technical'!U58</f>
        <v>0</v>
      </c>
      <c r="V60" s="380">
        <f>'Time &amp; Technical'!V58</f>
        <v>0</v>
      </c>
      <c r="W60" s="380">
        <f>'Time &amp; Technical'!W58</f>
        <v>1</v>
      </c>
      <c r="X60" s="380">
        <f>'Time &amp; Technical'!X58</f>
        <v>2</v>
      </c>
      <c r="Y60" s="380">
        <f>'Time &amp; Technical'!Y58</f>
        <v>3</v>
      </c>
      <c r="Z60" s="380">
        <f>'Time &amp; Technical'!Z58</f>
        <v>4</v>
      </c>
      <c r="AA60" s="380">
        <f>'Time &amp; Technical'!AA58</f>
        <v>5</v>
      </c>
      <c r="AB60" s="380">
        <f>'Time &amp; Technical'!AB58</f>
        <v>6</v>
      </c>
      <c r="AC60" s="380">
        <f>'Time &amp; Technical'!AC58</f>
        <v>7</v>
      </c>
      <c r="AD60" s="380">
        <f>'Time &amp; Technical'!AD58</f>
        <v>8</v>
      </c>
      <c r="AE60" s="380">
        <f>'Time &amp; Technical'!AE58</f>
        <v>1</v>
      </c>
      <c r="AF60" s="380">
        <f>'Time &amp; Technical'!AF58</f>
        <v>2</v>
      </c>
      <c r="AG60" s="380">
        <f>'Time &amp; Technical'!AG58</f>
        <v>3</v>
      </c>
      <c r="AH60" s="380">
        <f>'Time &amp; Technical'!AH58</f>
        <v>4</v>
      </c>
      <c r="AI60" s="380">
        <f>'Time &amp; Technical'!AI58</f>
        <v>5</v>
      </c>
      <c r="AJ60" s="380">
        <f>'Time &amp; Technical'!AJ58</f>
        <v>6</v>
      </c>
      <c r="AK60" s="380">
        <f>'Time &amp; Technical'!AK58</f>
        <v>7</v>
      </c>
      <c r="AL60" s="380">
        <f>'Time &amp; Technical'!AL58</f>
        <v>8</v>
      </c>
      <c r="AM60" s="380">
        <f>'Time &amp; Technical'!AM58</f>
        <v>1</v>
      </c>
      <c r="AN60" s="380">
        <f>'Time &amp; Technical'!AN58</f>
        <v>2</v>
      </c>
      <c r="AO60" s="380">
        <f>'Time &amp; Technical'!AO58</f>
        <v>3</v>
      </c>
      <c r="AP60" s="380">
        <f>'Time &amp; Technical'!AP58</f>
        <v>4</v>
      </c>
      <c r="AQ60" s="380">
        <f>'Time &amp; Technical'!AQ58</f>
        <v>5</v>
      </c>
      <c r="AR60" s="380">
        <f>'Time &amp; Technical'!AR58</f>
        <v>6</v>
      </c>
      <c r="AS60" s="380">
        <f>'Time &amp; Technical'!AS58</f>
        <v>7</v>
      </c>
      <c r="AT60" s="380">
        <f>'Time &amp; Technical'!AT58</f>
        <v>8</v>
      </c>
      <c r="AU60" s="380">
        <f>'Time &amp; Technical'!AU58</f>
        <v>1</v>
      </c>
      <c r="AV60" s="380">
        <f>'Time &amp; Technical'!AV58</f>
        <v>2</v>
      </c>
      <c r="AW60" s="380">
        <f>'Time &amp; Technical'!AW58</f>
        <v>3</v>
      </c>
      <c r="AX60" s="380">
        <f>'Time &amp; Technical'!AX58</f>
        <v>4</v>
      </c>
      <c r="AY60" s="380">
        <f>'Time &amp; Technical'!AY58</f>
        <v>5</v>
      </c>
      <c r="AZ60" s="380">
        <f>'Time &amp; Technical'!AZ58</f>
        <v>6</v>
      </c>
      <c r="BA60" s="380">
        <f>'Time &amp; Technical'!BA58</f>
        <v>7</v>
      </c>
      <c r="BB60" s="380">
        <f>'Time &amp; Technical'!BB58</f>
        <v>8</v>
      </c>
      <c r="BC60" s="380">
        <f>'Time &amp; Technical'!BC58</f>
        <v>1</v>
      </c>
      <c r="BD60" s="380">
        <f>'Time &amp; Technical'!BD58</f>
        <v>2</v>
      </c>
      <c r="BE60" s="380">
        <f>'Time &amp; Technical'!BE58</f>
        <v>3</v>
      </c>
      <c r="BF60" s="380">
        <f>'Time &amp; Technical'!BF58</f>
        <v>4</v>
      </c>
      <c r="BG60" s="380">
        <f>'Time &amp; Technical'!BG58</f>
        <v>5</v>
      </c>
      <c r="BH60" s="380">
        <f>'Time &amp; Technical'!BH58</f>
        <v>6</v>
      </c>
      <c r="BI60" s="380">
        <f>'Time &amp; Technical'!BI58</f>
        <v>7</v>
      </c>
      <c r="BJ60" s="380">
        <f>'Time &amp; Technical'!BJ58</f>
        <v>8</v>
      </c>
      <c r="BK60" t="s">
        <v>102</v>
      </c>
    </row>
    <row r="61" spans="1:63" ht="11.25" customHeight="1" x14ac:dyDescent="0.25">
      <c r="A61" s="12"/>
      <c r="B61" s="12" t="s">
        <v>41</v>
      </c>
      <c r="C61" s="81" t="s">
        <v>15</v>
      </c>
      <c r="D61" s="262">
        <f>Assumptions!D45</f>
        <v>8</v>
      </c>
      <c r="E61" s="23">
        <f t="shared" si="0"/>
        <v>0</v>
      </c>
      <c r="F61" s="80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t="s">
        <v>102</v>
      </c>
    </row>
    <row r="62" spans="1:63" ht="11.25" customHeight="1" x14ac:dyDescent="0.25">
      <c r="A62" s="22"/>
      <c r="B62" s="80" t="s">
        <v>391</v>
      </c>
      <c r="C62" s="81" t="s">
        <v>1</v>
      </c>
      <c r="D62" s="22"/>
      <c r="E62" s="23">
        <f t="shared" si="0"/>
        <v>83507.111945816127</v>
      </c>
      <c r="F62" s="80" t="s">
        <v>26</v>
      </c>
      <c r="G62" s="1">
        <f>G50</f>
        <v>0</v>
      </c>
      <c r="H62" s="1">
        <f t="shared" ref="H62:BJ62" si="24">H50</f>
        <v>0</v>
      </c>
      <c r="I62" s="1">
        <f t="shared" si="24"/>
        <v>0</v>
      </c>
      <c r="J62" s="1">
        <f t="shared" si="24"/>
        <v>0</v>
      </c>
      <c r="K62" s="1">
        <f t="shared" si="24"/>
        <v>0</v>
      </c>
      <c r="L62" s="1">
        <f t="shared" si="24"/>
        <v>0</v>
      </c>
      <c r="M62" s="1">
        <f t="shared" si="24"/>
        <v>0</v>
      </c>
      <c r="N62" s="1">
        <f t="shared" si="24"/>
        <v>0</v>
      </c>
      <c r="O62" s="1">
        <f t="shared" si="24"/>
        <v>0</v>
      </c>
      <c r="P62" s="1">
        <f t="shared" si="24"/>
        <v>0</v>
      </c>
      <c r="Q62" s="1">
        <f t="shared" si="24"/>
        <v>0</v>
      </c>
      <c r="R62" s="1">
        <f t="shared" si="24"/>
        <v>0</v>
      </c>
      <c r="S62" s="1">
        <f t="shared" si="24"/>
        <v>0</v>
      </c>
      <c r="T62" s="1">
        <f t="shared" si="24"/>
        <v>0</v>
      </c>
      <c r="U62" s="1">
        <f t="shared" si="24"/>
        <v>0</v>
      </c>
      <c r="V62" s="1">
        <f t="shared" si="24"/>
        <v>0</v>
      </c>
      <c r="W62" s="1">
        <f t="shared" si="24"/>
        <v>0</v>
      </c>
      <c r="X62" s="1">
        <f t="shared" si="24"/>
        <v>0</v>
      </c>
      <c r="Y62" s="1">
        <f t="shared" si="24"/>
        <v>0</v>
      </c>
      <c r="Z62" s="1">
        <f t="shared" si="24"/>
        <v>0</v>
      </c>
      <c r="AA62" s="1">
        <f t="shared" si="24"/>
        <v>0</v>
      </c>
      <c r="AB62" s="1">
        <f t="shared" si="24"/>
        <v>0</v>
      </c>
      <c r="AC62" s="1">
        <f t="shared" si="24"/>
        <v>0</v>
      </c>
      <c r="AD62" s="1">
        <f t="shared" si="24"/>
        <v>13286.108550956707</v>
      </c>
      <c r="AE62" s="1">
        <f t="shared" si="24"/>
        <v>0</v>
      </c>
      <c r="AF62" s="1">
        <f t="shared" si="24"/>
        <v>0</v>
      </c>
      <c r="AG62" s="1">
        <f t="shared" si="24"/>
        <v>0</v>
      </c>
      <c r="AH62" s="1">
        <f t="shared" si="24"/>
        <v>0</v>
      </c>
      <c r="AI62" s="1">
        <f t="shared" si="24"/>
        <v>0</v>
      </c>
      <c r="AJ62" s="1">
        <f t="shared" si="24"/>
        <v>0</v>
      </c>
      <c r="AK62" s="1">
        <f t="shared" si="24"/>
        <v>0</v>
      </c>
      <c r="AL62" s="1">
        <f t="shared" si="24"/>
        <v>14808.979045779319</v>
      </c>
      <c r="AM62" s="1">
        <f t="shared" si="24"/>
        <v>0</v>
      </c>
      <c r="AN62" s="1">
        <f t="shared" si="24"/>
        <v>0</v>
      </c>
      <c r="AO62" s="1">
        <f t="shared" si="24"/>
        <v>0</v>
      </c>
      <c r="AP62" s="1">
        <f t="shared" si="24"/>
        <v>0</v>
      </c>
      <c r="AQ62" s="1">
        <f t="shared" si="24"/>
        <v>0</v>
      </c>
      <c r="AR62" s="1">
        <f t="shared" si="24"/>
        <v>0</v>
      </c>
      <c r="AS62" s="1">
        <f t="shared" si="24"/>
        <v>0</v>
      </c>
      <c r="AT62" s="1">
        <f t="shared" si="24"/>
        <v>16506.402874643019</v>
      </c>
      <c r="AU62" s="1">
        <f t="shared" si="24"/>
        <v>0</v>
      </c>
      <c r="AV62" s="1">
        <f t="shared" si="24"/>
        <v>0</v>
      </c>
      <c r="AW62" s="1">
        <f t="shared" si="24"/>
        <v>0</v>
      </c>
      <c r="AX62" s="1">
        <f t="shared" si="24"/>
        <v>0</v>
      </c>
      <c r="AY62" s="1">
        <f t="shared" si="24"/>
        <v>0</v>
      </c>
      <c r="AZ62" s="1">
        <f t="shared" si="24"/>
        <v>0</v>
      </c>
      <c r="BA62" s="1">
        <f t="shared" si="24"/>
        <v>0</v>
      </c>
      <c r="BB62" s="1">
        <f t="shared" si="24"/>
        <v>18398.387560530518</v>
      </c>
      <c r="BC62" s="1">
        <f t="shared" si="24"/>
        <v>0</v>
      </c>
      <c r="BD62" s="1">
        <f t="shared" si="24"/>
        <v>0</v>
      </c>
      <c r="BE62" s="1">
        <f t="shared" si="24"/>
        <v>0</v>
      </c>
      <c r="BF62" s="1">
        <f t="shared" si="24"/>
        <v>0</v>
      </c>
      <c r="BG62" s="1">
        <f t="shared" si="24"/>
        <v>0</v>
      </c>
      <c r="BH62" s="1">
        <f t="shared" si="24"/>
        <v>0</v>
      </c>
      <c r="BI62" s="1">
        <f t="shared" si="24"/>
        <v>0</v>
      </c>
      <c r="BJ62" s="1">
        <f t="shared" si="24"/>
        <v>20507.233913906563</v>
      </c>
      <c r="BK62" t="s">
        <v>102</v>
      </c>
    </row>
    <row r="63" spans="1:63" ht="11.25" customHeight="1" x14ac:dyDescent="0.25">
      <c r="A63" s="22"/>
      <c r="B63" s="80" t="s">
        <v>205</v>
      </c>
      <c r="C63" s="81" t="s">
        <v>1</v>
      </c>
      <c r="D63" s="22"/>
      <c r="E63" s="23">
        <f t="shared" ca="1" si="0"/>
        <v>83507.111945816185</v>
      </c>
      <c r="F63" s="80" t="s">
        <v>26</v>
      </c>
      <c r="G63" s="82">
        <f ca="1">SUM(OFFSET(G62,0,0,1,$D$61))/$D$61</f>
        <v>0</v>
      </c>
      <c r="H63" s="82">
        <f t="shared" ref="H63:BJ63" ca="1" si="25">SUM(OFFSET(H62,0,0,1,$D$61))/$D$61</f>
        <v>0</v>
      </c>
      <c r="I63" s="82">
        <f t="shared" ca="1" si="25"/>
        <v>0</v>
      </c>
      <c r="J63" s="82">
        <f t="shared" ca="1" si="25"/>
        <v>0</v>
      </c>
      <c r="K63" s="82">
        <f t="shared" ca="1" si="25"/>
        <v>0</v>
      </c>
      <c r="L63" s="82">
        <f t="shared" ca="1" si="25"/>
        <v>0</v>
      </c>
      <c r="M63" s="82">
        <f t="shared" ca="1" si="25"/>
        <v>0</v>
      </c>
      <c r="N63" s="82">
        <f t="shared" ca="1" si="25"/>
        <v>0</v>
      </c>
      <c r="O63" s="82">
        <f t="shared" ca="1" si="25"/>
        <v>0</v>
      </c>
      <c r="P63" s="82">
        <f t="shared" ca="1" si="25"/>
        <v>0</v>
      </c>
      <c r="Q63" s="82">
        <f t="shared" ca="1" si="25"/>
        <v>0</v>
      </c>
      <c r="R63" s="82">
        <f t="shared" ca="1" si="25"/>
        <v>0</v>
      </c>
      <c r="S63" s="82">
        <f t="shared" ca="1" si="25"/>
        <v>0</v>
      </c>
      <c r="T63" s="82">
        <f t="shared" ca="1" si="25"/>
        <v>0</v>
      </c>
      <c r="U63" s="82">
        <f t="shared" ca="1" si="25"/>
        <v>0</v>
      </c>
      <c r="V63" s="82">
        <f t="shared" ca="1" si="25"/>
        <v>0</v>
      </c>
      <c r="W63" s="82">
        <f t="shared" ca="1" si="25"/>
        <v>1660.7635688695884</v>
      </c>
      <c r="X63" s="82">
        <f t="shared" ca="1" si="25"/>
        <v>1660.7635688695884</v>
      </c>
      <c r="Y63" s="82">
        <f t="shared" ca="1" si="25"/>
        <v>1660.7635688695884</v>
      </c>
      <c r="Z63" s="82">
        <f t="shared" ca="1" si="25"/>
        <v>1660.7635688695884</v>
      </c>
      <c r="AA63" s="82">
        <f t="shared" ca="1" si="25"/>
        <v>1660.7635688695884</v>
      </c>
      <c r="AB63" s="82">
        <f t="shared" ca="1" si="25"/>
        <v>1660.7635688695884</v>
      </c>
      <c r="AC63" s="82">
        <f t="shared" ca="1" si="25"/>
        <v>1660.7635688695884</v>
      </c>
      <c r="AD63" s="82">
        <f t="shared" ca="1" si="25"/>
        <v>1660.7635688695884</v>
      </c>
      <c r="AE63" s="82">
        <f t="shared" ca="1" si="25"/>
        <v>1851.1223807224148</v>
      </c>
      <c r="AF63" s="82">
        <f t="shared" ca="1" si="25"/>
        <v>1851.1223807224148</v>
      </c>
      <c r="AG63" s="82">
        <f t="shared" ca="1" si="25"/>
        <v>1851.1223807224148</v>
      </c>
      <c r="AH63" s="82">
        <f t="shared" ca="1" si="25"/>
        <v>1851.1223807224148</v>
      </c>
      <c r="AI63" s="82">
        <f t="shared" ca="1" si="25"/>
        <v>1851.1223807224148</v>
      </c>
      <c r="AJ63" s="82">
        <f t="shared" ca="1" si="25"/>
        <v>1851.1223807224148</v>
      </c>
      <c r="AK63" s="82">
        <f t="shared" ca="1" si="25"/>
        <v>1851.1223807224148</v>
      </c>
      <c r="AL63" s="82">
        <f t="shared" ca="1" si="25"/>
        <v>1851.1223807224148</v>
      </c>
      <c r="AM63" s="82">
        <f t="shared" ca="1" si="25"/>
        <v>2063.3003593303774</v>
      </c>
      <c r="AN63" s="82">
        <f t="shared" ca="1" si="25"/>
        <v>2063.3003593303774</v>
      </c>
      <c r="AO63" s="82">
        <f t="shared" ca="1" si="25"/>
        <v>2063.3003593303774</v>
      </c>
      <c r="AP63" s="82">
        <f t="shared" ca="1" si="25"/>
        <v>2063.3003593303774</v>
      </c>
      <c r="AQ63" s="82">
        <f t="shared" ca="1" si="25"/>
        <v>2063.3003593303774</v>
      </c>
      <c r="AR63" s="82">
        <f t="shared" ca="1" si="25"/>
        <v>2063.3003593303774</v>
      </c>
      <c r="AS63" s="82">
        <f t="shared" ca="1" si="25"/>
        <v>2063.3003593303774</v>
      </c>
      <c r="AT63" s="82">
        <f t="shared" ca="1" si="25"/>
        <v>2063.3003593303774</v>
      </c>
      <c r="AU63" s="82">
        <f t="shared" ca="1" si="25"/>
        <v>2299.7984450663148</v>
      </c>
      <c r="AV63" s="82">
        <f t="shared" ca="1" si="25"/>
        <v>2299.7984450663148</v>
      </c>
      <c r="AW63" s="82">
        <f t="shared" ca="1" si="25"/>
        <v>2299.7984450663148</v>
      </c>
      <c r="AX63" s="82">
        <f t="shared" ca="1" si="25"/>
        <v>2299.7984450663148</v>
      </c>
      <c r="AY63" s="82">
        <f t="shared" ca="1" si="25"/>
        <v>2299.7984450663148</v>
      </c>
      <c r="AZ63" s="82">
        <f t="shared" ca="1" si="25"/>
        <v>2299.7984450663148</v>
      </c>
      <c r="BA63" s="82">
        <f t="shared" ca="1" si="25"/>
        <v>2299.7984450663148</v>
      </c>
      <c r="BB63" s="82">
        <f t="shared" ca="1" si="25"/>
        <v>2299.7984450663148</v>
      </c>
      <c r="BC63" s="82">
        <f t="shared" ca="1" si="25"/>
        <v>2563.4042392383203</v>
      </c>
      <c r="BD63" s="82">
        <f t="shared" ca="1" si="25"/>
        <v>2563.4042392383203</v>
      </c>
      <c r="BE63" s="82">
        <f t="shared" ca="1" si="25"/>
        <v>2563.4042392383203</v>
      </c>
      <c r="BF63" s="82">
        <f t="shared" ca="1" si="25"/>
        <v>2563.4042392383203</v>
      </c>
      <c r="BG63" s="82">
        <f t="shared" ca="1" si="25"/>
        <v>2563.4042392383203</v>
      </c>
      <c r="BH63" s="82">
        <f t="shared" ca="1" si="25"/>
        <v>2563.4042392383203</v>
      </c>
      <c r="BI63" s="82">
        <f t="shared" ca="1" si="25"/>
        <v>2563.4042392383203</v>
      </c>
      <c r="BJ63" s="82">
        <f t="shared" ca="1" si="25"/>
        <v>2563.4042392383203</v>
      </c>
      <c r="BK63" t="s">
        <v>102</v>
      </c>
    </row>
    <row r="64" spans="1:63" ht="11.25" customHeight="1" x14ac:dyDescent="0.25">
      <c r="A64" s="22" t="s">
        <v>26</v>
      </c>
      <c r="B64" s="80" t="s">
        <v>204</v>
      </c>
      <c r="C64" s="76" t="s">
        <v>1</v>
      </c>
      <c r="D64" s="22"/>
      <c r="E64" s="23">
        <f t="shared" ca="1" si="0"/>
        <v>292274.89181035646</v>
      </c>
      <c r="F64" s="80" t="s">
        <v>26</v>
      </c>
      <c r="G64" s="82">
        <f ca="1">IF(G60&lt;($D$61),G63*G60,0)</f>
        <v>0</v>
      </c>
      <c r="H64" s="82">
        <f t="shared" ref="H64:BJ64" ca="1" si="26">IF(H60&lt;($D$61),H63*H60,0)</f>
        <v>0</v>
      </c>
      <c r="I64" s="82">
        <f t="shared" ca="1" si="26"/>
        <v>0</v>
      </c>
      <c r="J64" s="82">
        <f t="shared" ca="1" si="26"/>
        <v>0</v>
      </c>
      <c r="K64" s="82">
        <f t="shared" ca="1" si="26"/>
        <v>0</v>
      </c>
      <c r="L64" s="82">
        <f t="shared" ca="1" si="26"/>
        <v>0</v>
      </c>
      <c r="M64" s="82">
        <f t="shared" ca="1" si="26"/>
        <v>0</v>
      </c>
      <c r="N64" s="82">
        <f t="shared" ca="1" si="26"/>
        <v>0</v>
      </c>
      <c r="O64" s="82">
        <f t="shared" ca="1" si="26"/>
        <v>0</v>
      </c>
      <c r="P64" s="82">
        <f t="shared" ca="1" si="26"/>
        <v>0</v>
      </c>
      <c r="Q64" s="82">
        <f t="shared" ca="1" si="26"/>
        <v>0</v>
      </c>
      <c r="R64" s="82">
        <f t="shared" ca="1" si="26"/>
        <v>0</v>
      </c>
      <c r="S64" s="82">
        <f t="shared" ca="1" si="26"/>
        <v>0</v>
      </c>
      <c r="T64" s="82">
        <f t="shared" ca="1" si="26"/>
        <v>0</v>
      </c>
      <c r="U64" s="82">
        <f t="shared" ca="1" si="26"/>
        <v>0</v>
      </c>
      <c r="V64" s="82">
        <f t="shared" ca="1" si="26"/>
        <v>0</v>
      </c>
      <c r="W64" s="82">
        <f t="shared" ca="1" si="26"/>
        <v>1660.7635688695884</v>
      </c>
      <c r="X64" s="82">
        <f t="shared" ca="1" si="26"/>
        <v>3321.5271377391769</v>
      </c>
      <c r="Y64" s="82">
        <f t="shared" ca="1" si="26"/>
        <v>4982.2907066087655</v>
      </c>
      <c r="Z64" s="82">
        <f t="shared" ca="1" si="26"/>
        <v>6643.0542754783537</v>
      </c>
      <c r="AA64" s="82">
        <f t="shared" ca="1" si="26"/>
        <v>8303.8178443479428</v>
      </c>
      <c r="AB64" s="82">
        <f t="shared" ca="1" si="26"/>
        <v>9964.581413217531</v>
      </c>
      <c r="AC64" s="82">
        <f t="shared" ca="1" si="26"/>
        <v>11625.344982087119</v>
      </c>
      <c r="AD64" s="82">
        <f t="shared" si="26"/>
        <v>0</v>
      </c>
      <c r="AE64" s="82">
        <f t="shared" ca="1" si="26"/>
        <v>1851.1223807224148</v>
      </c>
      <c r="AF64" s="82">
        <f t="shared" ca="1" si="26"/>
        <v>3702.2447614448297</v>
      </c>
      <c r="AG64" s="82">
        <f t="shared" ca="1" si="26"/>
        <v>5553.3671421672443</v>
      </c>
      <c r="AH64" s="82">
        <f t="shared" ca="1" si="26"/>
        <v>7404.4895228896594</v>
      </c>
      <c r="AI64" s="82">
        <f t="shared" ca="1" si="26"/>
        <v>9255.6119036120745</v>
      </c>
      <c r="AJ64" s="82">
        <f t="shared" ca="1" si="26"/>
        <v>11106.734284334489</v>
      </c>
      <c r="AK64" s="82">
        <f t="shared" ca="1" si="26"/>
        <v>12957.856665056905</v>
      </c>
      <c r="AL64" s="82">
        <f t="shared" si="26"/>
        <v>0</v>
      </c>
      <c r="AM64" s="82">
        <f t="shared" ca="1" si="26"/>
        <v>2063.3003593303774</v>
      </c>
      <c r="AN64" s="82">
        <f t="shared" ca="1" si="26"/>
        <v>4126.6007186607549</v>
      </c>
      <c r="AO64" s="82">
        <f t="shared" ca="1" si="26"/>
        <v>6189.9010779911323</v>
      </c>
      <c r="AP64" s="82">
        <f t="shared" ca="1" si="26"/>
        <v>8253.2014373215097</v>
      </c>
      <c r="AQ64" s="82">
        <f t="shared" ca="1" si="26"/>
        <v>10316.501796651886</v>
      </c>
      <c r="AR64" s="82">
        <f t="shared" ca="1" si="26"/>
        <v>12379.802155982265</v>
      </c>
      <c r="AS64" s="82">
        <f t="shared" ca="1" si="26"/>
        <v>14443.102515312643</v>
      </c>
      <c r="AT64" s="82">
        <f t="shared" si="26"/>
        <v>0</v>
      </c>
      <c r="AU64" s="82">
        <f t="shared" ca="1" si="26"/>
        <v>2299.7984450663148</v>
      </c>
      <c r="AV64" s="82">
        <f t="shared" ca="1" si="26"/>
        <v>4599.5968901326296</v>
      </c>
      <c r="AW64" s="82">
        <f t="shared" ca="1" si="26"/>
        <v>6899.3953351989439</v>
      </c>
      <c r="AX64" s="82">
        <f t="shared" ca="1" si="26"/>
        <v>9199.1937802652592</v>
      </c>
      <c r="AY64" s="82">
        <f t="shared" ca="1" si="26"/>
        <v>11498.992225331574</v>
      </c>
      <c r="AZ64" s="82">
        <f t="shared" ca="1" si="26"/>
        <v>13798.790670397888</v>
      </c>
      <c r="BA64" s="82">
        <f t="shared" ca="1" si="26"/>
        <v>16098.589115464203</v>
      </c>
      <c r="BB64" s="82">
        <f t="shared" si="26"/>
        <v>0</v>
      </c>
      <c r="BC64" s="82">
        <f t="shared" ca="1" si="26"/>
        <v>2563.4042392383203</v>
      </c>
      <c r="BD64" s="82">
        <f t="shared" ca="1" si="26"/>
        <v>5126.8084784766406</v>
      </c>
      <c r="BE64" s="82">
        <f t="shared" ca="1" si="26"/>
        <v>7690.2127177149614</v>
      </c>
      <c r="BF64" s="82">
        <f t="shared" ca="1" si="26"/>
        <v>10253.616956953281</v>
      </c>
      <c r="BG64" s="82">
        <f t="shared" ca="1" si="26"/>
        <v>12817.021196191601</v>
      </c>
      <c r="BH64" s="82">
        <f t="shared" ca="1" si="26"/>
        <v>15380.425435429923</v>
      </c>
      <c r="BI64" s="82">
        <f t="shared" ca="1" si="26"/>
        <v>17943.829674668243</v>
      </c>
      <c r="BJ64" s="82">
        <f t="shared" si="26"/>
        <v>0</v>
      </c>
      <c r="BK64" t="s">
        <v>102</v>
      </c>
    </row>
    <row r="65" spans="1:63" ht="11.25" customHeight="1" x14ac:dyDescent="0.25">
      <c r="A65" s="22"/>
      <c r="B65" s="80"/>
      <c r="C65" s="76"/>
      <c r="D65" s="22"/>
      <c r="E65" s="23">
        <f t="shared" si="0"/>
        <v>0</v>
      </c>
      <c r="F65" s="80"/>
      <c r="G65" s="82"/>
      <c r="H65" s="82"/>
      <c r="I65" s="82"/>
      <c r="J65" s="82"/>
      <c r="K65" s="82"/>
      <c r="L65" s="82"/>
      <c r="M65" s="82"/>
      <c r="N65" s="82"/>
      <c r="O65" s="82"/>
      <c r="P65" s="82"/>
      <c r="Q65" s="82"/>
      <c r="R65" s="82"/>
      <c r="S65" s="82"/>
      <c r="T65" s="82"/>
      <c r="U65" s="82"/>
      <c r="V65" s="82"/>
      <c r="W65" s="82"/>
      <c r="X65" s="82"/>
      <c r="Y65" s="82"/>
      <c r="Z65" s="82"/>
      <c r="AA65" s="82"/>
      <c r="AB65" s="82"/>
      <c r="AC65" s="82"/>
      <c r="AD65" s="82"/>
      <c r="AE65" s="82"/>
      <c r="AF65" s="82"/>
      <c r="AG65" s="82"/>
      <c r="AH65" s="82"/>
      <c r="AI65" s="82"/>
      <c r="AJ65" s="82"/>
      <c r="AK65" s="82"/>
      <c r="AL65" s="82"/>
      <c r="AM65" s="82"/>
      <c r="AN65" s="82"/>
      <c r="AO65" s="82"/>
      <c r="AP65" s="82"/>
      <c r="AQ65" s="82"/>
      <c r="AR65" s="82"/>
      <c r="AS65" s="82"/>
      <c r="AT65" s="82"/>
      <c r="AU65" s="82"/>
      <c r="AV65" s="82"/>
      <c r="AW65" s="82"/>
      <c r="AX65" s="82"/>
      <c r="AY65" s="82"/>
      <c r="AZ65" s="82"/>
      <c r="BA65" s="82"/>
      <c r="BB65" s="82"/>
      <c r="BC65" s="82"/>
      <c r="BD65" s="82"/>
      <c r="BE65" s="82"/>
      <c r="BF65" s="82"/>
      <c r="BG65" s="82"/>
      <c r="BH65" s="82"/>
      <c r="BI65" s="82"/>
      <c r="BJ65" s="82"/>
      <c r="BK65" t="s">
        <v>102</v>
      </c>
    </row>
    <row r="66" spans="1:63" ht="11.25" customHeight="1" x14ac:dyDescent="0.25">
      <c r="A66" s="12" t="s">
        <v>26</v>
      </c>
      <c r="B66" s="17" t="s">
        <v>435</v>
      </c>
      <c r="C66" s="61"/>
      <c r="D66" s="12"/>
      <c r="E66" s="23">
        <f t="shared" si="0"/>
        <v>0</v>
      </c>
      <c r="F66" s="80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t="s">
        <v>102</v>
      </c>
    </row>
    <row r="67" spans="1:63" ht="11.25" customHeight="1" x14ac:dyDescent="0.25">
      <c r="A67" s="12"/>
      <c r="B67" s="12" t="s">
        <v>376</v>
      </c>
      <c r="C67" s="67" t="s">
        <v>101</v>
      </c>
      <c r="D67" s="12"/>
      <c r="E67" s="23">
        <f t="shared" si="0"/>
        <v>14</v>
      </c>
      <c r="F67" s="80" t="s">
        <v>26</v>
      </c>
      <c r="G67" s="26">
        <f>G8</f>
        <v>0</v>
      </c>
      <c r="H67" s="26">
        <f t="shared" ref="H67:BJ67" si="27">H8</f>
        <v>0</v>
      </c>
      <c r="I67" s="26">
        <f t="shared" si="27"/>
        <v>0</v>
      </c>
      <c r="J67" s="26">
        <f t="shared" si="27"/>
        <v>0</v>
      </c>
      <c r="K67" s="26">
        <f t="shared" si="27"/>
        <v>0</v>
      </c>
      <c r="L67" s="26">
        <f t="shared" si="27"/>
        <v>0</v>
      </c>
      <c r="M67" s="26">
        <f t="shared" si="27"/>
        <v>0</v>
      </c>
      <c r="N67" s="26">
        <f t="shared" si="27"/>
        <v>0</v>
      </c>
      <c r="O67" s="26">
        <f t="shared" si="27"/>
        <v>0</v>
      </c>
      <c r="P67" s="26">
        <f t="shared" si="27"/>
        <v>0</v>
      </c>
      <c r="Q67" s="26">
        <f t="shared" si="27"/>
        <v>0</v>
      </c>
      <c r="R67" s="26">
        <f t="shared" si="27"/>
        <v>0</v>
      </c>
      <c r="S67" s="26">
        <f t="shared" si="27"/>
        <v>0</v>
      </c>
      <c r="T67" s="26">
        <f t="shared" si="27"/>
        <v>0</v>
      </c>
      <c r="U67" s="26">
        <f t="shared" si="27"/>
        <v>0</v>
      </c>
      <c r="V67" s="26">
        <f t="shared" si="27"/>
        <v>0</v>
      </c>
      <c r="W67" s="26">
        <f t="shared" si="27"/>
        <v>1</v>
      </c>
      <c r="X67" s="26">
        <f t="shared" si="27"/>
        <v>1</v>
      </c>
      <c r="Y67" s="26">
        <f t="shared" si="27"/>
        <v>1</v>
      </c>
      <c r="Z67" s="26">
        <f t="shared" si="27"/>
        <v>1</v>
      </c>
      <c r="AA67" s="26">
        <f t="shared" si="27"/>
        <v>1</v>
      </c>
      <c r="AB67" s="26">
        <f t="shared" si="27"/>
        <v>1</v>
      </c>
      <c r="AC67" s="26">
        <f t="shared" si="27"/>
        <v>1</v>
      </c>
      <c r="AD67" s="26">
        <f t="shared" si="27"/>
        <v>1</v>
      </c>
      <c r="AE67" s="26">
        <f t="shared" si="27"/>
        <v>1</v>
      </c>
      <c r="AF67" s="26">
        <f t="shared" si="27"/>
        <v>1</v>
      </c>
      <c r="AG67" s="26">
        <f t="shared" si="27"/>
        <v>1</v>
      </c>
      <c r="AH67" s="26">
        <f t="shared" si="27"/>
        <v>1</v>
      </c>
      <c r="AI67" s="26">
        <f t="shared" si="27"/>
        <v>1</v>
      </c>
      <c r="AJ67" s="26">
        <f t="shared" si="27"/>
        <v>1</v>
      </c>
      <c r="AK67" s="26">
        <f t="shared" si="27"/>
        <v>0</v>
      </c>
      <c r="AL67" s="26">
        <f t="shared" si="27"/>
        <v>0</v>
      </c>
      <c r="AM67" s="26">
        <f t="shared" si="27"/>
        <v>0</v>
      </c>
      <c r="AN67" s="26">
        <f t="shared" si="27"/>
        <v>0</v>
      </c>
      <c r="AO67" s="26">
        <f t="shared" si="27"/>
        <v>0</v>
      </c>
      <c r="AP67" s="26">
        <f t="shared" si="27"/>
        <v>0</v>
      </c>
      <c r="AQ67" s="26">
        <f t="shared" si="27"/>
        <v>0</v>
      </c>
      <c r="AR67" s="26">
        <f t="shared" si="27"/>
        <v>0</v>
      </c>
      <c r="AS67" s="26">
        <f t="shared" si="27"/>
        <v>0</v>
      </c>
      <c r="AT67" s="26">
        <f t="shared" si="27"/>
        <v>0</v>
      </c>
      <c r="AU67" s="26">
        <f t="shared" si="27"/>
        <v>0</v>
      </c>
      <c r="AV67" s="26">
        <f t="shared" si="27"/>
        <v>0</v>
      </c>
      <c r="AW67" s="26">
        <f t="shared" si="27"/>
        <v>0</v>
      </c>
      <c r="AX67" s="26">
        <f t="shared" si="27"/>
        <v>0</v>
      </c>
      <c r="AY67" s="26">
        <f t="shared" si="27"/>
        <v>0</v>
      </c>
      <c r="AZ67" s="26">
        <f t="shared" si="27"/>
        <v>0</v>
      </c>
      <c r="BA67" s="26">
        <f t="shared" si="27"/>
        <v>0</v>
      </c>
      <c r="BB67" s="26">
        <f t="shared" si="27"/>
        <v>0</v>
      </c>
      <c r="BC67" s="26">
        <f t="shared" si="27"/>
        <v>0</v>
      </c>
      <c r="BD67" s="26">
        <f t="shared" si="27"/>
        <v>0</v>
      </c>
      <c r="BE67" s="26">
        <f t="shared" si="27"/>
        <v>0</v>
      </c>
      <c r="BF67" s="26">
        <f t="shared" si="27"/>
        <v>0</v>
      </c>
      <c r="BG67" s="26">
        <f t="shared" si="27"/>
        <v>0</v>
      </c>
      <c r="BH67" s="26">
        <f t="shared" si="27"/>
        <v>0</v>
      </c>
      <c r="BI67" s="26">
        <f t="shared" si="27"/>
        <v>0</v>
      </c>
      <c r="BJ67" s="26">
        <f t="shared" si="27"/>
        <v>0</v>
      </c>
      <c r="BK67" t="s">
        <v>102</v>
      </c>
    </row>
    <row r="68" spans="1:63" ht="11.25" customHeight="1" x14ac:dyDescent="0.25">
      <c r="A68" s="12"/>
      <c r="B68" s="12" t="s">
        <v>354</v>
      </c>
      <c r="C68" s="67" t="s">
        <v>352</v>
      </c>
      <c r="D68" s="12"/>
      <c r="E68" s="23">
        <f t="shared" si="0"/>
        <v>296105.86100308743</v>
      </c>
      <c r="F68" s="80" t="s">
        <v>26</v>
      </c>
      <c r="G68" s="26">
        <f>'Time &amp; Technical'!G73</f>
        <v>0</v>
      </c>
      <c r="H68" s="26">
        <f>'Time &amp; Technical'!H73</f>
        <v>0</v>
      </c>
      <c r="I68" s="26">
        <f>'Time &amp; Technical'!I73</f>
        <v>0</v>
      </c>
      <c r="J68" s="26">
        <f>'Time &amp; Technical'!J73</f>
        <v>0</v>
      </c>
      <c r="K68" s="26">
        <f>'Time &amp; Technical'!K73</f>
        <v>0</v>
      </c>
      <c r="L68" s="26">
        <f>'Time &amp; Technical'!L73</f>
        <v>0</v>
      </c>
      <c r="M68" s="26">
        <f>'Time &amp; Technical'!M73</f>
        <v>0</v>
      </c>
      <c r="N68" s="26">
        <f>'Time &amp; Technical'!N73</f>
        <v>0</v>
      </c>
      <c r="O68" s="26">
        <f>'Time &amp; Technical'!O73</f>
        <v>0</v>
      </c>
      <c r="P68" s="26">
        <f>'Time &amp; Technical'!P73</f>
        <v>0</v>
      </c>
      <c r="Q68" s="26">
        <f>'Time &amp; Technical'!Q73</f>
        <v>0</v>
      </c>
      <c r="R68" s="26">
        <f>'Time &amp; Technical'!R73</f>
        <v>0</v>
      </c>
      <c r="S68" s="26">
        <f>'Time &amp; Technical'!S73</f>
        <v>0</v>
      </c>
      <c r="T68" s="26">
        <f>'Time &amp; Technical'!T73</f>
        <v>0</v>
      </c>
      <c r="U68" s="26">
        <f>'Time &amp; Technical'!U73</f>
        <v>0</v>
      </c>
      <c r="V68" s="26">
        <f>'Time &amp; Technical'!V73</f>
        <v>0</v>
      </c>
      <c r="W68" s="26">
        <f>'Time &amp; Technical'!W73</f>
        <v>7643.5709829365478</v>
      </c>
      <c r="X68" s="26">
        <f>'Time &amp; Technical'!X73</f>
        <v>7623.3674961144507</v>
      </c>
      <c r="Y68" s="26">
        <f>'Time &amp; Technical'!Y73</f>
        <v>7603.217411148722</v>
      </c>
      <c r="Z68" s="26">
        <f>'Time &amp; Technical'!Z73</f>
        <v>7583.1205868875741</v>
      </c>
      <c r="AA68" s="26">
        <f>'Time &amp; Technical'!AA73</f>
        <v>7563.0768825523146</v>
      </c>
      <c r="AB68" s="26">
        <f>'Time &amp; Technical'!AB73</f>
        <v>7543.086157736353</v>
      </c>
      <c r="AC68" s="26">
        <f>'Time &amp; Technical'!AC73</f>
        <v>7523.1482724042235</v>
      </c>
      <c r="AD68" s="26">
        <f>'Time &amp; Technical'!AD73</f>
        <v>6881.6837690927678</v>
      </c>
      <c r="AE68" s="26">
        <f>'Time &amp; Technical'!AE73</f>
        <v>7690.3005427304679</v>
      </c>
      <c r="AF68" s="26">
        <f>'Time &amp; Technical'!AF73</f>
        <v>7669.9735403359255</v>
      </c>
      <c r="AG68" s="26">
        <f>'Time &amp; Technical'!AG73</f>
        <v>7649.7002662741088</v>
      </c>
      <c r="AH68" s="26">
        <f>'Time &amp; Technical'!AH73</f>
        <v>7629.4805785302942</v>
      </c>
      <c r="AI68" s="26">
        <f>'Time &amp; Technical'!AI73</f>
        <v>7609.3143354651211</v>
      </c>
      <c r="AJ68" s="26">
        <f>'Time &amp; Technical'!AJ73</f>
        <v>7589.2013958136204</v>
      </c>
      <c r="AK68" s="26">
        <f>'Time &amp; Technical'!AK73</f>
        <v>7492.5136382925757</v>
      </c>
      <c r="AL68" s="26">
        <f>'Time &amp; Technical'!AL73</f>
        <v>6853.6612103574162</v>
      </c>
      <c r="AM68" s="26">
        <f>'Time &amp; Technical'!AM73</f>
        <v>7658.9852562566784</v>
      </c>
      <c r="AN68" s="26">
        <f>'Time &amp; Technical'!AN73</f>
        <v>7551.9371511270301</v>
      </c>
      <c r="AO68" s="26">
        <f>'Time &amp; Technical'!AO73</f>
        <v>7531.9758708491709</v>
      </c>
      <c r="AP68" s="26">
        <f>'Time &amp; Technical'!AP73</f>
        <v>7425.7217504776054</v>
      </c>
      <c r="AQ68" s="26">
        <f>'Time &amp; Technical'!AQ73</f>
        <v>7406.0940827467421</v>
      </c>
      <c r="AR68" s="26">
        <f>'Time &amp; Technical'!AR73</f>
        <v>7300.6285472524924</v>
      </c>
      <c r="AS68" s="26">
        <f>'Time &amp; Technical'!AS73</f>
        <v>7281.3315258763923</v>
      </c>
      <c r="AT68" s="26">
        <f>'Time &amp; Technical'!AT73</f>
        <v>6660.4856324324119</v>
      </c>
      <c r="AU68" s="26">
        <f>'Time &amp; Technical'!AU73</f>
        <v>7443.1110165203218</v>
      </c>
      <c r="AV68" s="26">
        <f>'Time &amp; Technical'!AV73</f>
        <v>7423.4373854814557</v>
      </c>
      <c r="AW68" s="26">
        <f>'Time &amp; Technical'!AW73</f>
        <v>7403.8157557841523</v>
      </c>
      <c r="AX68" s="26">
        <f>'Time &amp; Technical'!AX73</f>
        <v>7384.2459899784644</v>
      </c>
      <c r="AY68" s="26">
        <f>'Time &amp; Technical'!AY73</f>
        <v>7364.7279509777518</v>
      </c>
      <c r="AZ68" s="26">
        <f>'Time &amp; Technical'!AZ73</f>
        <v>7345.2615020577296</v>
      </c>
      <c r="BA68" s="26">
        <f>'Time &amp; Technical'!BA73</f>
        <v>7325.8465068554906</v>
      </c>
      <c r="BB68" s="26">
        <f>'Time &amp; Technical'!BB73</f>
        <v>6701.2050242339819</v>
      </c>
      <c r="BC68" s="26">
        <f>'Time &amp; Technical'!BC73</f>
        <v>7488.6150488732283</v>
      </c>
      <c r="BD68" s="26">
        <f>'Time &amp; Technical'!BD73</f>
        <v>7468.8211415760461</v>
      </c>
      <c r="BE68" s="26">
        <f>'Time &amp; Technical'!BE73</f>
        <v>7449.0795535346333</v>
      </c>
      <c r="BF68" s="26">
        <f>'Time &amp; Technical'!BF73</f>
        <v>7429.3901464587307</v>
      </c>
      <c r="BG68" s="26">
        <f>'Time &amp; Technical'!BG73</f>
        <v>7409.7527824236131</v>
      </c>
      <c r="BH68" s="26">
        <f>'Time &amp; Technical'!BH73</f>
        <v>7390.1673238691092</v>
      </c>
      <c r="BI68" s="26">
        <f>'Time &amp; Technical'!BI73</f>
        <v>7370.6336335986571</v>
      </c>
      <c r="BJ68" s="26">
        <f>'Time &amp; Technical'!BJ73</f>
        <v>6742.1733571729037</v>
      </c>
      <c r="BK68" t="s">
        <v>102</v>
      </c>
    </row>
    <row r="69" spans="1:63" ht="10.7" customHeight="1" x14ac:dyDescent="0.25">
      <c r="A69" s="12"/>
      <c r="B69" s="12" t="s">
        <v>113</v>
      </c>
      <c r="C69" s="67" t="s">
        <v>352</v>
      </c>
      <c r="D69" s="12"/>
      <c r="E69" s="23">
        <f t="shared" si="0"/>
        <v>296105.86100308743</v>
      </c>
      <c r="F69" s="80" t="s">
        <v>26</v>
      </c>
      <c r="G69" s="26">
        <f>'Time &amp; Technical'!G74</f>
        <v>0</v>
      </c>
      <c r="H69" s="26">
        <f>'Time &amp; Technical'!H74</f>
        <v>0</v>
      </c>
      <c r="I69" s="26">
        <f>'Time &amp; Technical'!I74</f>
        <v>0</v>
      </c>
      <c r="J69" s="26">
        <f>'Time &amp; Technical'!J74</f>
        <v>0</v>
      </c>
      <c r="K69" s="26">
        <f>'Time &amp; Technical'!K74</f>
        <v>0</v>
      </c>
      <c r="L69" s="26">
        <f>'Time &amp; Technical'!L74</f>
        <v>0</v>
      </c>
      <c r="M69" s="26">
        <f>'Time &amp; Technical'!M74</f>
        <v>0</v>
      </c>
      <c r="N69" s="26">
        <f>'Time &amp; Technical'!N74</f>
        <v>0</v>
      </c>
      <c r="O69" s="26">
        <f>'Time &amp; Technical'!O74</f>
        <v>0</v>
      </c>
      <c r="P69" s="26">
        <f>'Time &amp; Technical'!P74</f>
        <v>0</v>
      </c>
      <c r="Q69" s="26">
        <f>'Time &amp; Technical'!Q74</f>
        <v>0</v>
      </c>
      <c r="R69" s="26">
        <f>'Time &amp; Technical'!R74</f>
        <v>0</v>
      </c>
      <c r="S69" s="26">
        <f>'Time &amp; Technical'!S74</f>
        <v>0</v>
      </c>
      <c r="T69" s="26">
        <f>'Time &amp; Technical'!T74</f>
        <v>0</v>
      </c>
      <c r="U69" s="26">
        <f>'Time &amp; Technical'!U74</f>
        <v>0</v>
      </c>
      <c r="V69" s="26">
        <f>'Time &amp; Technical'!V74</f>
        <v>0</v>
      </c>
      <c r="W69" s="26">
        <f>'Time &amp; Technical'!W74</f>
        <v>7643.5709829365478</v>
      </c>
      <c r="X69" s="26">
        <f>'Time &amp; Technical'!X74</f>
        <v>7623.3674961144507</v>
      </c>
      <c r="Y69" s="26">
        <f>'Time &amp; Technical'!Y74</f>
        <v>7603.217411148722</v>
      </c>
      <c r="Z69" s="26">
        <f>'Time &amp; Technical'!Z74</f>
        <v>7583.1205868875741</v>
      </c>
      <c r="AA69" s="26">
        <f>'Time &amp; Technical'!AA74</f>
        <v>7563.0768825523146</v>
      </c>
      <c r="AB69" s="26">
        <f>'Time &amp; Technical'!AB74</f>
        <v>7543.086157736353</v>
      </c>
      <c r="AC69" s="26">
        <f>'Time &amp; Technical'!AC74</f>
        <v>7523.1482724042235</v>
      </c>
      <c r="AD69" s="26">
        <f>'Time &amp; Technical'!AD74</f>
        <v>6881.6837690927678</v>
      </c>
      <c r="AE69" s="26">
        <f>'Time &amp; Technical'!AE74</f>
        <v>7690.3005427304679</v>
      </c>
      <c r="AF69" s="26">
        <f>'Time &amp; Technical'!AF74</f>
        <v>7669.9735403359255</v>
      </c>
      <c r="AG69" s="26">
        <f>'Time &amp; Technical'!AG74</f>
        <v>7649.7002662741088</v>
      </c>
      <c r="AH69" s="26">
        <f>'Time &amp; Technical'!AH74</f>
        <v>7629.4805785302942</v>
      </c>
      <c r="AI69" s="26">
        <f>'Time &amp; Technical'!AI74</f>
        <v>7609.3143354651211</v>
      </c>
      <c r="AJ69" s="26">
        <f>'Time &amp; Technical'!AJ74</f>
        <v>7589.2013958136204</v>
      </c>
      <c r="AK69" s="26">
        <f>'Time &amp; Technical'!AK74</f>
        <v>7492.5136382925757</v>
      </c>
      <c r="AL69" s="26">
        <f>'Time &amp; Technical'!AL74</f>
        <v>6853.6612103574162</v>
      </c>
      <c r="AM69" s="26">
        <f>'Time &amp; Technical'!AM74</f>
        <v>7658.9852562566784</v>
      </c>
      <c r="AN69" s="26">
        <f>'Time &amp; Technical'!AN74</f>
        <v>7551.9371511270301</v>
      </c>
      <c r="AO69" s="26">
        <f>'Time &amp; Technical'!AO74</f>
        <v>7531.9758708491709</v>
      </c>
      <c r="AP69" s="26">
        <f>'Time &amp; Technical'!AP74</f>
        <v>7425.7217504776054</v>
      </c>
      <c r="AQ69" s="26">
        <f>'Time &amp; Technical'!AQ74</f>
        <v>7406.0940827467421</v>
      </c>
      <c r="AR69" s="26">
        <f>'Time &amp; Technical'!AR74</f>
        <v>7300.6285472524924</v>
      </c>
      <c r="AS69" s="26">
        <f>'Time &amp; Technical'!AS74</f>
        <v>7281.3315258763923</v>
      </c>
      <c r="AT69" s="26">
        <f>'Time &amp; Technical'!AT74</f>
        <v>6660.4856324324119</v>
      </c>
      <c r="AU69" s="26">
        <f>'Time &amp; Technical'!AU74</f>
        <v>7443.1110165203218</v>
      </c>
      <c r="AV69" s="26">
        <f>'Time &amp; Technical'!AV74</f>
        <v>7423.4373854814557</v>
      </c>
      <c r="AW69" s="26">
        <f>'Time &amp; Technical'!AW74</f>
        <v>7403.8157557841523</v>
      </c>
      <c r="AX69" s="26">
        <f>'Time &amp; Technical'!AX74</f>
        <v>7384.2459899784644</v>
      </c>
      <c r="AY69" s="26">
        <f>'Time &amp; Technical'!AY74</f>
        <v>7364.7279509777518</v>
      </c>
      <c r="AZ69" s="26">
        <f>'Time &amp; Technical'!AZ74</f>
        <v>7345.2615020577296</v>
      </c>
      <c r="BA69" s="26">
        <f>'Time &amp; Technical'!BA74</f>
        <v>7325.8465068554906</v>
      </c>
      <c r="BB69" s="26">
        <f>'Time &amp; Technical'!BB74</f>
        <v>6701.2050242339819</v>
      </c>
      <c r="BC69" s="26">
        <f>'Time &amp; Technical'!BC74</f>
        <v>7488.6150488732283</v>
      </c>
      <c r="BD69" s="26">
        <f>'Time &amp; Technical'!BD74</f>
        <v>7468.8211415760461</v>
      </c>
      <c r="BE69" s="26">
        <f>'Time &amp; Technical'!BE74</f>
        <v>7449.0795535346333</v>
      </c>
      <c r="BF69" s="26">
        <f>'Time &amp; Technical'!BF74</f>
        <v>7429.3901464587307</v>
      </c>
      <c r="BG69" s="26">
        <f>'Time &amp; Technical'!BG74</f>
        <v>7409.7527824236131</v>
      </c>
      <c r="BH69" s="26">
        <f>'Time &amp; Technical'!BH74</f>
        <v>7390.1673238691092</v>
      </c>
      <c r="BI69" s="26">
        <f>'Time &amp; Technical'!BI74</f>
        <v>7370.6336335986571</v>
      </c>
      <c r="BJ69" s="26">
        <f>'Time &amp; Technical'!BJ74</f>
        <v>6742.1733571729037</v>
      </c>
      <c r="BK69" t="s">
        <v>102</v>
      </c>
    </row>
    <row r="70" spans="1:63" ht="10.7" customHeight="1" x14ac:dyDescent="0.25">
      <c r="A70" s="5"/>
      <c r="B70" s="154" t="s">
        <v>217</v>
      </c>
      <c r="C70" s="155" t="s">
        <v>335</v>
      </c>
      <c r="D70" s="364">
        <f>Assumptions!D90</f>
        <v>7</v>
      </c>
      <c r="E70" s="23">
        <f t="shared" si="0"/>
        <v>0</v>
      </c>
      <c r="F70" s="339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161"/>
      <c r="Y70" s="161"/>
      <c r="Z70" s="161"/>
      <c r="AA70" s="161"/>
      <c r="AB70" s="161"/>
      <c r="AC70" s="161"/>
      <c r="AD70" s="161"/>
      <c r="AE70" s="161"/>
      <c r="AF70" s="161"/>
      <c r="AG70" s="161"/>
      <c r="AH70" s="161"/>
      <c r="AI70" s="161"/>
      <c r="AJ70" s="161"/>
      <c r="AK70" s="161"/>
      <c r="AL70" s="161"/>
      <c r="AM70" s="161"/>
      <c r="AN70" s="161"/>
      <c r="AO70" s="161"/>
      <c r="AP70" s="161"/>
      <c r="AQ70" s="161"/>
      <c r="AR70" s="161"/>
      <c r="AS70" s="161"/>
      <c r="AT70" s="161"/>
      <c r="AU70" s="161"/>
      <c r="AV70" s="161"/>
      <c r="AW70" s="161"/>
      <c r="AX70" s="161"/>
      <c r="AY70" s="161"/>
      <c r="AZ70" s="161"/>
      <c r="BA70" s="161"/>
      <c r="BB70" s="161"/>
      <c r="BC70" s="161"/>
      <c r="BD70" s="161"/>
      <c r="BE70" s="161"/>
      <c r="BF70" s="161"/>
      <c r="BG70" s="161"/>
      <c r="BH70" s="161"/>
      <c r="BI70" s="161"/>
      <c r="BJ70" s="161"/>
      <c r="BK70" t="s">
        <v>102</v>
      </c>
    </row>
    <row r="71" spans="1:63" ht="10.7" customHeight="1" x14ac:dyDescent="0.25">
      <c r="A71" s="12"/>
      <c r="B71" s="17" t="s">
        <v>439</v>
      </c>
      <c r="C71" s="102" t="s">
        <v>197</v>
      </c>
      <c r="D71" s="162"/>
      <c r="E71" s="23">
        <f t="shared" si="0"/>
        <v>0</v>
      </c>
      <c r="F71" s="321" t="s">
        <v>26</v>
      </c>
      <c r="G71" s="59">
        <f>IF(G67=1,IF(G68&gt;G70,$D$70*(G68-G69),0),0)</f>
        <v>0</v>
      </c>
      <c r="H71" s="59">
        <f t="shared" ref="H71:BJ71" si="28">IF(H67=1,IF(H68&gt;H70,$D$70*(H68-H69),0),0)</f>
        <v>0</v>
      </c>
      <c r="I71" s="59">
        <f t="shared" si="28"/>
        <v>0</v>
      </c>
      <c r="J71" s="59">
        <f t="shared" si="28"/>
        <v>0</v>
      </c>
      <c r="K71" s="59">
        <f t="shared" si="28"/>
        <v>0</v>
      </c>
      <c r="L71" s="59">
        <f t="shared" si="28"/>
        <v>0</v>
      </c>
      <c r="M71" s="59">
        <f t="shared" si="28"/>
        <v>0</v>
      </c>
      <c r="N71" s="59">
        <f t="shared" si="28"/>
        <v>0</v>
      </c>
      <c r="O71" s="59">
        <f t="shared" si="28"/>
        <v>0</v>
      </c>
      <c r="P71" s="59">
        <f t="shared" si="28"/>
        <v>0</v>
      </c>
      <c r="Q71" s="59">
        <f t="shared" si="28"/>
        <v>0</v>
      </c>
      <c r="R71" s="59">
        <f t="shared" si="28"/>
        <v>0</v>
      </c>
      <c r="S71" s="59">
        <f t="shared" si="28"/>
        <v>0</v>
      </c>
      <c r="T71" s="59">
        <f t="shared" si="28"/>
        <v>0</v>
      </c>
      <c r="U71" s="59">
        <f t="shared" si="28"/>
        <v>0</v>
      </c>
      <c r="V71" s="59">
        <f t="shared" si="28"/>
        <v>0</v>
      </c>
      <c r="W71" s="59">
        <f t="shared" si="28"/>
        <v>0</v>
      </c>
      <c r="X71" s="59">
        <f t="shared" si="28"/>
        <v>0</v>
      </c>
      <c r="Y71" s="59">
        <f t="shared" si="28"/>
        <v>0</v>
      </c>
      <c r="Z71" s="59">
        <f t="shared" si="28"/>
        <v>0</v>
      </c>
      <c r="AA71" s="59">
        <f t="shared" si="28"/>
        <v>0</v>
      </c>
      <c r="AB71" s="59">
        <f t="shared" si="28"/>
        <v>0</v>
      </c>
      <c r="AC71" s="59">
        <f t="shared" si="28"/>
        <v>0</v>
      </c>
      <c r="AD71" s="59">
        <f t="shared" si="28"/>
        <v>0</v>
      </c>
      <c r="AE71" s="59">
        <f t="shared" si="28"/>
        <v>0</v>
      </c>
      <c r="AF71" s="59">
        <f t="shared" si="28"/>
        <v>0</v>
      </c>
      <c r="AG71" s="59">
        <f t="shared" si="28"/>
        <v>0</v>
      </c>
      <c r="AH71" s="59">
        <f t="shared" si="28"/>
        <v>0</v>
      </c>
      <c r="AI71" s="59">
        <f t="shared" si="28"/>
        <v>0</v>
      </c>
      <c r="AJ71" s="59">
        <f t="shared" si="28"/>
        <v>0</v>
      </c>
      <c r="AK71" s="59">
        <f t="shared" si="28"/>
        <v>0</v>
      </c>
      <c r="AL71" s="59">
        <f t="shared" si="28"/>
        <v>0</v>
      </c>
      <c r="AM71" s="59">
        <f t="shared" si="28"/>
        <v>0</v>
      </c>
      <c r="AN71" s="59">
        <f t="shared" si="28"/>
        <v>0</v>
      </c>
      <c r="AO71" s="59">
        <f t="shared" si="28"/>
        <v>0</v>
      </c>
      <c r="AP71" s="59">
        <f t="shared" si="28"/>
        <v>0</v>
      </c>
      <c r="AQ71" s="59">
        <f t="shared" si="28"/>
        <v>0</v>
      </c>
      <c r="AR71" s="59">
        <f t="shared" si="28"/>
        <v>0</v>
      </c>
      <c r="AS71" s="59">
        <f t="shared" si="28"/>
        <v>0</v>
      </c>
      <c r="AT71" s="59">
        <f t="shared" si="28"/>
        <v>0</v>
      </c>
      <c r="AU71" s="59">
        <f t="shared" si="28"/>
        <v>0</v>
      </c>
      <c r="AV71" s="59">
        <f t="shared" si="28"/>
        <v>0</v>
      </c>
      <c r="AW71" s="59">
        <f t="shared" si="28"/>
        <v>0</v>
      </c>
      <c r="AX71" s="59">
        <f t="shared" si="28"/>
        <v>0</v>
      </c>
      <c r="AY71" s="59">
        <f t="shared" si="28"/>
        <v>0</v>
      </c>
      <c r="AZ71" s="59">
        <f t="shared" si="28"/>
        <v>0</v>
      </c>
      <c r="BA71" s="59">
        <f t="shared" si="28"/>
        <v>0</v>
      </c>
      <c r="BB71" s="59">
        <f t="shared" si="28"/>
        <v>0</v>
      </c>
      <c r="BC71" s="59">
        <f t="shared" si="28"/>
        <v>0</v>
      </c>
      <c r="BD71" s="59">
        <f t="shared" si="28"/>
        <v>0</v>
      </c>
      <c r="BE71" s="59">
        <f t="shared" si="28"/>
        <v>0</v>
      </c>
      <c r="BF71" s="59">
        <f t="shared" si="28"/>
        <v>0</v>
      </c>
      <c r="BG71" s="59">
        <f t="shared" si="28"/>
        <v>0</v>
      </c>
      <c r="BH71" s="59">
        <f t="shared" si="28"/>
        <v>0</v>
      </c>
      <c r="BI71" s="59">
        <f t="shared" si="28"/>
        <v>0</v>
      </c>
      <c r="BJ71" s="59">
        <f t="shared" si="28"/>
        <v>0</v>
      </c>
      <c r="BK71" t="s">
        <v>102</v>
      </c>
    </row>
    <row r="72" spans="1:63" ht="10.7" customHeight="1" x14ac:dyDescent="0.25">
      <c r="A72" s="12"/>
      <c r="B72" s="17"/>
      <c r="C72" s="29"/>
      <c r="D72" s="17"/>
      <c r="E72" s="17"/>
      <c r="F72" s="313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  <c r="BA72" s="32"/>
      <c r="BB72" s="32"/>
      <c r="BC72" s="32"/>
      <c r="BD72" s="32"/>
      <c r="BE72" s="32"/>
      <c r="BF72" s="32"/>
      <c r="BG72" s="32"/>
      <c r="BH72" s="32"/>
      <c r="BI72" s="32"/>
      <c r="BJ72" s="32"/>
    </row>
    <row r="74" spans="1:63" ht="10.7" customHeight="1" x14ac:dyDescent="0.25">
      <c r="G74" s="165">
        <f>$D$54*G53</f>
        <v>0</v>
      </c>
      <c r="W74" s="412">
        <v>2026</v>
      </c>
      <c r="X74" s="412">
        <f t="shared" ref="X74:AQ74" si="29">W74+1</f>
        <v>2027</v>
      </c>
      <c r="Y74" s="412">
        <f t="shared" si="29"/>
        <v>2028</v>
      </c>
      <c r="Z74" s="412">
        <f t="shared" si="29"/>
        <v>2029</v>
      </c>
      <c r="AA74" s="412">
        <f t="shared" si="29"/>
        <v>2030</v>
      </c>
      <c r="AB74" s="412">
        <f t="shared" si="29"/>
        <v>2031</v>
      </c>
      <c r="AC74" s="412">
        <f t="shared" si="29"/>
        <v>2032</v>
      </c>
      <c r="AD74" s="412">
        <f t="shared" si="29"/>
        <v>2033</v>
      </c>
      <c r="AE74" s="412">
        <f t="shared" si="29"/>
        <v>2034</v>
      </c>
      <c r="AF74" s="412">
        <f t="shared" si="29"/>
        <v>2035</v>
      </c>
      <c r="AG74" s="412">
        <f t="shared" si="29"/>
        <v>2036</v>
      </c>
      <c r="AH74" s="412">
        <f t="shared" si="29"/>
        <v>2037</v>
      </c>
      <c r="AI74" s="412">
        <f t="shared" si="29"/>
        <v>2038</v>
      </c>
      <c r="AJ74" s="412">
        <f t="shared" si="29"/>
        <v>2039</v>
      </c>
      <c r="AK74" s="412">
        <f t="shared" si="29"/>
        <v>2040</v>
      </c>
      <c r="AL74" s="412">
        <f t="shared" si="29"/>
        <v>2041</v>
      </c>
      <c r="AM74" s="412">
        <f t="shared" si="29"/>
        <v>2042</v>
      </c>
      <c r="AN74" s="412">
        <f t="shared" si="29"/>
        <v>2043</v>
      </c>
      <c r="AO74" s="412">
        <f t="shared" si="29"/>
        <v>2044</v>
      </c>
      <c r="AP74" s="412">
        <f t="shared" si="29"/>
        <v>2045</v>
      </c>
      <c r="AQ74" s="412">
        <f t="shared" si="29"/>
        <v>2046</v>
      </c>
    </row>
    <row r="75" spans="1:63" ht="10.7" customHeight="1" x14ac:dyDescent="0.25">
      <c r="V75" t="s">
        <v>395</v>
      </c>
      <c r="W75" s="165">
        <f>W57</f>
        <v>39274.965260583682</v>
      </c>
      <c r="X75" s="165">
        <f>SUM(X57:Y57)</f>
        <v>78978.139196294389</v>
      </c>
      <c r="Y75" s="165">
        <f>SUM(Z57:AA57)</f>
        <v>79552.494079793847</v>
      </c>
      <c r="Z75" s="165">
        <f>SUM(AB57:AC57)</f>
        <v>80137.140301948239</v>
      </c>
      <c r="AA75" s="165">
        <f>SUM(AD57:AE57)</f>
        <v>92103.80616106141</v>
      </c>
      <c r="AB75" s="165">
        <f>SUM(AF57:AG57)</f>
        <v>83198.789432800171</v>
      </c>
      <c r="AC75" s="165">
        <f>SUM(AH57:AI57)</f>
        <v>83755.487707247143</v>
      </c>
      <c r="AD75" s="165">
        <f>SUM(AJ57:AK57)</f>
        <v>125035.75013414086</v>
      </c>
      <c r="AE75" s="165">
        <f>SUM(AL57:AM57)</f>
        <v>185577.81649316804</v>
      </c>
      <c r="AF75" s="165">
        <f>SUM(AN57:AO57)</f>
        <v>174856.72445297087</v>
      </c>
      <c r="AG75" s="165">
        <f>SUM(AP57:AQ57)</f>
        <v>176674.31881230342</v>
      </c>
      <c r="AH75" s="165">
        <f>SUM(AR57:AS57)</f>
        <v>178492.70390722947</v>
      </c>
      <c r="AI75" s="165">
        <f>SUM(AT57:AU57)</f>
        <v>194244.87330191775</v>
      </c>
      <c r="AJ75" s="165">
        <f>SUM(AV57:AW57)</f>
        <v>191051.37585363275</v>
      </c>
      <c r="AK75" s="165">
        <f>SUM(AX57:AY57)</f>
        <v>195125.90765371959</v>
      </c>
      <c r="AL75" s="165">
        <f>SUM(AZ57:BA57)</f>
        <v>199292.25963784871</v>
      </c>
      <c r="AM75" s="165">
        <f>SUM(BB57:BC57)</f>
        <v>224762.3253695399</v>
      </c>
      <c r="AN75" s="165">
        <f>SUM(BD57:BE57)</f>
        <v>213364.92410830723</v>
      </c>
      <c r="AO75" s="165">
        <f>SUM(BF57:BG57)</f>
        <v>217935.13375592857</v>
      </c>
      <c r="AP75" s="165">
        <f>SUM(BH57:BI57)</f>
        <v>222608.08943456298</v>
      </c>
      <c r="AQ75" s="165">
        <f>BJ57</f>
        <v>124884.18519078166</v>
      </c>
    </row>
    <row r="76" spans="1:63" ht="10.7" customHeight="1" x14ac:dyDescent="0.25">
      <c r="BH76" s="59"/>
      <c r="BI76" s="59"/>
      <c r="BJ76" s="59"/>
    </row>
    <row r="77" spans="1:63" ht="10.7" customHeight="1" x14ac:dyDescent="0.25">
      <c r="BH77" s="1"/>
      <c r="BI77" s="1"/>
      <c r="BJ77" s="1"/>
    </row>
    <row r="78" spans="1:63" ht="10.7" customHeight="1" x14ac:dyDescent="0.25">
      <c r="BH78" s="12"/>
      <c r="BI78" s="12"/>
      <c r="BJ78" s="12"/>
    </row>
    <row r="79" spans="1:63" ht="10.7" customHeight="1" x14ac:dyDescent="0.25">
      <c r="BH79" s="1"/>
      <c r="BI79" s="1"/>
      <c r="BJ79" s="1"/>
    </row>
    <row r="80" spans="1:63" ht="10.7" customHeight="1" x14ac:dyDescent="0.25">
      <c r="BH80" s="59"/>
      <c r="BI80" s="59"/>
      <c r="BJ80" s="59"/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8" tint="0.79998168889431442"/>
  </sheetPr>
  <dimension ref="A1:XFD36"/>
  <sheetViews>
    <sheetView zoomScale="150" zoomScaleNormal="150" workbookViewId="0">
      <pane xSplit="5" ySplit="3" topLeftCell="U4" activePane="bottomRight" state="frozen"/>
      <selection activeCell="K21" sqref="K21"/>
      <selection pane="topRight" activeCell="K21" sqref="K21"/>
      <selection pane="bottomLeft" activeCell="K21" sqref="K21"/>
      <selection pane="bottomRight" activeCell="V29" sqref="V29"/>
    </sheetView>
  </sheetViews>
  <sheetFormatPr defaultColWidth="0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style="305" customWidth="1"/>
    <col min="7" max="63" width="8.7109375" customWidth="1"/>
  </cols>
  <sheetData>
    <row r="1" spans="1:16384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</row>
    <row r="2" spans="1:16384" ht="11.25" customHeight="1" x14ac:dyDescent="0.25">
      <c r="A2" s="200" t="s">
        <v>12</v>
      </c>
      <c r="B2" s="201"/>
      <c r="C2" s="202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</row>
    <row r="3" spans="1:16384" ht="11.25" customHeight="1" x14ac:dyDescent="0.25">
      <c r="A3" s="200"/>
      <c r="B3" s="201"/>
      <c r="C3" s="202"/>
      <c r="D3" s="200"/>
      <c r="E3" s="203" t="s">
        <v>403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</row>
    <row r="4" spans="1:16384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80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</row>
    <row r="5" spans="1:16384" ht="11.25" customHeight="1" x14ac:dyDescent="0.25">
      <c r="A5" s="12"/>
      <c r="B5" s="12"/>
      <c r="C5" s="12"/>
      <c r="D5" s="12"/>
      <c r="E5" s="12"/>
      <c r="F5" s="80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</row>
    <row r="6" spans="1:16384" ht="11.25" customHeight="1" x14ac:dyDescent="0.25">
      <c r="A6" s="12" t="s">
        <v>26</v>
      </c>
      <c r="B6" s="17" t="s">
        <v>142</v>
      </c>
      <c r="C6" s="12"/>
      <c r="D6" s="12"/>
      <c r="E6" s="12"/>
      <c r="F6" s="80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</row>
    <row r="7" spans="1:16384" ht="11.25" customHeight="1" x14ac:dyDescent="0.25">
      <c r="A7" s="12"/>
      <c r="B7" s="12" t="s">
        <v>360</v>
      </c>
      <c r="C7" s="22" t="s">
        <v>101</v>
      </c>
      <c r="D7" s="12"/>
      <c r="E7" s="1">
        <f>SUM(G7:BJ7)</f>
        <v>40</v>
      </c>
      <c r="F7" s="80" t="s">
        <v>26</v>
      </c>
      <c r="G7" s="26">
        <f>'Time &amp; Technical'!G26</f>
        <v>0</v>
      </c>
      <c r="H7" s="26">
        <f>'Time &amp; Technical'!H26</f>
        <v>0</v>
      </c>
      <c r="I7" s="26">
        <f>'Time &amp; Technical'!I26</f>
        <v>0</v>
      </c>
      <c r="J7" s="26">
        <f>'Time &amp; Technical'!J26</f>
        <v>0</v>
      </c>
      <c r="K7" s="26">
        <f>'Time &amp; Technical'!K26</f>
        <v>0</v>
      </c>
      <c r="L7" s="26">
        <f>'Time &amp; Technical'!L26</f>
        <v>0</v>
      </c>
      <c r="M7" s="26">
        <f>'Time &amp; Technical'!M26</f>
        <v>0</v>
      </c>
      <c r="N7" s="26">
        <f>'Time &amp; Technical'!N26</f>
        <v>0</v>
      </c>
      <c r="O7" s="26">
        <f>'Time &amp; Technical'!O26</f>
        <v>0</v>
      </c>
      <c r="P7" s="26">
        <f>'Time &amp; Technical'!P26</f>
        <v>0</v>
      </c>
      <c r="Q7" s="26">
        <f>'Time &amp; Technical'!Q26</f>
        <v>0</v>
      </c>
      <c r="R7" s="26">
        <f>'Time &amp; Technical'!R26</f>
        <v>0</v>
      </c>
      <c r="S7" s="26">
        <f>'Time &amp; Technical'!S26</f>
        <v>0</v>
      </c>
      <c r="T7" s="26">
        <f>'Time &amp; Technical'!T26</f>
        <v>0</v>
      </c>
      <c r="U7" s="26">
        <f>'Time &amp; Technical'!U26</f>
        <v>0</v>
      </c>
      <c r="V7" s="26">
        <f>'Time &amp; Technical'!V26</f>
        <v>0</v>
      </c>
      <c r="W7" s="26">
        <f>'Time &amp; Technical'!W26</f>
        <v>1</v>
      </c>
      <c r="X7" s="26">
        <f>'Time &amp; Technical'!X26</f>
        <v>1</v>
      </c>
      <c r="Y7" s="26">
        <f>'Time &amp; Technical'!Y26</f>
        <v>1</v>
      </c>
      <c r="Z7" s="26">
        <f>'Time &amp; Technical'!Z26</f>
        <v>1</v>
      </c>
      <c r="AA7" s="26">
        <f>'Time &amp; Technical'!AA26</f>
        <v>1</v>
      </c>
      <c r="AB7" s="26">
        <f>'Time &amp; Technical'!AB26</f>
        <v>1</v>
      </c>
      <c r="AC7" s="26">
        <f>'Time &amp; Technical'!AC26</f>
        <v>1</v>
      </c>
      <c r="AD7" s="26">
        <f>'Time &amp; Technical'!AD26</f>
        <v>1</v>
      </c>
      <c r="AE7" s="26">
        <f>'Time &amp; Technical'!AE26</f>
        <v>1</v>
      </c>
      <c r="AF7" s="26">
        <f>'Time &amp; Technical'!AF26</f>
        <v>1</v>
      </c>
      <c r="AG7" s="26">
        <f>'Time &amp; Technical'!AG26</f>
        <v>1</v>
      </c>
      <c r="AH7" s="26">
        <f>'Time &amp; Technical'!AH26</f>
        <v>1</v>
      </c>
      <c r="AI7" s="26">
        <f>'Time &amp; Technical'!AI26</f>
        <v>1</v>
      </c>
      <c r="AJ7" s="26">
        <f>'Time &amp; Technical'!AJ26</f>
        <v>1</v>
      </c>
      <c r="AK7" s="26">
        <f>'Time &amp; Technical'!AK26</f>
        <v>1</v>
      </c>
      <c r="AL7" s="26">
        <f>'Time &amp; Technical'!AL26</f>
        <v>1</v>
      </c>
      <c r="AM7" s="26">
        <f>'Time &amp; Technical'!AM26</f>
        <v>1</v>
      </c>
      <c r="AN7" s="26">
        <f>'Time &amp; Technical'!AN26</f>
        <v>1</v>
      </c>
      <c r="AO7" s="26">
        <f>'Time &amp; Technical'!AO26</f>
        <v>1</v>
      </c>
      <c r="AP7" s="26">
        <f>'Time &amp; Technical'!AP26</f>
        <v>1</v>
      </c>
      <c r="AQ7" s="26">
        <f>'Time &amp; Technical'!AQ26</f>
        <v>1</v>
      </c>
      <c r="AR7" s="26">
        <f>'Time &amp; Technical'!AR26</f>
        <v>1</v>
      </c>
      <c r="AS7" s="26">
        <f>'Time &amp; Technical'!AS26</f>
        <v>1</v>
      </c>
      <c r="AT7" s="26">
        <f>'Time &amp; Technical'!AT26</f>
        <v>1</v>
      </c>
      <c r="AU7" s="26">
        <f>'Time &amp; Technical'!AU26</f>
        <v>1</v>
      </c>
      <c r="AV7" s="26">
        <f>'Time &amp; Technical'!AV26</f>
        <v>1</v>
      </c>
      <c r="AW7" s="26">
        <f>'Time &amp; Technical'!AW26</f>
        <v>1</v>
      </c>
      <c r="AX7" s="26">
        <f>'Time &amp; Technical'!AX26</f>
        <v>1</v>
      </c>
      <c r="AY7" s="26">
        <f>'Time &amp; Technical'!AY26</f>
        <v>1</v>
      </c>
      <c r="AZ7" s="26">
        <f>'Time &amp; Technical'!AZ26</f>
        <v>1</v>
      </c>
      <c r="BA7" s="26">
        <f>'Time &amp; Technical'!BA26</f>
        <v>1</v>
      </c>
      <c r="BB7" s="26">
        <f>'Time &amp; Technical'!BB26</f>
        <v>1</v>
      </c>
      <c r="BC7" s="26">
        <f>'Time &amp; Technical'!BC26</f>
        <v>1</v>
      </c>
      <c r="BD7" s="26">
        <f>'Time &amp; Technical'!BD26</f>
        <v>1</v>
      </c>
      <c r="BE7" s="26">
        <f>'Time &amp; Technical'!BE26</f>
        <v>1</v>
      </c>
      <c r="BF7" s="26">
        <f>'Time &amp; Technical'!BF26</f>
        <v>1</v>
      </c>
      <c r="BG7" s="26">
        <f>'Time &amp; Technical'!BG26</f>
        <v>1</v>
      </c>
      <c r="BH7" s="26">
        <f>'Time &amp; Technical'!BH26</f>
        <v>1</v>
      </c>
      <c r="BI7" s="26">
        <f>'Time &amp; Technical'!BI26</f>
        <v>1</v>
      </c>
      <c r="BJ7" s="26">
        <f>'Time &amp; Technical'!BJ26</f>
        <v>1</v>
      </c>
    </row>
    <row r="8" spans="1:16384" ht="11.25" customHeight="1" x14ac:dyDescent="0.25">
      <c r="A8" s="12"/>
      <c r="B8" s="12" t="s">
        <v>118</v>
      </c>
      <c r="C8" s="22" t="s">
        <v>101</v>
      </c>
      <c r="D8" s="12"/>
      <c r="E8" s="1">
        <f t="shared" ref="E8:E19" si="0">SUM(G8:BJ8)</f>
        <v>14</v>
      </c>
      <c r="F8" s="80" t="s">
        <v>26</v>
      </c>
      <c r="G8" s="26">
        <f>Revenues!G7</f>
        <v>0</v>
      </c>
      <c r="H8" s="26">
        <f>Revenues!H7</f>
        <v>0</v>
      </c>
      <c r="I8" s="26">
        <f>Revenues!I7</f>
        <v>0</v>
      </c>
      <c r="J8" s="26">
        <f>Revenues!J7</f>
        <v>0</v>
      </c>
      <c r="K8" s="26">
        <f>Revenues!K7</f>
        <v>0</v>
      </c>
      <c r="L8" s="26">
        <f>Revenues!L7</f>
        <v>0</v>
      </c>
      <c r="M8" s="26">
        <f>Revenues!M7</f>
        <v>0</v>
      </c>
      <c r="N8" s="26">
        <f>Revenues!N7</f>
        <v>0</v>
      </c>
      <c r="O8" s="26">
        <f>Revenues!O7</f>
        <v>0</v>
      </c>
      <c r="P8" s="26">
        <f>Revenues!P7</f>
        <v>0</v>
      </c>
      <c r="Q8" s="26">
        <f>Revenues!Q7</f>
        <v>0</v>
      </c>
      <c r="R8" s="26">
        <f>Revenues!R7</f>
        <v>0</v>
      </c>
      <c r="S8" s="26">
        <f>Revenues!S7</f>
        <v>0</v>
      </c>
      <c r="T8" s="26">
        <f>Revenues!T7</f>
        <v>0</v>
      </c>
      <c r="U8" s="26">
        <f>Revenues!U7</f>
        <v>0</v>
      </c>
      <c r="V8" s="26">
        <f>Revenues!V7</f>
        <v>0</v>
      </c>
      <c r="W8" s="26">
        <f>Revenues!W7</f>
        <v>1</v>
      </c>
      <c r="X8" s="26">
        <f>Revenues!X7</f>
        <v>1</v>
      </c>
      <c r="Y8" s="26">
        <f>Revenues!Y7</f>
        <v>1</v>
      </c>
      <c r="Z8" s="26">
        <f>Revenues!Z7</f>
        <v>1</v>
      </c>
      <c r="AA8" s="26">
        <f>Revenues!AA7</f>
        <v>1</v>
      </c>
      <c r="AB8" s="26">
        <f>Revenues!AB7</f>
        <v>1</v>
      </c>
      <c r="AC8" s="26">
        <f>Revenues!AC7</f>
        <v>1</v>
      </c>
      <c r="AD8" s="26">
        <f>Revenues!AD7</f>
        <v>1</v>
      </c>
      <c r="AE8" s="26">
        <f>Revenues!AE7</f>
        <v>1</v>
      </c>
      <c r="AF8" s="26">
        <f>Revenues!AF7</f>
        <v>1</v>
      </c>
      <c r="AG8" s="26">
        <f>Revenues!AG7</f>
        <v>1</v>
      </c>
      <c r="AH8" s="26">
        <f>Revenues!AH7</f>
        <v>1</v>
      </c>
      <c r="AI8" s="26">
        <f>Revenues!AI7</f>
        <v>1</v>
      </c>
      <c r="AJ8" s="26">
        <f>Revenues!AJ7</f>
        <v>1</v>
      </c>
      <c r="AK8" s="26">
        <f>Revenues!AK7</f>
        <v>0</v>
      </c>
      <c r="AL8" s="26">
        <f>Revenues!AL7</f>
        <v>0</v>
      </c>
      <c r="AM8" s="26">
        <f>Revenues!AM7</f>
        <v>0</v>
      </c>
      <c r="AN8" s="26">
        <f>Revenues!AN7</f>
        <v>0</v>
      </c>
      <c r="AO8" s="26">
        <f>Revenues!AO7</f>
        <v>0</v>
      </c>
      <c r="AP8" s="26">
        <f>Revenues!AP7</f>
        <v>0</v>
      </c>
      <c r="AQ8" s="26">
        <f>Revenues!AQ7</f>
        <v>0</v>
      </c>
      <c r="AR8" s="26">
        <f>Revenues!AR7</f>
        <v>0</v>
      </c>
      <c r="AS8" s="26">
        <f>Revenues!AS7</f>
        <v>0</v>
      </c>
      <c r="AT8" s="26">
        <f>Revenues!AT7</f>
        <v>0</v>
      </c>
      <c r="AU8" s="26">
        <f>Revenues!AU7</f>
        <v>0</v>
      </c>
      <c r="AV8" s="26">
        <f>Revenues!AV7</f>
        <v>0</v>
      </c>
      <c r="AW8" s="26">
        <f>Revenues!AW7</f>
        <v>0</v>
      </c>
      <c r="AX8" s="26">
        <f>Revenues!AX7</f>
        <v>0</v>
      </c>
      <c r="AY8" s="26">
        <f>Revenues!AY7</f>
        <v>0</v>
      </c>
      <c r="AZ8" s="26">
        <f>Revenues!AZ7</f>
        <v>0</v>
      </c>
      <c r="BA8" s="26">
        <f>Revenues!BA7</f>
        <v>0</v>
      </c>
      <c r="BB8" s="26">
        <f>Revenues!BB7</f>
        <v>0</v>
      </c>
      <c r="BC8" s="26">
        <f>Revenues!BC7</f>
        <v>0</v>
      </c>
      <c r="BD8" s="26">
        <f>Revenues!BD7</f>
        <v>0</v>
      </c>
      <c r="BE8" s="26">
        <f>Revenues!BE7</f>
        <v>0</v>
      </c>
      <c r="BF8" s="26">
        <f>Revenues!BF7</f>
        <v>0</v>
      </c>
      <c r="BG8" s="26">
        <f>Revenues!BG7</f>
        <v>0</v>
      </c>
      <c r="BH8" s="26">
        <f>Revenues!BH7</f>
        <v>0</v>
      </c>
      <c r="BI8" s="26">
        <f>Revenues!BI7</f>
        <v>0</v>
      </c>
      <c r="BJ8" s="26">
        <f>Revenues!BJ7</f>
        <v>0</v>
      </c>
    </row>
    <row r="9" spans="1:16384" s="26" customFormat="1" ht="11.25" customHeight="1" x14ac:dyDescent="0.2">
      <c r="A9" s="12"/>
      <c r="B9" s="12" t="s">
        <v>144</v>
      </c>
      <c r="C9" s="22" t="s">
        <v>108</v>
      </c>
      <c r="D9" s="12"/>
      <c r="E9" s="1">
        <f t="shared" si="0"/>
        <v>351</v>
      </c>
      <c r="F9" s="80" t="s">
        <v>26</v>
      </c>
      <c r="G9" s="26">
        <f>IF(G7&gt;0,IF(SUM($G$7:G7)&lt;=$D$12,SUM($G$7:G7),0),0)</f>
        <v>0</v>
      </c>
      <c r="H9" s="26">
        <f>IF(H7&gt;0,IF(SUM($G$7:H7)&lt;=$D$12,SUM($G$7:H7),0),0)</f>
        <v>0</v>
      </c>
      <c r="I9" s="26">
        <f>IF(I7&gt;0,IF(SUM($G$7:I7)&lt;=$D$12,SUM($G$7:I7),0),0)</f>
        <v>0</v>
      </c>
      <c r="J9" s="26">
        <f>IF(J7&gt;0,IF(SUM($G$7:J7)&lt;=$D$12,SUM($G$7:J7),0),0)</f>
        <v>0</v>
      </c>
      <c r="K9" s="26">
        <f>IF(K7&gt;0,IF(SUM($G$7:K7)&lt;=$D$12,SUM($G$7:K7),0),0)</f>
        <v>0</v>
      </c>
      <c r="L9" s="26">
        <f>IF(L7&gt;0,IF(SUM($G$7:L7)&lt;=$D$12,SUM($G$7:L7),0),0)</f>
        <v>0</v>
      </c>
      <c r="M9" s="26">
        <f>IF(M7&gt;0,IF(SUM($G$7:M7)&lt;=$D$12,SUM($G$7:M7),0),0)</f>
        <v>0</v>
      </c>
      <c r="N9" s="26">
        <f>IF(N7&gt;0,IF(SUM($G$7:N7)&lt;=$D$12,SUM($G$7:N7),0),0)</f>
        <v>0</v>
      </c>
      <c r="O9" s="26">
        <f>IF(O7&gt;0,IF(SUM($G$7:O7)&lt;=$D$12,SUM($G$7:O7),0),0)</f>
        <v>0</v>
      </c>
      <c r="P9" s="26">
        <f>IF(P7&gt;0,IF(SUM($G$7:P7)&lt;=$D$12,SUM($G$7:P7),0),0)</f>
        <v>0</v>
      </c>
      <c r="Q9" s="26">
        <f>IF(Q7&gt;0,IF(SUM($G$7:Q7)&lt;=$D$12,SUM($G$7:Q7),0),0)</f>
        <v>0</v>
      </c>
      <c r="R9" s="26">
        <f>IF(R7&gt;0,IF(SUM($G$7:R7)&lt;=$D$12,SUM($G$7:R7),0),0)</f>
        <v>0</v>
      </c>
      <c r="S9" s="26">
        <f>IF(S7&gt;0,IF(SUM($G$7:S7)&lt;=$D$12,SUM($G$7:S7),0),0)</f>
        <v>0</v>
      </c>
      <c r="T9" s="26">
        <f>IF(T7&gt;0,IF(SUM($G$7:T7)&lt;=$D$12,SUM($G$7:T7),0),0)</f>
        <v>0</v>
      </c>
      <c r="U9" s="26">
        <f>IF(U7&gt;0,IF(SUM($G$7:U7)&lt;=$D$12,SUM($G$7:U7),0),0)</f>
        <v>0</v>
      </c>
      <c r="V9" s="26">
        <f>IF(V7&gt;0,IF(SUM($G$7:V7)&lt;=$D$12,SUM($G$7:V7),0),0)</f>
        <v>0</v>
      </c>
      <c r="W9" s="26">
        <f>IF(W7&gt;0,IF(SUM($G$7:W7)&lt;=$D$12,SUM($G$7:W7),0),0)</f>
        <v>1</v>
      </c>
      <c r="X9" s="26">
        <f>IF(X7&gt;0,IF(SUM($G$7:X7)&lt;=$D$12,SUM($G$7:X7),0),0)</f>
        <v>2</v>
      </c>
      <c r="Y9" s="26">
        <f>IF(Y7&gt;0,IF(SUM($G$7:Y7)&lt;=$D$12,SUM($G$7:Y7),0),0)</f>
        <v>3</v>
      </c>
      <c r="Z9" s="26">
        <f>IF(Z7&gt;0,IF(SUM($G$7:Z7)&lt;=$D$12,SUM($G$7:Z7),0),0)</f>
        <v>4</v>
      </c>
      <c r="AA9" s="26">
        <f>IF(AA7&gt;0,IF(SUM($G$7:AA7)&lt;=$D$12,SUM($G$7:AA7),0),0)</f>
        <v>5</v>
      </c>
      <c r="AB9" s="26">
        <f>IF(AB7&gt;0,IF(SUM($G$7:AB7)&lt;=$D$12,SUM($G$7:AB7),0),0)</f>
        <v>6</v>
      </c>
      <c r="AC9" s="26">
        <f>IF(AC7&gt;0,IF(SUM($G$7:AC7)&lt;=$D$12,SUM($G$7:AC7),0),0)</f>
        <v>7</v>
      </c>
      <c r="AD9" s="26">
        <f>IF(AD7&gt;0,IF(SUM($G$7:AD7)&lt;=$D$12,SUM($G$7:AD7),0),0)</f>
        <v>8</v>
      </c>
      <c r="AE9" s="26">
        <f>IF(AE7&gt;0,IF(SUM($G$7:AE7)&lt;=$D$12,SUM($G$7:AE7),0),0)</f>
        <v>9</v>
      </c>
      <c r="AF9" s="26">
        <f>IF(AF7&gt;0,IF(SUM($G$7:AF7)&lt;=$D$12,SUM($G$7:AF7),0),0)</f>
        <v>10</v>
      </c>
      <c r="AG9" s="26">
        <f>IF(AG7&gt;0,IF(SUM($G$7:AG7)&lt;=$D$12,SUM($G$7:AG7),0),0)</f>
        <v>11</v>
      </c>
      <c r="AH9" s="26">
        <f>IF(AH7&gt;0,IF(SUM($G$7:AH7)&lt;=$D$12,SUM($G$7:AH7),0),0)</f>
        <v>12</v>
      </c>
      <c r="AI9" s="26">
        <f>IF(AI7&gt;0,IF(SUM($G$7:AI7)&lt;=$D$12,SUM($G$7:AI7),0),0)</f>
        <v>13</v>
      </c>
      <c r="AJ9" s="26">
        <f>IF(AJ7&gt;0,IF(SUM($G$7:AJ7)&lt;=$D$12,SUM($G$7:AJ7),0),0)</f>
        <v>14</v>
      </c>
      <c r="AK9" s="26">
        <f>IF(AK7&gt;0,IF(SUM($G$7:AK7)&lt;=$D$12,SUM($G$7:AK7),0),0)</f>
        <v>15</v>
      </c>
      <c r="AL9" s="26">
        <f>IF(AL7&gt;0,IF(SUM($G$7:AL7)&lt;=$D$12,SUM($G$7:AL7),0),0)</f>
        <v>16</v>
      </c>
      <c r="AM9" s="26">
        <f>IF(AM7&gt;0,IF(SUM($G$7:AM7)&lt;=$D$12,SUM($G$7:AM7),0),0)</f>
        <v>17</v>
      </c>
      <c r="AN9" s="26">
        <f>IF(AN7&gt;0,IF(SUM($G$7:AN7)&lt;=$D$12,SUM($G$7:AN7),0),0)</f>
        <v>18</v>
      </c>
      <c r="AO9" s="26">
        <f>IF(AO7&gt;0,IF(SUM($G$7:AO7)&lt;=$D$12,SUM($G$7:AO7),0),0)</f>
        <v>19</v>
      </c>
      <c r="AP9" s="26">
        <f>IF(AP7&gt;0,IF(SUM($G$7:AP7)&lt;=$D$12,SUM($G$7:AP7),0),0)</f>
        <v>20</v>
      </c>
      <c r="AQ9" s="26">
        <f>IF(AQ7&gt;0,IF(SUM($G$7:AQ7)&lt;=$D$12,SUM($G$7:AQ7),0),0)</f>
        <v>21</v>
      </c>
      <c r="AR9" s="26">
        <f>IF(AR7&gt;0,IF(SUM($G$7:AR7)&lt;=$D$12,SUM($G$7:AR7),0),0)</f>
        <v>22</v>
      </c>
      <c r="AS9" s="26">
        <f>IF(AS7&gt;0,IF(SUM($G$7:AS7)&lt;=$D$12,SUM($G$7:AS7),0),0)</f>
        <v>23</v>
      </c>
      <c r="AT9" s="26">
        <f>IF(AT7&gt;0,IF(SUM($G$7:AT7)&lt;=$D$12,SUM($G$7:AT7),0),0)</f>
        <v>24</v>
      </c>
      <c r="AU9" s="26">
        <f>IF(AU7&gt;0,IF(SUM($G$7:AU7)&lt;=$D$12,SUM($G$7:AU7),0),0)</f>
        <v>25</v>
      </c>
      <c r="AV9" s="26">
        <f>IF(AV7&gt;0,IF(SUM($G$7:AV7)&lt;=$D$12,SUM($G$7:AV7),0),0)</f>
        <v>26</v>
      </c>
      <c r="AW9" s="26">
        <f>IF(AW7&gt;0,IF(SUM($G$7:AW7)&lt;=$D$12,SUM($G$7:AW7),0),0)</f>
        <v>0</v>
      </c>
      <c r="AX9" s="26">
        <f>IF(AX7&gt;0,IF(SUM($G$7:AX7)&lt;=$D$12,SUM($G$7:AX7),0),0)</f>
        <v>0</v>
      </c>
      <c r="AY9" s="26">
        <f>IF(AY7&gt;0,IF(SUM($G$7:AY7)&lt;=$D$12,SUM($G$7:AY7),0),0)</f>
        <v>0</v>
      </c>
      <c r="AZ9" s="26">
        <f>IF(AZ7&gt;0,IF(SUM($G$7:AZ7)&lt;=$D$12,SUM($G$7:AZ7),0),0)</f>
        <v>0</v>
      </c>
      <c r="BA9" s="26">
        <f>IF(BA7&gt;0,IF(SUM($G$7:BA7)&lt;=$D$12,SUM($G$7:BA7),0),0)</f>
        <v>0</v>
      </c>
      <c r="BB9" s="26">
        <f>IF(BB7&gt;0,IF(SUM($G$7:BB7)&lt;=$D$12,SUM($G$7:BB7),0),0)</f>
        <v>0</v>
      </c>
      <c r="BC9" s="26">
        <f>IF(BC7&gt;0,IF(SUM($G$7:BC7)&lt;=$D$12,SUM($G$7:BC7),0),0)</f>
        <v>0</v>
      </c>
      <c r="BD9" s="26">
        <f>IF(BD7&gt;0,IF(SUM($G$7:BD7)&lt;=$D$12,SUM($G$7:BD7),0),0)</f>
        <v>0</v>
      </c>
      <c r="BE9" s="26">
        <f>IF(BE7&gt;0,IF(SUM($G$7:BE7)&lt;=$D$12,SUM($G$7:BE7),0),0)</f>
        <v>0</v>
      </c>
      <c r="BF9" s="26">
        <f>IF(BF7&gt;0,IF(SUM($G$7:BF7)&lt;=$D$12,SUM($G$7:BF7),0),0)</f>
        <v>0</v>
      </c>
      <c r="BG9" s="26">
        <f>IF(BG7&gt;0,IF(SUM($G$7:BG7)&lt;=$D$12,SUM($G$7:BG7),0),0)</f>
        <v>0</v>
      </c>
      <c r="BH9" s="26">
        <f>IF(BH7&gt;0,IF(SUM($G$7:BH7)&lt;=$D$12,SUM($G$7:BH7),0),0)</f>
        <v>0</v>
      </c>
      <c r="BI9" s="26">
        <f>IF(BI7&gt;0,IF(SUM($G$7:BI7)&lt;=$D$12,SUM($G$7:BI7),0),0)</f>
        <v>0</v>
      </c>
      <c r="BJ9" s="26">
        <f>IF(BJ7&gt;0,IF(SUM($G$7:BJ7)&lt;=$D$12,SUM($G$7:BJ7),0),0)</f>
        <v>0</v>
      </c>
      <c r="BK9" s="26">
        <f>IF(BK7=0,0,IF(MAX($F9:BJ9)=$D12,0,BJ9+1))</f>
        <v>0</v>
      </c>
      <c r="BL9" s="26">
        <f>IF(BL7=0,0,IF(MAX($F9:BK9)=$D12,0,BK9+1))</f>
        <v>0</v>
      </c>
      <c r="BM9" s="26">
        <f>IF(BM7=0,0,IF(MAX($F9:BL9)=$D12,0,BL9+1))</f>
        <v>0</v>
      </c>
      <c r="BN9" s="26">
        <f>IF(BN7=0,0,IF(MAX($F9:BM9)=$D12,0,BM9+1))</f>
        <v>0</v>
      </c>
      <c r="BO9" s="26">
        <f>IF(BO7=0,0,IF(MAX($F9:BN9)=$D12,0,BN9+1))</f>
        <v>0</v>
      </c>
      <c r="BP9" s="26">
        <f>IF(BP7=0,0,IF(MAX($F9:BO9)=$D12,0,BO9+1))</f>
        <v>0</v>
      </c>
      <c r="BQ9" s="26">
        <f>IF(BQ7=0,0,IF(MAX($F9:BP9)=$D12,0,BP9+1))</f>
        <v>0</v>
      </c>
      <c r="BR9" s="26">
        <f>IF(BR7=0,0,IF(MAX($F9:BQ9)=$D12,0,BQ9+1))</f>
        <v>0</v>
      </c>
      <c r="BS9" s="26">
        <f>IF(BS7=0,0,IF(MAX($F9:BR9)=$D12,0,BR9+1))</f>
        <v>0</v>
      </c>
      <c r="BT9" s="26">
        <f>IF(BT7=0,0,IF(MAX($F9:BS9)=$D12,0,BS9+1))</f>
        <v>0</v>
      </c>
      <c r="BU9" s="26">
        <f>IF(BU7=0,0,IF(MAX($F9:BT9)=$D12,0,BT9+1))</f>
        <v>0</v>
      </c>
      <c r="BV9" s="26">
        <f>IF(BV7=0,0,IF(MAX($F9:BU9)=$D12,0,BU9+1))</f>
        <v>0</v>
      </c>
      <c r="BW9" s="26">
        <f>IF(BW7=0,0,IF(MAX($F9:BV9)=$D12,0,BV9+1))</f>
        <v>0</v>
      </c>
      <c r="BX9" s="26">
        <f>IF(BX7=0,0,IF(MAX($F9:BW9)=$D12,0,BW9+1))</f>
        <v>0</v>
      </c>
      <c r="BY9" s="26">
        <f>IF(BY7=0,0,IF(MAX($F9:BX9)=$D12,0,BX9+1))</f>
        <v>0</v>
      </c>
      <c r="BZ9" s="26">
        <f>IF(BZ7=0,0,IF(MAX($F9:BY9)=$D12,0,BY9+1))</f>
        <v>0</v>
      </c>
      <c r="CA9" s="26">
        <f>IF(CA7=0,0,IF(MAX($F9:BZ9)=$D12,0,BZ9+1))</f>
        <v>0</v>
      </c>
      <c r="CB9" s="26">
        <f>IF(CB7=0,0,IF(MAX($F9:CA9)=$D12,0,CA9+1))</f>
        <v>0</v>
      </c>
      <c r="CC9" s="26">
        <f>IF(CC7=0,0,IF(MAX($F9:CB9)=$D12,0,CB9+1))</f>
        <v>0</v>
      </c>
      <c r="CD9" s="26">
        <f>IF(CD7=0,0,IF(MAX($F9:CC9)=$D12,0,CC9+1))</f>
        <v>0</v>
      </c>
      <c r="CE9" s="26">
        <f>IF(CE7=0,0,IF(MAX($F9:CD9)=$D12,0,CD9+1))</f>
        <v>0</v>
      </c>
      <c r="CF9" s="26">
        <f>IF(CF7=0,0,IF(MAX($F9:CE9)=$D12,0,CE9+1))</f>
        <v>0</v>
      </c>
      <c r="CG9" s="26">
        <f>IF(CG7=0,0,IF(MAX($F9:CF9)=$D12,0,CF9+1))</f>
        <v>0</v>
      </c>
      <c r="CH9" s="26">
        <f>IF(CH7=0,0,IF(MAX($F9:CG9)=$D12,0,CG9+1))</f>
        <v>0</v>
      </c>
      <c r="CI9" s="26">
        <f>IF(CI7=0,0,IF(MAX($F9:CH9)=$D12,0,CH9+1))</f>
        <v>0</v>
      </c>
      <c r="CJ9" s="26">
        <f>IF(CJ7=0,0,IF(MAX($F9:CI9)=$D12,0,CI9+1))</f>
        <v>0</v>
      </c>
      <c r="CK9" s="26">
        <f>IF(CK7=0,0,IF(MAX($F9:CJ9)=$D12,0,CJ9+1))</f>
        <v>0</v>
      </c>
      <c r="CL9" s="26">
        <f>IF(CL7=0,0,IF(MAX($F9:CK9)=$D12,0,CK9+1))</f>
        <v>0</v>
      </c>
      <c r="CM9" s="26">
        <f>IF(CM7=0,0,IF(MAX($F9:CL9)=$D12,0,CL9+1))</f>
        <v>0</v>
      </c>
      <c r="CN9" s="26">
        <f>IF(CN7=0,0,IF(MAX($F9:CM9)=$D12,0,CM9+1))</f>
        <v>0</v>
      </c>
      <c r="CO9" s="26">
        <f>IF(CO7=0,0,IF(MAX($F9:CN9)=$D12,0,CN9+1))</f>
        <v>0</v>
      </c>
      <c r="CP9" s="26">
        <f>IF(CP7=0,0,IF(MAX($F9:CO9)=$D12,0,CO9+1))</f>
        <v>0</v>
      </c>
      <c r="CQ9" s="26">
        <f>IF(CQ7=0,0,IF(MAX($F9:CP9)=$D12,0,CP9+1))</f>
        <v>0</v>
      </c>
      <c r="CR9" s="26">
        <f>IF(CR7=0,0,IF(MAX($F9:CQ9)=$D12,0,CQ9+1))</f>
        <v>0</v>
      </c>
      <c r="CS9" s="26">
        <f>IF(CS7=0,0,IF(MAX($F9:CR9)=$D12,0,CR9+1))</f>
        <v>0</v>
      </c>
      <c r="CT9" s="26">
        <f>IF(CT7=0,0,IF(MAX($F9:CS9)=$D12,0,CS9+1))</f>
        <v>0</v>
      </c>
      <c r="CU9" s="26">
        <f>IF(CU7=0,0,IF(MAX($F9:CT9)=$D12,0,CT9+1))</f>
        <v>0</v>
      </c>
      <c r="CV9" s="26">
        <f>IF(CV7=0,0,IF(MAX($F9:CU9)=$D12,0,CU9+1))</f>
        <v>0</v>
      </c>
      <c r="CW9" s="26">
        <f>IF(CW7=0,0,IF(MAX($F9:CV9)=$D12,0,CV9+1))</f>
        <v>0</v>
      </c>
      <c r="CX9" s="26">
        <f>IF(CX7=0,0,IF(MAX($F9:CW9)=$D12,0,CW9+1))</f>
        <v>0</v>
      </c>
      <c r="CY9" s="26">
        <f>IF(CY7=0,0,IF(MAX($F9:CX9)=$D12,0,CX9+1))</f>
        <v>0</v>
      </c>
      <c r="CZ9" s="26">
        <f>IF(CZ7=0,0,IF(MAX($F9:CY9)=$D12,0,CY9+1))</f>
        <v>0</v>
      </c>
      <c r="DA9" s="26">
        <f>IF(DA7=0,0,IF(MAX($F9:CZ9)=$D12,0,CZ9+1))</f>
        <v>0</v>
      </c>
      <c r="DB9" s="26">
        <f>IF(DB7=0,0,IF(MAX($F9:DA9)=$D12,0,DA9+1))</f>
        <v>0</v>
      </c>
      <c r="DC9" s="26">
        <f>IF(DC7=0,0,IF(MAX($F9:DB9)=$D12,0,DB9+1))</f>
        <v>0</v>
      </c>
      <c r="DD9" s="26">
        <f>IF(DD7=0,0,IF(MAX($F9:DC9)=$D12,0,DC9+1))</f>
        <v>0</v>
      </c>
      <c r="DE9" s="26">
        <f>IF(DE7=0,0,IF(MAX($F9:DD9)=$D12,0,DD9+1))</f>
        <v>0</v>
      </c>
      <c r="DF9" s="26">
        <f>IF(DF7=0,0,IF(MAX($F9:DE9)=$D12,0,DE9+1))</f>
        <v>0</v>
      </c>
      <c r="DG9" s="26">
        <f>IF(DG7=0,0,IF(MAX($F9:DF9)=$D12,0,DF9+1))</f>
        <v>0</v>
      </c>
      <c r="DH9" s="26">
        <f>IF(DH7=0,0,IF(MAX($F9:DG9)=$D12,0,DG9+1))</f>
        <v>0</v>
      </c>
      <c r="DI9" s="26">
        <f>IF(DI7=0,0,IF(MAX($F9:DH9)=$D12,0,DH9+1))</f>
        <v>0</v>
      </c>
      <c r="DJ9" s="26">
        <f>IF(DJ7=0,0,IF(MAX($F9:DI9)=$D12,0,DI9+1))</f>
        <v>0</v>
      </c>
      <c r="DK9" s="26">
        <f>IF(DK7=0,0,IF(MAX($F9:DJ9)=$D12,0,DJ9+1))</f>
        <v>0</v>
      </c>
      <c r="DL9" s="26">
        <f>IF(DL7=0,0,IF(MAX($F9:DK9)=$D12,0,DK9+1))</f>
        <v>0</v>
      </c>
      <c r="DM9" s="26">
        <f>IF(DM7=0,0,IF(MAX($F9:DL9)=$D12,0,DL9+1))</f>
        <v>0</v>
      </c>
      <c r="DN9" s="26">
        <f>IF(DN7=0,0,IF(MAX($F9:DM9)=$D12,0,DM9+1))</f>
        <v>0</v>
      </c>
      <c r="DO9" s="26">
        <f>IF(DO7=0,0,IF(MAX($F9:DN9)=$D12,0,DN9+1))</f>
        <v>0</v>
      </c>
      <c r="DP9" s="26">
        <f>IF(DP7=0,0,IF(MAX($F9:DO9)=$D12,0,DO9+1))</f>
        <v>0</v>
      </c>
      <c r="DQ9" s="26">
        <f>IF(DQ7=0,0,IF(MAX($F9:DP9)=$D12,0,DP9+1))</f>
        <v>0</v>
      </c>
      <c r="DR9" s="26">
        <f>IF(DR7=0,0,IF(MAX($F9:DQ9)=$D12,0,DQ9+1))</f>
        <v>0</v>
      </c>
      <c r="DS9" s="26">
        <f>IF(DS7=0,0,IF(MAX($F9:DR9)=$D12,0,DR9+1))</f>
        <v>0</v>
      </c>
      <c r="DT9" s="26">
        <f>IF(DT7=0,0,IF(MAX($F9:DS9)=$D12,0,DS9+1))</f>
        <v>0</v>
      </c>
      <c r="DU9" s="26">
        <f>IF(DU7=0,0,IF(MAX($F9:DT9)=$D12,0,DT9+1))</f>
        <v>0</v>
      </c>
      <c r="DV9" s="26">
        <f>IF(DV7=0,0,IF(MAX($F9:DU9)=$D12,0,DU9+1))</f>
        <v>0</v>
      </c>
      <c r="DW9" s="26">
        <f>IF(DW7=0,0,IF(MAX($F9:DV9)=$D12,0,DV9+1))</f>
        <v>0</v>
      </c>
      <c r="DX9" s="26">
        <f>IF(DX7=0,0,IF(MAX($F9:DW9)=$D12,0,DW9+1))</f>
        <v>0</v>
      </c>
      <c r="DY9" s="26">
        <f>IF(DY7=0,0,IF(MAX($F9:DX9)=$D12,0,DX9+1))</f>
        <v>0</v>
      </c>
      <c r="DZ9" s="26">
        <f>IF(DZ7=0,0,IF(MAX($F9:DY9)=$D12,0,DY9+1))</f>
        <v>0</v>
      </c>
      <c r="EA9" s="26">
        <f>IF(EA7=0,0,IF(MAX($F9:DZ9)=$D12,0,DZ9+1))</f>
        <v>0</v>
      </c>
      <c r="EB9" s="26">
        <f>IF(EB7=0,0,IF(MAX($F9:EA9)=$D12,0,EA9+1))</f>
        <v>0</v>
      </c>
      <c r="EC9" s="26">
        <f>IF(EC7=0,0,IF(MAX($F9:EB9)=$D12,0,EB9+1))</f>
        <v>0</v>
      </c>
      <c r="ED9" s="26">
        <f>IF(ED7=0,0,IF(MAX($F9:EC9)=$D12,0,EC9+1))</f>
        <v>0</v>
      </c>
      <c r="EE9" s="26">
        <f>IF(EE7=0,0,IF(MAX($F9:ED9)=$D12,0,ED9+1))</f>
        <v>0</v>
      </c>
      <c r="EF9" s="26">
        <f>IF(EF7=0,0,IF(MAX($F9:EE9)=$D12,0,EE9+1))</f>
        <v>0</v>
      </c>
      <c r="EG9" s="26">
        <f>IF(EG7=0,0,IF(MAX($F9:EF9)=$D12,0,EF9+1))</f>
        <v>0</v>
      </c>
      <c r="EH9" s="26">
        <f>IF(EH7=0,0,IF(MAX($F9:EG9)=$D12,0,EG9+1))</f>
        <v>0</v>
      </c>
      <c r="EI9" s="26">
        <f>IF(EI7=0,0,IF(MAX($F9:EH9)=$D12,0,EH9+1))</f>
        <v>0</v>
      </c>
      <c r="EJ9" s="26">
        <f>IF(EJ7=0,0,IF(MAX($F9:EI9)=$D12,0,EI9+1))</f>
        <v>0</v>
      </c>
      <c r="EK9" s="26">
        <f>IF(EK7=0,0,IF(MAX($F9:EJ9)=$D12,0,EJ9+1))</f>
        <v>0</v>
      </c>
      <c r="EL9" s="26">
        <f>IF(EL7=0,0,IF(MAX($F9:EK9)=$D12,0,EK9+1))</f>
        <v>0</v>
      </c>
      <c r="EM9" s="26">
        <f>IF(EM7=0,0,IF(MAX($F9:EL9)=$D12,0,EL9+1))</f>
        <v>0</v>
      </c>
      <c r="EN9" s="26">
        <f>IF(EN7=0,0,IF(MAX($F9:EM9)=$D12,0,EM9+1))</f>
        <v>0</v>
      </c>
      <c r="EO9" s="26">
        <f>IF(EO7=0,0,IF(MAX($F9:EN9)=$D12,0,EN9+1))</f>
        <v>0</v>
      </c>
      <c r="EP9" s="26">
        <f>IF(EP7=0,0,IF(MAX($F9:EO9)=$D12,0,EO9+1))</f>
        <v>0</v>
      </c>
      <c r="EQ9" s="26">
        <f>IF(EQ7=0,0,IF(MAX($F9:EP9)=$D12,0,EP9+1))</f>
        <v>0</v>
      </c>
      <c r="ER9" s="26">
        <f>IF(ER7=0,0,IF(MAX($F9:EQ9)=$D12,0,EQ9+1))</f>
        <v>0</v>
      </c>
      <c r="ES9" s="26">
        <f>IF(ES7=0,0,IF(MAX($F9:ER9)=$D12,0,ER9+1))</f>
        <v>0</v>
      </c>
      <c r="ET9" s="26">
        <f>IF(ET7=0,0,IF(MAX($F9:ES9)=$D12,0,ES9+1))</f>
        <v>0</v>
      </c>
      <c r="EU9" s="26">
        <f>IF(EU7=0,0,IF(MAX($F9:ET9)=$D12,0,ET9+1))</f>
        <v>0</v>
      </c>
      <c r="EV9" s="26">
        <f>IF(EV7=0,0,IF(MAX($F9:EU9)=$D12,0,EU9+1))</f>
        <v>0</v>
      </c>
      <c r="EW9" s="26">
        <f>IF(EW7=0,0,IF(MAX($F9:EV9)=$D12,0,EV9+1))</f>
        <v>0</v>
      </c>
      <c r="EX9" s="26">
        <f>IF(EX7=0,0,IF(MAX($F9:EW9)=$D12,0,EW9+1))</f>
        <v>0</v>
      </c>
      <c r="EY9" s="26">
        <f>IF(EY7=0,0,IF(MAX($F9:EX9)=$D12,0,EX9+1))</f>
        <v>0</v>
      </c>
      <c r="EZ9" s="26">
        <f>IF(EZ7=0,0,IF(MAX($F9:EY9)=$D12,0,EY9+1))</f>
        <v>0</v>
      </c>
      <c r="FA9" s="26">
        <f>IF(FA7=0,0,IF(MAX($F9:EZ9)=$D12,0,EZ9+1))</f>
        <v>0</v>
      </c>
      <c r="FB9" s="26">
        <f>IF(FB7=0,0,IF(MAX($F9:FA9)=$D12,0,FA9+1))</f>
        <v>0</v>
      </c>
      <c r="FC9" s="26">
        <f>IF(FC7=0,0,IF(MAX($F9:FB9)=$D12,0,FB9+1))</f>
        <v>0</v>
      </c>
      <c r="FD9" s="26">
        <f>IF(FD7=0,0,IF(MAX($F9:FC9)=$D12,0,FC9+1))</f>
        <v>0</v>
      </c>
      <c r="FE9" s="26">
        <f>IF(FE7=0,0,IF(MAX($F9:FD9)=$D12,0,FD9+1))</f>
        <v>0</v>
      </c>
      <c r="FF9" s="26">
        <f>IF(FF7=0,0,IF(MAX($F9:FE9)=$D12,0,FE9+1))</f>
        <v>0</v>
      </c>
      <c r="FG9" s="26">
        <f>IF(FG7=0,0,IF(MAX($F9:FF9)=$D12,0,FF9+1))</f>
        <v>0</v>
      </c>
      <c r="FH9" s="26">
        <f>IF(FH7=0,0,IF(MAX($F9:FG9)=$D12,0,FG9+1))</f>
        <v>0</v>
      </c>
      <c r="FI9" s="26">
        <f>IF(FI7=0,0,IF(MAX($F9:FH9)=$D12,0,FH9+1))</f>
        <v>0</v>
      </c>
      <c r="FJ9" s="26">
        <f>IF(FJ7=0,0,IF(MAX($F9:FI9)=$D12,0,FI9+1))</f>
        <v>0</v>
      </c>
      <c r="FK9" s="26">
        <f>IF(FK7=0,0,IF(MAX($F9:FJ9)=$D12,0,FJ9+1))</f>
        <v>0</v>
      </c>
      <c r="FL9" s="26">
        <f>IF(FL7=0,0,IF(MAX($F9:FK9)=$D12,0,FK9+1))</f>
        <v>0</v>
      </c>
      <c r="FM9" s="26">
        <f>IF(FM7=0,0,IF(MAX($F9:FL9)=$D12,0,FL9+1))</f>
        <v>0</v>
      </c>
      <c r="FN9" s="26">
        <f>IF(FN7=0,0,IF(MAX($F9:FM9)=$D12,0,FM9+1))</f>
        <v>0</v>
      </c>
      <c r="FO9" s="26">
        <f>IF(FO7=0,0,IF(MAX($F9:FN9)=$D12,0,FN9+1))</f>
        <v>0</v>
      </c>
      <c r="FP9" s="26">
        <f>IF(FP7=0,0,IF(MAX($F9:FO9)=$D12,0,FO9+1))</f>
        <v>0</v>
      </c>
      <c r="FQ9" s="26">
        <f>IF(FQ7=0,0,IF(MAX($F9:FP9)=$D12,0,FP9+1))</f>
        <v>0</v>
      </c>
      <c r="FR9" s="26">
        <f>IF(FR7=0,0,IF(MAX($F9:FQ9)=$D12,0,FQ9+1))</f>
        <v>0</v>
      </c>
      <c r="FS9" s="26">
        <f>IF(FS7=0,0,IF(MAX($F9:FR9)=$D12,0,FR9+1))</f>
        <v>0</v>
      </c>
      <c r="FT9" s="26">
        <f>IF(FT7=0,0,IF(MAX($F9:FS9)=$D12,0,FS9+1))</f>
        <v>0</v>
      </c>
      <c r="FU9" s="26">
        <f>IF(FU7=0,0,IF(MAX($F9:FT9)=$D12,0,FT9+1))</f>
        <v>0</v>
      </c>
      <c r="FV9" s="26">
        <f>IF(FV7=0,0,IF(MAX($F9:FU9)=$D12,0,FU9+1))</f>
        <v>0</v>
      </c>
      <c r="FW9" s="26">
        <f>IF(FW7=0,0,IF(MAX($F9:FV9)=$D12,0,FV9+1))</f>
        <v>0</v>
      </c>
      <c r="FX9" s="26">
        <f>IF(FX7=0,0,IF(MAX($F9:FW9)=$D12,0,FW9+1))</f>
        <v>0</v>
      </c>
      <c r="FY9" s="26">
        <f>IF(FY7=0,0,IF(MAX($F9:FX9)=$D12,0,FX9+1))</f>
        <v>0</v>
      </c>
      <c r="FZ9" s="26">
        <f>IF(FZ7=0,0,IF(MAX($F9:FY9)=$D12,0,FY9+1))</f>
        <v>0</v>
      </c>
      <c r="GA9" s="26">
        <f>IF(GA7=0,0,IF(MAX($F9:FZ9)=$D12,0,FZ9+1))</f>
        <v>0</v>
      </c>
      <c r="GB9" s="26">
        <f>IF(GB7=0,0,IF(MAX($F9:GA9)=$D12,0,GA9+1))</f>
        <v>0</v>
      </c>
      <c r="GC9" s="26">
        <f>IF(GC7=0,0,IF(MAX($F9:GB9)=$D12,0,GB9+1))</f>
        <v>0</v>
      </c>
      <c r="GD9" s="26">
        <f>IF(GD7=0,0,IF(MAX($F9:GC9)=$D12,0,GC9+1))</f>
        <v>0</v>
      </c>
      <c r="GE9" s="26">
        <f>IF(GE7=0,0,IF(MAX($F9:GD9)=$D12,0,GD9+1))</f>
        <v>0</v>
      </c>
      <c r="GF9" s="26">
        <f>IF(GF7=0,0,IF(MAX($F9:GE9)=$D12,0,GE9+1))</f>
        <v>0</v>
      </c>
      <c r="GG9" s="26">
        <f>IF(GG7=0,0,IF(MAX($F9:GF9)=$D12,0,GF9+1))</f>
        <v>0</v>
      </c>
      <c r="GH9" s="26">
        <f>IF(GH7=0,0,IF(MAX($F9:GG9)=$D12,0,GG9+1))</f>
        <v>0</v>
      </c>
      <c r="GI9" s="26">
        <f>IF(GI7=0,0,IF(MAX($F9:GH9)=$D12,0,GH9+1))</f>
        <v>0</v>
      </c>
      <c r="GJ9" s="26">
        <f>IF(GJ7=0,0,IF(MAX($F9:GI9)=$D12,0,GI9+1))</f>
        <v>0</v>
      </c>
      <c r="GK9" s="26">
        <f>IF(GK7=0,0,IF(MAX($F9:GJ9)=$D12,0,GJ9+1))</f>
        <v>0</v>
      </c>
      <c r="GL9" s="26">
        <f>IF(GL7=0,0,IF(MAX($F9:GK9)=$D12,0,GK9+1))</f>
        <v>0</v>
      </c>
      <c r="GM9" s="26">
        <f>IF(GM7=0,0,IF(MAX($F9:GL9)=$D12,0,GL9+1))</f>
        <v>0</v>
      </c>
      <c r="GN9" s="26">
        <f>IF(GN7=0,0,IF(MAX($F9:GM9)=$D12,0,GM9+1))</f>
        <v>0</v>
      </c>
      <c r="GO9" s="26">
        <f>IF(GO7=0,0,IF(MAX($F9:GN9)=$D12,0,GN9+1))</f>
        <v>0</v>
      </c>
      <c r="GP9" s="26">
        <f>IF(GP7=0,0,IF(MAX($F9:GO9)=$D12,0,GO9+1))</f>
        <v>0</v>
      </c>
      <c r="GQ9" s="26">
        <f>IF(GQ7=0,0,IF(MAX($F9:GP9)=$D12,0,GP9+1))</f>
        <v>0</v>
      </c>
      <c r="GR9" s="26">
        <f>IF(GR7=0,0,IF(MAX($F9:GQ9)=$D12,0,GQ9+1))</f>
        <v>0</v>
      </c>
      <c r="GS9" s="26">
        <f>IF(GS7=0,0,IF(MAX($F9:GR9)=$D12,0,GR9+1))</f>
        <v>0</v>
      </c>
      <c r="GT9" s="26">
        <f>IF(GT7=0,0,IF(MAX($F9:GS9)=$D12,0,GS9+1))</f>
        <v>0</v>
      </c>
      <c r="GU9" s="26">
        <f>IF(GU7=0,0,IF(MAX($F9:GT9)=$D12,0,GT9+1))</f>
        <v>0</v>
      </c>
      <c r="GV9" s="26">
        <f>IF(GV7=0,0,IF(MAX($F9:GU9)=$D12,0,GU9+1))</f>
        <v>0</v>
      </c>
      <c r="GW9" s="26">
        <f>IF(GW7=0,0,IF(MAX($F9:GV9)=$D12,0,GV9+1))</f>
        <v>0</v>
      </c>
      <c r="GX9" s="26">
        <f>IF(GX7=0,0,IF(MAX($F9:GW9)=$D12,0,GW9+1))</f>
        <v>0</v>
      </c>
      <c r="GY9" s="26">
        <f>IF(GY7=0,0,IF(MAX($F9:GX9)=$D12,0,GX9+1))</f>
        <v>0</v>
      </c>
      <c r="GZ9" s="26">
        <f>IF(GZ7=0,0,IF(MAX($F9:GY9)=$D12,0,GY9+1))</f>
        <v>0</v>
      </c>
      <c r="HA9" s="26">
        <f>IF(HA7=0,0,IF(MAX($F9:GZ9)=$D12,0,GZ9+1))</f>
        <v>0</v>
      </c>
      <c r="HB9" s="26">
        <f>IF(HB7=0,0,IF(MAX($F9:HA9)=$D12,0,HA9+1))</f>
        <v>0</v>
      </c>
      <c r="HC9" s="26">
        <f>IF(HC7=0,0,IF(MAX($F9:HB9)=$D12,0,HB9+1))</f>
        <v>0</v>
      </c>
      <c r="HD9" s="26">
        <f>IF(HD7=0,0,IF(MAX($F9:HC9)=$D12,0,HC9+1))</f>
        <v>0</v>
      </c>
      <c r="HE9" s="26">
        <f>IF(HE7=0,0,IF(MAX($F9:HD9)=$D12,0,HD9+1))</f>
        <v>0</v>
      </c>
      <c r="HF9" s="26">
        <f>IF(HF7=0,0,IF(MAX($F9:HE9)=$D12,0,HE9+1))</f>
        <v>0</v>
      </c>
      <c r="HG9" s="26">
        <f>IF(HG7=0,0,IF(MAX($F9:HF9)=$D12,0,HF9+1))</f>
        <v>0</v>
      </c>
      <c r="HH9" s="26">
        <f>IF(HH7=0,0,IF(MAX($F9:HG9)=$D12,0,HG9+1))</f>
        <v>0</v>
      </c>
      <c r="HI9" s="26">
        <f>IF(HI7=0,0,IF(MAX($F9:HH9)=$D12,0,HH9+1))</f>
        <v>0</v>
      </c>
      <c r="HJ9" s="26">
        <f>IF(HJ7=0,0,IF(MAX($F9:HI9)=$D12,0,HI9+1))</f>
        <v>0</v>
      </c>
      <c r="HK9" s="26">
        <f>IF(HK7=0,0,IF(MAX($F9:HJ9)=$D12,0,HJ9+1))</f>
        <v>0</v>
      </c>
      <c r="HL9" s="26">
        <f>IF(HL7=0,0,IF(MAX($F9:HK9)=$D12,0,HK9+1))</f>
        <v>0</v>
      </c>
      <c r="HM9" s="26">
        <f>IF(HM7=0,0,IF(MAX($F9:HL9)=$D12,0,HL9+1))</f>
        <v>0</v>
      </c>
      <c r="HN9" s="26">
        <f>IF(HN7=0,0,IF(MAX($F9:HM9)=$D12,0,HM9+1))</f>
        <v>0</v>
      </c>
      <c r="HO9" s="26">
        <f>IF(HO7=0,0,IF(MAX($F9:HN9)=$D12,0,HN9+1))</f>
        <v>0</v>
      </c>
      <c r="HP9" s="26">
        <f>IF(HP7=0,0,IF(MAX($F9:HO9)=$D12,0,HO9+1))</f>
        <v>0</v>
      </c>
      <c r="HQ9" s="26">
        <f>IF(HQ7=0,0,IF(MAX($F9:HP9)=$D12,0,HP9+1))</f>
        <v>0</v>
      </c>
      <c r="HR9" s="26">
        <f>IF(HR7=0,0,IF(MAX($F9:HQ9)=$D12,0,HQ9+1))</f>
        <v>0</v>
      </c>
      <c r="HS9" s="26">
        <f>IF(HS7=0,0,IF(MAX($F9:HR9)=$D12,0,HR9+1))</f>
        <v>0</v>
      </c>
      <c r="HT9" s="26">
        <f>IF(HT7=0,0,IF(MAX($F9:HS9)=$D12,0,HS9+1))</f>
        <v>0</v>
      </c>
      <c r="HU9" s="26">
        <f>IF(HU7=0,0,IF(MAX($F9:HT9)=$D12,0,HT9+1))</f>
        <v>0</v>
      </c>
      <c r="HV9" s="26">
        <f>IF(HV7=0,0,IF(MAX($F9:HU9)=$D12,0,HU9+1))</f>
        <v>0</v>
      </c>
      <c r="HW9" s="26">
        <f>IF(HW7=0,0,IF(MAX($F9:HV9)=$D12,0,HV9+1))</f>
        <v>0</v>
      </c>
      <c r="HX9" s="26">
        <f>IF(HX7=0,0,IF(MAX($F9:HW9)=$D12,0,HW9+1))</f>
        <v>0</v>
      </c>
      <c r="HY9" s="26">
        <f>IF(HY7=0,0,IF(MAX($F9:HX9)=$D12,0,HX9+1))</f>
        <v>0</v>
      </c>
      <c r="HZ9" s="26">
        <f>IF(HZ7=0,0,IF(MAX($F9:HY9)=$D12,0,HY9+1))</f>
        <v>0</v>
      </c>
      <c r="IA9" s="26">
        <f>IF(IA7=0,0,IF(MAX($F9:HZ9)=$D12,0,HZ9+1))</f>
        <v>0</v>
      </c>
      <c r="IB9" s="26">
        <f>IF(IB7=0,0,IF(MAX($F9:IA9)=$D12,0,IA9+1))</f>
        <v>0</v>
      </c>
      <c r="IC9" s="26">
        <f>IF(IC7=0,0,IF(MAX($F9:IB9)=$D12,0,IB9+1))</f>
        <v>0</v>
      </c>
      <c r="ID9" s="26">
        <f>IF(ID7=0,0,IF(MAX($F9:IC9)=$D12,0,IC9+1))</f>
        <v>0</v>
      </c>
      <c r="IE9" s="26">
        <f>IF(IE7=0,0,IF(MAX($F9:ID9)=$D12,0,ID9+1))</f>
        <v>0</v>
      </c>
      <c r="IF9" s="26">
        <f>IF(IF7=0,0,IF(MAX($F9:IE9)=$D12,0,IE9+1))</f>
        <v>0</v>
      </c>
      <c r="IG9" s="26">
        <f>IF(IG7=0,0,IF(MAX($F9:IF9)=$D12,0,IF9+1))</f>
        <v>0</v>
      </c>
      <c r="IH9" s="26">
        <f>IF(IH7=0,0,IF(MAX($F9:IG9)=$D12,0,IG9+1))</f>
        <v>0</v>
      </c>
      <c r="II9" s="26">
        <f>IF(II7=0,0,IF(MAX($F9:IH9)=$D12,0,IH9+1))</f>
        <v>0</v>
      </c>
      <c r="IJ9" s="26">
        <f>IF(IJ7=0,0,IF(MAX($F9:II9)=$D12,0,II9+1))</f>
        <v>0</v>
      </c>
      <c r="IK9" s="26">
        <f>IF(IK7=0,0,IF(MAX($F9:IJ9)=$D12,0,IJ9+1))</f>
        <v>0</v>
      </c>
      <c r="IL9" s="26">
        <f>IF(IL7=0,0,IF(MAX($F9:IK9)=$D12,0,IK9+1))</f>
        <v>0</v>
      </c>
      <c r="IM9" s="26">
        <f>IF(IM7=0,0,IF(MAX($F9:IL9)=$D12,0,IL9+1))</f>
        <v>0</v>
      </c>
      <c r="IN9" s="26">
        <f>IF(IN7=0,0,IF(MAX($F9:IM9)=$D12,0,IM9+1))</f>
        <v>0</v>
      </c>
      <c r="IO9" s="26">
        <f>IF(IO7=0,0,IF(MAX($F9:IN9)=$D12,0,IN9+1))</f>
        <v>0</v>
      </c>
      <c r="IP9" s="26">
        <f>IF(IP7=0,0,IF(MAX($F9:IO9)=$D12,0,IO9+1))</f>
        <v>0</v>
      </c>
      <c r="IQ9" s="26">
        <f>IF(IQ7=0,0,IF(MAX($F9:IP9)=$D12,0,IP9+1))</f>
        <v>0</v>
      </c>
      <c r="IR9" s="26">
        <f>IF(IR7=0,0,IF(MAX($F9:IQ9)=$D12,0,IQ9+1))</f>
        <v>0</v>
      </c>
      <c r="IS9" s="26">
        <f>IF(IS7=0,0,IF(MAX($F9:IR9)=$D12,0,IR9+1))</f>
        <v>0</v>
      </c>
      <c r="IT9" s="26">
        <f>IF(IT7=0,0,IF(MAX($F9:IS9)=$D12,0,IS9+1))</f>
        <v>0</v>
      </c>
      <c r="IU9" s="26">
        <f>IF(IU7=0,0,IF(MAX($F9:IT9)=$D12,0,IT9+1))</f>
        <v>0</v>
      </c>
      <c r="IV9" s="26">
        <f>IF(IV7=0,0,IF(MAX($F9:IU9)=$D12,0,IU9+1))</f>
        <v>0</v>
      </c>
      <c r="IW9" s="26">
        <f>IF(IW7=0,0,IF(MAX($F9:IV9)=$D12,0,IV9+1))</f>
        <v>0</v>
      </c>
      <c r="IX9" s="26">
        <f>IF(IX7=0,0,IF(MAX($F9:IW9)=$D12,0,IW9+1))</f>
        <v>0</v>
      </c>
      <c r="IY9" s="26">
        <f>IF(IY7=0,0,IF(MAX($F9:IX9)=$D12,0,IX9+1))</f>
        <v>0</v>
      </c>
      <c r="IZ9" s="26">
        <f>IF(IZ7=0,0,IF(MAX($F9:IY9)=$D12,0,IY9+1))</f>
        <v>0</v>
      </c>
      <c r="JA9" s="26">
        <f>IF(JA7=0,0,IF(MAX($F9:IZ9)=$D12,0,IZ9+1))</f>
        <v>0</v>
      </c>
      <c r="JB9" s="26">
        <f>IF(JB7=0,0,IF(MAX($F9:JA9)=$D12,0,JA9+1))</f>
        <v>0</v>
      </c>
      <c r="JC9" s="26">
        <f>IF(JC7=0,0,IF(MAX($F9:JB9)=$D12,0,JB9+1))</f>
        <v>0</v>
      </c>
      <c r="JD9" s="26">
        <f>IF(JD7=0,0,IF(MAX($F9:JC9)=$D12,0,JC9+1))</f>
        <v>0</v>
      </c>
      <c r="JE9" s="26">
        <f>IF(JE7=0,0,IF(MAX($F9:JD9)=$D12,0,JD9+1))</f>
        <v>0</v>
      </c>
      <c r="JF9" s="26">
        <f>IF(JF7=0,0,IF(MAX($F9:JE9)=$D12,0,JE9+1))</f>
        <v>0</v>
      </c>
      <c r="JG9" s="26">
        <f>IF(JG7=0,0,IF(MAX($F9:JF9)=$D12,0,JF9+1))</f>
        <v>0</v>
      </c>
      <c r="JH9" s="26">
        <f>IF(JH7=0,0,IF(MAX($F9:JG9)=$D12,0,JG9+1))</f>
        <v>0</v>
      </c>
      <c r="JI9" s="26">
        <f>IF(JI7=0,0,IF(MAX($F9:JH9)=$D12,0,JH9+1))</f>
        <v>0</v>
      </c>
      <c r="JJ9" s="26">
        <f>IF(JJ7=0,0,IF(MAX($F9:JI9)=$D12,0,JI9+1))</f>
        <v>0</v>
      </c>
      <c r="JK9" s="26">
        <f>IF(JK7=0,0,IF(MAX($F9:JJ9)=$D12,0,JJ9+1))</f>
        <v>0</v>
      </c>
      <c r="JL9" s="26">
        <f>IF(JL7=0,0,IF(MAX($F9:JK9)=$D12,0,JK9+1))</f>
        <v>0</v>
      </c>
      <c r="JM9" s="26">
        <f>IF(JM7=0,0,IF(MAX($F9:JL9)=$D12,0,JL9+1))</f>
        <v>0</v>
      </c>
      <c r="JN9" s="26">
        <f>IF(JN7=0,0,IF(MAX($F9:JM9)=$D12,0,JM9+1))</f>
        <v>0</v>
      </c>
      <c r="JO9" s="26">
        <f>IF(JO7=0,0,IF(MAX($F9:JN9)=$D12,0,JN9+1))</f>
        <v>0</v>
      </c>
      <c r="JP9" s="26">
        <f>IF(JP7=0,0,IF(MAX($F9:JO9)=$D12,0,JO9+1))</f>
        <v>0</v>
      </c>
      <c r="JQ9" s="26">
        <f>IF(JQ7=0,0,IF(MAX($F9:JP9)=$D12,0,JP9+1))</f>
        <v>0</v>
      </c>
      <c r="JR9" s="26">
        <f>IF(JR7=0,0,IF(MAX($F9:JQ9)=$D12,0,JQ9+1))</f>
        <v>0</v>
      </c>
      <c r="JS9" s="26">
        <f>IF(JS7=0,0,IF(MAX($F9:JR9)=$D12,0,JR9+1))</f>
        <v>0</v>
      </c>
      <c r="JT9" s="26">
        <f>IF(JT7=0,0,IF(MAX($F9:JS9)=$D12,0,JS9+1))</f>
        <v>0</v>
      </c>
      <c r="JU9" s="26">
        <f>IF(JU7=0,0,IF(MAX($F9:JT9)=$D12,0,JT9+1))</f>
        <v>0</v>
      </c>
      <c r="JV9" s="26">
        <f>IF(JV7=0,0,IF(MAX($F9:JU9)=$D12,0,JU9+1))</f>
        <v>0</v>
      </c>
      <c r="JW9" s="26">
        <f>IF(JW7=0,0,IF(MAX($F9:JV9)=$D12,0,JV9+1))</f>
        <v>0</v>
      </c>
      <c r="JX9" s="26">
        <f>IF(JX7=0,0,IF(MAX($F9:JW9)=$D12,0,JW9+1))</f>
        <v>0</v>
      </c>
      <c r="JY9" s="26">
        <f>IF(JY7=0,0,IF(MAX($F9:JX9)=$D12,0,JX9+1))</f>
        <v>0</v>
      </c>
      <c r="JZ9" s="26">
        <f>IF(JZ7=0,0,IF(MAX($F9:JY9)=$D12,0,JY9+1))</f>
        <v>0</v>
      </c>
      <c r="KA9" s="26">
        <f>IF(KA7=0,0,IF(MAX($F9:JZ9)=$D12,0,JZ9+1))</f>
        <v>0</v>
      </c>
      <c r="KB9" s="26">
        <f>IF(KB7=0,0,IF(MAX($F9:KA9)=$D12,0,KA9+1))</f>
        <v>0</v>
      </c>
      <c r="KC9" s="26">
        <f>IF(KC7=0,0,IF(MAX($F9:KB9)=$D12,0,KB9+1))</f>
        <v>0</v>
      </c>
      <c r="KD9" s="26">
        <f>IF(KD7=0,0,IF(MAX($F9:KC9)=$D12,0,KC9+1))</f>
        <v>0</v>
      </c>
      <c r="KE9" s="26">
        <f>IF(KE7=0,0,IF(MAX($F9:KD9)=$D12,0,KD9+1))</f>
        <v>0</v>
      </c>
      <c r="KF9" s="26">
        <f>IF(KF7=0,0,IF(MAX($F9:KE9)=$D12,0,KE9+1))</f>
        <v>0</v>
      </c>
      <c r="KG9" s="26">
        <f>IF(KG7=0,0,IF(MAX($F9:KF9)=$D12,0,KF9+1))</f>
        <v>0</v>
      </c>
      <c r="KH9" s="26">
        <f>IF(KH7=0,0,IF(MAX($F9:KG9)=$D12,0,KG9+1))</f>
        <v>0</v>
      </c>
      <c r="KI9" s="26">
        <f>IF(KI7=0,0,IF(MAX($F9:KH9)=$D12,0,KH9+1))</f>
        <v>0</v>
      </c>
      <c r="KJ9" s="26">
        <f>IF(KJ7=0,0,IF(MAX($F9:KI9)=$D12,0,KI9+1))</f>
        <v>0</v>
      </c>
      <c r="KK9" s="26">
        <f>IF(KK7=0,0,IF(MAX($F9:KJ9)=$D12,0,KJ9+1))</f>
        <v>0</v>
      </c>
      <c r="KL9" s="26">
        <f>IF(KL7=0,0,IF(MAX($F9:KK9)=$D12,0,KK9+1))</f>
        <v>0</v>
      </c>
      <c r="KM9" s="26">
        <f>IF(KM7=0,0,IF(MAX($F9:KL9)=$D12,0,KL9+1))</f>
        <v>0</v>
      </c>
      <c r="KN9" s="26">
        <f>IF(KN7=0,0,IF(MAX($F9:KM9)=$D12,0,KM9+1))</f>
        <v>0</v>
      </c>
      <c r="KO9" s="26">
        <f>IF(KO7=0,0,IF(MAX($F9:KN9)=$D12,0,KN9+1))</f>
        <v>0</v>
      </c>
      <c r="KP9" s="26">
        <f>IF(KP7=0,0,IF(MAX($F9:KO9)=$D12,0,KO9+1))</f>
        <v>0</v>
      </c>
      <c r="KQ9" s="26">
        <f>IF(KQ7=0,0,IF(MAX($F9:KP9)=$D12,0,KP9+1))</f>
        <v>0</v>
      </c>
      <c r="KR9" s="26">
        <f>IF(KR7=0,0,IF(MAX($F9:KQ9)=$D12,0,KQ9+1))</f>
        <v>0</v>
      </c>
      <c r="KS9" s="26">
        <f>IF(KS7=0,0,IF(MAX($F9:KR9)=$D12,0,KR9+1))</f>
        <v>0</v>
      </c>
      <c r="KT9" s="26">
        <f>IF(KT7=0,0,IF(MAX($F9:KS9)=$D12,0,KS9+1))</f>
        <v>0</v>
      </c>
      <c r="KU9" s="26">
        <f>IF(KU7=0,0,IF(MAX($F9:KT9)=$D12,0,KT9+1))</f>
        <v>0</v>
      </c>
      <c r="KV9" s="26">
        <f>IF(KV7=0,0,IF(MAX($F9:KU9)=$D12,0,KU9+1))</f>
        <v>0</v>
      </c>
      <c r="KW9" s="26">
        <f>IF(KW7=0,0,IF(MAX($F9:KV9)=$D12,0,KV9+1))</f>
        <v>0</v>
      </c>
      <c r="KX9" s="26">
        <f>IF(KX7=0,0,IF(MAX($F9:KW9)=$D12,0,KW9+1))</f>
        <v>0</v>
      </c>
      <c r="KY9" s="26">
        <f>IF(KY7=0,0,IF(MAX($F9:KX9)=$D12,0,KX9+1))</f>
        <v>0</v>
      </c>
      <c r="KZ9" s="26">
        <f>IF(KZ7=0,0,IF(MAX($F9:KY9)=$D12,0,KY9+1))</f>
        <v>0</v>
      </c>
      <c r="LA9" s="26">
        <f>IF(LA7=0,0,IF(MAX($F9:KZ9)=$D12,0,KZ9+1))</f>
        <v>0</v>
      </c>
      <c r="LB9" s="26">
        <f>IF(LB7=0,0,IF(MAX($F9:LA9)=$D12,0,LA9+1))</f>
        <v>0</v>
      </c>
      <c r="LC9" s="26">
        <f>IF(LC7=0,0,IF(MAX($F9:LB9)=$D12,0,LB9+1))</f>
        <v>0</v>
      </c>
      <c r="LD9" s="26">
        <f>IF(LD7=0,0,IF(MAX($F9:LC9)=$D12,0,LC9+1))</f>
        <v>0</v>
      </c>
      <c r="LE9" s="26">
        <f>IF(LE7=0,0,IF(MAX($F9:LD9)=$D12,0,LD9+1))</f>
        <v>0</v>
      </c>
      <c r="LF9" s="26">
        <f>IF(LF7=0,0,IF(MAX($F9:LE9)=$D12,0,LE9+1))</f>
        <v>0</v>
      </c>
      <c r="LG9" s="26">
        <f>IF(LG7=0,0,IF(MAX($F9:LF9)=$D12,0,LF9+1))</f>
        <v>0</v>
      </c>
      <c r="LH9" s="26">
        <f>IF(LH7=0,0,IF(MAX($F9:LG9)=$D12,0,LG9+1))</f>
        <v>0</v>
      </c>
      <c r="LI9" s="26">
        <f>IF(LI7=0,0,IF(MAX($F9:LH9)=$D12,0,LH9+1))</f>
        <v>0</v>
      </c>
      <c r="LJ9" s="26">
        <f>IF(LJ7=0,0,IF(MAX($F9:LI9)=$D12,0,LI9+1))</f>
        <v>0</v>
      </c>
      <c r="LK9" s="26">
        <f>IF(LK7=0,0,IF(MAX($F9:LJ9)=$D12,0,LJ9+1))</f>
        <v>0</v>
      </c>
      <c r="LL9" s="26">
        <f>IF(LL7=0,0,IF(MAX($F9:LK9)=$D12,0,LK9+1))</f>
        <v>0</v>
      </c>
      <c r="LM9" s="26">
        <f>IF(LM7=0,0,IF(MAX($F9:LL9)=$D12,0,LL9+1))</f>
        <v>0</v>
      </c>
      <c r="LN9" s="26">
        <f>IF(LN7=0,0,IF(MAX($F9:LM9)=$D12,0,LM9+1))</f>
        <v>0</v>
      </c>
      <c r="LO9" s="26">
        <f>IF(LO7=0,0,IF(MAX($F9:LN9)=$D12,0,LN9+1))</f>
        <v>0</v>
      </c>
      <c r="LP9" s="26">
        <f>IF(LP7=0,0,IF(MAX($F9:LO9)=$D12,0,LO9+1))</f>
        <v>0</v>
      </c>
      <c r="LQ9" s="26">
        <f>IF(LQ7=0,0,IF(MAX($F9:LP9)=$D12,0,LP9+1))</f>
        <v>0</v>
      </c>
      <c r="LR9" s="26">
        <f>IF(LR7=0,0,IF(MAX($F9:LQ9)=$D12,0,LQ9+1))</f>
        <v>0</v>
      </c>
      <c r="LS9" s="26">
        <f>IF(LS7=0,0,IF(MAX($F9:LR9)=$D12,0,LR9+1))</f>
        <v>0</v>
      </c>
      <c r="LT9" s="26">
        <f>IF(LT7=0,0,IF(MAX($F9:LS9)=$D12,0,LS9+1))</f>
        <v>0</v>
      </c>
      <c r="LU9" s="26">
        <f>IF(LU7=0,0,IF(MAX($F9:LT9)=$D12,0,LT9+1))</f>
        <v>0</v>
      </c>
      <c r="LV9" s="26">
        <f>IF(LV7=0,0,IF(MAX($F9:LU9)=$D12,0,LU9+1))</f>
        <v>0</v>
      </c>
      <c r="LW9" s="26">
        <f>IF(LW7=0,0,IF(MAX($F9:LV9)=$D12,0,LV9+1))</f>
        <v>0</v>
      </c>
      <c r="LX9" s="26">
        <f>IF(LX7=0,0,IF(MAX($F9:LW9)=$D12,0,LW9+1))</f>
        <v>0</v>
      </c>
      <c r="LY9" s="26">
        <f>IF(LY7=0,0,IF(MAX($F9:LX9)=$D12,0,LX9+1))</f>
        <v>0</v>
      </c>
      <c r="LZ9" s="26">
        <f>IF(LZ7=0,0,IF(MAX($F9:LY9)=$D12,0,LY9+1))</f>
        <v>0</v>
      </c>
      <c r="MA9" s="26">
        <f>IF(MA7=0,0,IF(MAX($F9:LZ9)=$D12,0,LZ9+1))</f>
        <v>0</v>
      </c>
      <c r="MB9" s="26">
        <f>IF(MB7=0,0,IF(MAX($F9:MA9)=$D12,0,MA9+1))</f>
        <v>0</v>
      </c>
      <c r="MC9" s="26">
        <f>IF(MC7=0,0,IF(MAX($F9:MB9)=$D12,0,MB9+1))</f>
        <v>0</v>
      </c>
      <c r="MD9" s="26">
        <f>IF(MD7=0,0,IF(MAX($F9:MC9)=$D12,0,MC9+1))</f>
        <v>0</v>
      </c>
      <c r="ME9" s="26">
        <f>IF(ME7=0,0,IF(MAX($F9:MD9)=$D12,0,MD9+1))</f>
        <v>0</v>
      </c>
      <c r="MF9" s="26">
        <f>IF(MF7=0,0,IF(MAX($F9:ME9)=$D12,0,ME9+1))</f>
        <v>0</v>
      </c>
      <c r="MG9" s="26">
        <f>IF(MG7=0,0,IF(MAX($F9:MF9)=$D12,0,MF9+1))</f>
        <v>0</v>
      </c>
      <c r="MH9" s="26">
        <f>IF(MH7=0,0,IF(MAX($F9:MG9)=$D12,0,MG9+1))</f>
        <v>0</v>
      </c>
      <c r="MI9" s="26">
        <f>IF(MI7=0,0,IF(MAX($F9:MH9)=$D12,0,MH9+1))</f>
        <v>0</v>
      </c>
      <c r="MJ9" s="26">
        <f>IF(MJ7=0,0,IF(MAX($F9:MI9)=$D12,0,MI9+1))</f>
        <v>0</v>
      </c>
      <c r="MK9" s="26">
        <f>IF(MK7=0,0,IF(MAX($F9:MJ9)=$D12,0,MJ9+1))</f>
        <v>0</v>
      </c>
      <c r="ML9" s="26">
        <f>IF(ML7=0,0,IF(MAX($F9:MK9)=$D12,0,MK9+1))</f>
        <v>0</v>
      </c>
      <c r="MM9" s="26">
        <f>IF(MM7=0,0,IF(MAX($F9:ML9)=$D12,0,ML9+1))</f>
        <v>0</v>
      </c>
      <c r="MN9" s="26">
        <f>IF(MN7=0,0,IF(MAX($F9:MM9)=$D12,0,MM9+1))</f>
        <v>0</v>
      </c>
      <c r="MO9" s="26">
        <f>IF(MO7=0,0,IF(MAX($F9:MN9)=$D12,0,MN9+1))</f>
        <v>0</v>
      </c>
      <c r="MP9" s="26">
        <f>IF(MP7=0,0,IF(MAX($F9:MO9)=$D12,0,MO9+1))</f>
        <v>0</v>
      </c>
      <c r="MQ9" s="26">
        <f>IF(MQ7=0,0,IF(MAX($F9:MP9)=$D12,0,MP9+1))</f>
        <v>0</v>
      </c>
      <c r="MR9" s="26">
        <f>IF(MR7=0,0,IF(MAX($F9:MQ9)=$D12,0,MQ9+1))</f>
        <v>0</v>
      </c>
      <c r="MS9" s="26">
        <f>IF(MS7=0,0,IF(MAX($F9:MR9)=$D12,0,MR9+1))</f>
        <v>0</v>
      </c>
      <c r="MT9" s="26">
        <f>IF(MT7=0,0,IF(MAX($F9:MS9)=$D12,0,MS9+1))</f>
        <v>0</v>
      </c>
      <c r="MU9" s="26">
        <f>IF(MU7=0,0,IF(MAX($F9:MT9)=$D12,0,MT9+1))</f>
        <v>0</v>
      </c>
      <c r="MV9" s="26">
        <f>IF(MV7=0,0,IF(MAX($F9:MU9)=$D12,0,MU9+1))</f>
        <v>0</v>
      </c>
      <c r="MW9" s="26">
        <f>IF(MW7=0,0,IF(MAX($F9:MV9)=$D12,0,MV9+1))</f>
        <v>0</v>
      </c>
      <c r="MX9" s="26">
        <f>IF(MX7=0,0,IF(MAX($F9:MW9)=$D12,0,MW9+1))</f>
        <v>0</v>
      </c>
      <c r="MY9" s="26">
        <f>IF(MY7=0,0,IF(MAX($F9:MX9)=$D12,0,MX9+1))</f>
        <v>0</v>
      </c>
      <c r="MZ9" s="26">
        <f>IF(MZ7=0,0,IF(MAX($F9:MY9)=$D12,0,MY9+1))</f>
        <v>0</v>
      </c>
      <c r="NA9" s="26">
        <f>IF(NA7=0,0,IF(MAX($F9:MZ9)=$D12,0,MZ9+1))</f>
        <v>0</v>
      </c>
      <c r="NB9" s="26">
        <f>IF(NB7=0,0,IF(MAX($F9:NA9)=$D12,0,NA9+1))</f>
        <v>0</v>
      </c>
      <c r="NC9" s="26">
        <f>IF(NC7=0,0,IF(MAX($F9:NB9)=$D12,0,NB9+1))</f>
        <v>0</v>
      </c>
      <c r="ND9" s="26">
        <f>IF(ND7=0,0,IF(MAX($F9:NC9)=$D12,0,NC9+1))</f>
        <v>0</v>
      </c>
      <c r="NE9" s="26">
        <f>IF(NE7=0,0,IF(MAX($F9:ND9)=$D12,0,ND9+1))</f>
        <v>0</v>
      </c>
      <c r="NF9" s="26">
        <f>IF(NF7=0,0,IF(MAX($F9:NE9)=$D12,0,NE9+1))</f>
        <v>0</v>
      </c>
      <c r="NG9" s="26">
        <f>IF(NG7=0,0,IF(MAX($F9:NF9)=$D12,0,NF9+1))</f>
        <v>0</v>
      </c>
      <c r="NH9" s="26">
        <f>IF(NH7=0,0,IF(MAX($F9:NG9)=$D12,0,NG9+1))</f>
        <v>0</v>
      </c>
      <c r="NI9" s="26">
        <f>IF(NI7=0,0,IF(MAX($F9:NH9)=$D12,0,NH9+1))</f>
        <v>0</v>
      </c>
      <c r="NJ9" s="26">
        <f>IF(NJ7=0,0,IF(MAX($F9:NI9)=$D12,0,NI9+1))</f>
        <v>0</v>
      </c>
      <c r="NK9" s="26">
        <f>IF(NK7=0,0,IF(MAX($F9:NJ9)=$D12,0,NJ9+1))</f>
        <v>0</v>
      </c>
      <c r="NL9" s="26">
        <f>IF(NL7=0,0,IF(MAX($F9:NK9)=$D12,0,NK9+1))</f>
        <v>0</v>
      </c>
      <c r="NM9" s="26">
        <f>IF(NM7=0,0,IF(MAX($F9:NL9)=$D12,0,NL9+1))</f>
        <v>0</v>
      </c>
      <c r="NN9" s="26">
        <f>IF(NN7=0,0,IF(MAX($F9:NM9)=$D12,0,NM9+1))</f>
        <v>0</v>
      </c>
      <c r="NO9" s="26">
        <f>IF(NO7=0,0,IF(MAX($F9:NN9)=$D12,0,NN9+1))</f>
        <v>0</v>
      </c>
      <c r="NP9" s="26">
        <f>IF(NP7=0,0,IF(MAX($F9:NO9)=$D12,0,NO9+1))</f>
        <v>0</v>
      </c>
      <c r="NQ9" s="26">
        <f>IF(NQ7=0,0,IF(MAX($F9:NP9)=$D12,0,NP9+1))</f>
        <v>0</v>
      </c>
      <c r="NR9" s="26">
        <f>IF(NR7=0,0,IF(MAX($F9:NQ9)=$D12,0,NQ9+1))</f>
        <v>0</v>
      </c>
      <c r="NS9" s="26">
        <f>IF(NS7=0,0,IF(MAX($F9:NR9)=$D12,0,NR9+1))</f>
        <v>0</v>
      </c>
      <c r="NT9" s="26">
        <f>IF(NT7=0,0,IF(MAX($F9:NS9)=$D12,0,NS9+1))</f>
        <v>0</v>
      </c>
      <c r="NU9" s="26">
        <f>IF(NU7=0,0,IF(MAX($F9:NT9)=$D12,0,NT9+1))</f>
        <v>0</v>
      </c>
      <c r="NV9" s="26">
        <f>IF(NV7=0,0,IF(MAX($F9:NU9)=$D12,0,NU9+1))</f>
        <v>0</v>
      </c>
      <c r="NW9" s="26">
        <f>IF(NW7=0,0,IF(MAX($F9:NV9)=$D12,0,NV9+1))</f>
        <v>0</v>
      </c>
      <c r="NX9" s="26">
        <f>IF(NX7=0,0,IF(MAX($F9:NW9)=$D12,0,NW9+1))</f>
        <v>0</v>
      </c>
      <c r="NY9" s="26">
        <f>IF(NY7=0,0,IF(MAX($F9:NX9)=$D12,0,NX9+1))</f>
        <v>0</v>
      </c>
      <c r="NZ9" s="26">
        <f>IF(NZ7=0,0,IF(MAX($F9:NY9)=$D12,0,NY9+1))</f>
        <v>0</v>
      </c>
      <c r="OA9" s="26">
        <f>IF(OA7=0,0,IF(MAX($F9:NZ9)=$D12,0,NZ9+1))</f>
        <v>0</v>
      </c>
      <c r="OB9" s="26">
        <f>IF(OB7=0,0,IF(MAX($F9:OA9)=$D12,0,OA9+1))</f>
        <v>0</v>
      </c>
      <c r="OC9" s="26">
        <f>IF(OC7=0,0,IF(MAX($F9:OB9)=$D12,0,OB9+1))</f>
        <v>0</v>
      </c>
      <c r="OD9" s="26">
        <f>IF(OD7=0,0,IF(MAX($F9:OC9)=$D12,0,OC9+1))</f>
        <v>0</v>
      </c>
      <c r="OE9" s="26">
        <f>IF(OE7=0,0,IF(MAX($F9:OD9)=$D12,0,OD9+1))</f>
        <v>0</v>
      </c>
      <c r="OF9" s="26">
        <f>IF(OF7=0,0,IF(MAX($F9:OE9)=$D12,0,OE9+1))</f>
        <v>0</v>
      </c>
      <c r="OG9" s="26">
        <f>IF(OG7=0,0,IF(MAX($F9:OF9)=$D12,0,OF9+1))</f>
        <v>0</v>
      </c>
      <c r="OH9" s="26">
        <f>IF(OH7=0,0,IF(MAX($F9:OG9)=$D12,0,OG9+1))</f>
        <v>0</v>
      </c>
      <c r="OI9" s="26">
        <f>IF(OI7=0,0,IF(MAX($F9:OH9)=$D12,0,OH9+1))</f>
        <v>0</v>
      </c>
      <c r="OJ9" s="26">
        <f>IF(OJ7=0,0,IF(MAX($F9:OI9)=$D12,0,OI9+1))</f>
        <v>0</v>
      </c>
      <c r="OK9" s="26">
        <f>IF(OK7=0,0,IF(MAX($F9:OJ9)=$D12,0,OJ9+1))</f>
        <v>0</v>
      </c>
      <c r="OL9" s="26">
        <f>IF(OL7=0,0,IF(MAX($F9:OK9)=$D12,0,OK9+1))</f>
        <v>0</v>
      </c>
      <c r="OM9" s="26">
        <f>IF(OM7=0,0,IF(MAX($F9:OL9)=$D12,0,OL9+1))</f>
        <v>0</v>
      </c>
      <c r="ON9" s="26">
        <f>IF(ON7=0,0,IF(MAX($F9:OM9)=$D12,0,OM9+1))</f>
        <v>0</v>
      </c>
      <c r="OO9" s="26">
        <f>IF(OO7=0,0,IF(MAX($F9:ON9)=$D12,0,ON9+1))</f>
        <v>0</v>
      </c>
      <c r="OP9" s="26">
        <f>IF(OP7=0,0,IF(MAX($F9:OO9)=$D12,0,OO9+1))</f>
        <v>0</v>
      </c>
      <c r="OQ9" s="26">
        <f>IF(OQ7=0,0,IF(MAX($F9:OP9)=$D12,0,OP9+1))</f>
        <v>0</v>
      </c>
      <c r="OR9" s="26">
        <f>IF(OR7=0,0,IF(MAX($F9:OQ9)=$D12,0,OQ9+1))</f>
        <v>0</v>
      </c>
      <c r="OS9" s="26">
        <f>IF(OS7=0,0,IF(MAX($F9:OR9)=$D12,0,OR9+1))</f>
        <v>0</v>
      </c>
      <c r="OT9" s="26">
        <f>IF(OT7=0,0,IF(MAX($F9:OS9)=$D12,0,OS9+1))</f>
        <v>0</v>
      </c>
      <c r="OU9" s="26">
        <f>IF(OU7=0,0,IF(MAX($F9:OT9)=$D12,0,OT9+1))</f>
        <v>0</v>
      </c>
      <c r="OV9" s="26">
        <f>IF(OV7=0,0,IF(MAX($F9:OU9)=$D12,0,OU9+1))</f>
        <v>0</v>
      </c>
      <c r="OW9" s="26">
        <f>IF(OW7=0,0,IF(MAX($F9:OV9)=$D12,0,OV9+1))</f>
        <v>0</v>
      </c>
      <c r="OX9" s="26">
        <f>IF(OX7=0,0,IF(MAX($F9:OW9)=$D12,0,OW9+1))</f>
        <v>0</v>
      </c>
      <c r="OY9" s="26">
        <f>IF(OY7=0,0,IF(MAX($F9:OX9)=$D12,0,OX9+1))</f>
        <v>0</v>
      </c>
      <c r="OZ9" s="26">
        <f>IF(OZ7=0,0,IF(MAX($F9:OY9)=$D12,0,OY9+1))</f>
        <v>0</v>
      </c>
      <c r="PA9" s="26">
        <f>IF(PA7=0,0,IF(MAX($F9:OZ9)=$D12,0,OZ9+1))</f>
        <v>0</v>
      </c>
      <c r="PB9" s="26">
        <f>IF(PB7=0,0,IF(MAX($F9:PA9)=$D12,0,PA9+1))</f>
        <v>0</v>
      </c>
      <c r="PC9" s="26">
        <f>IF(PC7=0,0,IF(MAX($F9:PB9)=$D12,0,PB9+1))</f>
        <v>0</v>
      </c>
      <c r="PD9" s="26">
        <f>IF(PD7=0,0,IF(MAX($F9:PC9)=$D12,0,PC9+1))</f>
        <v>0</v>
      </c>
      <c r="PE9" s="26">
        <f>IF(PE7=0,0,IF(MAX($F9:PD9)=$D12,0,PD9+1))</f>
        <v>0</v>
      </c>
      <c r="PF9" s="26">
        <f>IF(PF7=0,0,IF(MAX($F9:PE9)=$D12,0,PE9+1))</f>
        <v>0</v>
      </c>
      <c r="PG9" s="26">
        <f>IF(PG7=0,0,IF(MAX($F9:PF9)=$D12,0,PF9+1))</f>
        <v>0</v>
      </c>
      <c r="PH9" s="26">
        <f>IF(PH7=0,0,IF(MAX($F9:PG9)=$D12,0,PG9+1))</f>
        <v>0</v>
      </c>
      <c r="PI9" s="26">
        <f>IF(PI7=0,0,IF(MAX($F9:PH9)=$D12,0,PH9+1))</f>
        <v>0</v>
      </c>
      <c r="PJ9" s="26">
        <f>IF(PJ7=0,0,IF(MAX($F9:PI9)=$D12,0,PI9+1))</f>
        <v>0</v>
      </c>
      <c r="PK9" s="26">
        <f>IF(PK7=0,0,IF(MAX($F9:PJ9)=$D12,0,PJ9+1))</f>
        <v>0</v>
      </c>
      <c r="PL9" s="26">
        <f>IF(PL7=0,0,IF(MAX($F9:PK9)=$D12,0,PK9+1))</f>
        <v>0</v>
      </c>
      <c r="PM9" s="26">
        <f>IF(PM7=0,0,IF(MAX($F9:PL9)=$D12,0,PL9+1))</f>
        <v>0</v>
      </c>
      <c r="PN9" s="26">
        <f>IF(PN7=0,0,IF(MAX($F9:PM9)=$D12,0,PM9+1))</f>
        <v>0</v>
      </c>
      <c r="PO9" s="26">
        <f>IF(PO7=0,0,IF(MAX($F9:PN9)=$D12,0,PN9+1))</f>
        <v>0</v>
      </c>
      <c r="PP9" s="26">
        <f>IF(PP7=0,0,IF(MAX($F9:PO9)=$D12,0,PO9+1))</f>
        <v>0</v>
      </c>
      <c r="PQ9" s="26">
        <f>IF(PQ7=0,0,IF(MAX($F9:PP9)=$D12,0,PP9+1))</f>
        <v>0</v>
      </c>
      <c r="PR9" s="26">
        <f>IF(PR7=0,0,IF(MAX($F9:PQ9)=$D12,0,PQ9+1))</f>
        <v>0</v>
      </c>
      <c r="PS9" s="26">
        <f>IF(PS7=0,0,IF(MAX($F9:PR9)=$D12,0,PR9+1))</f>
        <v>0</v>
      </c>
      <c r="PT9" s="26">
        <f>IF(PT7=0,0,IF(MAX($F9:PS9)=$D12,0,PS9+1))</f>
        <v>0</v>
      </c>
      <c r="PU9" s="26">
        <f>IF(PU7=0,0,IF(MAX($F9:PT9)=$D12,0,PT9+1))</f>
        <v>0</v>
      </c>
      <c r="PV9" s="26">
        <f>IF(PV7=0,0,IF(MAX($F9:PU9)=$D12,0,PU9+1))</f>
        <v>0</v>
      </c>
      <c r="PW9" s="26">
        <f>IF(PW7=0,0,IF(MAX($F9:PV9)=$D12,0,PV9+1))</f>
        <v>0</v>
      </c>
      <c r="PX9" s="26">
        <f>IF(PX7=0,0,IF(MAX($F9:PW9)=$D12,0,PW9+1))</f>
        <v>0</v>
      </c>
      <c r="PY9" s="26">
        <f>IF(PY7=0,0,IF(MAX($F9:PX9)=$D12,0,PX9+1))</f>
        <v>0</v>
      </c>
      <c r="PZ9" s="26">
        <f>IF(PZ7=0,0,IF(MAX($F9:PY9)=$D12,0,PY9+1))</f>
        <v>0</v>
      </c>
      <c r="QA9" s="26">
        <f>IF(QA7=0,0,IF(MAX($F9:PZ9)=$D12,0,PZ9+1))</f>
        <v>0</v>
      </c>
      <c r="QB9" s="26">
        <f>IF(QB7=0,0,IF(MAX($F9:QA9)=$D12,0,QA9+1))</f>
        <v>0</v>
      </c>
      <c r="QC9" s="26">
        <f>IF(QC7=0,0,IF(MAX($F9:QB9)=$D12,0,QB9+1))</f>
        <v>0</v>
      </c>
      <c r="QD9" s="26">
        <f>IF(QD7=0,0,IF(MAX($F9:QC9)=$D12,0,QC9+1))</f>
        <v>0</v>
      </c>
      <c r="QE9" s="26">
        <f>IF(QE7=0,0,IF(MAX($F9:QD9)=$D12,0,QD9+1))</f>
        <v>0</v>
      </c>
      <c r="QF9" s="26">
        <f>IF(QF7=0,0,IF(MAX($F9:QE9)=$D12,0,QE9+1))</f>
        <v>0</v>
      </c>
      <c r="QG9" s="26">
        <f>IF(QG7=0,0,IF(MAX($F9:QF9)=$D12,0,QF9+1))</f>
        <v>0</v>
      </c>
      <c r="QH9" s="26">
        <f>IF(QH7=0,0,IF(MAX($F9:QG9)=$D12,0,QG9+1))</f>
        <v>0</v>
      </c>
      <c r="QI9" s="26">
        <f>IF(QI7=0,0,IF(MAX($F9:QH9)=$D12,0,QH9+1))</f>
        <v>0</v>
      </c>
      <c r="QJ9" s="26">
        <f>IF(QJ7=0,0,IF(MAX($F9:QI9)=$D12,0,QI9+1))</f>
        <v>0</v>
      </c>
      <c r="QK9" s="26">
        <f>IF(QK7=0,0,IF(MAX($F9:QJ9)=$D12,0,QJ9+1))</f>
        <v>0</v>
      </c>
      <c r="QL9" s="26">
        <f>IF(QL7=0,0,IF(MAX($F9:QK9)=$D12,0,QK9+1))</f>
        <v>0</v>
      </c>
      <c r="QM9" s="26">
        <f>IF(QM7=0,0,IF(MAX($F9:QL9)=$D12,0,QL9+1))</f>
        <v>0</v>
      </c>
      <c r="QN9" s="26">
        <f>IF(QN7=0,0,IF(MAX($F9:QM9)=$D12,0,QM9+1))</f>
        <v>0</v>
      </c>
      <c r="QO9" s="26">
        <f>IF(QO7=0,0,IF(MAX($F9:QN9)=$D12,0,QN9+1))</f>
        <v>0</v>
      </c>
      <c r="QP9" s="26">
        <f>IF(QP7=0,0,IF(MAX($F9:QO9)=$D12,0,QO9+1))</f>
        <v>0</v>
      </c>
      <c r="QQ9" s="26">
        <f>IF(QQ7=0,0,IF(MAX($F9:QP9)=$D12,0,QP9+1))</f>
        <v>0</v>
      </c>
      <c r="QR9" s="26">
        <f>IF(QR7=0,0,IF(MAX($F9:QQ9)=$D12,0,QQ9+1))</f>
        <v>0</v>
      </c>
      <c r="QS9" s="26">
        <f>IF(QS7=0,0,IF(MAX($F9:QR9)=$D12,0,QR9+1))</f>
        <v>0</v>
      </c>
      <c r="QT9" s="26">
        <f>IF(QT7=0,0,IF(MAX($F9:QS9)=$D12,0,QS9+1))</f>
        <v>0</v>
      </c>
      <c r="QU9" s="26">
        <f>IF(QU7=0,0,IF(MAX($F9:QT9)=$D12,0,QT9+1))</f>
        <v>0</v>
      </c>
      <c r="QV9" s="26">
        <f>IF(QV7=0,0,IF(MAX($F9:QU9)=$D12,0,QU9+1))</f>
        <v>0</v>
      </c>
      <c r="QW9" s="26">
        <f>IF(QW7=0,0,IF(MAX($F9:QV9)=$D12,0,QV9+1))</f>
        <v>0</v>
      </c>
      <c r="QX9" s="26">
        <f>IF(QX7=0,0,IF(MAX($F9:QW9)=$D12,0,QW9+1))</f>
        <v>0</v>
      </c>
      <c r="QY9" s="26">
        <f>IF(QY7=0,0,IF(MAX($F9:QX9)=$D12,0,QX9+1))</f>
        <v>0</v>
      </c>
      <c r="QZ9" s="26">
        <f>IF(QZ7=0,0,IF(MAX($F9:QY9)=$D12,0,QY9+1))</f>
        <v>0</v>
      </c>
      <c r="RA9" s="26">
        <f>IF(RA7=0,0,IF(MAX($F9:QZ9)=$D12,0,QZ9+1))</f>
        <v>0</v>
      </c>
      <c r="RB9" s="26">
        <f>IF(RB7=0,0,IF(MAX($F9:RA9)=$D12,0,RA9+1))</f>
        <v>0</v>
      </c>
      <c r="RC9" s="26">
        <f>IF(RC7=0,0,IF(MAX($F9:RB9)=$D12,0,RB9+1))</f>
        <v>0</v>
      </c>
      <c r="RD9" s="26">
        <f>IF(RD7=0,0,IF(MAX($F9:RC9)=$D12,0,RC9+1))</f>
        <v>0</v>
      </c>
      <c r="RE9" s="26">
        <f>IF(RE7=0,0,IF(MAX($F9:RD9)=$D12,0,RD9+1))</f>
        <v>0</v>
      </c>
      <c r="RF9" s="26">
        <f>IF(RF7=0,0,IF(MAX($F9:RE9)=$D12,0,RE9+1))</f>
        <v>0</v>
      </c>
      <c r="RG9" s="26">
        <f>IF(RG7=0,0,IF(MAX($F9:RF9)=$D12,0,RF9+1))</f>
        <v>0</v>
      </c>
      <c r="RH9" s="26">
        <f>IF(RH7=0,0,IF(MAX($F9:RG9)=$D12,0,RG9+1))</f>
        <v>0</v>
      </c>
      <c r="RI9" s="26">
        <f>IF(RI7=0,0,IF(MAX($F9:RH9)=$D12,0,RH9+1))</f>
        <v>0</v>
      </c>
      <c r="RJ9" s="26">
        <f>IF(RJ7=0,0,IF(MAX($F9:RI9)=$D12,0,RI9+1))</f>
        <v>0</v>
      </c>
      <c r="RK9" s="26">
        <f>IF(RK7=0,0,IF(MAX($F9:RJ9)=$D12,0,RJ9+1))</f>
        <v>0</v>
      </c>
      <c r="RL9" s="26">
        <f>IF(RL7=0,0,IF(MAX($F9:RK9)=$D12,0,RK9+1))</f>
        <v>0</v>
      </c>
      <c r="RM9" s="26">
        <f>IF(RM7=0,0,IF(MAX($F9:RL9)=$D12,0,RL9+1))</f>
        <v>0</v>
      </c>
      <c r="RN9" s="26">
        <f>IF(RN7=0,0,IF(MAX($F9:RM9)=$D12,0,RM9+1))</f>
        <v>0</v>
      </c>
      <c r="RO9" s="26">
        <f>IF(RO7=0,0,IF(MAX($F9:RN9)=$D12,0,RN9+1))</f>
        <v>0</v>
      </c>
      <c r="RP9" s="26">
        <f>IF(RP7=0,0,IF(MAX($F9:RO9)=$D12,0,RO9+1))</f>
        <v>0</v>
      </c>
      <c r="RQ9" s="26">
        <f>IF(RQ7=0,0,IF(MAX($F9:RP9)=$D12,0,RP9+1))</f>
        <v>0</v>
      </c>
      <c r="RR9" s="26">
        <f>IF(RR7=0,0,IF(MAX($F9:RQ9)=$D12,0,RQ9+1))</f>
        <v>0</v>
      </c>
      <c r="RS9" s="26">
        <f>IF(RS7=0,0,IF(MAX($F9:RR9)=$D12,0,RR9+1))</f>
        <v>0</v>
      </c>
      <c r="RT9" s="26">
        <f>IF(RT7=0,0,IF(MAX($F9:RS9)=$D12,0,RS9+1))</f>
        <v>0</v>
      </c>
      <c r="RU9" s="26">
        <f>IF(RU7=0,0,IF(MAX($F9:RT9)=$D12,0,RT9+1))</f>
        <v>0</v>
      </c>
      <c r="RV9" s="26">
        <f>IF(RV7=0,0,IF(MAX($F9:RU9)=$D12,0,RU9+1))</f>
        <v>0</v>
      </c>
      <c r="RW9" s="26">
        <f>IF(RW7=0,0,IF(MAX($F9:RV9)=$D12,0,RV9+1))</f>
        <v>0</v>
      </c>
      <c r="RX9" s="26">
        <f>IF(RX7=0,0,IF(MAX($F9:RW9)=$D12,0,RW9+1))</f>
        <v>0</v>
      </c>
      <c r="RY9" s="26">
        <f>IF(RY7=0,0,IF(MAX($F9:RX9)=$D12,0,RX9+1))</f>
        <v>0</v>
      </c>
      <c r="RZ9" s="26">
        <f>IF(RZ7=0,0,IF(MAX($F9:RY9)=$D12,0,RY9+1))</f>
        <v>0</v>
      </c>
      <c r="SA9" s="26">
        <f>IF(SA7=0,0,IF(MAX($F9:RZ9)=$D12,0,RZ9+1))</f>
        <v>0</v>
      </c>
      <c r="SB9" s="26">
        <f>IF(SB7=0,0,IF(MAX($F9:SA9)=$D12,0,SA9+1))</f>
        <v>0</v>
      </c>
      <c r="SC9" s="26">
        <f>IF(SC7=0,0,IF(MAX($F9:SB9)=$D12,0,SB9+1))</f>
        <v>0</v>
      </c>
      <c r="SD9" s="26">
        <f>IF(SD7=0,0,IF(MAX($F9:SC9)=$D12,0,SC9+1))</f>
        <v>0</v>
      </c>
      <c r="SE9" s="26">
        <f>IF(SE7=0,0,IF(MAX($F9:SD9)=$D12,0,SD9+1))</f>
        <v>0</v>
      </c>
      <c r="SF9" s="26">
        <f>IF(SF7=0,0,IF(MAX($F9:SE9)=$D12,0,SE9+1))</f>
        <v>0</v>
      </c>
      <c r="SG9" s="26">
        <f>IF(SG7=0,0,IF(MAX($F9:SF9)=$D12,0,SF9+1))</f>
        <v>0</v>
      </c>
      <c r="SH9" s="26">
        <f>IF(SH7=0,0,IF(MAX($F9:SG9)=$D12,0,SG9+1))</f>
        <v>0</v>
      </c>
      <c r="SI9" s="26">
        <f>IF(SI7=0,0,IF(MAX($F9:SH9)=$D12,0,SH9+1))</f>
        <v>0</v>
      </c>
      <c r="SJ9" s="26">
        <f>IF(SJ7=0,0,IF(MAX($F9:SI9)=$D12,0,SI9+1))</f>
        <v>0</v>
      </c>
      <c r="SK9" s="26">
        <f>IF(SK7=0,0,IF(MAX($F9:SJ9)=$D12,0,SJ9+1))</f>
        <v>0</v>
      </c>
      <c r="SL9" s="26">
        <f>IF(SL7=0,0,IF(MAX($F9:SK9)=$D12,0,SK9+1))</f>
        <v>0</v>
      </c>
      <c r="SM9" s="26">
        <f>IF(SM7=0,0,IF(MAX($F9:SL9)=$D12,0,SL9+1))</f>
        <v>0</v>
      </c>
      <c r="SN9" s="26">
        <f>IF(SN7=0,0,IF(MAX($F9:SM9)=$D12,0,SM9+1))</f>
        <v>0</v>
      </c>
      <c r="SO9" s="26">
        <f>IF(SO7=0,0,IF(MAX($F9:SN9)=$D12,0,SN9+1))</f>
        <v>0</v>
      </c>
      <c r="SP9" s="26">
        <f>IF(SP7=0,0,IF(MAX($F9:SO9)=$D12,0,SO9+1))</f>
        <v>0</v>
      </c>
      <c r="SQ9" s="26">
        <f>IF(SQ7=0,0,IF(MAX($F9:SP9)=$D12,0,SP9+1))</f>
        <v>0</v>
      </c>
      <c r="SR9" s="26">
        <f>IF(SR7=0,0,IF(MAX($F9:SQ9)=$D12,0,SQ9+1))</f>
        <v>0</v>
      </c>
      <c r="SS9" s="26">
        <f>IF(SS7=0,0,IF(MAX($F9:SR9)=$D12,0,SR9+1))</f>
        <v>0</v>
      </c>
      <c r="ST9" s="26">
        <f>IF(ST7=0,0,IF(MAX($F9:SS9)=$D12,0,SS9+1))</f>
        <v>0</v>
      </c>
      <c r="SU9" s="26">
        <f>IF(SU7=0,0,IF(MAX($F9:ST9)=$D12,0,ST9+1))</f>
        <v>0</v>
      </c>
      <c r="SV9" s="26">
        <f>IF(SV7=0,0,IF(MAX($F9:SU9)=$D12,0,SU9+1))</f>
        <v>0</v>
      </c>
      <c r="SW9" s="26">
        <f>IF(SW7=0,0,IF(MAX($F9:SV9)=$D12,0,SV9+1))</f>
        <v>0</v>
      </c>
      <c r="SX9" s="26">
        <f>IF(SX7=0,0,IF(MAX($F9:SW9)=$D12,0,SW9+1))</f>
        <v>0</v>
      </c>
      <c r="SY9" s="26">
        <f>IF(SY7=0,0,IF(MAX($F9:SX9)=$D12,0,SX9+1))</f>
        <v>0</v>
      </c>
      <c r="SZ9" s="26">
        <f>IF(SZ7=0,0,IF(MAX($F9:SY9)=$D12,0,SY9+1))</f>
        <v>0</v>
      </c>
      <c r="TA9" s="26">
        <f>IF(TA7=0,0,IF(MAX($F9:SZ9)=$D12,0,SZ9+1))</f>
        <v>0</v>
      </c>
      <c r="TB9" s="26">
        <f>IF(TB7=0,0,IF(MAX($F9:TA9)=$D12,0,TA9+1))</f>
        <v>0</v>
      </c>
      <c r="TC9" s="26">
        <f>IF(TC7=0,0,IF(MAX($F9:TB9)=$D12,0,TB9+1))</f>
        <v>0</v>
      </c>
      <c r="TD9" s="26">
        <f>IF(TD7=0,0,IF(MAX($F9:TC9)=$D12,0,TC9+1))</f>
        <v>0</v>
      </c>
      <c r="TE9" s="26">
        <f>IF(TE7=0,0,IF(MAX($F9:TD9)=$D12,0,TD9+1))</f>
        <v>0</v>
      </c>
      <c r="TF9" s="26">
        <f>IF(TF7=0,0,IF(MAX($F9:TE9)=$D12,0,TE9+1))</f>
        <v>0</v>
      </c>
      <c r="TG9" s="26">
        <f>IF(TG7=0,0,IF(MAX($F9:TF9)=$D12,0,TF9+1))</f>
        <v>0</v>
      </c>
      <c r="TH9" s="26">
        <f>IF(TH7=0,0,IF(MAX($F9:TG9)=$D12,0,TG9+1))</f>
        <v>0</v>
      </c>
      <c r="TI9" s="26">
        <f>IF(TI7=0,0,IF(MAX($F9:TH9)=$D12,0,TH9+1))</f>
        <v>0</v>
      </c>
      <c r="TJ9" s="26">
        <f>IF(TJ7=0,0,IF(MAX($F9:TI9)=$D12,0,TI9+1))</f>
        <v>0</v>
      </c>
      <c r="TK9" s="26">
        <f>IF(TK7=0,0,IF(MAX($F9:TJ9)=$D12,0,TJ9+1))</f>
        <v>0</v>
      </c>
      <c r="TL9" s="26">
        <f>IF(TL7=0,0,IF(MAX($F9:TK9)=$D12,0,TK9+1))</f>
        <v>0</v>
      </c>
      <c r="TM9" s="26">
        <f>IF(TM7=0,0,IF(MAX($F9:TL9)=$D12,0,TL9+1))</f>
        <v>0</v>
      </c>
      <c r="TN9" s="26">
        <f>IF(TN7=0,0,IF(MAX($F9:TM9)=$D12,0,TM9+1))</f>
        <v>0</v>
      </c>
      <c r="TO9" s="26">
        <f>IF(TO7=0,0,IF(MAX($F9:TN9)=$D12,0,TN9+1))</f>
        <v>0</v>
      </c>
      <c r="TP9" s="26">
        <f>IF(TP7=0,0,IF(MAX($F9:TO9)=$D12,0,TO9+1))</f>
        <v>0</v>
      </c>
      <c r="TQ9" s="26">
        <f>IF(TQ7=0,0,IF(MAX($F9:TP9)=$D12,0,TP9+1))</f>
        <v>0</v>
      </c>
      <c r="TR9" s="26">
        <f>IF(TR7=0,0,IF(MAX($F9:TQ9)=$D12,0,TQ9+1))</f>
        <v>0</v>
      </c>
      <c r="TS9" s="26">
        <f>IF(TS7=0,0,IF(MAX($F9:TR9)=$D12,0,TR9+1))</f>
        <v>0</v>
      </c>
      <c r="TT9" s="26">
        <f>IF(TT7=0,0,IF(MAX($F9:TS9)=$D12,0,TS9+1))</f>
        <v>0</v>
      </c>
      <c r="TU9" s="26">
        <f>IF(TU7=0,0,IF(MAX($F9:TT9)=$D12,0,TT9+1))</f>
        <v>0</v>
      </c>
      <c r="TV9" s="26">
        <f>IF(TV7=0,0,IF(MAX($F9:TU9)=$D12,0,TU9+1))</f>
        <v>0</v>
      </c>
      <c r="TW9" s="26">
        <f>IF(TW7=0,0,IF(MAX($F9:TV9)=$D12,0,TV9+1))</f>
        <v>0</v>
      </c>
      <c r="TX9" s="26">
        <f>IF(TX7=0,0,IF(MAX($F9:TW9)=$D12,0,TW9+1))</f>
        <v>0</v>
      </c>
      <c r="TY9" s="26">
        <f>IF(TY7=0,0,IF(MAX($F9:TX9)=$D12,0,TX9+1))</f>
        <v>0</v>
      </c>
      <c r="TZ9" s="26">
        <f>IF(TZ7=0,0,IF(MAX($F9:TY9)=$D12,0,TY9+1))</f>
        <v>0</v>
      </c>
      <c r="UA9" s="26">
        <f>IF(UA7=0,0,IF(MAX($F9:TZ9)=$D12,0,TZ9+1))</f>
        <v>0</v>
      </c>
      <c r="UB9" s="26">
        <f>IF(UB7=0,0,IF(MAX($F9:UA9)=$D12,0,UA9+1))</f>
        <v>0</v>
      </c>
      <c r="UC9" s="26">
        <f>IF(UC7=0,0,IF(MAX($F9:UB9)=$D12,0,UB9+1))</f>
        <v>0</v>
      </c>
      <c r="UD9" s="26">
        <f>IF(UD7=0,0,IF(MAX($F9:UC9)=$D12,0,UC9+1))</f>
        <v>0</v>
      </c>
      <c r="UE9" s="26">
        <f>IF(UE7=0,0,IF(MAX($F9:UD9)=$D12,0,UD9+1))</f>
        <v>0</v>
      </c>
      <c r="UF9" s="26">
        <f>IF(UF7=0,0,IF(MAX($F9:UE9)=$D12,0,UE9+1))</f>
        <v>0</v>
      </c>
      <c r="UG9" s="26">
        <f>IF(UG7=0,0,IF(MAX($F9:UF9)=$D12,0,UF9+1))</f>
        <v>0</v>
      </c>
      <c r="UH9" s="26">
        <f>IF(UH7=0,0,IF(MAX($F9:UG9)=$D12,0,UG9+1))</f>
        <v>0</v>
      </c>
      <c r="UI9" s="26">
        <f>IF(UI7=0,0,IF(MAX($F9:UH9)=$D12,0,UH9+1))</f>
        <v>0</v>
      </c>
      <c r="UJ9" s="26">
        <f>IF(UJ7=0,0,IF(MAX($F9:UI9)=$D12,0,UI9+1))</f>
        <v>0</v>
      </c>
      <c r="UK9" s="26">
        <f>IF(UK7=0,0,IF(MAX($F9:UJ9)=$D12,0,UJ9+1))</f>
        <v>0</v>
      </c>
      <c r="UL9" s="26">
        <f>IF(UL7=0,0,IF(MAX($F9:UK9)=$D12,0,UK9+1))</f>
        <v>0</v>
      </c>
      <c r="UM9" s="26">
        <f>IF(UM7=0,0,IF(MAX($F9:UL9)=$D12,0,UL9+1))</f>
        <v>0</v>
      </c>
      <c r="UN9" s="26">
        <f>IF(UN7=0,0,IF(MAX($F9:UM9)=$D12,0,UM9+1))</f>
        <v>0</v>
      </c>
      <c r="UO9" s="26">
        <f>IF(UO7=0,0,IF(MAX($F9:UN9)=$D12,0,UN9+1))</f>
        <v>0</v>
      </c>
      <c r="UP9" s="26">
        <f>IF(UP7=0,0,IF(MAX($F9:UO9)=$D12,0,UO9+1))</f>
        <v>0</v>
      </c>
      <c r="UQ9" s="26">
        <f>IF(UQ7=0,0,IF(MAX($F9:UP9)=$D12,0,UP9+1))</f>
        <v>0</v>
      </c>
      <c r="UR9" s="26">
        <f>IF(UR7=0,0,IF(MAX($F9:UQ9)=$D12,0,UQ9+1))</f>
        <v>0</v>
      </c>
      <c r="US9" s="26">
        <f>IF(US7=0,0,IF(MAX($F9:UR9)=$D12,0,UR9+1))</f>
        <v>0</v>
      </c>
      <c r="UT9" s="26">
        <f>IF(UT7=0,0,IF(MAX($F9:US9)=$D12,0,US9+1))</f>
        <v>0</v>
      </c>
      <c r="UU9" s="26">
        <f>IF(UU7=0,0,IF(MAX($F9:UT9)=$D12,0,UT9+1))</f>
        <v>0</v>
      </c>
      <c r="UV9" s="26">
        <f>IF(UV7=0,0,IF(MAX($F9:UU9)=$D12,0,UU9+1))</f>
        <v>0</v>
      </c>
      <c r="UW9" s="26">
        <f>IF(UW7=0,0,IF(MAX($F9:UV9)=$D12,0,UV9+1))</f>
        <v>0</v>
      </c>
      <c r="UX9" s="26">
        <f>IF(UX7=0,0,IF(MAX($F9:UW9)=$D12,0,UW9+1))</f>
        <v>0</v>
      </c>
      <c r="UY9" s="26">
        <f>IF(UY7=0,0,IF(MAX($F9:UX9)=$D12,0,UX9+1))</f>
        <v>0</v>
      </c>
      <c r="UZ9" s="26">
        <f>IF(UZ7=0,0,IF(MAX($F9:UY9)=$D12,0,UY9+1))</f>
        <v>0</v>
      </c>
      <c r="VA9" s="26">
        <f>IF(VA7=0,0,IF(MAX($F9:UZ9)=$D12,0,UZ9+1))</f>
        <v>0</v>
      </c>
      <c r="VB9" s="26">
        <f>IF(VB7=0,0,IF(MAX($F9:VA9)=$D12,0,VA9+1))</f>
        <v>0</v>
      </c>
      <c r="VC9" s="26">
        <f>IF(VC7=0,0,IF(MAX($F9:VB9)=$D12,0,VB9+1))</f>
        <v>0</v>
      </c>
      <c r="VD9" s="26">
        <f>IF(VD7=0,0,IF(MAX($F9:VC9)=$D12,0,VC9+1))</f>
        <v>0</v>
      </c>
      <c r="VE9" s="26">
        <f>IF(VE7=0,0,IF(MAX($F9:VD9)=$D12,0,VD9+1))</f>
        <v>0</v>
      </c>
      <c r="VF9" s="26">
        <f>IF(VF7=0,0,IF(MAX($F9:VE9)=$D12,0,VE9+1))</f>
        <v>0</v>
      </c>
      <c r="VG9" s="26">
        <f>IF(VG7=0,0,IF(MAX($F9:VF9)=$D12,0,VF9+1))</f>
        <v>0</v>
      </c>
      <c r="VH9" s="26">
        <f>IF(VH7=0,0,IF(MAX($F9:VG9)=$D12,0,VG9+1))</f>
        <v>0</v>
      </c>
      <c r="VI9" s="26">
        <f>IF(VI7=0,0,IF(MAX($F9:VH9)=$D12,0,VH9+1))</f>
        <v>0</v>
      </c>
      <c r="VJ9" s="26">
        <f>IF(VJ7=0,0,IF(MAX($F9:VI9)=$D12,0,VI9+1))</f>
        <v>0</v>
      </c>
      <c r="VK9" s="26">
        <f>IF(VK7=0,0,IF(MAX($F9:VJ9)=$D12,0,VJ9+1))</f>
        <v>0</v>
      </c>
      <c r="VL9" s="26">
        <f>IF(VL7=0,0,IF(MAX($F9:VK9)=$D12,0,VK9+1))</f>
        <v>0</v>
      </c>
      <c r="VM9" s="26">
        <f>IF(VM7=0,0,IF(MAX($F9:VL9)=$D12,0,VL9+1))</f>
        <v>0</v>
      </c>
      <c r="VN9" s="26">
        <f>IF(VN7=0,0,IF(MAX($F9:VM9)=$D12,0,VM9+1))</f>
        <v>0</v>
      </c>
      <c r="VO9" s="26">
        <f>IF(VO7=0,0,IF(MAX($F9:VN9)=$D12,0,VN9+1))</f>
        <v>0</v>
      </c>
      <c r="VP9" s="26">
        <f>IF(VP7=0,0,IF(MAX($F9:VO9)=$D12,0,VO9+1))</f>
        <v>0</v>
      </c>
      <c r="VQ9" s="26">
        <f>IF(VQ7=0,0,IF(MAX($F9:VP9)=$D12,0,VP9+1))</f>
        <v>0</v>
      </c>
      <c r="VR9" s="26">
        <f>IF(VR7=0,0,IF(MAX($F9:VQ9)=$D12,0,VQ9+1))</f>
        <v>0</v>
      </c>
      <c r="VS9" s="26">
        <f>IF(VS7=0,0,IF(MAX($F9:VR9)=$D12,0,VR9+1))</f>
        <v>0</v>
      </c>
      <c r="VT9" s="26">
        <f>IF(VT7=0,0,IF(MAX($F9:VS9)=$D12,0,VS9+1))</f>
        <v>0</v>
      </c>
      <c r="VU9" s="26">
        <f>IF(VU7=0,0,IF(MAX($F9:VT9)=$D12,0,VT9+1))</f>
        <v>0</v>
      </c>
      <c r="VV9" s="26">
        <f>IF(VV7=0,0,IF(MAX($F9:VU9)=$D12,0,VU9+1))</f>
        <v>0</v>
      </c>
      <c r="VW9" s="26">
        <f>IF(VW7=0,0,IF(MAX($F9:VV9)=$D12,0,VV9+1))</f>
        <v>0</v>
      </c>
      <c r="VX9" s="26">
        <f>IF(VX7=0,0,IF(MAX($F9:VW9)=$D12,0,VW9+1))</f>
        <v>0</v>
      </c>
      <c r="VY9" s="26">
        <f>IF(VY7=0,0,IF(MAX($F9:VX9)=$D12,0,VX9+1))</f>
        <v>0</v>
      </c>
      <c r="VZ9" s="26">
        <f>IF(VZ7=0,0,IF(MAX($F9:VY9)=$D12,0,VY9+1))</f>
        <v>0</v>
      </c>
      <c r="WA9" s="26">
        <f>IF(WA7=0,0,IF(MAX($F9:VZ9)=$D12,0,VZ9+1))</f>
        <v>0</v>
      </c>
      <c r="WB9" s="26">
        <f>IF(WB7=0,0,IF(MAX($F9:WA9)=$D12,0,WA9+1))</f>
        <v>0</v>
      </c>
      <c r="WC9" s="26">
        <f>IF(WC7=0,0,IF(MAX($F9:WB9)=$D12,0,WB9+1))</f>
        <v>0</v>
      </c>
      <c r="WD9" s="26">
        <f>IF(WD7=0,0,IF(MAX($F9:WC9)=$D12,0,WC9+1))</f>
        <v>0</v>
      </c>
      <c r="WE9" s="26">
        <f>IF(WE7=0,0,IF(MAX($F9:WD9)=$D12,0,WD9+1))</f>
        <v>0</v>
      </c>
      <c r="WF9" s="26">
        <f>IF(WF7=0,0,IF(MAX($F9:WE9)=$D12,0,WE9+1))</f>
        <v>0</v>
      </c>
      <c r="WG9" s="26">
        <f>IF(WG7=0,0,IF(MAX($F9:WF9)=$D12,0,WF9+1))</f>
        <v>0</v>
      </c>
      <c r="WH9" s="26">
        <f>IF(WH7=0,0,IF(MAX($F9:WG9)=$D12,0,WG9+1))</f>
        <v>0</v>
      </c>
      <c r="WI9" s="26">
        <f>IF(WI7=0,0,IF(MAX($F9:WH9)=$D12,0,WH9+1))</f>
        <v>0</v>
      </c>
      <c r="WJ9" s="26">
        <f>IF(WJ7=0,0,IF(MAX($F9:WI9)=$D12,0,WI9+1))</f>
        <v>0</v>
      </c>
      <c r="WK9" s="26">
        <f>IF(WK7=0,0,IF(MAX($F9:WJ9)=$D12,0,WJ9+1))</f>
        <v>0</v>
      </c>
      <c r="WL9" s="26">
        <f>IF(WL7=0,0,IF(MAX($F9:WK9)=$D12,0,WK9+1))</f>
        <v>0</v>
      </c>
      <c r="WM9" s="26">
        <f>IF(WM7=0,0,IF(MAX($F9:WL9)=$D12,0,WL9+1))</f>
        <v>0</v>
      </c>
      <c r="WN9" s="26">
        <f>IF(WN7=0,0,IF(MAX($F9:WM9)=$D12,0,WM9+1))</f>
        <v>0</v>
      </c>
      <c r="WO9" s="26">
        <f>IF(WO7=0,0,IF(MAX($F9:WN9)=$D12,0,WN9+1))</f>
        <v>0</v>
      </c>
      <c r="WP9" s="26">
        <f>IF(WP7=0,0,IF(MAX($F9:WO9)=$D12,0,WO9+1))</f>
        <v>0</v>
      </c>
      <c r="WQ9" s="26">
        <f>IF(WQ7=0,0,IF(MAX($F9:WP9)=$D12,0,WP9+1))</f>
        <v>0</v>
      </c>
      <c r="WR9" s="26">
        <f>IF(WR7=0,0,IF(MAX($F9:WQ9)=$D12,0,WQ9+1))</f>
        <v>0</v>
      </c>
      <c r="WS9" s="26">
        <f>IF(WS7=0,0,IF(MAX($F9:WR9)=$D12,0,WR9+1))</f>
        <v>0</v>
      </c>
      <c r="WT9" s="26">
        <f>IF(WT7=0,0,IF(MAX($F9:WS9)=$D12,0,WS9+1))</f>
        <v>0</v>
      </c>
      <c r="WU9" s="26">
        <f>IF(WU7=0,0,IF(MAX($F9:WT9)=$D12,0,WT9+1))</f>
        <v>0</v>
      </c>
      <c r="WV9" s="26">
        <f>IF(WV7=0,0,IF(MAX($F9:WU9)=$D12,0,WU9+1))</f>
        <v>0</v>
      </c>
      <c r="WW9" s="26">
        <f>IF(WW7=0,0,IF(MAX($F9:WV9)=$D12,0,WV9+1))</f>
        <v>0</v>
      </c>
      <c r="WX9" s="26">
        <f>IF(WX7=0,0,IF(MAX($F9:WW9)=$D12,0,WW9+1))</f>
        <v>0</v>
      </c>
      <c r="WY9" s="26">
        <f>IF(WY7=0,0,IF(MAX($F9:WX9)=$D12,0,WX9+1))</f>
        <v>0</v>
      </c>
      <c r="WZ9" s="26">
        <f>IF(WZ7=0,0,IF(MAX($F9:WY9)=$D12,0,WY9+1))</f>
        <v>0</v>
      </c>
      <c r="XA9" s="26">
        <f>IF(XA7=0,0,IF(MAX($F9:WZ9)=$D12,0,WZ9+1))</f>
        <v>0</v>
      </c>
      <c r="XB9" s="26">
        <f>IF(XB7=0,0,IF(MAX($F9:XA9)=$D12,0,XA9+1))</f>
        <v>0</v>
      </c>
      <c r="XC9" s="26">
        <f>IF(XC7=0,0,IF(MAX($F9:XB9)=$D12,0,XB9+1))</f>
        <v>0</v>
      </c>
      <c r="XD9" s="26">
        <f>IF(XD7=0,0,IF(MAX($F9:XC9)=$D12,0,XC9+1))</f>
        <v>0</v>
      </c>
      <c r="XE9" s="26">
        <f>IF(XE7=0,0,IF(MAX($F9:XD9)=$D12,0,XD9+1))</f>
        <v>0</v>
      </c>
      <c r="XF9" s="26">
        <f>IF(XF7=0,0,IF(MAX($F9:XE9)=$D12,0,XE9+1))</f>
        <v>0</v>
      </c>
      <c r="XG9" s="26">
        <f>IF(XG7=0,0,IF(MAX($F9:XF9)=$D12,0,XF9+1))</f>
        <v>0</v>
      </c>
      <c r="XH9" s="26">
        <f>IF(XH7=0,0,IF(MAX($F9:XG9)=$D12,0,XG9+1))</f>
        <v>0</v>
      </c>
      <c r="XI9" s="26">
        <f>IF(XI7=0,0,IF(MAX($F9:XH9)=$D12,0,XH9+1))</f>
        <v>0</v>
      </c>
      <c r="XJ9" s="26">
        <f>IF(XJ7=0,0,IF(MAX($F9:XI9)=$D12,0,XI9+1))</f>
        <v>0</v>
      </c>
      <c r="XK9" s="26">
        <f>IF(XK7=0,0,IF(MAX($F9:XJ9)=$D12,0,XJ9+1))</f>
        <v>0</v>
      </c>
      <c r="XL9" s="26">
        <f>IF(XL7=0,0,IF(MAX($F9:XK9)=$D12,0,XK9+1))</f>
        <v>0</v>
      </c>
      <c r="XM9" s="26">
        <f>IF(XM7=0,0,IF(MAX($F9:XL9)=$D12,0,XL9+1))</f>
        <v>0</v>
      </c>
      <c r="XN9" s="26">
        <f>IF(XN7=0,0,IF(MAX($F9:XM9)=$D12,0,XM9+1))</f>
        <v>0</v>
      </c>
      <c r="XO9" s="26">
        <f>IF(XO7=0,0,IF(MAX($F9:XN9)=$D12,0,XN9+1))</f>
        <v>0</v>
      </c>
      <c r="XP9" s="26">
        <f>IF(XP7=0,0,IF(MAX($F9:XO9)=$D12,0,XO9+1))</f>
        <v>0</v>
      </c>
      <c r="XQ9" s="26">
        <f>IF(XQ7=0,0,IF(MAX($F9:XP9)=$D12,0,XP9+1))</f>
        <v>0</v>
      </c>
      <c r="XR9" s="26">
        <f>IF(XR7=0,0,IF(MAX($F9:XQ9)=$D12,0,XQ9+1))</f>
        <v>0</v>
      </c>
      <c r="XS9" s="26">
        <f>IF(XS7=0,0,IF(MAX($F9:XR9)=$D12,0,XR9+1))</f>
        <v>0</v>
      </c>
      <c r="XT9" s="26">
        <f>IF(XT7=0,0,IF(MAX($F9:XS9)=$D12,0,XS9+1))</f>
        <v>0</v>
      </c>
      <c r="XU9" s="26">
        <f>IF(XU7=0,0,IF(MAX($F9:XT9)=$D12,0,XT9+1))</f>
        <v>0</v>
      </c>
      <c r="XV9" s="26">
        <f>IF(XV7=0,0,IF(MAX($F9:XU9)=$D12,0,XU9+1))</f>
        <v>0</v>
      </c>
      <c r="XW9" s="26">
        <f>IF(XW7=0,0,IF(MAX($F9:XV9)=$D12,0,XV9+1))</f>
        <v>0</v>
      </c>
      <c r="XX9" s="26">
        <f>IF(XX7=0,0,IF(MAX($F9:XW9)=$D12,0,XW9+1))</f>
        <v>0</v>
      </c>
      <c r="XY9" s="26">
        <f>IF(XY7=0,0,IF(MAX($F9:XX9)=$D12,0,XX9+1))</f>
        <v>0</v>
      </c>
      <c r="XZ9" s="26">
        <f>IF(XZ7=0,0,IF(MAX($F9:XY9)=$D12,0,XY9+1))</f>
        <v>0</v>
      </c>
      <c r="YA9" s="26">
        <f>IF(YA7=0,0,IF(MAX($F9:XZ9)=$D12,0,XZ9+1))</f>
        <v>0</v>
      </c>
      <c r="YB9" s="26">
        <f>IF(YB7=0,0,IF(MAX($F9:YA9)=$D12,0,YA9+1))</f>
        <v>0</v>
      </c>
      <c r="YC9" s="26">
        <f>IF(YC7=0,0,IF(MAX($F9:YB9)=$D12,0,YB9+1))</f>
        <v>0</v>
      </c>
      <c r="YD9" s="26">
        <f>IF(YD7=0,0,IF(MAX($F9:YC9)=$D12,0,YC9+1))</f>
        <v>0</v>
      </c>
      <c r="YE9" s="26">
        <f>IF(YE7=0,0,IF(MAX($F9:YD9)=$D12,0,YD9+1))</f>
        <v>0</v>
      </c>
      <c r="YF9" s="26">
        <f>IF(YF7=0,0,IF(MAX($F9:YE9)=$D12,0,YE9+1))</f>
        <v>0</v>
      </c>
      <c r="YG9" s="26">
        <f>IF(YG7=0,0,IF(MAX($F9:YF9)=$D12,0,YF9+1))</f>
        <v>0</v>
      </c>
      <c r="YH9" s="26">
        <f>IF(YH7=0,0,IF(MAX($F9:YG9)=$D12,0,YG9+1))</f>
        <v>0</v>
      </c>
      <c r="YI9" s="26">
        <f>IF(YI7=0,0,IF(MAX($F9:YH9)=$D12,0,YH9+1))</f>
        <v>0</v>
      </c>
      <c r="YJ9" s="26">
        <f>IF(YJ7=0,0,IF(MAX($F9:YI9)=$D12,0,YI9+1))</f>
        <v>0</v>
      </c>
      <c r="YK9" s="26">
        <f>IF(YK7=0,0,IF(MAX($F9:YJ9)=$D12,0,YJ9+1))</f>
        <v>0</v>
      </c>
      <c r="YL9" s="26">
        <f>IF(YL7=0,0,IF(MAX($F9:YK9)=$D12,0,YK9+1))</f>
        <v>0</v>
      </c>
      <c r="YM9" s="26">
        <f>IF(YM7=0,0,IF(MAX($F9:YL9)=$D12,0,YL9+1))</f>
        <v>0</v>
      </c>
      <c r="YN9" s="26">
        <f>IF(YN7=0,0,IF(MAX($F9:YM9)=$D12,0,YM9+1))</f>
        <v>0</v>
      </c>
      <c r="YO9" s="26">
        <f>IF(YO7=0,0,IF(MAX($F9:YN9)=$D12,0,YN9+1))</f>
        <v>0</v>
      </c>
      <c r="YP9" s="26">
        <f>IF(YP7=0,0,IF(MAX($F9:YO9)=$D12,0,YO9+1))</f>
        <v>0</v>
      </c>
      <c r="YQ9" s="26">
        <f>IF(YQ7=0,0,IF(MAX($F9:YP9)=$D12,0,YP9+1))</f>
        <v>0</v>
      </c>
      <c r="YR9" s="26">
        <f>IF(YR7=0,0,IF(MAX($F9:YQ9)=$D12,0,YQ9+1))</f>
        <v>0</v>
      </c>
      <c r="YS9" s="26">
        <f>IF(YS7=0,0,IF(MAX($F9:YR9)=$D12,0,YR9+1))</f>
        <v>0</v>
      </c>
      <c r="YT9" s="26">
        <f>IF(YT7=0,0,IF(MAX($F9:YS9)=$D12,0,YS9+1))</f>
        <v>0</v>
      </c>
      <c r="YU9" s="26">
        <f>IF(YU7=0,0,IF(MAX($F9:YT9)=$D12,0,YT9+1))</f>
        <v>0</v>
      </c>
      <c r="YV9" s="26">
        <f>IF(YV7=0,0,IF(MAX($F9:YU9)=$D12,0,YU9+1))</f>
        <v>0</v>
      </c>
      <c r="YW9" s="26">
        <f>IF(YW7=0,0,IF(MAX($F9:YV9)=$D12,0,YV9+1))</f>
        <v>0</v>
      </c>
      <c r="YX9" s="26">
        <f>IF(YX7=0,0,IF(MAX($F9:YW9)=$D12,0,YW9+1))</f>
        <v>0</v>
      </c>
      <c r="YY9" s="26">
        <f>IF(YY7=0,0,IF(MAX($F9:YX9)=$D12,0,YX9+1))</f>
        <v>0</v>
      </c>
      <c r="YZ9" s="26">
        <f>IF(YZ7=0,0,IF(MAX($F9:YY9)=$D12,0,YY9+1))</f>
        <v>0</v>
      </c>
      <c r="ZA9" s="26">
        <f>IF(ZA7=0,0,IF(MAX($F9:YZ9)=$D12,0,YZ9+1))</f>
        <v>0</v>
      </c>
      <c r="ZB9" s="26">
        <f>IF(ZB7=0,0,IF(MAX($F9:ZA9)=$D12,0,ZA9+1))</f>
        <v>0</v>
      </c>
      <c r="ZC9" s="26">
        <f>IF(ZC7=0,0,IF(MAX($F9:ZB9)=$D12,0,ZB9+1))</f>
        <v>0</v>
      </c>
      <c r="ZD9" s="26">
        <f>IF(ZD7=0,0,IF(MAX($F9:ZC9)=$D12,0,ZC9+1))</f>
        <v>0</v>
      </c>
      <c r="ZE9" s="26">
        <f>IF(ZE7=0,0,IF(MAX($F9:ZD9)=$D12,0,ZD9+1))</f>
        <v>0</v>
      </c>
      <c r="ZF9" s="26">
        <f>IF(ZF7=0,0,IF(MAX($F9:ZE9)=$D12,0,ZE9+1))</f>
        <v>0</v>
      </c>
      <c r="ZG9" s="26">
        <f>IF(ZG7=0,0,IF(MAX($F9:ZF9)=$D12,0,ZF9+1))</f>
        <v>0</v>
      </c>
      <c r="ZH9" s="26">
        <f>IF(ZH7=0,0,IF(MAX($F9:ZG9)=$D12,0,ZG9+1))</f>
        <v>0</v>
      </c>
      <c r="ZI9" s="26">
        <f>IF(ZI7=0,0,IF(MAX($F9:ZH9)=$D12,0,ZH9+1))</f>
        <v>0</v>
      </c>
      <c r="ZJ9" s="26">
        <f>IF(ZJ7=0,0,IF(MAX($F9:ZI9)=$D12,0,ZI9+1))</f>
        <v>0</v>
      </c>
      <c r="ZK9" s="26">
        <f>IF(ZK7=0,0,IF(MAX($F9:ZJ9)=$D12,0,ZJ9+1))</f>
        <v>0</v>
      </c>
      <c r="ZL9" s="26">
        <f>IF(ZL7=0,0,IF(MAX($F9:ZK9)=$D12,0,ZK9+1))</f>
        <v>0</v>
      </c>
      <c r="ZM9" s="26">
        <f>IF(ZM7=0,0,IF(MAX($F9:ZL9)=$D12,0,ZL9+1))</f>
        <v>0</v>
      </c>
      <c r="ZN9" s="26">
        <f>IF(ZN7=0,0,IF(MAX($F9:ZM9)=$D12,0,ZM9+1))</f>
        <v>0</v>
      </c>
      <c r="ZO9" s="26">
        <f>IF(ZO7=0,0,IF(MAX($F9:ZN9)=$D12,0,ZN9+1))</f>
        <v>0</v>
      </c>
      <c r="ZP9" s="26">
        <f>IF(ZP7=0,0,IF(MAX($F9:ZO9)=$D12,0,ZO9+1))</f>
        <v>0</v>
      </c>
      <c r="ZQ9" s="26">
        <f>IF(ZQ7=0,0,IF(MAX($F9:ZP9)=$D12,0,ZP9+1))</f>
        <v>0</v>
      </c>
      <c r="ZR9" s="26">
        <f>IF(ZR7=0,0,IF(MAX($F9:ZQ9)=$D12,0,ZQ9+1))</f>
        <v>0</v>
      </c>
      <c r="ZS9" s="26">
        <f>IF(ZS7=0,0,IF(MAX($F9:ZR9)=$D12,0,ZR9+1))</f>
        <v>0</v>
      </c>
      <c r="ZT9" s="26">
        <f>IF(ZT7=0,0,IF(MAX($F9:ZS9)=$D12,0,ZS9+1))</f>
        <v>0</v>
      </c>
      <c r="ZU9" s="26">
        <f>IF(ZU7=0,0,IF(MAX($F9:ZT9)=$D12,0,ZT9+1))</f>
        <v>0</v>
      </c>
      <c r="ZV9" s="26">
        <f>IF(ZV7=0,0,IF(MAX($F9:ZU9)=$D12,0,ZU9+1))</f>
        <v>0</v>
      </c>
      <c r="ZW9" s="26">
        <f>IF(ZW7=0,0,IF(MAX($F9:ZV9)=$D12,0,ZV9+1))</f>
        <v>0</v>
      </c>
      <c r="ZX9" s="26">
        <f>IF(ZX7=0,0,IF(MAX($F9:ZW9)=$D12,0,ZW9+1))</f>
        <v>0</v>
      </c>
      <c r="ZY9" s="26">
        <f>IF(ZY7=0,0,IF(MAX($F9:ZX9)=$D12,0,ZX9+1))</f>
        <v>0</v>
      </c>
      <c r="ZZ9" s="26">
        <f>IF(ZZ7=0,0,IF(MAX($F9:ZY9)=$D12,0,ZY9+1))</f>
        <v>0</v>
      </c>
      <c r="AAA9" s="26">
        <f>IF(AAA7=0,0,IF(MAX($F9:ZZ9)=$D12,0,ZZ9+1))</f>
        <v>0</v>
      </c>
      <c r="AAB9" s="26">
        <f>IF(AAB7=0,0,IF(MAX($F9:AAA9)=$D12,0,AAA9+1))</f>
        <v>0</v>
      </c>
      <c r="AAC9" s="26">
        <f>IF(AAC7=0,0,IF(MAX($F9:AAB9)=$D12,0,AAB9+1))</f>
        <v>0</v>
      </c>
      <c r="AAD9" s="26">
        <f>IF(AAD7=0,0,IF(MAX($F9:AAC9)=$D12,0,AAC9+1))</f>
        <v>0</v>
      </c>
      <c r="AAE9" s="26">
        <f>IF(AAE7=0,0,IF(MAX($F9:AAD9)=$D12,0,AAD9+1))</f>
        <v>0</v>
      </c>
      <c r="AAF9" s="26">
        <f>IF(AAF7=0,0,IF(MAX($F9:AAE9)=$D12,0,AAE9+1))</f>
        <v>0</v>
      </c>
      <c r="AAG9" s="26">
        <f>IF(AAG7=0,0,IF(MAX($F9:AAF9)=$D12,0,AAF9+1))</f>
        <v>0</v>
      </c>
      <c r="AAH9" s="26">
        <f>IF(AAH7=0,0,IF(MAX($F9:AAG9)=$D12,0,AAG9+1))</f>
        <v>0</v>
      </c>
      <c r="AAI9" s="26">
        <f>IF(AAI7=0,0,IF(MAX($F9:AAH9)=$D12,0,AAH9+1))</f>
        <v>0</v>
      </c>
      <c r="AAJ9" s="26">
        <f>IF(AAJ7=0,0,IF(MAX($F9:AAI9)=$D12,0,AAI9+1))</f>
        <v>0</v>
      </c>
      <c r="AAK9" s="26">
        <f>IF(AAK7=0,0,IF(MAX($F9:AAJ9)=$D12,0,AAJ9+1))</f>
        <v>0</v>
      </c>
      <c r="AAL9" s="26">
        <f>IF(AAL7=0,0,IF(MAX($F9:AAK9)=$D12,0,AAK9+1))</f>
        <v>0</v>
      </c>
      <c r="AAM9" s="26">
        <f>IF(AAM7=0,0,IF(MAX($F9:AAL9)=$D12,0,AAL9+1))</f>
        <v>0</v>
      </c>
      <c r="AAN9" s="26">
        <f>IF(AAN7=0,0,IF(MAX($F9:AAM9)=$D12,0,AAM9+1))</f>
        <v>0</v>
      </c>
      <c r="AAO9" s="26">
        <f>IF(AAO7=0,0,IF(MAX($F9:AAN9)=$D12,0,AAN9+1))</f>
        <v>0</v>
      </c>
      <c r="AAP9" s="26">
        <f>IF(AAP7=0,0,IF(MAX($F9:AAO9)=$D12,0,AAO9+1))</f>
        <v>0</v>
      </c>
      <c r="AAQ9" s="26">
        <f>IF(AAQ7=0,0,IF(MAX($F9:AAP9)=$D12,0,AAP9+1))</f>
        <v>0</v>
      </c>
      <c r="AAR9" s="26">
        <f>IF(AAR7=0,0,IF(MAX($F9:AAQ9)=$D12,0,AAQ9+1))</f>
        <v>0</v>
      </c>
      <c r="AAS9" s="26">
        <f>IF(AAS7=0,0,IF(MAX($F9:AAR9)=$D12,0,AAR9+1))</f>
        <v>0</v>
      </c>
      <c r="AAT9" s="26">
        <f>IF(AAT7=0,0,IF(MAX($F9:AAS9)=$D12,0,AAS9+1))</f>
        <v>0</v>
      </c>
      <c r="AAU9" s="26">
        <f>IF(AAU7=0,0,IF(MAX($F9:AAT9)=$D12,0,AAT9+1))</f>
        <v>0</v>
      </c>
      <c r="AAV9" s="26">
        <f>IF(AAV7=0,0,IF(MAX($F9:AAU9)=$D12,0,AAU9+1))</f>
        <v>0</v>
      </c>
      <c r="AAW9" s="26">
        <f>IF(AAW7=0,0,IF(MAX($F9:AAV9)=$D12,0,AAV9+1))</f>
        <v>0</v>
      </c>
      <c r="AAX9" s="26">
        <f>IF(AAX7=0,0,IF(MAX($F9:AAW9)=$D12,0,AAW9+1))</f>
        <v>0</v>
      </c>
      <c r="AAY9" s="26">
        <f>IF(AAY7=0,0,IF(MAX($F9:AAX9)=$D12,0,AAX9+1))</f>
        <v>0</v>
      </c>
      <c r="AAZ9" s="26">
        <f>IF(AAZ7=0,0,IF(MAX($F9:AAY9)=$D12,0,AAY9+1))</f>
        <v>0</v>
      </c>
      <c r="ABA9" s="26">
        <f>IF(ABA7=0,0,IF(MAX($F9:AAZ9)=$D12,0,AAZ9+1))</f>
        <v>0</v>
      </c>
      <c r="ABB9" s="26">
        <f>IF(ABB7=0,0,IF(MAX($F9:ABA9)=$D12,0,ABA9+1))</f>
        <v>0</v>
      </c>
      <c r="ABC9" s="26">
        <f>IF(ABC7=0,0,IF(MAX($F9:ABB9)=$D12,0,ABB9+1))</f>
        <v>0</v>
      </c>
      <c r="ABD9" s="26">
        <f>IF(ABD7=0,0,IF(MAX($F9:ABC9)=$D12,0,ABC9+1))</f>
        <v>0</v>
      </c>
      <c r="ABE9" s="26">
        <f>IF(ABE7=0,0,IF(MAX($F9:ABD9)=$D12,0,ABD9+1))</f>
        <v>0</v>
      </c>
      <c r="ABF9" s="26">
        <f>IF(ABF7=0,0,IF(MAX($F9:ABE9)=$D12,0,ABE9+1))</f>
        <v>0</v>
      </c>
      <c r="ABG9" s="26">
        <f>IF(ABG7=0,0,IF(MAX($F9:ABF9)=$D12,0,ABF9+1))</f>
        <v>0</v>
      </c>
      <c r="ABH9" s="26">
        <f>IF(ABH7=0,0,IF(MAX($F9:ABG9)=$D12,0,ABG9+1))</f>
        <v>0</v>
      </c>
      <c r="ABI9" s="26">
        <f>IF(ABI7=0,0,IF(MAX($F9:ABH9)=$D12,0,ABH9+1))</f>
        <v>0</v>
      </c>
      <c r="ABJ9" s="26">
        <f>IF(ABJ7=0,0,IF(MAX($F9:ABI9)=$D12,0,ABI9+1))</f>
        <v>0</v>
      </c>
      <c r="ABK9" s="26">
        <f>IF(ABK7=0,0,IF(MAX($F9:ABJ9)=$D12,0,ABJ9+1))</f>
        <v>0</v>
      </c>
      <c r="ABL9" s="26">
        <f>IF(ABL7=0,0,IF(MAX($F9:ABK9)=$D12,0,ABK9+1))</f>
        <v>0</v>
      </c>
      <c r="ABM9" s="26">
        <f>IF(ABM7=0,0,IF(MAX($F9:ABL9)=$D12,0,ABL9+1))</f>
        <v>0</v>
      </c>
      <c r="ABN9" s="26">
        <f>IF(ABN7=0,0,IF(MAX($F9:ABM9)=$D12,0,ABM9+1))</f>
        <v>0</v>
      </c>
      <c r="ABO9" s="26">
        <f>IF(ABO7=0,0,IF(MAX($F9:ABN9)=$D12,0,ABN9+1))</f>
        <v>0</v>
      </c>
      <c r="ABP9" s="26">
        <f>IF(ABP7=0,0,IF(MAX($F9:ABO9)=$D12,0,ABO9+1))</f>
        <v>0</v>
      </c>
      <c r="ABQ9" s="26">
        <f>IF(ABQ7=0,0,IF(MAX($F9:ABP9)=$D12,0,ABP9+1))</f>
        <v>0</v>
      </c>
      <c r="ABR9" s="26">
        <f>IF(ABR7=0,0,IF(MAX($F9:ABQ9)=$D12,0,ABQ9+1))</f>
        <v>0</v>
      </c>
      <c r="ABS9" s="26">
        <f>IF(ABS7=0,0,IF(MAX($F9:ABR9)=$D12,0,ABR9+1))</f>
        <v>0</v>
      </c>
      <c r="ABT9" s="26">
        <f>IF(ABT7=0,0,IF(MAX($F9:ABS9)=$D12,0,ABS9+1))</f>
        <v>0</v>
      </c>
      <c r="ABU9" s="26">
        <f>IF(ABU7=0,0,IF(MAX($F9:ABT9)=$D12,0,ABT9+1))</f>
        <v>0</v>
      </c>
      <c r="ABV9" s="26">
        <f>IF(ABV7=0,0,IF(MAX($F9:ABU9)=$D12,0,ABU9+1))</f>
        <v>0</v>
      </c>
      <c r="ABW9" s="26">
        <f>IF(ABW7=0,0,IF(MAX($F9:ABV9)=$D12,0,ABV9+1))</f>
        <v>0</v>
      </c>
      <c r="ABX9" s="26">
        <f>IF(ABX7=0,0,IF(MAX($F9:ABW9)=$D12,0,ABW9+1))</f>
        <v>0</v>
      </c>
      <c r="ABY9" s="26">
        <f>IF(ABY7=0,0,IF(MAX($F9:ABX9)=$D12,0,ABX9+1))</f>
        <v>0</v>
      </c>
      <c r="ABZ9" s="26">
        <f>IF(ABZ7=0,0,IF(MAX($F9:ABY9)=$D12,0,ABY9+1))</f>
        <v>0</v>
      </c>
      <c r="ACA9" s="26">
        <f>IF(ACA7=0,0,IF(MAX($F9:ABZ9)=$D12,0,ABZ9+1))</f>
        <v>0</v>
      </c>
      <c r="ACB9" s="26">
        <f>IF(ACB7=0,0,IF(MAX($F9:ACA9)=$D12,0,ACA9+1))</f>
        <v>0</v>
      </c>
      <c r="ACC9" s="26">
        <f>IF(ACC7=0,0,IF(MAX($F9:ACB9)=$D12,0,ACB9+1))</f>
        <v>0</v>
      </c>
      <c r="ACD9" s="26">
        <f>IF(ACD7=0,0,IF(MAX($F9:ACC9)=$D12,0,ACC9+1))</f>
        <v>0</v>
      </c>
      <c r="ACE9" s="26">
        <f>IF(ACE7=0,0,IF(MAX($F9:ACD9)=$D12,0,ACD9+1))</f>
        <v>0</v>
      </c>
      <c r="ACF9" s="26">
        <f>IF(ACF7=0,0,IF(MAX($F9:ACE9)=$D12,0,ACE9+1))</f>
        <v>0</v>
      </c>
      <c r="ACG9" s="26">
        <f>IF(ACG7=0,0,IF(MAX($F9:ACF9)=$D12,0,ACF9+1))</f>
        <v>0</v>
      </c>
      <c r="ACH9" s="26">
        <f>IF(ACH7=0,0,IF(MAX($F9:ACG9)=$D12,0,ACG9+1))</f>
        <v>0</v>
      </c>
      <c r="ACI9" s="26">
        <f>IF(ACI7=0,0,IF(MAX($F9:ACH9)=$D12,0,ACH9+1))</f>
        <v>0</v>
      </c>
      <c r="ACJ9" s="26">
        <f>IF(ACJ7=0,0,IF(MAX($F9:ACI9)=$D12,0,ACI9+1))</f>
        <v>0</v>
      </c>
      <c r="ACK9" s="26">
        <f>IF(ACK7=0,0,IF(MAX($F9:ACJ9)=$D12,0,ACJ9+1))</f>
        <v>0</v>
      </c>
      <c r="ACL9" s="26">
        <f>IF(ACL7=0,0,IF(MAX($F9:ACK9)=$D12,0,ACK9+1))</f>
        <v>0</v>
      </c>
      <c r="ACM9" s="26">
        <f>IF(ACM7=0,0,IF(MAX($F9:ACL9)=$D12,0,ACL9+1))</f>
        <v>0</v>
      </c>
      <c r="ACN9" s="26">
        <f>IF(ACN7=0,0,IF(MAX($F9:ACM9)=$D12,0,ACM9+1))</f>
        <v>0</v>
      </c>
      <c r="ACO9" s="26">
        <f>IF(ACO7=0,0,IF(MAX($F9:ACN9)=$D12,0,ACN9+1))</f>
        <v>0</v>
      </c>
      <c r="ACP9" s="26">
        <f>IF(ACP7=0,0,IF(MAX($F9:ACO9)=$D12,0,ACO9+1))</f>
        <v>0</v>
      </c>
      <c r="ACQ9" s="26">
        <f>IF(ACQ7=0,0,IF(MAX($F9:ACP9)=$D12,0,ACP9+1))</f>
        <v>0</v>
      </c>
      <c r="ACR9" s="26">
        <f>IF(ACR7=0,0,IF(MAX($F9:ACQ9)=$D12,0,ACQ9+1))</f>
        <v>0</v>
      </c>
      <c r="ACS9" s="26">
        <f>IF(ACS7=0,0,IF(MAX($F9:ACR9)=$D12,0,ACR9+1))</f>
        <v>0</v>
      </c>
      <c r="ACT9" s="26">
        <f>IF(ACT7=0,0,IF(MAX($F9:ACS9)=$D12,0,ACS9+1))</f>
        <v>0</v>
      </c>
      <c r="ACU9" s="26">
        <f>IF(ACU7=0,0,IF(MAX($F9:ACT9)=$D12,0,ACT9+1))</f>
        <v>0</v>
      </c>
      <c r="ACV9" s="26">
        <f>IF(ACV7=0,0,IF(MAX($F9:ACU9)=$D12,0,ACU9+1))</f>
        <v>0</v>
      </c>
      <c r="ACW9" s="26">
        <f>IF(ACW7=0,0,IF(MAX($F9:ACV9)=$D12,0,ACV9+1))</f>
        <v>0</v>
      </c>
      <c r="ACX9" s="26">
        <f>IF(ACX7=0,0,IF(MAX($F9:ACW9)=$D12,0,ACW9+1))</f>
        <v>0</v>
      </c>
      <c r="ACY9" s="26">
        <f>IF(ACY7=0,0,IF(MAX($F9:ACX9)=$D12,0,ACX9+1))</f>
        <v>0</v>
      </c>
      <c r="ACZ9" s="26">
        <f>IF(ACZ7=0,0,IF(MAX($F9:ACY9)=$D12,0,ACY9+1))</f>
        <v>0</v>
      </c>
      <c r="ADA9" s="26">
        <f>IF(ADA7=0,0,IF(MAX($F9:ACZ9)=$D12,0,ACZ9+1))</f>
        <v>0</v>
      </c>
      <c r="ADB9" s="26">
        <f>IF(ADB7=0,0,IF(MAX($F9:ADA9)=$D12,0,ADA9+1))</f>
        <v>0</v>
      </c>
      <c r="ADC9" s="26">
        <f>IF(ADC7=0,0,IF(MAX($F9:ADB9)=$D12,0,ADB9+1))</f>
        <v>0</v>
      </c>
      <c r="ADD9" s="26">
        <f>IF(ADD7=0,0,IF(MAX($F9:ADC9)=$D12,0,ADC9+1))</f>
        <v>0</v>
      </c>
      <c r="ADE9" s="26">
        <f>IF(ADE7=0,0,IF(MAX($F9:ADD9)=$D12,0,ADD9+1))</f>
        <v>0</v>
      </c>
      <c r="ADF9" s="26">
        <f>IF(ADF7=0,0,IF(MAX($F9:ADE9)=$D12,0,ADE9+1))</f>
        <v>0</v>
      </c>
      <c r="ADG9" s="26">
        <f>IF(ADG7=0,0,IF(MAX($F9:ADF9)=$D12,0,ADF9+1))</f>
        <v>0</v>
      </c>
      <c r="ADH9" s="26">
        <f>IF(ADH7=0,0,IF(MAX($F9:ADG9)=$D12,0,ADG9+1))</f>
        <v>0</v>
      </c>
      <c r="ADI9" s="26">
        <f>IF(ADI7=0,0,IF(MAX($F9:ADH9)=$D12,0,ADH9+1))</f>
        <v>0</v>
      </c>
      <c r="ADJ9" s="26">
        <f>IF(ADJ7=0,0,IF(MAX($F9:ADI9)=$D12,0,ADI9+1))</f>
        <v>0</v>
      </c>
      <c r="ADK9" s="26">
        <f>IF(ADK7=0,0,IF(MAX($F9:ADJ9)=$D12,0,ADJ9+1))</f>
        <v>0</v>
      </c>
      <c r="ADL9" s="26">
        <f>IF(ADL7=0,0,IF(MAX($F9:ADK9)=$D12,0,ADK9+1))</f>
        <v>0</v>
      </c>
      <c r="ADM9" s="26">
        <f>IF(ADM7=0,0,IF(MAX($F9:ADL9)=$D12,0,ADL9+1))</f>
        <v>0</v>
      </c>
      <c r="ADN9" s="26">
        <f>IF(ADN7=0,0,IF(MAX($F9:ADM9)=$D12,0,ADM9+1))</f>
        <v>0</v>
      </c>
      <c r="ADO9" s="26">
        <f>IF(ADO7=0,0,IF(MAX($F9:ADN9)=$D12,0,ADN9+1))</f>
        <v>0</v>
      </c>
      <c r="ADP9" s="26">
        <f>IF(ADP7=0,0,IF(MAX($F9:ADO9)=$D12,0,ADO9+1))</f>
        <v>0</v>
      </c>
      <c r="ADQ9" s="26">
        <f>IF(ADQ7=0,0,IF(MAX($F9:ADP9)=$D12,0,ADP9+1))</f>
        <v>0</v>
      </c>
      <c r="ADR9" s="26">
        <f>IF(ADR7=0,0,IF(MAX($F9:ADQ9)=$D12,0,ADQ9+1))</f>
        <v>0</v>
      </c>
      <c r="ADS9" s="26">
        <f>IF(ADS7=0,0,IF(MAX($F9:ADR9)=$D12,0,ADR9+1))</f>
        <v>0</v>
      </c>
      <c r="ADT9" s="26">
        <f>IF(ADT7=0,0,IF(MAX($F9:ADS9)=$D12,0,ADS9+1))</f>
        <v>0</v>
      </c>
      <c r="ADU9" s="26">
        <f>IF(ADU7=0,0,IF(MAX($F9:ADT9)=$D12,0,ADT9+1))</f>
        <v>0</v>
      </c>
      <c r="ADV9" s="26">
        <f>IF(ADV7=0,0,IF(MAX($F9:ADU9)=$D12,0,ADU9+1))</f>
        <v>0</v>
      </c>
      <c r="ADW9" s="26">
        <f>IF(ADW7=0,0,IF(MAX($F9:ADV9)=$D12,0,ADV9+1))</f>
        <v>0</v>
      </c>
      <c r="ADX9" s="26">
        <f>IF(ADX7=0,0,IF(MAX($F9:ADW9)=$D12,0,ADW9+1))</f>
        <v>0</v>
      </c>
      <c r="ADY9" s="26">
        <f>IF(ADY7=0,0,IF(MAX($F9:ADX9)=$D12,0,ADX9+1))</f>
        <v>0</v>
      </c>
      <c r="ADZ9" s="26">
        <f>IF(ADZ7=0,0,IF(MAX($F9:ADY9)=$D12,0,ADY9+1))</f>
        <v>0</v>
      </c>
      <c r="AEA9" s="26">
        <f>IF(AEA7=0,0,IF(MAX($F9:ADZ9)=$D12,0,ADZ9+1))</f>
        <v>0</v>
      </c>
      <c r="AEB9" s="26">
        <f>IF(AEB7=0,0,IF(MAX($F9:AEA9)=$D12,0,AEA9+1))</f>
        <v>0</v>
      </c>
      <c r="AEC9" s="26">
        <f>IF(AEC7=0,0,IF(MAX($F9:AEB9)=$D12,0,AEB9+1))</f>
        <v>0</v>
      </c>
      <c r="AED9" s="26">
        <f>IF(AED7=0,0,IF(MAX($F9:AEC9)=$D12,0,AEC9+1))</f>
        <v>0</v>
      </c>
      <c r="AEE9" s="26">
        <f>IF(AEE7=0,0,IF(MAX($F9:AED9)=$D12,0,AED9+1))</f>
        <v>0</v>
      </c>
      <c r="AEF9" s="26">
        <f>IF(AEF7=0,0,IF(MAX($F9:AEE9)=$D12,0,AEE9+1))</f>
        <v>0</v>
      </c>
      <c r="AEG9" s="26">
        <f>IF(AEG7=0,0,IF(MAX($F9:AEF9)=$D12,0,AEF9+1))</f>
        <v>0</v>
      </c>
      <c r="AEH9" s="26">
        <f>IF(AEH7=0,0,IF(MAX($F9:AEG9)=$D12,0,AEG9+1))</f>
        <v>0</v>
      </c>
      <c r="AEI9" s="26">
        <f>IF(AEI7=0,0,IF(MAX($F9:AEH9)=$D12,0,AEH9+1))</f>
        <v>0</v>
      </c>
      <c r="AEJ9" s="26">
        <f>IF(AEJ7=0,0,IF(MAX($F9:AEI9)=$D12,0,AEI9+1))</f>
        <v>0</v>
      </c>
      <c r="AEK9" s="26">
        <f>IF(AEK7=0,0,IF(MAX($F9:AEJ9)=$D12,0,AEJ9+1))</f>
        <v>0</v>
      </c>
      <c r="AEL9" s="26">
        <f>IF(AEL7=0,0,IF(MAX($F9:AEK9)=$D12,0,AEK9+1))</f>
        <v>0</v>
      </c>
      <c r="AEM9" s="26">
        <f>IF(AEM7=0,0,IF(MAX($F9:AEL9)=$D12,0,AEL9+1))</f>
        <v>0</v>
      </c>
      <c r="AEN9" s="26">
        <f>IF(AEN7=0,0,IF(MAX($F9:AEM9)=$D12,0,AEM9+1))</f>
        <v>0</v>
      </c>
      <c r="AEO9" s="26">
        <f>IF(AEO7=0,0,IF(MAX($F9:AEN9)=$D12,0,AEN9+1))</f>
        <v>0</v>
      </c>
      <c r="AEP9" s="26">
        <f>IF(AEP7=0,0,IF(MAX($F9:AEO9)=$D12,0,AEO9+1))</f>
        <v>0</v>
      </c>
      <c r="AEQ9" s="26">
        <f>IF(AEQ7=0,0,IF(MAX($F9:AEP9)=$D12,0,AEP9+1))</f>
        <v>0</v>
      </c>
      <c r="AER9" s="26">
        <f>IF(AER7=0,0,IF(MAX($F9:AEQ9)=$D12,0,AEQ9+1))</f>
        <v>0</v>
      </c>
      <c r="AES9" s="26">
        <f>IF(AES7=0,0,IF(MAX($F9:AER9)=$D12,0,AER9+1))</f>
        <v>0</v>
      </c>
      <c r="AET9" s="26">
        <f>IF(AET7=0,0,IF(MAX($F9:AES9)=$D12,0,AES9+1))</f>
        <v>0</v>
      </c>
      <c r="AEU9" s="26">
        <f>IF(AEU7=0,0,IF(MAX($F9:AET9)=$D12,0,AET9+1))</f>
        <v>0</v>
      </c>
      <c r="AEV9" s="26">
        <f>IF(AEV7=0,0,IF(MAX($F9:AEU9)=$D12,0,AEU9+1))</f>
        <v>0</v>
      </c>
      <c r="AEW9" s="26">
        <f>IF(AEW7=0,0,IF(MAX($F9:AEV9)=$D12,0,AEV9+1))</f>
        <v>0</v>
      </c>
      <c r="AEX9" s="26">
        <f>IF(AEX7=0,0,IF(MAX($F9:AEW9)=$D12,0,AEW9+1))</f>
        <v>0</v>
      </c>
      <c r="AEY9" s="26">
        <f>IF(AEY7=0,0,IF(MAX($F9:AEX9)=$D12,0,AEX9+1))</f>
        <v>0</v>
      </c>
      <c r="AEZ9" s="26">
        <f>IF(AEZ7=0,0,IF(MAX($F9:AEY9)=$D12,0,AEY9+1))</f>
        <v>0</v>
      </c>
      <c r="AFA9" s="26">
        <f>IF(AFA7=0,0,IF(MAX($F9:AEZ9)=$D12,0,AEZ9+1))</f>
        <v>0</v>
      </c>
      <c r="AFB9" s="26">
        <f>IF(AFB7=0,0,IF(MAX($F9:AFA9)=$D12,0,AFA9+1))</f>
        <v>0</v>
      </c>
      <c r="AFC9" s="26">
        <f>IF(AFC7=0,0,IF(MAX($F9:AFB9)=$D12,0,AFB9+1))</f>
        <v>0</v>
      </c>
      <c r="AFD9" s="26">
        <f>IF(AFD7=0,0,IF(MAX($F9:AFC9)=$D12,0,AFC9+1))</f>
        <v>0</v>
      </c>
      <c r="AFE9" s="26">
        <f>IF(AFE7=0,0,IF(MAX($F9:AFD9)=$D12,0,AFD9+1))</f>
        <v>0</v>
      </c>
      <c r="AFF9" s="26">
        <f>IF(AFF7=0,0,IF(MAX($F9:AFE9)=$D12,0,AFE9+1))</f>
        <v>0</v>
      </c>
      <c r="AFG9" s="26">
        <f>IF(AFG7=0,0,IF(MAX($F9:AFF9)=$D12,0,AFF9+1))</f>
        <v>0</v>
      </c>
      <c r="AFH9" s="26">
        <f>IF(AFH7=0,0,IF(MAX($F9:AFG9)=$D12,0,AFG9+1))</f>
        <v>0</v>
      </c>
      <c r="AFI9" s="26">
        <f>IF(AFI7=0,0,IF(MAX($F9:AFH9)=$D12,0,AFH9+1))</f>
        <v>0</v>
      </c>
      <c r="AFJ9" s="26">
        <f>IF(AFJ7=0,0,IF(MAX($F9:AFI9)=$D12,0,AFI9+1))</f>
        <v>0</v>
      </c>
      <c r="AFK9" s="26">
        <f>IF(AFK7=0,0,IF(MAX($F9:AFJ9)=$D12,0,AFJ9+1))</f>
        <v>0</v>
      </c>
      <c r="AFL9" s="26">
        <f>IF(AFL7=0,0,IF(MAX($F9:AFK9)=$D12,0,AFK9+1))</f>
        <v>0</v>
      </c>
      <c r="AFM9" s="26">
        <f>IF(AFM7=0,0,IF(MAX($F9:AFL9)=$D12,0,AFL9+1))</f>
        <v>0</v>
      </c>
      <c r="AFN9" s="26">
        <f>IF(AFN7=0,0,IF(MAX($F9:AFM9)=$D12,0,AFM9+1))</f>
        <v>0</v>
      </c>
      <c r="AFO9" s="26">
        <f>IF(AFO7=0,0,IF(MAX($F9:AFN9)=$D12,0,AFN9+1))</f>
        <v>0</v>
      </c>
      <c r="AFP9" s="26">
        <f>IF(AFP7=0,0,IF(MAX($F9:AFO9)=$D12,0,AFO9+1))</f>
        <v>0</v>
      </c>
      <c r="AFQ9" s="26">
        <f>IF(AFQ7=0,0,IF(MAX($F9:AFP9)=$D12,0,AFP9+1))</f>
        <v>0</v>
      </c>
      <c r="AFR9" s="26">
        <f>IF(AFR7=0,0,IF(MAX($F9:AFQ9)=$D12,0,AFQ9+1))</f>
        <v>0</v>
      </c>
      <c r="AFS9" s="26">
        <f>IF(AFS7=0,0,IF(MAX($F9:AFR9)=$D12,0,AFR9+1))</f>
        <v>0</v>
      </c>
      <c r="AFT9" s="26">
        <f>IF(AFT7=0,0,IF(MAX($F9:AFS9)=$D12,0,AFS9+1))</f>
        <v>0</v>
      </c>
      <c r="AFU9" s="26">
        <f>IF(AFU7=0,0,IF(MAX($F9:AFT9)=$D12,0,AFT9+1))</f>
        <v>0</v>
      </c>
      <c r="AFV9" s="26">
        <f>IF(AFV7=0,0,IF(MAX($F9:AFU9)=$D12,0,AFU9+1))</f>
        <v>0</v>
      </c>
      <c r="AFW9" s="26">
        <f>IF(AFW7=0,0,IF(MAX($F9:AFV9)=$D12,0,AFV9+1))</f>
        <v>0</v>
      </c>
      <c r="AFX9" s="26">
        <f>IF(AFX7=0,0,IF(MAX($F9:AFW9)=$D12,0,AFW9+1))</f>
        <v>0</v>
      </c>
      <c r="AFY9" s="26">
        <f>IF(AFY7=0,0,IF(MAX($F9:AFX9)=$D12,0,AFX9+1))</f>
        <v>0</v>
      </c>
      <c r="AFZ9" s="26">
        <f>IF(AFZ7=0,0,IF(MAX($F9:AFY9)=$D12,0,AFY9+1))</f>
        <v>0</v>
      </c>
      <c r="AGA9" s="26">
        <f>IF(AGA7=0,0,IF(MAX($F9:AFZ9)=$D12,0,AFZ9+1))</f>
        <v>0</v>
      </c>
      <c r="AGB9" s="26">
        <f>IF(AGB7=0,0,IF(MAX($F9:AGA9)=$D12,0,AGA9+1))</f>
        <v>0</v>
      </c>
      <c r="AGC9" s="26">
        <f>IF(AGC7=0,0,IF(MAX($F9:AGB9)=$D12,0,AGB9+1))</f>
        <v>0</v>
      </c>
      <c r="AGD9" s="26">
        <f>IF(AGD7=0,0,IF(MAX($F9:AGC9)=$D12,0,AGC9+1))</f>
        <v>0</v>
      </c>
      <c r="AGE9" s="26">
        <f>IF(AGE7=0,0,IF(MAX($F9:AGD9)=$D12,0,AGD9+1))</f>
        <v>0</v>
      </c>
      <c r="AGF9" s="26">
        <f>IF(AGF7=0,0,IF(MAX($F9:AGE9)=$D12,0,AGE9+1))</f>
        <v>0</v>
      </c>
      <c r="AGG9" s="26">
        <f>IF(AGG7=0,0,IF(MAX($F9:AGF9)=$D12,0,AGF9+1))</f>
        <v>0</v>
      </c>
      <c r="AGH9" s="26">
        <f>IF(AGH7=0,0,IF(MAX($F9:AGG9)=$D12,0,AGG9+1))</f>
        <v>0</v>
      </c>
      <c r="AGI9" s="26">
        <f>IF(AGI7=0,0,IF(MAX($F9:AGH9)=$D12,0,AGH9+1))</f>
        <v>0</v>
      </c>
      <c r="AGJ9" s="26">
        <f>IF(AGJ7=0,0,IF(MAX($F9:AGI9)=$D12,0,AGI9+1))</f>
        <v>0</v>
      </c>
      <c r="AGK9" s="26">
        <f>IF(AGK7=0,0,IF(MAX($F9:AGJ9)=$D12,0,AGJ9+1))</f>
        <v>0</v>
      </c>
      <c r="AGL9" s="26">
        <f>IF(AGL7=0,0,IF(MAX($F9:AGK9)=$D12,0,AGK9+1))</f>
        <v>0</v>
      </c>
      <c r="AGM9" s="26">
        <f>IF(AGM7=0,0,IF(MAX($F9:AGL9)=$D12,0,AGL9+1))</f>
        <v>0</v>
      </c>
      <c r="AGN9" s="26">
        <f>IF(AGN7=0,0,IF(MAX($F9:AGM9)=$D12,0,AGM9+1))</f>
        <v>0</v>
      </c>
      <c r="AGO9" s="26">
        <f>IF(AGO7=0,0,IF(MAX($F9:AGN9)=$D12,0,AGN9+1))</f>
        <v>0</v>
      </c>
      <c r="AGP9" s="26">
        <f>IF(AGP7=0,0,IF(MAX($F9:AGO9)=$D12,0,AGO9+1))</f>
        <v>0</v>
      </c>
      <c r="AGQ9" s="26">
        <f>IF(AGQ7=0,0,IF(MAX($F9:AGP9)=$D12,0,AGP9+1))</f>
        <v>0</v>
      </c>
      <c r="AGR9" s="26">
        <f>IF(AGR7=0,0,IF(MAX($F9:AGQ9)=$D12,0,AGQ9+1))</f>
        <v>0</v>
      </c>
      <c r="AGS9" s="26">
        <f>IF(AGS7=0,0,IF(MAX($F9:AGR9)=$D12,0,AGR9+1))</f>
        <v>0</v>
      </c>
      <c r="AGT9" s="26">
        <f>IF(AGT7=0,0,IF(MAX($F9:AGS9)=$D12,0,AGS9+1))</f>
        <v>0</v>
      </c>
      <c r="AGU9" s="26">
        <f>IF(AGU7=0,0,IF(MAX($F9:AGT9)=$D12,0,AGT9+1))</f>
        <v>0</v>
      </c>
      <c r="AGV9" s="26">
        <f>IF(AGV7=0,0,IF(MAX($F9:AGU9)=$D12,0,AGU9+1))</f>
        <v>0</v>
      </c>
      <c r="AGW9" s="26">
        <f>IF(AGW7=0,0,IF(MAX($F9:AGV9)=$D12,0,AGV9+1))</f>
        <v>0</v>
      </c>
      <c r="AGX9" s="26">
        <f>IF(AGX7=0,0,IF(MAX($F9:AGW9)=$D12,0,AGW9+1))</f>
        <v>0</v>
      </c>
      <c r="AGY9" s="26">
        <f>IF(AGY7=0,0,IF(MAX($F9:AGX9)=$D12,0,AGX9+1))</f>
        <v>0</v>
      </c>
      <c r="AGZ9" s="26">
        <f>IF(AGZ7=0,0,IF(MAX($F9:AGY9)=$D12,0,AGY9+1))</f>
        <v>0</v>
      </c>
      <c r="AHA9" s="26">
        <f>IF(AHA7=0,0,IF(MAX($F9:AGZ9)=$D12,0,AGZ9+1))</f>
        <v>0</v>
      </c>
      <c r="AHB9" s="26">
        <f>IF(AHB7=0,0,IF(MAX($F9:AHA9)=$D12,0,AHA9+1))</f>
        <v>0</v>
      </c>
      <c r="AHC9" s="26">
        <f>IF(AHC7=0,0,IF(MAX($F9:AHB9)=$D12,0,AHB9+1))</f>
        <v>0</v>
      </c>
      <c r="AHD9" s="26">
        <f>IF(AHD7=0,0,IF(MAX($F9:AHC9)=$D12,0,AHC9+1))</f>
        <v>0</v>
      </c>
      <c r="AHE9" s="26">
        <f>IF(AHE7=0,0,IF(MAX($F9:AHD9)=$D12,0,AHD9+1))</f>
        <v>0</v>
      </c>
      <c r="AHF9" s="26">
        <f>IF(AHF7=0,0,IF(MAX($F9:AHE9)=$D12,0,AHE9+1))</f>
        <v>0</v>
      </c>
      <c r="AHG9" s="26">
        <f>IF(AHG7=0,0,IF(MAX($F9:AHF9)=$D12,0,AHF9+1))</f>
        <v>0</v>
      </c>
      <c r="AHH9" s="26">
        <f>IF(AHH7=0,0,IF(MAX($F9:AHG9)=$D12,0,AHG9+1))</f>
        <v>0</v>
      </c>
      <c r="AHI9" s="26">
        <f>IF(AHI7=0,0,IF(MAX($F9:AHH9)=$D12,0,AHH9+1))</f>
        <v>0</v>
      </c>
      <c r="AHJ9" s="26">
        <f>IF(AHJ7=0,0,IF(MAX($F9:AHI9)=$D12,0,AHI9+1))</f>
        <v>0</v>
      </c>
      <c r="AHK9" s="26">
        <f>IF(AHK7=0,0,IF(MAX($F9:AHJ9)=$D12,0,AHJ9+1))</f>
        <v>0</v>
      </c>
      <c r="AHL9" s="26">
        <f>IF(AHL7=0,0,IF(MAX($F9:AHK9)=$D12,0,AHK9+1))</f>
        <v>0</v>
      </c>
      <c r="AHM9" s="26">
        <f>IF(AHM7=0,0,IF(MAX($F9:AHL9)=$D12,0,AHL9+1))</f>
        <v>0</v>
      </c>
      <c r="AHN9" s="26">
        <f>IF(AHN7=0,0,IF(MAX($F9:AHM9)=$D12,0,AHM9+1))</f>
        <v>0</v>
      </c>
      <c r="AHO9" s="26">
        <f>IF(AHO7=0,0,IF(MAX($F9:AHN9)=$D12,0,AHN9+1))</f>
        <v>0</v>
      </c>
      <c r="AHP9" s="26">
        <f>IF(AHP7=0,0,IF(MAX($F9:AHO9)=$D12,0,AHO9+1))</f>
        <v>0</v>
      </c>
      <c r="AHQ9" s="26">
        <f>IF(AHQ7=0,0,IF(MAX($F9:AHP9)=$D12,0,AHP9+1))</f>
        <v>0</v>
      </c>
      <c r="AHR9" s="26">
        <f>IF(AHR7=0,0,IF(MAX($F9:AHQ9)=$D12,0,AHQ9+1))</f>
        <v>0</v>
      </c>
      <c r="AHS9" s="26">
        <f>IF(AHS7=0,0,IF(MAX($F9:AHR9)=$D12,0,AHR9+1))</f>
        <v>0</v>
      </c>
      <c r="AHT9" s="26">
        <f>IF(AHT7=0,0,IF(MAX($F9:AHS9)=$D12,0,AHS9+1))</f>
        <v>0</v>
      </c>
      <c r="AHU9" s="26">
        <f>IF(AHU7=0,0,IF(MAX($F9:AHT9)=$D12,0,AHT9+1))</f>
        <v>0</v>
      </c>
      <c r="AHV9" s="26">
        <f>IF(AHV7=0,0,IF(MAX($F9:AHU9)=$D12,0,AHU9+1))</f>
        <v>0</v>
      </c>
      <c r="AHW9" s="26">
        <f>IF(AHW7=0,0,IF(MAX($F9:AHV9)=$D12,0,AHV9+1))</f>
        <v>0</v>
      </c>
      <c r="AHX9" s="26">
        <f>IF(AHX7=0,0,IF(MAX($F9:AHW9)=$D12,0,AHW9+1))</f>
        <v>0</v>
      </c>
      <c r="AHY9" s="26">
        <f>IF(AHY7=0,0,IF(MAX($F9:AHX9)=$D12,0,AHX9+1))</f>
        <v>0</v>
      </c>
      <c r="AHZ9" s="26">
        <f>IF(AHZ7=0,0,IF(MAX($F9:AHY9)=$D12,0,AHY9+1))</f>
        <v>0</v>
      </c>
      <c r="AIA9" s="26">
        <f>IF(AIA7=0,0,IF(MAX($F9:AHZ9)=$D12,0,AHZ9+1))</f>
        <v>0</v>
      </c>
      <c r="AIB9" s="26">
        <f>IF(AIB7=0,0,IF(MAX($F9:AIA9)=$D12,0,AIA9+1))</f>
        <v>0</v>
      </c>
      <c r="AIC9" s="26">
        <f>IF(AIC7=0,0,IF(MAX($F9:AIB9)=$D12,0,AIB9+1))</f>
        <v>0</v>
      </c>
      <c r="AID9" s="26">
        <f>IF(AID7=0,0,IF(MAX($F9:AIC9)=$D12,0,AIC9+1))</f>
        <v>0</v>
      </c>
      <c r="AIE9" s="26">
        <f>IF(AIE7=0,0,IF(MAX($F9:AID9)=$D12,0,AID9+1))</f>
        <v>0</v>
      </c>
      <c r="AIF9" s="26">
        <f>IF(AIF7=0,0,IF(MAX($F9:AIE9)=$D12,0,AIE9+1))</f>
        <v>0</v>
      </c>
      <c r="AIG9" s="26">
        <f>IF(AIG7=0,0,IF(MAX($F9:AIF9)=$D12,0,AIF9+1))</f>
        <v>0</v>
      </c>
      <c r="AIH9" s="26">
        <f>IF(AIH7=0,0,IF(MAX($F9:AIG9)=$D12,0,AIG9+1))</f>
        <v>0</v>
      </c>
      <c r="AII9" s="26">
        <f>IF(AII7=0,0,IF(MAX($F9:AIH9)=$D12,0,AIH9+1))</f>
        <v>0</v>
      </c>
      <c r="AIJ9" s="26">
        <f>IF(AIJ7=0,0,IF(MAX($F9:AII9)=$D12,0,AII9+1))</f>
        <v>0</v>
      </c>
      <c r="AIK9" s="26">
        <f>IF(AIK7=0,0,IF(MAX($F9:AIJ9)=$D12,0,AIJ9+1))</f>
        <v>0</v>
      </c>
      <c r="AIL9" s="26">
        <f>IF(AIL7=0,0,IF(MAX($F9:AIK9)=$D12,0,AIK9+1))</f>
        <v>0</v>
      </c>
      <c r="AIM9" s="26">
        <f>IF(AIM7=0,0,IF(MAX($F9:AIL9)=$D12,0,AIL9+1))</f>
        <v>0</v>
      </c>
      <c r="AIN9" s="26">
        <f>IF(AIN7=0,0,IF(MAX($F9:AIM9)=$D12,0,AIM9+1))</f>
        <v>0</v>
      </c>
      <c r="AIO9" s="26">
        <f>IF(AIO7=0,0,IF(MAX($F9:AIN9)=$D12,0,AIN9+1))</f>
        <v>0</v>
      </c>
      <c r="AIP9" s="26">
        <f>IF(AIP7=0,0,IF(MAX($F9:AIO9)=$D12,0,AIO9+1))</f>
        <v>0</v>
      </c>
      <c r="AIQ9" s="26">
        <f>IF(AIQ7=0,0,IF(MAX($F9:AIP9)=$D12,0,AIP9+1))</f>
        <v>0</v>
      </c>
      <c r="AIR9" s="26">
        <f>IF(AIR7=0,0,IF(MAX($F9:AIQ9)=$D12,0,AIQ9+1))</f>
        <v>0</v>
      </c>
      <c r="AIS9" s="26">
        <f>IF(AIS7=0,0,IF(MAX($F9:AIR9)=$D12,0,AIR9+1))</f>
        <v>0</v>
      </c>
      <c r="AIT9" s="26">
        <f>IF(AIT7=0,0,IF(MAX($F9:AIS9)=$D12,0,AIS9+1))</f>
        <v>0</v>
      </c>
      <c r="AIU9" s="26">
        <f>IF(AIU7=0,0,IF(MAX($F9:AIT9)=$D12,0,AIT9+1))</f>
        <v>0</v>
      </c>
      <c r="AIV9" s="26">
        <f>IF(AIV7=0,0,IF(MAX($F9:AIU9)=$D12,0,AIU9+1))</f>
        <v>0</v>
      </c>
      <c r="AIW9" s="26">
        <f>IF(AIW7=0,0,IF(MAX($F9:AIV9)=$D12,0,AIV9+1))</f>
        <v>0</v>
      </c>
      <c r="AIX9" s="26">
        <f>IF(AIX7=0,0,IF(MAX($F9:AIW9)=$D12,0,AIW9+1))</f>
        <v>0</v>
      </c>
      <c r="AIY9" s="26">
        <f>IF(AIY7=0,0,IF(MAX($F9:AIX9)=$D12,0,AIX9+1))</f>
        <v>0</v>
      </c>
      <c r="AIZ9" s="26">
        <f>IF(AIZ7=0,0,IF(MAX($F9:AIY9)=$D12,0,AIY9+1))</f>
        <v>0</v>
      </c>
      <c r="AJA9" s="26">
        <f>IF(AJA7=0,0,IF(MAX($F9:AIZ9)=$D12,0,AIZ9+1))</f>
        <v>0</v>
      </c>
      <c r="AJB9" s="26">
        <f>IF(AJB7=0,0,IF(MAX($F9:AJA9)=$D12,0,AJA9+1))</f>
        <v>0</v>
      </c>
      <c r="AJC9" s="26">
        <f>IF(AJC7=0,0,IF(MAX($F9:AJB9)=$D12,0,AJB9+1))</f>
        <v>0</v>
      </c>
      <c r="AJD9" s="26">
        <f>IF(AJD7=0,0,IF(MAX($F9:AJC9)=$D12,0,AJC9+1))</f>
        <v>0</v>
      </c>
      <c r="AJE9" s="26">
        <f>IF(AJE7=0,0,IF(MAX($F9:AJD9)=$D12,0,AJD9+1))</f>
        <v>0</v>
      </c>
      <c r="AJF9" s="26">
        <f>IF(AJF7=0,0,IF(MAX($F9:AJE9)=$D12,0,AJE9+1))</f>
        <v>0</v>
      </c>
      <c r="AJG9" s="26">
        <f>IF(AJG7=0,0,IF(MAX($F9:AJF9)=$D12,0,AJF9+1))</f>
        <v>0</v>
      </c>
      <c r="AJH9" s="26">
        <f>IF(AJH7=0,0,IF(MAX($F9:AJG9)=$D12,0,AJG9+1))</f>
        <v>0</v>
      </c>
      <c r="AJI9" s="26">
        <f>IF(AJI7=0,0,IF(MAX($F9:AJH9)=$D12,0,AJH9+1))</f>
        <v>0</v>
      </c>
      <c r="AJJ9" s="26">
        <f>IF(AJJ7=0,0,IF(MAX($F9:AJI9)=$D12,0,AJI9+1))</f>
        <v>0</v>
      </c>
      <c r="AJK9" s="26">
        <f>IF(AJK7=0,0,IF(MAX($F9:AJJ9)=$D12,0,AJJ9+1))</f>
        <v>0</v>
      </c>
      <c r="AJL9" s="26">
        <f>IF(AJL7=0,0,IF(MAX($F9:AJK9)=$D12,0,AJK9+1))</f>
        <v>0</v>
      </c>
      <c r="AJM9" s="26">
        <f>IF(AJM7=0,0,IF(MAX($F9:AJL9)=$D12,0,AJL9+1))</f>
        <v>0</v>
      </c>
      <c r="AJN9" s="26">
        <f>IF(AJN7=0,0,IF(MAX($F9:AJM9)=$D12,0,AJM9+1))</f>
        <v>0</v>
      </c>
      <c r="AJO9" s="26">
        <f>IF(AJO7=0,0,IF(MAX($F9:AJN9)=$D12,0,AJN9+1))</f>
        <v>0</v>
      </c>
      <c r="AJP9" s="26">
        <f>IF(AJP7=0,0,IF(MAX($F9:AJO9)=$D12,0,AJO9+1))</f>
        <v>0</v>
      </c>
      <c r="AJQ9" s="26">
        <f>IF(AJQ7=0,0,IF(MAX($F9:AJP9)=$D12,0,AJP9+1))</f>
        <v>0</v>
      </c>
      <c r="AJR9" s="26">
        <f>IF(AJR7=0,0,IF(MAX($F9:AJQ9)=$D12,0,AJQ9+1))</f>
        <v>0</v>
      </c>
      <c r="AJS9" s="26">
        <f>IF(AJS7=0,0,IF(MAX($F9:AJR9)=$D12,0,AJR9+1))</f>
        <v>0</v>
      </c>
      <c r="AJT9" s="26">
        <f>IF(AJT7=0,0,IF(MAX($F9:AJS9)=$D12,0,AJS9+1))</f>
        <v>0</v>
      </c>
      <c r="AJU9" s="26">
        <f>IF(AJU7=0,0,IF(MAX($F9:AJT9)=$D12,0,AJT9+1))</f>
        <v>0</v>
      </c>
      <c r="AJV9" s="26">
        <f>IF(AJV7=0,0,IF(MAX($F9:AJU9)=$D12,0,AJU9+1))</f>
        <v>0</v>
      </c>
      <c r="AJW9" s="26">
        <f>IF(AJW7=0,0,IF(MAX($F9:AJV9)=$D12,0,AJV9+1))</f>
        <v>0</v>
      </c>
      <c r="AJX9" s="26">
        <f>IF(AJX7=0,0,IF(MAX($F9:AJW9)=$D12,0,AJW9+1))</f>
        <v>0</v>
      </c>
      <c r="AJY9" s="26">
        <f>IF(AJY7=0,0,IF(MAX($F9:AJX9)=$D12,0,AJX9+1))</f>
        <v>0</v>
      </c>
      <c r="AJZ9" s="26">
        <f>IF(AJZ7=0,0,IF(MAX($F9:AJY9)=$D12,0,AJY9+1))</f>
        <v>0</v>
      </c>
      <c r="AKA9" s="26">
        <f>IF(AKA7=0,0,IF(MAX($F9:AJZ9)=$D12,0,AJZ9+1))</f>
        <v>0</v>
      </c>
      <c r="AKB9" s="26">
        <f>IF(AKB7=0,0,IF(MAX($F9:AKA9)=$D12,0,AKA9+1))</f>
        <v>0</v>
      </c>
      <c r="AKC9" s="26">
        <f>IF(AKC7=0,0,IF(MAX($F9:AKB9)=$D12,0,AKB9+1))</f>
        <v>0</v>
      </c>
      <c r="AKD9" s="26">
        <f>IF(AKD7=0,0,IF(MAX($F9:AKC9)=$D12,0,AKC9+1))</f>
        <v>0</v>
      </c>
      <c r="AKE9" s="26">
        <f>IF(AKE7=0,0,IF(MAX($F9:AKD9)=$D12,0,AKD9+1))</f>
        <v>0</v>
      </c>
      <c r="AKF9" s="26">
        <f>IF(AKF7=0,0,IF(MAX($F9:AKE9)=$D12,0,AKE9+1))</f>
        <v>0</v>
      </c>
      <c r="AKG9" s="26">
        <f>IF(AKG7=0,0,IF(MAX($F9:AKF9)=$D12,0,AKF9+1))</f>
        <v>0</v>
      </c>
      <c r="AKH9" s="26">
        <f>IF(AKH7=0,0,IF(MAX($F9:AKG9)=$D12,0,AKG9+1))</f>
        <v>0</v>
      </c>
      <c r="AKI9" s="26">
        <f>IF(AKI7=0,0,IF(MAX($F9:AKH9)=$D12,0,AKH9+1))</f>
        <v>0</v>
      </c>
      <c r="AKJ9" s="26">
        <f>IF(AKJ7=0,0,IF(MAX($F9:AKI9)=$D12,0,AKI9+1))</f>
        <v>0</v>
      </c>
      <c r="AKK9" s="26">
        <f>IF(AKK7=0,0,IF(MAX($F9:AKJ9)=$D12,0,AKJ9+1))</f>
        <v>0</v>
      </c>
      <c r="AKL9" s="26">
        <f>IF(AKL7=0,0,IF(MAX($F9:AKK9)=$D12,0,AKK9+1))</f>
        <v>0</v>
      </c>
      <c r="AKM9" s="26">
        <f>IF(AKM7=0,0,IF(MAX($F9:AKL9)=$D12,0,AKL9+1))</f>
        <v>0</v>
      </c>
      <c r="AKN9" s="26">
        <f>IF(AKN7=0,0,IF(MAX($F9:AKM9)=$D12,0,AKM9+1))</f>
        <v>0</v>
      </c>
      <c r="AKO9" s="26">
        <f>IF(AKO7=0,0,IF(MAX($F9:AKN9)=$D12,0,AKN9+1))</f>
        <v>0</v>
      </c>
      <c r="AKP9" s="26">
        <f>IF(AKP7=0,0,IF(MAX($F9:AKO9)=$D12,0,AKO9+1))</f>
        <v>0</v>
      </c>
      <c r="AKQ9" s="26">
        <f>IF(AKQ7=0,0,IF(MAX($F9:AKP9)=$D12,0,AKP9+1))</f>
        <v>0</v>
      </c>
      <c r="AKR9" s="26">
        <f>IF(AKR7=0,0,IF(MAX($F9:AKQ9)=$D12,0,AKQ9+1))</f>
        <v>0</v>
      </c>
      <c r="AKS9" s="26">
        <f>IF(AKS7=0,0,IF(MAX($F9:AKR9)=$D12,0,AKR9+1))</f>
        <v>0</v>
      </c>
      <c r="AKT9" s="26">
        <f>IF(AKT7=0,0,IF(MAX($F9:AKS9)=$D12,0,AKS9+1))</f>
        <v>0</v>
      </c>
      <c r="AKU9" s="26">
        <f>IF(AKU7=0,0,IF(MAX($F9:AKT9)=$D12,0,AKT9+1))</f>
        <v>0</v>
      </c>
      <c r="AKV9" s="26">
        <f>IF(AKV7=0,0,IF(MAX($F9:AKU9)=$D12,0,AKU9+1))</f>
        <v>0</v>
      </c>
      <c r="AKW9" s="26">
        <f>IF(AKW7=0,0,IF(MAX($F9:AKV9)=$D12,0,AKV9+1))</f>
        <v>0</v>
      </c>
      <c r="AKX9" s="26">
        <f>IF(AKX7=0,0,IF(MAX($F9:AKW9)=$D12,0,AKW9+1))</f>
        <v>0</v>
      </c>
      <c r="AKY9" s="26">
        <f>IF(AKY7=0,0,IF(MAX($F9:AKX9)=$D12,0,AKX9+1))</f>
        <v>0</v>
      </c>
      <c r="AKZ9" s="26">
        <f>IF(AKZ7=0,0,IF(MAX($F9:AKY9)=$D12,0,AKY9+1))</f>
        <v>0</v>
      </c>
      <c r="ALA9" s="26">
        <f>IF(ALA7=0,0,IF(MAX($F9:AKZ9)=$D12,0,AKZ9+1))</f>
        <v>0</v>
      </c>
      <c r="ALB9" s="26">
        <f>IF(ALB7=0,0,IF(MAX($F9:ALA9)=$D12,0,ALA9+1))</f>
        <v>0</v>
      </c>
      <c r="ALC9" s="26">
        <f>IF(ALC7=0,0,IF(MAX($F9:ALB9)=$D12,0,ALB9+1))</f>
        <v>0</v>
      </c>
      <c r="ALD9" s="26">
        <f>IF(ALD7=0,0,IF(MAX($F9:ALC9)=$D12,0,ALC9+1))</f>
        <v>0</v>
      </c>
      <c r="ALE9" s="26">
        <f>IF(ALE7=0,0,IF(MAX($F9:ALD9)=$D12,0,ALD9+1))</f>
        <v>0</v>
      </c>
      <c r="ALF9" s="26">
        <f>IF(ALF7=0,0,IF(MAX($F9:ALE9)=$D12,0,ALE9+1))</f>
        <v>0</v>
      </c>
      <c r="ALG9" s="26">
        <f>IF(ALG7=0,0,IF(MAX($F9:ALF9)=$D12,0,ALF9+1))</f>
        <v>0</v>
      </c>
      <c r="ALH9" s="26">
        <f>IF(ALH7=0,0,IF(MAX($F9:ALG9)=$D12,0,ALG9+1))</f>
        <v>0</v>
      </c>
      <c r="ALI9" s="26">
        <f>IF(ALI7=0,0,IF(MAX($F9:ALH9)=$D12,0,ALH9+1))</f>
        <v>0</v>
      </c>
      <c r="ALJ9" s="26">
        <f>IF(ALJ7=0,0,IF(MAX($F9:ALI9)=$D12,0,ALI9+1))</f>
        <v>0</v>
      </c>
      <c r="ALK9" s="26">
        <f>IF(ALK7=0,0,IF(MAX($F9:ALJ9)=$D12,0,ALJ9+1))</f>
        <v>0</v>
      </c>
      <c r="ALL9" s="26">
        <f>IF(ALL7=0,0,IF(MAX($F9:ALK9)=$D12,0,ALK9+1))</f>
        <v>0</v>
      </c>
      <c r="ALM9" s="26">
        <f>IF(ALM7=0,0,IF(MAX($F9:ALL9)=$D12,0,ALL9+1))</f>
        <v>0</v>
      </c>
      <c r="ALN9" s="26">
        <f>IF(ALN7=0,0,IF(MAX($F9:ALM9)=$D12,0,ALM9+1))</f>
        <v>0</v>
      </c>
      <c r="ALO9" s="26">
        <f>IF(ALO7=0,0,IF(MAX($F9:ALN9)=$D12,0,ALN9+1))</f>
        <v>0</v>
      </c>
      <c r="ALP9" s="26">
        <f>IF(ALP7=0,0,IF(MAX($F9:ALO9)=$D12,0,ALO9+1))</f>
        <v>0</v>
      </c>
      <c r="ALQ9" s="26">
        <f>IF(ALQ7=0,0,IF(MAX($F9:ALP9)=$D12,0,ALP9+1))</f>
        <v>0</v>
      </c>
      <c r="ALR9" s="26">
        <f>IF(ALR7=0,0,IF(MAX($F9:ALQ9)=$D12,0,ALQ9+1))</f>
        <v>0</v>
      </c>
      <c r="ALS9" s="26">
        <f>IF(ALS7=0,0,IF(MAX($F9:ALR9)=$D12,0,ALR9+1))</f>
        <v>0</v>
      </c>
      <c r="ALT9" s="26">
        <f>IF(ALT7=0,0,IF(MAX($F9:ALS9)=$D12,0,ALS9+1))</f>
        <v>0</v>
      </c>
      <c r="ALU9" s="26">
        <f>IF(ALU7=0,0,IF(MAX($F9:ALT9)=$D12,0,ALT9+1))</f>
        <v>0</v>
      </c>
      <c r="ALV9" s="26">
        <f>IF(ALV7=0,0,IF(MAX($F9:ALU9)=$D12,0,ALU9+1))</f>
        <v>0</v>
      </c>
      <c r="ALW9" s="26">
        <f>IF(ALW7=0,0,IF(MAX($F9:ALV9)=$D12,0,ALV9+1))</f>
        <v>0</v>
      </c>
      <c r="ALX9" s="26">
        <f>IF(ALX7=0,0,IF(MAX($F9:ALW9)=$D12,0,ALW9+1))</f>
        <v>0</v>
      </c>
      <c r="ALY9" s="26">
        <f>IF(ALY7=0,0,IF(MAX($F9:ALX9)=$D12,0,ALX9+1))</f>
        <v>0</v>
      </c>
      <c r="ALZ9" s="26">
        <f>IF(ALZ7=0,0,IF(MAX($F9:ALY9)=$D12,0,ALY9+1))</f>
        <v>0</v>
      </c>
      <c r="AMA9" s="26">
        <f>IF(AMA7=0,0,IF(MAX($F9:ALZ9)=$D12,0,ALZ9+1))</f>
        <v>0</v>
      </c>
      <c r="AMB9" s="26">
        <f>IF(AMB7=0,0,IF(MAX($F9:AMA9)=$D12,0,AMA9+1))</f>
        <v>0</v>
      </c>
      <c r="AMC9" s="26">
        <f>IF(AMC7=0,0,IF(MAX($F9:AMB9)=$D12,0,AMB9+1))</f>
        <v>0</v>
      </c>
      <c r="AMD9" s="26">
        <f>IF(AMD7=0,0,IF(MAX($F9:AMC9)=$D12,0,AMC9+1))</f>
        <v>0</v>
      </c>
      <c r="AME9" s="26">
        <f>IF(AME7=0,0,IF(MAX($F9:AMD9)=$D12,0,AMD9+1))</f>
        <v>0</v>
      </c>
      <c r="AMF9" s="26">
        <f>IF(AMF7=0,0,IF(MAX($F9:AME9)=$D12,0,AME9+1))</f>
        <v>0</v>
      </c>
      <c r="AMG9" s="26">
        <f>IF(AMG7=0,0,IF(MAX($F9:AMF9)=$D12,0,AMF9+1))</f>
        <v>0</v>
      </c>
      <c r="AMH9" s="26">
        <f>IF(AMH7=0,0,IF(MAX($F9:AMG9)=$D12,0,AMG9+1))</f>
        <v>0</v>
      </c>
      <c r="AMI9" s="26">
        <f>IF(AMI7=0,0,IF(MAX($F9:AMH9)=$D12,0,AMH9+1))</f>
        <v>0</v>
      </c>
      <c r="AMJ9" s="26">
        <f>IF(AMJ7=0,0,IF(MAX($F9:AMI9)=$D12,0,AMI9+1))</f>
        <v>0</v>
      </c>
      <c r="AMK9" s="26">
        <f>IF(AMK7=0,0,IF(MAX($F9:AMJ9)=$D12,0,AMJ9+1))</f>
        <v>0</v>
      </c>
      <c r="AML9" s="26">
        <f>IF(AML7=0,0,IF(MAX($F9:AMK9)=$D12,0,AMK9+1))</f>
        <v>0</v>
      </c>
      <c r="AMM9" s="26">
        <f>IF(AMM7=0,0,IF(MAX($F9:AML9)=$D12,0,AML9+1))</f>
        <v>0</v>
      </c>
      <c r="AMN9" s="26">
        <f>IF(AMN7=0,0,IF(MAX($F9:AMM9)=$D12,0,AMM9+1))</f>
        <v>0</v>
      </c>
      <c r="AMO9" s="26">
        <f>IF(AMO7=0,0,IF(MAX($F9:AMN9)=$D12,0,AMN9+1))</f>
        <v>0</v>
      </c>
      <c r="AMP9" s="26">
        <f>IF(AMP7=0,0,IF(MAX($F9:AMO9)=$D12,0,AMO9+1))</f>
        <v>0</v>
      </c>
      <c r="AMQ9" s="26">
        <f>IF(AMQ7=0,0,IF(MAX($F9:AMP9)=$D12,0,AMP9+1))</f>
        <v>0</v>
      </c>
      <c r="AMR9" s="26">
        <f>IF(AMR7=0,0,IF(MAX($F9:AMQ9)=$D12,0,AMQ9+1))</f>
        <v>0</v>
      </c>
      <c r="AMS9" s="26">
        <f>IF(AMS7=0,0,IF(MAX($F9:AMR9)=$D12,0,AMR9+1))</f>
        <v>0</v>
      </c>
      <c r="AMT9" s="26">
        <f>IF(AMT7=0,0,IF(MAX($F9:AMS9)=$D12,0,AMS9+1))</f>
        <v>0</v>
      </c>
      <c r="AMU9" s="26">
        <f>IF(AMU7=0,0,IF(MAX($F9:AMT9)=$D12,0,AMT9+1))</f>
        <v>0</v>
      </c>
      <c r="AMV9" s="26">
        <f>IF(AMV7=0,0,IF(MAX($F9:AMU9)=$D12,0,AMU9+1))</f>
        <v>0</v>
      </c>
      <c r="AMW9" s="26">
        <f>IF(AMW7=0,0,IF(MAX($F9:AMV9)=$D12,0,AMV9+1))</f>
        <v>0</v>
      </c>
      <c r="AMX9" s="26">
        <f>IF(AMX7=0,0,IF(MAX($F9:AMW9)=$D12,0,AMW9+1))</f>
        <v>0</v>
      </c>
      <c r="AMY9" s="26">
        <f>IF(AMY7=0,0,IF(MAX($F9:AMX9)=$D12,0,AMX9+1))</f>
        <v>0</v>
      </c>
      <c r="AMZ9" s="26">
        <f>IF(AMZ7=0,0,IF(MAX($F9:AMY9)=$D12,0,AMY9+1))</f>
        <v>0</v>
      </c>
      <c r="ANA9" s="26">
        <f>IF(ANA7=0,0,IF(MAX($F9:AMZ9)=$D12,0,AMZ9+1))</f>
        <v>0</v>
      </c>
      <c r="ANB9" s="26">
        <f>IF(ANB7=0,0,IF(MAX($F9:ANA9)=$D12,0,ANA9+1))</f>
        <v>0</v>
      </c>
      <c r="ANC9" s="26">
        <f>IF(ANC7=0,0,IF(MAX($F9:ANB9)=$D12,0,ANB9+1))</f>
        <v>0</v>
      </c>
      <c r="AND9" s="26">
        <f>IF(AND7=0,0,IF(MAX($F9:ANC9)=$D12,0,ANC9+1))</f>
        <v>0</v>
      </c>
      <c r="ANE9" s="26">
        <f>IF(ANE7=0,0,IF(MAX($F9:AND9)=$D12,0,AND9+1))</f>
        <v>0</v>
      </c>
      <c r="ANF9" s="26">
        <f>IF(ANF7=0,0,IF(MAX($F9:ANE9)=$D12,0,ANE9+1))</f>
        <v>0</v>
      </c>
      <c r="ANG9" s="26">
        <f>IF(ANG7=0,0,IF(MAX($F9:ANF9)=$D12,0,ANF9+1))</f>
        <v>0</v>
      </c>
      <c r="ANH9" s="26">
        <f>IF(ANH7=0,0,IF(MAX($F9:ANG9)=$D12,0,ANG9+1))</f>
        <v>0</v>
      </c>
      <c r="ANI9" s="26">
        <f>IF(ANI7=0,0,IF(MAX($F9:ANH9)=$D12,0,ANH9+1))</f>
        <v>0</v>
      </c>
      <c r="ANJ9" s="26">
        <f>IF(ANJ7=0,0,IF(MAX($F9:ANI9)=$D12,0,ANI9+1))</f>
        <v>0</v>
      </c>
      <c r="ANK9" s="26">
        <f>IF(ANK7=0,0,IF(MAX($F9:ANJ9)=$D12,0,ANJ9+1))</f>
        <v>0</v>
      </c>
      <c r="ANL9" s="26">
        <f>IF(ANL7=0,0,IF(MAX($F9:ANK9)=$D12,0,ANK9+1))</f>
        <v>0</v>
      </c>
      <c r="ANM9" s="26">
        <f>IF(ANM7=0,0,IF(MAX($F9:ANL9)=$D12,0,ANL9+1))</f>
        <v>0</v>
      </c>
      <c r="ANN9" s="26">
        <f>IF(ANN7=0,0,IF(MAX($F9:ANM9)=$D12,0,ANM9+1))</f>
        <v>0</v>
      </c>
      <c r="ANO9" s="26">
        <f>IF(ANO7=0,0,IF(MAX($F9:ANN9)=$D12,0,ANN9+1))</f>
        <v>0</v>
      </c>
      <c r="ANP9" s="26">
        <f>IF(ANP7=0,0,IF(MAX($F9:ANO9)=$D12,0,ANO9+1))</f>
        <v>0</v>
      </c>
      <c r="ANQ9" s="26">
        <f>IF(ANQ7=0,0,IF(MAX($F9:ANP9)=$D12,0,ANP9+1))</f>
        <v>0</v>
      </c>
      <c r="ANR9" s="26">
        <f>IF(ANR7=0,0,IF(MAX($F9:ANQ9)=$D12,0,ANQ9+1))</f>
        <v>0</v>
      </c>
      <c r="ANS9" s="26">
        <f>IF(ANS7=0,0,IF(MAX($F9:ANR9)=$D12,0,ANR9+1))</f>
        <v>0</v>
      </c>
      <c r="ANT9" s="26">
        <f>IF(ANT7=0,0,IF(MAX($F9:ANS9)=$D12,0,ANS9+1))</f>
        <v>0</v>
      </c>
      <c r="ANU9" s="26">
        <f>IF(ANU7=0,0,IF(MAX($F9:ANT9)=$D12,0,ANT9+1))</f>
        <v>0</v>
      </c>
      <c r="ANV9" s="26">
        <f>IF(ANV7=0,0,IF(MAX($F9:ANU9)=$D12,0,ANU9+1))</f>
        <v>0</v>
      </c>
      <c r="ANW9" s="26">
        <f>IF(ANW7=0,0,IF(MAX($F9:ANV9)=$D12,0,ANV9+1))</f>
        <v>0</v>
      </c>
      <c r="ANX9" s="26">
        <f>IF(ANX7=0,0,IF(MAX($F9:ANW9)=$D12,0,ANW9+1))</f>
        <v>0</v>
      </c>
      <c r="ANY9" s="26">
        <f>IF(ANY7=0,0,IF(MAX($F9:ANX9)=$D12,0,ANX9+1))</f>
        <v>0</v>
      </c>
      <c r="ANZ9" s="26">
        <f>IF(ANZ7=0,0,IF(MAX($F9:ANY9)=$D12,0,ANY9+1))</f>
        <v>0</v>
      </c>
      <c r="AOA9" s="26">
        <f>IF(AOA7=0,0,IF(MAX($F9:ANZ9)=$D12,0,ANZ9+1))</f>
        <v>0</v>
      </c>
      <c r="AOB9" s="26">
        <f>IF(AOB7=0,0,IF(MAX($F9:AOA9)=$D12,0,AOA9+1))</f>
        <v>0</v>
      </c>
      <c r="AOC9" s="26">
        <f>IF(AOC7=0,0,IF(MAX($F9:AOB9)=$D12,0,AOB9+1))</f>
        <v>0</v>
      </c>
      <c r="AOD9" s="26">
        <f>IF(AOD7=0,0,IF(MAX($F9:AOC9)=$D12,0,AOC9+1))</f>
        <v>0</v>
      </c>
      <c r="AOE9" s="26">
        <f>IF(AOE7=0,0,IF(MAX($F9:AOD9)=$D12,0,AOD9+1))</f>
        <v>0</v>
      </c>
      <c r="AOF9" s="26">
        <f>IF(AOF7=0,0,IF(MAX($F9:AOE9)=$D12,0,AOE9+1))</f>
        <v>0</v>
      </c>
      <c r="AOG9" s="26">
        <f>IF(AOG7=0,0,IF(MAX($F9:AOF9)=$D12,0,AOF9+1))</f>
        <v>0</v>
      </c>
      <c r="AOH9" s="26">
        <f>IF(AOH7=0,0,IF(MAX($F9:AOG9)=$D12,0,AOG9+1))</f>
        <v>0</v>
      </c>
      <c r="AOI9" s="26">
        <f>IF(AOI7=0,0,IF(MAX($F9:AOH9)=$D12,0,AOH9+1))</f>
        <v>0</v>
      </c>
      <c r="AOJ9" s="26">
        <f>IF(AOJ7=0,0,IF(MAX($F9:AOI9)=$D12,0,AOI9+1))</f>
        <v>0</v>
      </c>
      <c r="AOK9" s="26">
        <f>IF(AOK7=0,0,IF(MAX($F9:AOJ9)=$D12,0,AOJ9+1))</f>
        <v>0</v>
      </c>
      <c r="AOL9" s="26">
        <f>IF(AOL7=0,0,IF(MAX($F9:AOK9)=$D12,0,AOK9+1))</f>
        <v>0</v>
      </c>
      <c r="AOM9" s="26">
        <f>IF(AOM7=0,0,IF(MAX($F9:AOL9)=$D12,0,AOL9+1))</f>
        <v>0</v>
      </c>
      <c r="AON9" s="26">
        <f>IF(AON7=0,0,IF(MAX($F9:AOM9)=$D12,0,AOM9+1))</f>
        <v>0</v>
      </c>
      <c r="AOO9" s="26">
        <f>IF(AOO7=0,0,IF(MAX($F9:AON9)=$D12,0,AON9+1))</f>
        <v>0</v>
      </c>
      <c r="AOP9" s="26">
        <f>IF(AOP7=0,0,IF(MAX($F9:AOO9)=$D12,0,AOO9+1))</f>
        <v>0</v>
      </c>
      <c r="AOQ9" s="26">
        <f>IF(AOQ7=0,0,IF(MAX($F9:AOP9)=$D12,0,AOP9+1))</f>
        <v>0</v>
      </c>
      <c r="AOR9" s="26">
        <f>IF(AOR7=0,0,IF(MAX($F9:AOQ9)=$D12,0,AOQ9+1))</f>
        <v>0</v>
      </c>
      <c r="AOS9" s="26">
        <f>IF(AOS7=0,0,IF(MAX($F9:AOR9)=$D12,0,AOR9+1))</f>
        <v>0</v>
      </c>
      <c r="AOT9" s="26">
        <f>IF(AOT7=0,0,IF(MAX($F9:AOS9)=$D12,0,AOS9+1))</f>
        <v>0</v>
      </c>
      <c r="AOU9" s="26">
        <f>IF(AOU7=0,0,IF(MAX($F9:AOT9)=$D12,0,AOT9+1))</f>
        <v>0</v>
      </c>
      <c r="AOV9" s="26">
        <f>IF(AOV7=0,0,IF(MAX($F9:AOU9)=$D12,0,AOU9+1))</f>
        <v>0</v>
      </c>
      <c r="AOW9" s="26">
        <f>IF(AOW7=0,0,IF(MAX($F9:AOV9)=$D12,0,AOV9+1))</f>
        <v>0</v>
      </c>
      <c r="AOX9" s="26">
        <f>IF(AOX7=0,0,IF(MAX($F9:AOW9)=$D12,0,AOW9+1))</f>
        <v>0</v>
      </c>
      <c r="AOY9" s="26">
        <f>IF(AOY7=0,0,IF(MAX($F9:AOX9)=$D12,0,AOX9+1))</f>
        <v>0</v>
      </c>
      <c r="AOZ9" s="26">
        <f>IF(AOZ7=0,0,IF(MAX($F9:AOY9)=$D12,0,AOY9+1))</f>
        <v>0</v>
      </c>
      <c r="APA9" s="26">
        <f>IF(APA7=0,0,IF(MAX($F9:AOZ9)=$D12,0,AOZ9+1))</f>
        <v>0</v>
      </c>
      <c r="APB9" s="26">
        <f>IF(APB7=0,0,IF(MAX($F9:APA9)=$D12,0,APA9+1))</f>
        <v>0</v>
      </c>
      <c r="APC9" s="26">
        <f>IF(APC7=0,0,IF(MAX($F9:APB9)=$D12,0,APB9+1))</f>
        <v>0</v>
      </c>
      <c r="APD9" s="26">
        <f>IF(APD7=0,0,IF(MAX($F9:APC9)=$D12,0,APC9+1))</f>
        <v>0</v>
      </c>
      <c r="APE9" s="26">
        <f>IF(APE7=0,0,IF(MAX($F9:APD9)=$D12,0,APD9+1))</f>
        <v>0</v>
      </c>
      <c r="APF9" s="26">
        <f>IF(APF7=0,0,IF(MAX($F9:APE9)=$D12,0,APE9+1))</f>
        <v>0</v>
      </c>
      <c r="APG9" s="26">
        <f>IF(APG7=0,0,IF(MAX($F9:APF9)=$D12,0,APF9+1))</f>
        <v>0</v>
      </c>
      <c r="APH9" s="26">
        <f>IF(APH7=0,0,IF(MAX($F9:APG9)=$D12,0,APG9+1))</f>
        <v>0</v>
      </c>
      <c r="API9" s="26">
        <f>IF(API7=0,0,IF(MAX($F9:APH9)=$D12,0,APH9+1))</f>
        <v>0</v>
      </c>
      <c r="APJ9" s="26">
        <f>IF(APJ7=0,0,IF(MAX($F9:API9)=$D12,0,API9+1))</f>
        <v>0</v>
      </c>
      <c r="APK9" s="26">
        <f>IF(APK7=0,0,IF(MAX($F9:APJ9)=$D12,0,APJ9+1))</f>
        <v>0</v>
      </c>
      <c r="APL9" s="26">
        <f>IF(APL7=0,0,IF(MAX($F9:APK9)=$D12,0,APK9+1))</f>
        <v>0</v>
      </c>
      <c r="APM9" s="26">
        <f>IF(APM7=0,0,IF(MAX($F9:APL9)=$D12,0,APL9+1))</f>
        <v>0</v>
      </c>
      <c r="APN9" s="26">
        <f>IF(APN7=0,0,IF(MAX($F9:APM9)=$D12,0,APM9+1))</f>
        <v>0</v>
      </c>
      <c r="APO9" s="26">
        <f>IF(APO7=0,0,IF(MAX($F9:APN9)=$D12,0,APN9+1))</f>
        <v>0</v>
      </c>
      <c r="APP9" s="26">
        <f>IF(APP7=0,0,IF(MAX($F9:APO9)=$D12,0,APO9+1))</f>
        <v>0</v>
      </c>
      <c r="APQ9" s="26">
        <f>IF(APQ7=0,0,IF(MAX($F9:APP9)=$D12,0,APP9+1))</f>
        <v>0</v>
      </c>
      <c r="APR9" s="26">
        <f>IF(APR7=0,0,IF(MAX($F9:APQ9)=$D12,0,APQ9+1))</f>
        <v>0</v>
      </c>
      <c r="APS9" s="26">
        <f>IF(APS7=0,0,IF(MAX($F9:APR9)=$D12,0,APR9+1))</f>
        <v>0</v>
      </c>
      <c r="APT9" s="26">
        <f>IF(APT7=0,0,IF(MAX($F9:APS9)=$D12,0,APS9+1))</f>
        <v>0</v>
      </c>
      <c r="APU9" s="26">
        <f>IF(APU7=0,0,IF(MAX($F9:APT9)=$D12,0,APT9+1))</f>
        <v>0</v>
      </c>
      <c r="APV9" s="26">
        <f>IF(APV7=0,0,IF(MAX($F9:APU9)=$D12,0,APU9+1))</f>
        <v>0</v>
      </c>
      <c r="APW9" s="26">
        <f>IF(APW7=0,0,IF(MAX($F9:APV9)=$D12,0,APV9+1))</f>
        <v>0</v>
      </c>
      <c r="APX9" s="26">
        <f>IF(APX7=0,0,IF(MAX($F9:APW9)=$D12,0,APW9+1))</f>
        <v>0</v>
      </c>
      <c r="APY9" s="26">
        <f>IF(APY7=0,0,IF(MAX($F9:APX9)=$D12,0,APX9+1))</f>
        <v>0</v>
      </c>
      <c r="APZ9" s="26">
        <f>IF(APZ7=0,0,IF(MAX($F9:APY9)=$D12,0,APY9+1))</f>
        <v>0</v>
      </c>
      <c r="AQA9" s="26">
        <f>IF(AQA7=0,0,IF(MAX($F9:APZ9)=$D12,0,APZ9+1))</f>
        <v>0</v>
      </c>
      <c r="AQB9" s="26">
        <f>IF(AQB7=0,0,IF(MAX($F9:AQA9)=$D12,0,AQA9+1))</f>
        <v>0</v>
      </c>
      <c r="AQC9" s="26">
        <f>IF(AQC7=0,0,IF(MAX($F9:AQB9)=$D12,0,AQB9+1))</f>
        <v>0</v>
      </c>
      <c r="AQD9" s="26">
        <f>IF(AQD7=0,0,IF(MAX($F9:AQC9)=$D12,0,AQC9+1))</f>
        <v>0</v>
      </c>
      <c r="AQE9" s="26">
        <f>IF(AQE7=0,0,IF(MAX($F9:AQD9)=$D12,0,AQD9+1))</f>
        <v>0</v>
      </c>
      <c r="AQF9" s="26">
        <f>IF(AQF7=0,0,IF(MAX($F9:AQE9)=$D12,0,AQE9+1))</f>
        <v>0</v>
      </c>
      <c r="AQG9" s="26">
        <f>IF(AQG7=0,0,IF(MAX($F9:AQF9)=$D12,0,AQF9+1))</f>
        <v>0</v>
      </c>
      <c r="AQH9" s="26">
        <f>IF(AQH7=0,0,IF(MAX($F9:AQG9)=$D12,0,AQG9+1))</f>
        <v>0</v>
      </c>
      <c r="AQI9" s="26">
        <f>IF(AQI7=0,0,IF(MAX($F9:AQH9)=$D12,0,AQH9+1))</f>
        <v>0</v>
      </c>
      <c r="AQJ9" s="26">
        <f>IF(AQJ7=0,0,IF(MAX($F9:AQI9)=$D12,0,AQI9+1))</f>
        <v>0</v>
      </c>
      <c r="AQK9" s="26">
        <f>IF(AQK7=0,0,IF(MAX($F9:AQJ9)=$D12,0,AQJ9+1))</f>
        <v>0</v>
      </c>
      <c r="AQL9" s="26">
        <f>IF(AQL7=0,0,IF(MAX($F9:AQK9)=$D12,0,AQK9+1))</f>
        <v>0</v>
      </c>
      <c r="AQM9" s="26">
        <f>IF(AQM7=0,0,IF(MAX($F9:AQL9)=$D12,0,AQL9+1))</f>
        <v>0</v>
      </c>
      <c r="AQN9" s="26">
        <f>IF(AQN7=0,0,IF(MAX($F9:AQM9)=$D12,0,AQM9+1))</f>
        <v>0</v>
      </c>
      <c r="AQO9" s="26">
        <f>IF(AQO7=0,0,IF(MAX($F9:AQN9)=$D12,0,AQN9+1))</f>
        <v>0</v>
      </c>
      <c r="AQP9" s="26">
        <f>IF(AQP7=0,0,IF(MAX($F9:AQO9)=$D12,0,AQO9+1))</f>
        <v>0</v>
      </c>
      <c r="AQQ9" s="26">
        <f>IF(AQQ7=0,0,IF(MAX($F9:AQP9)=$D12,0,AQP9+1))</f>
        <v>0</v>
      </c>
      <c r="AQR9" s="26">
        <f>IF(AQR7=0,0,IF(MAX($F9:AQQ9)=$D12,0,AQQ9+1))</f>
        <v>0</v>
      </c>
      <c r="AQS9" s="26">
        <f>IF(AQS7=0,0,IF(MAX($F9:AQR9)=$D12,0,AQR9+1))</f>
        <v>0</v>
      </c>
      <c r="AQT9" s="26">
        <f>IF(AQT7=0,0,IF(MAX($F9:AQS9)=$D12,0,AQS9+1))</f>
        <v>0</v>
      </c>
      <c r="AQU9" s="26">
        <f>IF(AQU7=0,0,IF(MAX($F9:AQT9)=$D12,0,AQT9+1))</f>
        <v>0</v>
      </c>
      <c r="AQV9" s="26">
        <f>IF(AQV7=0,0,IF(MAX($F9:AQU9)=$D12,0,AQU9+1))</f>
        <v>0</v>
      </c>
      <c r="AQW9" s="26">
        <f>IF(AQW7=0,0,IF(MAX($F9:AQV9)=$D12,0,AQV9+1))</f>
        <v>0</v>
      </c>
      <c r="AQX9" s="26">
        <f>IF(AQX7=0,0,IF(MAX($F9:AQW9)=$D12,0,AQW9+1))</f>
        <v>0</v>
      </c>
      <c r="AQY9" s="26">
        <f>IF(AQY7=0,0,IF(MAX($F9:AQX9)=$D12,0,AQX9+1))</f>
        <v>0</v>
      </c>
      <c r="AQZ9" s="26">
        <f>IF(AQZ7=0,0,IF(MAX($F9:AQY9)=$D12,0,AQY9+1))</f>
        <v>0</v>
      </c>
      <c r="ARA9" s="26">
        <f>IF(ARA7=0,0,IF(MAX($F9:AQZ9)=$D12,0,AQZ9+1))</f>
        <v>0</v>
      </c>
      <c r="ARB9" s="26">
        <f>IF(ARB7=0,0,IF(MAX($F9:ARA9)=$D12,0,ARA9+1))</f>
        <v>0</v>
      </c>
      <c r="ARC9" s="26">
        <f>IF(ARC7=0,0,IF(MAX($F9:ARB9)=$D12,0,ARB9+1))</f>
        <v>0</v>
      </c>
      <c r="ARD9" s="26">
        <f>IF(ARD7=0,0,IF(MAX($F9:ARC9)=$D12,0,ARC9+1))</f>
        <v>0</v>
      </c>
      <c r="ARE9" s="26">
        <f>IF(ARE7=0,0,IF(MAX($F9:ARD9)=$D12,0,ARD9+1))</f>
        <v>0</v>
      </c>
      <c r="ARF9" s="26">
        <f>IF(ARF7=0,0,IF(MAX($F9:ARE9)=$D12,0,ARE9+1))</f>
        <v>0</v>
      </c>
      <c r="ARG9" s="26">
        <f>IF(ARG7=0,0,IF(MAX($F9:ARF9)=$D12,0,ARF9+1))</f>
        <v>0</v>
      </c>
      <c r="ARH9" s="26">
        <f>IF(ARH7=0,0,IF(MAX($F9:ARG9)=$D12,0,ARG9+1))</f>
        <v>0</v>
      </c>
      <c r="ARI9" s="26">
        <f>IF(ARI7=0,0,IF(MAX($F9:ARH9)=$D12,0,ARH9+1))</f>
        <v>0</v>
      </c>
      <c r="ARJ9" s="26">
        <f>IF(ARJ7=0,0,IF(MAX($F9:ARI9)=$D12,0,ARI9+1))</f>
        <v>0</v>
      </c>
      <c r="ARK9" s="26">
        <f>IF(ARK7=0,0,IF(MAX($F9:ARJ9)=$D12,0,ARJ9+1))</f>
        <v>0</v>
      </c>
      <c r="ARL9" s="26">
        <f>IF(ARL7=0,0,IF(MAX($F9:ARK9)=$D12,0,ARK9+1))</f>
        <v>0</v>
      </c>
      <c r="ARM9" s="26">
        <f>IF(ARM7=0,0,IF(MAX($F9:ARL9)=$D12,0,ARL9+1))</f>
        <v>0</v>
      </c>
      <c r="ARN9" s="26">
        <f>IF(ARN7=0,0,IF(MAX($F9:ARM9)=$D12,0,ARM9+1))</f>
        <v>0</v>
      </c>
      <c r="ARO9" s="26">
        <f>IF(ARO7=0,0,IF(MAX($F9:ARN9)=$D12,0,ARN9+1))</f>
        <v>0</v>
      </c>
      <c r="ARP9" s="26">
        <f>IF(ARP7=0,0,IF(MAX($F9:ARO9)=$D12,0,ARO9+1))</f>
        <v>0</v>
      </c>
      <c r="ARQ9" s="26">
        <f>IF(ARQ7=0,0,IF(MAX($F9:ARP9)=$D12,0,ARP9+1))</f>
        <v>0</v>
      </c>
      <c r="ARR9" s="26">
        <f>IF(ARR7=0,0,IF(MAX($F9:ARQ9)=$D12,0,ARQ9+1))</f>
        <v>0</v>
      </c>
      <c r="ARS9" s="26">
        <f>IF(ARS7=0,0,IF(MAX($F9:ARR9)=$D12,0,ARR9+1))</f>
        <v>0</v>
      </c>
      <c r="ART9" s="26">
        <f>IF(ART7=0,0,IF(MAX($F9:ARS9)=$D12,0,ARS9+1))</f>
        <v>0</v>
      </c>
      <c r="ARU9" s="26">
        <f>IF(ARU7=0,0,IF(MAX($F9:ART9)=$D12,0,ART9+1))</f>
        <v>0</v>
      </c>
      <c r="ARV9" s="26">
        <f>IF(ARV7=0,0,IF(MAX($F9:ARU9)=$D12,0,ARU9+1))</f>
        <v>0</v>
      </c>
      <c r="ARW9" s="26">
        <f>IF(ARW7=0,0,IF(MAX($F9:ARV9)=$D12,0,ARV9+1))</f>
        <v>0</v>
      </c>
      <c r="ARX9" s="26">
        <f>IF(ARX7=0,0,IF(MAX($F9:ARW9)=$D12,0,ARW9+1))</f>
        <v>0</v>
      </c>
      <c r="ARY9" s="26">
        <f>IF(ARY7=0,0,IF(MAX($F9:ARX9)=$D12,0,ARX9+1))</f>
        <v>0</v>
      </c>
      <c r="ARZ9" s="26">
        <f>IF(ARZ7=0,0,IF(MAX($F9:ARY9)=$D12,0,ARY9+1))</f>
        <v>0</v>
      </c>
      <c r="ASA9" s="26">
        <f>IF(ASA7=0,0,IF(MAX($F9:ARZ9)=$D12,0,ARZ9+1))</f>
        <v>0</v>
      </c>
      <c r="ASB9" s="26">
        <f>IF(ASB7=0,0,IF(MAX($F9:ASA9)=$D12,0,ASA9+1))</f>
        <v>0</v>
      </c>
      <c r="ASC9" s="26">
        <f>IF(ASC7=0,0,IF(MAX($F9:ASB9)=$D12,0,ASB9+1))</f>
        <v>0</v>
      </c>
      <c r="ASD9" s="26">
        <f>IF(ASD7=0,0,IF(MAX($F9:ASC9)=$D12,0,ASC9+1))</f>
        <v>0</v>
      </c>
      <c r="ASE9" s="26">
        <f>IF(ASE7=0,0,IF(MAX($F9:ASD9)=$D12,0,ASD9+1))</f>
        <v>0</v>
      </c>
      <c r="ASF9" s="26">
        <f>IF(ASF7=0,0,IF(MAX($F9:ASE9)=$D12,0,ASE9+1))</f>
        <v>0</v>
      </c>
      <c r="ASG9" s="26">
        <f>IF(ASG7=0,0,IF(MAX($F9:ASF9)=$D12,0,ASF9+1))</f>
        <v>0</v>
      </c>
      <c r="ASH9" s="26">
        <f>IF(ASH7=0,0,IF(MAX($F9:ASG9)=$D12,0,ASG9+1))</f>
        <v>0</v>
      </c>
      <c r="ASI9" s="26">
        <f>IF(ASI7=0,0,IF(MAX($F9:ASH9)=$D12,0,ASH9+1))</f>
        <v>0</v>
      </c>
      <c r="ASJ9" s="26">
        <f>IF(ASJ7=0,0,IF(MAX($F9:ASI9)=$D12,0,ASI9+1))</f>
        <v>0</v>
      </c>
      <c r="ASK9" s="26">
        <f>IF(ASK7=0,0,IF(MAX($F9:ASJ9)=$D12,0,ASJ9+1))</f>
        <v>0</v>
      </c>
      <c r="ASL9" s="26">
        <f>IF(ASL7=0,0,IF(MAX($F9:ASK9)=$D12,0,ASK9+1))</f>
        <v>0</v>
      </c>
      <c r="ASM9" s="26">
        <f>IF(ASM7=0,0,IF(MAX($F9:ASL9)=$D12,0,ASL9+1))</f>
        <v>0</v>
      </c>
      <c r="ASN9" s="26">
        <f>IF(ASN7=0,0,IF(MAX($F9:ASM9)=$D12,0,ASM9+1))</f>
        <v>0</v>
      </c>
      <c r="ASO9" s="26">
        <f>IF(ASO7=0,0,IF(MAX($F9:ASN9)=$D12,0,ASN9+1))</f>
        <v>0</v>
      </c>
      <c r="ASP9" s="26">
        <f>IF(ASP7=0,0,IF(MAX($F9:ASO9)=$D12,0,ASO9+1))</f>
        <v>0</v>
      </c>
      <c r="ASQ9" s="26">
        <f>IF(ASQ7=0,0,IF(MAX($F9:ASP9)=$D12,0,ASP9+1))</f>
        <v>0</v>
      </c>
      <c r="ASR9" s="26">
        <f>IF(ASR7=0,0,IF(MAX($F9:ASQ9)=$D12,0,ASQ9+1))</f>
        <v>0</v>
      </c>
      <c r="ASS9" s="26">
        <f>IF(ASS7=0,0,IF(MAX($F9:ASR9)=$D12,0,ASR9+1))</f>
        <v>0</v>
      </c>
      <c r="AST9" s="26">
        <f>IF(AST7=0,0,IF(MAX($F9:ASS9)=$D12,0,ASS9+1))</f>
        <v>0</v>
      </c>
      <c r="ASU9" s="26">
        <f>IF(ASU7=0,0,IF(MAX($F9:AST9)=$D12,0,AST9+1))</f>
        <v>0</v>
      </c>
      <c r="ASV9" s="26">
        <f>IF(ASV7=0,0,IF(MAX($F9:ASU9)=$D12,0,ASU9+1))</f>
        <v>0</v>
      </c>
      <c r="ASW9" s="26">
        <f>IF(ASW7=0,0,IF(MAX($F9:ASV9)=$D12,0,ASV9+1))</f>
        <v>0</v>
      </c>
      <c r="ASX9" s="26">
        <f>IF(ASX7=0,0,IF(MAX($F9:ASW9)=$D12,0,ASW9+1))</f>
        <v>0</v>
      </c>
      <c r="ASY9" s="26">
        <f>IF(ASY7=0,0,IF(MAX($F9:ASX9)=$D12,0,ASX9+1))</f>
        <v>0</v>
      </c>
      <c r="ASZ9" s="26">
        <f>IF(ASZ7=0,0,IF(MAX($F9:ASY9)=$D12,0,ASY9+1))</f>
        <v>0</v>
      </c>
      <c r="ATA9" s="26">
        <f>IF(ATA7=0,0,IF(MAX($F9:ASZ9)=$D12,0,ASZ9+1))</f>
        <v>0</v>
      </c>
      <c r="ATB9" s="26">
        <f>IF(ATB7=0,0,IF(MAX($F9:ATA9)=$D12,0,ATA9+1))</f>
        <v>0</v>
      </c>
      <c r="ATC9" s="26">
        <f>IF(ATC7=0,0,IF(MAX($F9:ATB9)=$D12,0,ATB9+1))</f>
        <v>0</v>
      </c>
      <c r="ATD9" s="26">
        <f>IF(ATD7=0,0,IF(MAX($F9:ATC9)=$D12,0,ATC9+1))</f>
        <v>0</v>
      </c>
      <c r="ATE9" s="26">
        <f>IF(ATE7=0,0,IF(MAX($F9:ATD9)=$D12,0,ATD9+1))</f>
        <v>0</v>
      </c>
      <c r="ATF9" s="26">
        <f>IF(ATF7=0,0,IF(MAX($F9:ATE9)=$D12,0,ATE9+1))</f>
        <v>0</v>
      </c>
      <c r="ATG9" s="26">
        <f>IF(ATG7=0,0,IF(MAX($F9:ATF9)=$D12,0,ATF9+1))</f>
        <v>0</v>
      </c>
      <c r="ATH9" s="26">
        <f>IF(ATH7=0,0,IF(MAX($F9:ATG9)=$D12,0,ATG9+1))</f>
        <v>0</v>
      </c>
      <c r="ATI9" s="26">
        <f>IF(ATI7=0,0,IF(MAX($F9:ATH9)=$D12,0,ATH9+1))</f>
        <v>0</v>
      </c>
      <c r="ATJ9" s="26">
        <f>IF(ATJ7=0,0,IF(MAX($F9:ATI9)=$D12,0,ATI9+1))</f>
        <v>0</v>
      </c>
      <c r="ATK9" s="26">
        <f>IF(ATK7=0,0,IF(MAX($F9:ATJ9)=$D12,0,ATJ9+1))</f>
        <v>0</v>
      </c>
      <c r="ATL9" s="26">
        <f>IF(ATL7=0,0,IF(MAX($F9:ATK9)=$D12,0,ATK9+1))</f>
        <v>0</v>
      </c>
      <c r="ATM9" s="26">
        <f>IF(ATM7=0,0,IF(MAX($F9:ATL9)=$D12,0,ATL9+1))</f>
        <v>0</v>
      </c>
      <c r="ATN9" s="26">
        <f>IF(ATN7=0,0,IF(MAX($F9:ATM9)=$D12,0,ATM9+1))</f>
        <v>0</v>
      </c>
      <c r="ATO9" s="26">
        <f>IF(ATO7=0,0,IF(MAX($F9:ATN9)=$D12,0,ATN9+1))</f>
        <v>0</v>
      </c>
      <c r="ATP9" s="26">
        <f>IF(ATP7=0,0,IF(MAX($F9:ATO9)=$D12,0,ATO9+1))</f>
        <v>0</v>
      </c>
      <c r="ATQ9" s="26">
        <f>IF(ATQ7=0,0,IF(MAX($F9:ATP9)=$D12,0,ATP9+1))</f>
        <v>0</v>
      </c>
      <c r="ATR9" s="26">
        <f>IF(ATR7=0,0,IF(MAX($F9:ATQ9)=$D12,0,ATQ9+1))</f>
        <v>0</v>
      </c>
      <c r="ATS9" s="26">
        <f>IF(ATS7=0,0,IF(MAX($F9:ATR9)=$D12,0,ATR9+1))</f>
        <v>0</v>
      </c>
      <c r="ATT9" s="26">
        <f>IF(ATT7=0,0,IF(MAX($F9:ATS9)=$D12,0,ATS9+1))</f>
        <v>0</v>
      </c>
      <c r="ATU9" s="26">
        <f>IF(ATU7=0,0,IF(MAX($F9:ATT9)=$D12,0,ATT9+1))</f>
        <v>0</v>
      </c>
      <c r="ATV9" s="26">
        <f>IF(ATV7=0,0,IF(MAX($F9:ATU9)=$D12,0,ATU9+1))</f>
        <v>0</v>
      </c>
      <c r="ATW9" s="26">
        <f>IF(ATW7=0,0,IF(MAX($F9:ATV9)=$D12,0,ATV9+1))</f>
        <v>0</v>
      </c>
      <c r="ATX9" s="26">
        <f>IF(ATX7=0,0,IF(MAX($F9:ATW9)=$D12,0,ATW9+1))</f>
        <v>0</v>
      </c>
      <c r="ATY9" s="26">
        <f>IF(ATY7=0,0,IF(MAX($F9:ATX9)=$D12,0,ATX9+1))</f>
        <v>0</v>
      </c>
      <c r="ATZ9" s="26">
        <f>IF(ATZ7=0,0,IF(MAX($F9:ATY9)=$D12,0,ATY9+1))</f>
        <v>0</v>
      </c>
      <c r="AUA9" s="26">
        <f>IF(AUA7=0,0,IF(MAX($F9:ATZ9)=$D12,0,ATZ9+1))</f>
        <v>0</v>
      </c>
      <c r="AUB9" s="26">
        <f>IF(AUB7=0,0,IF(MAX($F9:AUA9)=$D12,0,AUA9+1))</f>
        <v>0</v>
      </c>
      <c r="AUC9" s="26">
        <f>IF(AUC7=0,0,IF(MAX($F9:AUB9)=$D12,0,AUB9+1))</f>
        <v>0</v>
      </c>
      <c r="AUD9" s="26">
        <f>IF(AUD7=0,0,IF(MAX($F9:AUC9)=$D12,0,AUC9+1))</f>
        <v>0</v>
      </c>
      <c r="AUE9" s="26">
        <f>IF(AUE7=0,0,IF(MAX($F9:AUD9)=$D12,0,AUD9+1))</f>
        <v>0</v>
      </c>
      <c r="AUF9" s="26">
        <f>IF(AUF7=0,0,IF(MAX($F9:AUE9)=$D12,0,AUE9+1))</f>
        <v>0</v>
      </c>
      <c r="AUG9" s="26">
        <f>IF(AUG7=0,0,IF(MAX($F9:AUF9)=$D12,0,AUF9+1))</f>
        <v>0</v>
      </c>
      <c r="AUH9" s="26">
        <f>IF(AUH7=0,0,IF(MAX($F9:AUG9)=$D12,0,AUG9+1))</f>
        <v>0</v>
      </c>
      <c r="AUI9" s="26">
        <f>IF(AUI7=0,0,IF(MAX($F9:AUH9)=$D12,0,AUH9+1))</f>
        <v>0</v>
      </c>
      <c r="AUJ9" s="26">
        <f>IF(AUJ7=0,0,IF(MAX($F9:AUI9)=$D12,0,AUI9+1))</f>
        <v>0</v>
      </c>
      <c r="AUK9" s="26">
        <f>IF(AUK7=0,0,IF(MAX($F9:AUJ9)=$D12,0,AUJ9+1))</f>
        <v>0</v>
      </c>
      <c r="AUL9" s="26">
        <f>IF(AUL7=0,0,IF(MAX($F9:AUK9)=$D12,0,AUK9+1))</f>
        <v>0</v>
      </c>
      <c r="AUM9" s="26">
        <f>IF(AUM7=0,0,IF(MAX($F9:AUL9)=$D12,0,AUL9+1))</f>
        <v>0</v>
      </c>
      <c r="AUN9" s="26">
        <f>IF(AUN7=0,0,IF(MAX($F9:AUM9)=$D12,0,AUM9+1))</f>
        <v>0</v>
      </c>
      <c r="AUO9" s="26">
        <f>IF(AUO7=0,0,IF(MAX($F9:AUN9)=$D12,0,AUN9+1))</f>
        <v>0</v>
      </c>
      <c r="AUP9" s="26">
        <f>IF(AUP7=0,0,IF(MAX($F9:AUO9)=$D12,0,AUO9+1))</f>
        <v>0</v>
      </c>
      <c r="AUQ9" s="26">
        <f>IF(AUQ7=0,0,IF(MAX($F9:AUP9)=$D12,0,AUP9+1))</f>
        <v>0</v>
      </c>
      <c r="AUR9" s="26">
        <f>IF(AUR7=0,0,IF(MAX($F9:AUQ9)=$D12,0,AUQ9+1))</f>
        <v>0</v>
      </c>
      <c r="AUS9" s="26">
        <f>IF(AUS7=0,0,IF(MAX($F9:AUR9)=$D12,0,AUR9+1))</f>
        <v>0</v>
      </c>
      <c r="AUT9" s="26">
        <f>IF(AUT7=0,0,IF(MAX($F9:AUS9)=$D12,0,AUS9+1))</f>
        <v>0</v>
      </c>
      <c r="AUU9" s="26">
        <f>IF(AUU7=0,0,IF(MAX($F9:AUT9)=$D12,0,AUT9+1))</f>
        <v>0</v>
      </c>
      <c r="AUV9" s="26">
        <f>IF(AUV7=0,0,IF(MAX($F9:AUU9)=$D12,0,AUU9+1))</f>
        <v>0</v>
      </c>
      <c r="AUW9" s="26">
        <f>IF(AUW7=0,0,IF(MAX($F9:AUV9)=$D12,0,AUV9+1))</f>
        <v>0</v>
      </c>
      <c r="AUX9" s="26">
        <f>IF(AUX7=0,0,IF(MAX($F9:AUW9)=$D12,0,AUW9+1))</f>
        <v>0</v>
      </c>
      <c r="AUY9" s="26">
        <f>IF(AUY7=0,0,IF(MAX($F9:AUX9)=$D12,0,AUX9+1))</f>
        <v>0</v>
      </c>
      <c r="AUZ9" s="26">
        <f>IF(AUZ7=0,0,IF(MAX($F9:AUY9)=$D12,0,AUY9+1))</f>
        <v>0</v>
      </c>
      <c r="AVA9" s="26">
        <f>IF(AVA7=0,0,IF(MAX($F9:AUZ9)=$D12,0,AUZ9+1))</f>
        <v>0</v>
      </c>
      <c r="AVB9" s="26">
        <f>IF(AVB7=0,0,IF(MAX($F9:AVA9)=$D12,0,AVA9+1))</f>
        <v>0</v>
      </c>
      <c r="AVC9" s="26">
        <f>IF(AVC7=0,0,IF(MAX($F9:AVB9)=$D12,0,AVB9+1))</f>
        <v>0</v>
      </c>
      <c r="AVD9" s="26">
        <f>IF(AVD7=0,0,IF(MAX($F9:AVC9)=$D12,0,AVC9+1))</f>
        <v>0</v>
      </c>
      <c r="AVE9" s="26">
        <f>IF(AVE7=0,0,IF(MAX($F9:AVD9)=$D12,0,AVD9+1))</f>
        <v>0</v>
      </c>
      <c r="AVF9" s="26">
        <f>IF(AVF7=0,0,IF(MAX($F9:AVE9)=$D12,0,AVE9+1))</f>
        <v>0</v>
      </c>
      <c r="AVG9" s="26">
        <f>IF(AVG7=0,0,IF(MAX($F9:AVF9)=$D12,0,AVF9+1))</f>
        <v>0</v>
      </c>
      <c r="AVH9" s="26">
        <f>IF(AVH7=0,0,IF(MAX($F9:AVG9)=$D12,0,AVG9+1))</f>
        <v>0</v>
      </c>
      <c r="AVI9" s="26">
        <f>IF(AVI7=0,0,IF(MAX($F9:AVH9)=$D12,0,AVH9+1))</f>
        <v>0</v>
      </c>
      <c r="AVJ9" s="26">
        <f>IF(AVJ7=0,0,IF(MAX($F9:AVI9)=$D12,0,AVI9+1))</f>
        <v>0</v>
      </c>
      <c r="AVK9" s="26">
        <f>IF(AVK7=0,0,IF(MAX($F9:AVJ9)=$D12,0,AVJ9+1))</f>
        <v>0</v>
      </c>
      <c r="AVL9" s="26">
        <f>IF(AVL7=0,0,IF(MAX($F9:AVK9)=$D12,0,AVK9+1))</f>
        <v>0</v>
      </c>
      <c r="AVM9" s="26">
        <f>IF(AVM7=0,0,IF(MAX($F9:AVL9)=$D12,0,AVL9+1))</f>
        <v>0</v>
      </c>
      <c r="AVN9" s="26">
        <f>IF(AVN7=0,0,IF(MAX($F9:AVM9)=$D12,0,AVM9+1))</f>
        <v>0</v>
      </c>
      <c r="AVO9" s="26">
        <f>IF(AVO7=0,0,IF(MAX($F9:AVN9)=$D12,0,AVN9+1))</f>
        <v>0</v>
      </c>
      <c r="AVP9" s="26">
        <f>IF(AVP7=0,0,IF(MAX($F9:AVO9)=$D12,0,AVO9+1))</f>
        <v>0</v>
      </c>
      <c r="AVQ9" s="26">
        <f>IF(AVQ7=0,0,IF(MAX($F9:AVP9)=$D12,0,AVP9+1))</f>
        <v>0</v>
      </c>
      <c r="AVR9" s="26">
        <f>IF(AVR7=0,0,IF(MAX($F9:AVQ9)=$D12,0,AVQ9+1))</f>
        <v>0</v>
      </c>
      <c r="AVS9" s="26">
        <f>IF(AVS7=0,0,IF(MAX($F9:AVR9)=$D12,0,AVR9+1))</f>
        <v>0</v>
      </c>
      <c r="AVT9" s="26">
        <f>IF(AVT7=0,0,IF(MAX($F9:AVS9)=$D12,0,AVS9+1))</f>
        <v>0</v>
      </c>
      <c r="AVU9" s="26">
        <f>IF(AVU7=0,0,IF(MAX($F9:AVT9)=$D12,0,AVT9+1))</f>
        <v>0</v>
      </c>
      <c r="AVV9" s="26">
        <f>IF(AVV7=0,0,IF(MAX($F9:AVU9)=$D12,0,AVU9+1))</f>
        <v>0</v>
      </c>
      <c r="AVW9" s="26">
        <f>IF(AVW7=0,0,IF(MAX($F9:AVV9)=$D12,0,AVV9+1))</f>
        <v>0</v>
      </c>
      <c r="AVX9" s="26">
        <f>IF(AVX7=0,0,IF(MAX($F9:AVW9)=$D12,0,AVW9+1))</f>
        <v>0</v>
      </c>
      <c r="AVY9" s="26">
        <f>IF(AVY7=0,0,IF(MAX($F9:AVX9)=$D12,0,AVX9+1))</f>
        <v>0</v>
      </c>
      <c r="AVZ9" s="26">
        <f>IF(AVZ7=0,0,IF(MAX($F9:AVY9)=$D12,0,AVY9+1))</f>
        <v>0</v>
      </c>
      <c r="AWA9" s="26">
        <f>IF(AWA7=0,0,IF(MAX($F9:AVZ9)=$D12,0,AVZ9+1))</f>
        <v>0</v>
      </c>
      <c r="AWB9" s="26">
        <f>IF(AWB7=0,0,IF(MAX($F9:AWA9)=$D12,0,AWA9+1))</f>
        <v>0</v>
      </c>
      <c r="AWC9" s="26">
        <f>IF(AWC7=0,0,IF(MAX($F9:AWB9)=$D12,0,AWB9+1))</f>
        <v>0</v>
      </c>
      <c r="AWD9" s="26">
        <f>IF(AWD7=0,0,IF(MAX($F9:AWC9)=$D12,0,AWC9+1))</f>
        <v>0</v>
      </c>
      <c r="AWE9" s="26">
        <f>IF(AWE7=0,0,IF(MAX($F9:AWD9)=$D12,0,AWD9+1))</f>
        <v>0</v>
      </c>
      <c r="AWF9" s="26">
        <f>IF(AWF7=0,0,IF(MAX($F9:AWE9)=$D12,0,AWE9+1))</f>
        <v>0</v>
      </c>
      <c r="AWG9" s="26">
        <f>IF(AWG7=0,0,IF(MAX($F9:AWF9)=$D12,0,AWF9+1))</f>
        <v>0</v>
      </c>
      <c r="AWH9" s="26">
        <f>IF(AWH7=0,0,IF(MAX($F9:AWG9)=$D12,0,AWG9+1))</f>
        <v>0</v>
      </c>
      <c r="AWI9" s="26">
        <f>IF(AWI7=0,0,IF(MAX($F9:AWH9)=$D12,0,AWH9+1))</f>
        <v>0</v>
      </c>
      <c r="AWJ9" s="26">
        <f>IF(AWJ7=0,0,IF(MAX($F9:AWI9)=$D12,0,AWI9+1))</f>
        <v>0</v>
      </c>
      <c r="AWK9" s="26">
        <f>IF(AWK7=0,0,IF(MAX($F9:AWJ9)=$D12,0,AWJ9+1))</f>
        <v>0</v>
      </c>
      <c r="AWL9" s="26">
        <f>IF(AWL7=0,0,IF(MAX($F9:AWK9)=$D12,0,AWK9+1))</f>
        <v>0</v>
      </c>
      <c r="AWM9" s="26">
        <f>IF(AWM7=0,0,IF(MAX($F9:AWL9)=$D12,0,AWL9+1))</f>
        <v>0</v>
      </c>
      <c r="AWN9" s="26">
        <f>IF(AWN7=0,0,IF(MAX($F9:AWM9)=$D12,0,AWM9+1))</f>
        <v>0</v>
      </c>
      <c r="AWO9" s="26">
        <f>IF(AWO7=0,0,IF(MAX($F9:AWN9)=$D12,0,AWN9+1))</f>
        <v>0</v>
      </c>
      <c r="AWP9" s="26">
        <f>IF(AWP7=0,0,IF(MAX($F9:AWO9)=$D12,0,AWO9+1))</f>
        <v>0</v>
      </c>
      <c r="AWQ9" s="26">
        <f>IF(AWQ7=0,0,IF(MAX($F9:AWP9)=$D12,0,AWP9+1))</f>
        <v>0</v>
      </c>
      <c r="AWR9" s="26">
        <f>IF(AWR7=0,0,IF(MAX($F9:AWQ9)=$D12,0,AWQ9+1))</f>
        <v>0</v>
      </c>
      <c r="AWS9" s="26">
        <f>IF(AWS7=0,0,IF(MAX($F9:AWR9)=$D12,0,AWR9+1))</f>
        <v>0</v>
      </c>
      <c r="AWT9" s="26">
        <f>IF(AWT7=0,0,IF(MAX($F9:AWS9)=$D12,0,AWS9+1))</f>
        <v>0</v>
      </c>
      <c r="AWU9" s="26">
        <f>IF(AWU7=0,0,IF(MAX($F9:AWT9)=$D12,0,AWT9+1))</f>
        <v>0</v>
      </c>
      <c r="AWV9" s="26">
        <f>IF(AWV7=0,0,IF(MAX($F9:AWU9)=$D12,0,AWU9+1))</f>
        <v>0</v>
      </c>
      <c r="AWW9" s="26">
        <f>IF(AWW7=0,0,IF(MAX($F9:AWV9)=$D12,0,AWV9+1))</f>
        <v>0</v>
      </c>
      <c r="AWX9" s="26">
        <f>IF(AWX7=0,0,IF(MAX($F9:AWW9)=$D12,0,AWW9+1))</f>
        <v>0</v>
      </c>
      <c r="AWY9" s="26">
        <f>IF(AWY7=0,0,IF(MAX($F9:AWX9)=$D12,0,AWX9+1))</f>
        <v>0</v>
      </c>
      <c r="AWZ9" s="26">
        <f>IF(AWZ7=0,0,IF(MAX($F9:AWY9)=$D12,0,AWY9+1))</f>
        <v>0</v>
      </c>
      <c r="AXA9" s="26">
        <f>IF(AXA7=0,0,IF(MAX($F9:AWZ9)=$D12,0,AWZ9+1))</f>
        <v>0</v>
      </c>
      <c r="AXB9" s="26">
        <f>IF(AXB7=0,0,IF(MAX($F9:AXA9)=$D12,0,AXA9+1))</f>
        <v>0</v>
      </c>
      <c r="AXC9" s="26">
        <f>IF(AXC7=0,0,IF(MAX($F9:AXB9)=$D12,0,AXB9+1))</f>
        <v>0</v>
      </c>
      <c r="AXD9" s="26">
        <f>IF(AXD7=0,0,IF(MAX($F9:AXC9)=$D12,0,AXC9+1))</f>
        <v>0</v>
      </c>
      <c r="AXE9" s="26">
        <f>IF(AXE7=0,0,IF(MAX($F9:AXD9)=$D12,0,AXD9+1))</f>
        <v>0</v>
      </c>
      <c r="AXF9" s="26">
        <f>IF(AXF7=0,0,IF(MAX($F9:AXE9)=$D12,0,AXE9+1))</f>
        <v>0</v>
      </c>
      <c r="AXG9" s="26">
        <f>IF(AXG7=0,0,IF(MAX($F9:AXF9)=$D12,0,AXF9+1))</f>
        <v>0</v>
      </c>
      <c r="AXH9" s="26">
        <f>IF(AXH7=0,0,IF(MAX($F9:AXG9)=$D12,0,AXG9+1))</f>
        <v>0</v>
      </c>
      <c r="AXI9" s="26">
        <f>IF(AXI7=0,0,IF(MAX($F9:AXH9)=$D12,0,AXH9+1))</f>
        <v>0</v>
      </c>
      <c r="AXJ9" s="26">
        <f>IF(AXJ7=0,0,IF(MAX($F9:AXI9)=$D12,0,AXI9+1))</f>
        <v>0</v>
      </c>
      <c r="AXK9" s="26">
        <f>IF(AXK7=0,0,IF(MAX($F9:AXJ9)=$D12,0,AXJ9+1))</f>
        <v>0</v>
      </c>
      <c r="AXL9" s="26">
        <f>IF(AXL7=0,0,IF(MAX($F9:AXK9)=$D12,0,AXK9+1))</f>
        <v>0</v>
      </c>
      <c r="AXM9" s="26">
        <f>IF(AXM7=0,0,IF(MAX($F9:AXL9)=$D12,0,AXL9+1))</f>
        <v>0</v>
      </c>
      <c r="AXN9" s="26">
        <f>IF(AXN7=0,0,IF(MAX($F9:AXM9)=$D12,0,AXM9+1))</f>
        <v>0</v>
      </c>
      <c r="AXO9" s="26">
        <f>IF(AXO7=0,0,IF(MAX($F9:AXN9)=$D12,0,AXN9+1))</f>
        <v>0</v>
      </c>
      <c r="AXP9" s="26">
        <f>IF(AXP7=0,0,IF(MAX($F9:AXO9)=$D12,0,AXO9+1))</f>
        <v>0</v>
      </c>
      <c r="AXQ9" s="26">
        <f>IF(AXQ7=0,0,IF(MAX($F9:AXP9)=$D12,0,AXP9+1))</f>
        <v>0</v>
      </c>
      <c r="AXR9" s="26">
        <f>IF(AXR7=0,0,IF(MAX($F9:AXQ9)=$D12,0,AXQ9+1))</f>
        <v>0</v>
      </c>
      <c r="AXS9" s="26">
        <f>IF(AXS7=0,0,IF(MAX($F9:AXR9)=$D12,0,AXR9+1))</f>
        <v>0</v>
      </c>
      <c r="AXT9" s="26">
        <f>IF(AXT7=0,0,IF(MAX($F9:AXS9)=$D12,0,AXS9+1))</f>
        <v>0</v>
      </c>
      <c r="AXU9" s="26">
        <f>IF(AXU7=0,0,IF(MAX($F9:AXT9)=$D12,0,AXT9+1))</f>
        <v>0</v>
      </c>
      <c r="AXV9" s="26">
        <f>IF(AXV7=0,0,IF(MAX($F9:AXU9)=$D12,0,AXU9+1))</f>
        <v>0</v>
      </c>
      <c r="AXW9" s="26">
        <f>IF(AXW7=0,0,IF(MAX($F9:AXV9)=$D12,0,AXV9+1))</f>
        <v>0</v>
      </c>
      <c r="AXX9" s="26">
        <f>IF(AXX7=0,0,IF(MAX($F9:AXW9)=$D12,0,AXW9+1))</f>
        <v>0</v>
      </c>
      <c r="AXY9" s="26">
        <f>IF(AXY7=0,0,IF(MAX($F9:AXX9)=$D12,0,AXX9+1))</f>
        <v>0</v>
      </c>
      <c r="AXZ9" s="26">
        <f>IF(AXZ7=0,0,IF(MAX($F9:AXY9)=$D12,0,AXY9+1))</f>
        <v>0</v>
      </c>
      <c r="AYA9" s="26">
        <f>IF(AYA7=0,0,IF(MAX($F9:AXZ9)=$D12,0,AXZ9+1))</f>
        <v>0</v>
      </c>
      <c r="AYB9" s="26">
        <f>IF(AYB7=0,0,IF(MAX($F9:AYA9)=$D12,0,AYA9+1))</f>
        <v>0</v>
      </c>
      <c r="AYC9" s="26">
        <f>IF(AYC7=0,0,IF(MAX($F9:AYB9)=$D12,0,AYB9+1))</f>
        <v>0</v>
      </c>
      <c r="AYD9" s="26">
        <f>IF(AYD7=0,0,IF(MAX($F9:AYC9)=$D12,0,AYC9+1))</f>
        <v>0</v>
      </c>
      <c r="AYE9" s="26">
        <f>IF(AYE7=0,0,IF(MAX($F9:AYD9)=$D12,0,AYD9+1))</f>
        <v>0</v>
      </c>
      <c r="AYF9" s="26">
        <f>IF(AYF7=0,0,IF(MAX($F9:AYE9)=$D12,0,AYE9+1))</f>
        <v>0</v>
      </c>
      <c r="AYG9" s="26">
        <f>IF(AYG7=0,0,IF(MAX($F9:AYF9)=$D12,0,AYF9+1))</f>
        <v>0</v>
      </c>
      <c r="AYH9" s="26">
        <f>IF(AYH7=0,0,IF(MAX($F9:AYG9)=$D12,0,AYG9+1))</f>
        <v>0</v>
      </c>
      <c r="AYI9" s="26">
        <f>IF(AYI7=0,0,IF(MAX($F9:AYH9)=$D12,0,AYH9+1))</f>
        <v>0</v>
      </c>
      <c r="AYJ9" s="26">
        <f>IF(AYJ7=0,0,IF(MAX($F9:AYI9)=$D12,0,AYI9+1))</f>
        <v>0</v>
      </c>
      <c r="AYK9" s="26">
        <f>IF(AYK7=0,0,IF(MAX($F9:AYJ9)=$D12,0,AYJ9+1))</f>
        <v>0</v>
      </c>
      <c r="AYL9" s="26">
        <f>IF(AYL7=0,0,IF(MAX($F9:AYK9)=$D12,0,AYK9+1))</f>
        <v>0</v>
      </c>
      <c r="AYM9" s="26">
        <f>IF(AYM7=0,0,IF(MAX($F9:AYL9)=$D12,0,AYL9+1))</f>
        <v>0</v>
      </c>
      <c r="AYN9" s="26">
        <f>IF(AYN7=0,0,IF(MAX($F9:AYM9)=$D12,0,AYM9+1))</f>
        <v>0</v>
      </c>
      <c r="AYO9" s="26">
        <f>IF(AYO7=0,0,IF(MAX($F9:AYN9)=$D12,0,AYN9+1))</f>
        <v>0</v>
      </c>
      <c r="AYP9" s="26">
        <f>IF(AYP7=0,0,IF(MAX($F9:AYO9)=$D12,0,AYO9+1))</f>
        <v>0</v>
      </c>
      <c r="AYQ9" s="26">
        <f>IF(AYQ7=0,0,IF(MAX($F9:AYP9)=$D12,0,AYP9+1))</f>
        <v>0</v>
      </c>
      <c r="AYR9" s="26">
        <f>IF(AYR7=0,0,IF(MAX($F9:AYQ9)=$D12,0,AYQ9+1))</f>
        <v>0</v>
      </c>
      <c r="AYS9" s="26">
        <f>IF(AYS7=0,0,IF(MAX($F9:AYR9)=$D12,0,AYR9+1))</f>
        <v>0</v>
      </c>
      <c r="AYT9" s="26">
        <f>IF(AYT7=0,0,IF(MAX($F9:AYS9)=$D12,0,AYS9+1))</f>
        <v>0</v>
      </c>
      <c r="AYU9" s="26">
        <f>IF(AYU7=0,0,IF(MAX($F9:AYT9)=$D12,0,AYT9+1))</f>
        <v>0</v>
      </c>
      <c r="AYV9" s="26">
        <f>IF(AYV7=0,0,IF(MAX($F9:AYU9)=$D12,0,AYU9+1))</f>
        <v>0</v>
      </c>
      <c r="AYW9" s="26">
        <f>IF(AYW7=0,0,IF(MAX($F9:AYV9)=$D12,0,AYV9+1))</f>
        <v>0</v>
      </c>
      <c r="AYX9" s="26">
        <f>IF(AYX7=0,0,IF(MAX($F9:AYW9)=$D12,0,AYW9+1))</f>
        <v>0</v>
      </c>
      <c r="AYY9" s="26">
        <f>IF(AYY7=0,0,IF(MAX($F9:AYX9)=$D12,0,AYX9+1))</f>
        <v>0</v>
      </c>
      <c r="AYZ9" s="26">
        <f>IF(AYZ7=0,0,IF(MAX($F9:AYY9)=$D12,0,AYY9+1))</f>
        <v>0</v>
      </c>
      <c r="AZA9" s="26">
        <f>IF(AZA7=0,0,IF(MAX($F9:AYZ9)=$D12,0,AYZ9+1))</f>
        <v>0</v>
      </c>
      <c r="AZB9" s="26">
        <f>IF(AZB7=0,0,IF(MAX($F9:AZA9)=$D12,0,AZA9+1))</f>
        <v>0</v>
      </c>
      <c r="AZC9" s="26">
        <f>IF(AZC7=0,0,IF(MAX($F9:AZB9)=$D12,0,AZB9+1))</f>
        <v>0</v>
      </c>
      <c r="AZD9" s="26">
        <f>IF(AZD7=0,0,IF(MAX($F9:AZC9)=$D12,0,AZC9+1))</f>
        <v>0</v>
      </c>
      <c r="AZE9" s="26">
        <f>IF(AZE7=0,0,IF(MAX($F9:AZD9)=$D12,0,AZD9+1))</f>
        <v>0</v>
      </c>
      <c r="AZF9" s="26">
        <f>IF(AZF7=0,0,IF(MAX($F9:AZE9)=$D12,0,AZE9+1))</f>
        <v>0</v>
      </c>
      <c r="AZG9" s="26">
        <f>IF(AZG7=0,0,IF(MAX($F9:AZF9)=$D12,0,AZF9+1))</f>
        <v>0</v>
      </c>
      <c r="AZH9" s="26">
        <f>IF(AZH7=0,0,IF(MAX($F9:AZG9)=$D12,0,AZG9+1))</f>
        <v>0</v>
      </c>
      <c r="AZI9" s="26">
        <f>IF(AZI7=0,0,IF(MAX($F9:AZH9)=$D12,0,AZH9+1))</f>
        <v>0</v>
      </c>
      <c r="AZJ9" s="26">
        <f>IF(AZJ7=0,0,IF(MAX($F9:AZI9)=$D12,0,AZI9+1))</f>
        <v>0</v>
      </c>
      <c r="AZK9" s="26">
        <f>IF(AZK7=0,0,IF(MAX($F9:AZJ9)=$D12,0,AZJ9+1))</f>
        <v>0</v>
      </c>
      <c r="AZL9" s="26">
        <f>IF(AZL7=0,0,IF(MAX($F9:AZK9)=$D12,0,AZK9+1))</f>
        <v>0</v>
      </c>
      <c r="AZM9" s="26">
        <f>IF(AZM7=0,0,IF(MAX($F9:AZL9)=$D12,0,AZL9+1))</f>
        <v>0</v>
      </c>
      <c r="AZN9" s="26">
        <f>IF(AZN7=0,0,IF(MAX($F9:AZM9)=$D12,0,AZM9+1))</f>
        <v>0</v>
      </c>
      <c r="AZO9" s="26">
        <f>IF(AZO7=0,0,IF(MAX($F9:AZN9)=$D12,0,AZN9+1))</f>
        <v>0</v>
      </c>
      <c r="AZP9" s="26">
        <f>IF(AZP7=0,0,IF(MAX($F9:AZO9)=$D12,0,AZO9+1))</f>
        <v>0</v>
      </c>
      <c r="AZQ9" s="26">
        <f>IF(AZQ7=0,0,IF(MAX($F9:AZP9)=$D12,0,AZP9+1))</f>
        <v>0</v>
      </c>
      <c r="AZR9" s="26">
        <f>IF(AZR7=0,0,IF(MAX($F9:AZQ9)=$D12,0,AZQ9+1))</f>
        <v>0</v>
      </c>
      <c r="AZS9" s="26">
        <f>IF(AZS7=0,0,IF(MAX($F9:AZR9)=$D12,0,AZR9+1))</f>
        <v>0</v>
      </c>
      <c r="AZT9" s="26">
        <f>IF(AZT7=0,0,IF(MAX($F9:AZS9)=$D12,0,AZS9+1))</f>
        <v>0</v>
      </c>
      <c r="AZU9" s="26">
        <f>IF(AZU7=0,0,IF(MAX($F9:AZT9)=$D12,0,AZT9+1))</f>
        <v>0</v>
      </c>
      <c r="AZV9" s="26">
        <f>IF(AZV7=0,0,IF(MAX($F9:AZU9)=$D12,0,AZU9+1))</f>
        <v>0</v>
      </c>
      <c r="AZW9" s="26">
        <f>IF(AZW7=0,0,IF(MAX($F9:AZV9)=$D12,0,AZV9+1))</f>
        <v>0</v>
      </c>
      <c r="AZX9" s="26">
        <f>IF(AZX7=0,0,IF(MAX($F9:AZW9)=$D12,0,AZW9+1))</f>
        <v>0</v>
      </c>
      <c r="AZY9" s="26">
        <f>IF(AZY7=0,0,IF(MAX($F9:AZX9)=$D12,0,AZX9+1))</f>
        <v>0</v>
      </c>
      <c r="AZZ9" s="26">
        <f>IF(AZZ7=0,0,IF(MAX($F9:AZY9)=$D12,0,AZY9+1))</f>
        <v>0</v>
      </c>
      <c r="BAA9" s="26">
        <f>IF(BAA7=0,0,IF(MAX($F9:AZZ9)=$D12,0,AZZ9+1))</f>
        <v>0</v>
      </c>
      <c r="BAB9" s="26">
        <f>IF(BAB7=0,0,IF(MAX($F9:BAA9)=$D12,0,BAA9+1))</f>
        <v>0</v>
      </c>
      <c r="BAC9" s="26">
        <f>IF(BAC7=0,0,IF(MAX($F9:BAB9)=$D12,0,BAB9+1))</f>
        <v>0</v>
      </c>
      <c r="BAD9" s="26">
        <f>IF(BAD7=0,0,IF(MAX($F9:BAC9)=$D12,0,BAC9+1))</f>
        <v>0</v>
      </c>
      <c r="BAE9" s="26">
        <f>IF(BAE7=0,0,IF(MAX($F9:BAD9)=$D12,0,BAD9+1))</f>
        <v>0</v>
      </c>
      <c r="BAF9" s="26">
        <f>IF(BAF7=0,0,IF(MAX($F9:BAE9)=$D12,0,BAE9+1))</f>
        <v>0</v>
      </c>
      <c r="BAG9" s="26">
        <f>IF(BAG7=0,0,IF(MAX($F9:BAF9)=$D12,0,BAF9+1))</f>
        <v>0</v>
      </c>
      <c r="BAH9" s="26">
        <f>IF(BAH7=0,0,IF(MAX($F9:BAG9)=$D12,0,BAG9+1))</f>
        <v>0</v>
      </c>
      <c r="BAI9" s="26">
        <f>IF(BAI7=0,0,IF(MAX($F9:BAH9)=$D12,0,BAH9+1))</f>
        <v>0</v>
      </c>
      <c r="BAJ9" s="26">
        <f>IF(BAJ7=0,0,IF(MAX($F9:BAI9)=$D12,0,BAI9+1))</f>
        <v>0</v>
      </c>
      <c r="BAK9" s="26">
        <f>IF(BAK7=0,0,IF(MAX($F9:BAJ9)=$D12,0,BAJ9+1))</f>
        <v>0</v>
      </c>
      <c r="BAL9" s="26">
        <f>IF(BAL7=0,0,IF(MAX($F9:BAK9)=$D12,0,BAK9+1))</f>
        <v>0</v>
      </c>
      <c r="BAM9" s="26">
        <f>IF(BAM7=0,0,IF(MAX($F9:BAL9)=$D12,0,BAL9+1))</f>
        <v>0</v>
      </c>
      <c r="BAN9" s="26">
        <f>IF(BAN7=0,0,IF(MAX($F9:BAM9)=$D12,0,BAM9+1))</f>
        <v>0</v>
      </c>
      <c r="BAO9" s="26">
        <f>IF(BAO7=0,0,IF(MAX($F9:BAN9)=$D12,0,BAN9+1))</f>
        <v>0</v>
      </c>
      <c r="BAP9" s="26">
        <f>IF(BAP7=0,0,IF(MAX($F9:BAO9)=$D12,0,BAO9+1))</f>
        <v>0</v>
      </c>
      <c r="BAQ9" s="26">
        <f>IF(BAQ7=0,0,IF(MAX($F9:BAP9)=$D12,0,BAP9+1))</f>
        <v>0</v>
      </c>
      <c r="BAR9" s="26">
        <f>IF(BAR7=0,0,IF(MAX($F9:BAQ9)=$D12,0,BAQ9+1))</f>
        <v>0</v>
      </c>
      <c r="BAS9" s="26">
        <f>IF(BAS7=0,0,IF(MAX($F9:BAR9)=$D12,0,BAR9+1))</f>
        <v>0</v>
      </c>
      <c r="BAT9" s="26">
        <f>IF(BAT7=0,0,IF(MAX($F9:BAS9)=$D12,0,BAS9+1))</f>
        <v>0</v>
      </c>
      <c r="BAU9" s="26">
        <f>IF(BAU7=0,0,IF(MAX($F9:BAT9)=$D12,0,BAT9+1))</f>
        <v>0</v>
      </c>
      <c r="BAV9" s="26">
        <f>IF(BAV7=0,0,IF(MAX($F9:BAU9)=$D12,0,BAU9+1))</f>
        <v>0</v>
      </c>
      <c r="BAW9" s="26">
        <f>IF(BAW7=0,0,IF(MAX($F9:BAV9)=$D12,0,BAV9+1))</f>
        <v>0</v>
      </c>
      <c r="BAX9" s="26">
        <f>IF(BAX7=0,0,IF(MAX($F9:BAW9)=$D12,0,BAW9+1))</f>
        <v>0</v>
      </c>
      <c r="BAY9" s="26">
        <f>IF(BAY7=0,0,IF(MAX($F9:BAX9)=$D12,0,BAX9+1))</f>
        <v>0</v>
      </c>
      <c r="BAZ9" s="26">
        <f>IF(BAZ7=0,0,IF(MAX($F9:BAY9)=$D12,0,BAY9+1))</f>
        <v>0</v>
      </c>
      <c r="BBA9" s="26">
        <f>IF(BBA7=0,0,IF(MAX($F9:BAZ9)=$D12,0,BAZ9+1))</f>
        <v>0</v>
      </c>
      <c r="BBB9" s="26">
        <f>IF(BBB7=0,0,IF(MAX($F9:BBA9)=$D12,0,BBA9+1))</f>
        <v>0</v>
      </c>
      <c r="BBC9" s="26">
        <f>IF(BBC7=0,0,IF(MAX($F9:BBB9)=$D12,0,BBB9+1))</f>
        <v>0</v>
      </c>
      <c r="BBD9" s="26">
        <f>IF(BBD7=0,0,IF(MAX($F9:BBC9)=$D12,0,BBC9+1))</f>
        <v>0</v>
      </c>
      <c r="BBE9" s="26">
        <f>IF(BBE7=0,0,IF(MAX($F9:BBD9)=$D12,0,BBD9+1))</f>
        <v>0</v>
      </c>
      <c r="BBF9" s="26">
        <f>IF(BBF7=0,0,IF(MAX($F9:BBE9)=$D12,0,BBE9+1))</f>
        <v>0</v>
      </c>
      <c r="BBG9" s="26">
        <f>IF(BBG7=0,0,IF(MAX($F9:BBF9)=$D12,0,BBF9+1))</f>
        <v>0</v>
      </c>
      <c r="BBH9" s="26">
        <f>IF(BBH7=0,0,IF(MAX($F9:BBG9)=$D12,0,BBG9+1))</f>
        <v>0</v>
      </c>
      <c r="BBI9" s="26">
        <f>IF(BBI7=0,0,IF(MAX($F9:BBH9)=$D12,0,BBH9+1))</f>
        <v>0</v>
      </c>
      <c r="BBJ9" s="26">
        <f>IF(BBJ7=0,0,IF(MAX($F9:BBI9)=$D12,0,BBI9+1))</f>
        <v>0</v>
      </c>
      <c r="BBK9" s="26">
        <f>IF(BBK7=0,0,IF(MAX($F9:BBJ9)=$D12,0,BBJ9+1))</f>
        <v>0</v>
      </c>
      <c r="BBL9" s="26">
        <f>IF(BBL7=0,0,IF(MAX($F9:BBK9)=$D12,0,BBK9+1))</f>
        <v>0</v>
      </c>
      <c r="BBM9" s="26">
        <f>IF(BBM7=0,0,IF(MAX($F9:BBL9)=$D12,0,BBL9+1))</f>
        <v>0</v>
      </c>
      <c r="BBN9" s="26">
        <f>IF(BBN7=0,0,IF(MAX($F9:BBM9)=$D12,0,BBM9+1))</f>
        <v>0</v>
      </c>
      <c r="BBO9" s="26">
        <f>IF(BBO7=0,0,IF(MAX($F9:BBN9)=$D12,0,BBN9+1))</f>
        <v>0</v>
      </c>
      <c r="BBP9" s="26">
        <f>IF(BBP7=0,0,IF(MAX($F9:BBO9)=$D12,0,BBO9+1))</f>
        <v>0</v>
      </c>
      <c r="BBQ9" s="26">
        <f>IF(BBQ7=0,0,IF(MAX($F9:BBP9)=$D12,0,BBP9+1))</f>
        <v>0</v>
      </c>
      <c r="BBR9" s="26">
        <f>IF(BBR7=0,0,IF(MAX($F9:BBQ9)=$D12,0,BBQ9+1))</f>
        <v>0</v>
      </c>
      <c r="BBS9" s="26">
        <f>IF(BBS7=0,0,IF(MAX($F9:BBR9)=$D12,0,BBR9+1))</f>
        <v>0</v>
      </c>
      <c r="BBT9" s="26">
        <f>IF(BBT7=0,0,IF(MAX($F9:BBS9)=$D12,0,BBS9+1))</f>
        <v>0</v>
      </c>
      <c r="BBU9" s="26">
        <f>IF(BBU7=0,0,IF(MAX($F9:BBT9)=$D12,0,BBT9+1))</f>
        <v>0</v>
      </c>
      <c r="BBV9" s="26">
        <f>IF(BBV7=0,0,IF(MAX($F9:BBU9)=$D12,0,BBU9+1))</f>
        <v>0</v>
      </c>
      <c r="BBW9" s="26">
        <f>IF(BBW7=0,0,IF(MAX($F9:BBV9)=$D12,0,BBV9+1))</f>
        <v>0</v>
      </c>
      <c r="BBX9" s="26">
        <f>IF(BBX7=0,0,IF(MAX($F9:BBW9)=$D12,0,BBW9+1))</f>
        <v>0</v>
      </c>
      <c r="BBY9" s="26">
        <f>IF(BBY7=0,0,IF(MAX($F9:BBX9)=$D12,0,BBX9+1))</f>
        <v>0</v>
      </c>
      <c r="BBZ9" s="26">
        <f>IF(BBZ7=0,0,IF(MAX($F9:BBY9)=$D12,0,BBY9+1))</f>
        <v>0</v>
      </c>
      <c r="BCA9" s="26">
        <f>IF(BCA7=0,0,IF(MAX($F9:BBZ9)=$D12,0,BBZ9+1))</f>
        <v>0</v>
      </c>
      <c r="BCB9" s="26">
        <f>IF(BCB7=0,0,IF(MAX($F9:BCA9)=$D12,0,BCA9+1))</f>
        <v>0</v>
      </c>
      <c r="BCC9" s="26">
        <f>IF(BCC7=0,0,IF(MAX($F9:BCB9)=$D12,0,BCB9+1))</f>
        <v>0</v>
      </c>
      <c r="BCD9" s="26">
        <f>IF(BCD7=0,0,IF(MAX($F9:BCC9)=$D12,0,BCC9+1))</f>
        <v>0</v>
      </c>
      <c r="BCE9" s="26">
        <f>IF(BCE7=0,0,IF(MAX($F9:BCD9)=$D12,0,BCD9+1))</f>
        <v>0</v>
      </c>
      <c r="BCF9" s="26">
        <f>IF(BCF7=0,0,IF(MAX($F9:BCE9)=$D12,0,BCE9+1))</f>
        <v>0</v>
      </c>
      <c r="BCG9" s="26">
        <f>IF(BCG7=0,0,IF(MAX($F9:BCF9)=$D12,0,BCF9+1))</f>
        <v>0</v>
      </c>
      <c r="BCH9" s="26">
        <f>IF(BCH7=0,0,IF(MAX($F9:BCG9)=$D12,0,BCG9+1))</f>
        <v>0</v>
      </c>
      <c r="BCI9" s="26">
        <f>IF(BCI7=0,0,IF(MAX($F9:BCH9)=$D12,0,BCH9+1))</f>
        <v>0</v>
      </c>
      <c r="BCJ9" s="26">
        <f>IF(BCJ7=0,0,IF(MAX($F9:BCI9)=$D12,0,BCI9+1))</f>
        <v>0</v>
      </c>
      <c r="BCK9" s="26">
        <f>IF(BCK7=0,0,IF(MAX($F9:BCJ9)=$D12,0,BCJ9+1))</f>
        <v>0</v>
      </c>
      <c r="BCL9" s="26">
        <f>IF(BCL7=0,0,IF(MAX($F9:BCK9)=$D12,0,BCK9+1))</f>
        <v>0</v>
      </c>
      <c r="BCM9" s="26">
        <f>IF(BCM7=0,0,IF(MAX($F9:BCL9)=$D12,0,BCL9+1))</f>
        <v>0</v>
      </c>
      <c r="BCN9" s="26">
        <f>IF(BCN7=0,0,IF(MAX($F9:BCM9)=$D12,0,BCM9+1))</f>
        <v>0</v>
      </c>
      <c r="BCO9" s="26">
        <f>IF(BCO7=0,0,IF(MAX($F9:BCN9)=$D12,0,BCN9+1))</f>
        <v>0</v>
      </c>
      <c r="BCP9" s="26">
        <f>IF(BCP7=0,0,IF(MAX($F9:BCO9)=$D12,0,BCO9+1))</f>
        <v>0</v>
      </c>
      <c r="BCQ9" s="26">
        <f>IF(BCQ7=0,0,IF(MAX($F9:BCP9)=$D12,0,BCP9+1))</f>
        <v>0</v>
      </c>
      <c r="BCR9" s="26">
        <f>IF(BCR7=0,0,IF(MAX($F9:BCQ9)=$D12,0,BCQ9+1))</f>
        <v>0</v>
      </c>
      <c r="BCS9" s="26">
        <f>IF(BCS7=0,0,IF(MAX($F9:BCR9)=$D12,0,BCR9+1))</f>
        <v>0</v>
      </c>
      <c r="BCT9" s="26">
        <f>IF(BCT7=0,0,IF(MAX($F9:BCS9)=$D12,0,BCS9+1))</f>
        <v>0</v>
      </c>
      <c r="BCU9" s="26">
        <f>IF(BCU7=0,0,IF(MAX($F9:BCT9)=$D12,0,BCT9+1))</f>
        <v>0</v>
      </c>
      <c r="BCV9" s="26">
        <f>IF(BCV7=0,0,IF(MAX($F9:BCU9)=$D12,0,BCU9+1))</f>
        <v>0</v>
      </c>
      <c r="BCW9" s="26">
        <f>IF(BCW7=0,0,IF(MAX($F9:BCV9)=$D12,0,BCV9+1))</f>
        <v>0</v>
      </c>
      <c r="BCX9" s="26">
        <f>IF(BCX7=0,0,IF(MAX($F9:BCW9)=$D12,0,BCW9+1))</f>
        <v>0</v>
      </c>
      <c r="BCY9" s="26">
        <f>IF(BCY7=0,0,IF(MAX($F9:BCX9)=$D12,0,BCX9+1))</f>
        <v>0</v>
      </c>
      <c r="BCZ9" s="26">
        <f>IF(BCZ7=0,0,IF(MAX($F9:BCY9)=$D12,0,BCY9+1))</f>
        <v>0</v>
      </c>
      <c r="BDA9" s="26">
        <f>IF(BDA7=0,0,IF(MAX($F9:BCZ9)=$D12,0,BCZ9+1))</f>
        <v>0</v>
      </c>
      <c r="BDB9" s="26">
        <f>IF(BDB7=0,0,IF(MAX($F9:BDA9)=$D12,0,BDA9+1))</f>
        <v>0</v>
      </c>
      <c r="BDC9" s="26">
        <f>IF(BDC7=0,0,IF(MAX($F9:BDB9)=$D12,0,BDB9+1))</f>
        <v>0</v>
      </c>
      <c r="BDD9" s="26">
        <f>IF(BDD7=0,0,IF(MAX($F9:BDC9)=$D12,0,BDC9+1))</f>
        <v>0</v>
      </c>
      <c r="BDE9" s="26">
        <f>IF(BDE7=0,0,IF(MAX($F9:BDD9)=$D12,0,BDD9+1))</f>
        <v>0</v>
      </c>
      <c r="BDF9" s="26">
        <f>IF(BDF7=0,0,IF(MAX($F9:BDE9)=$D12,0,BDE9+1))</f>
        <v>0</v>
      </c>
      <c r="BDG9" s="26">
        <f>IF(BDG7=0,0,IF(MAX($F9:BDF9)=$D12,0,BDF9+1))</f>
        <v>0</v>
      </c>
      <c r="BDH9" s="26">
        <f>IF(BDH7=0,0,IF(MAX($F9:BDG9)=$D12,0,BDG9+1))</f>
        <v>0</v>
      </c>
      <c r="BDI9" s="26">
        <f>IF(BDI7=0,0,IF(MAX($F9:BDH9)=$D12,0,BDH9+1))</f>
        <v>0</v>
      </c>
      <c r="BDJ9" s="26">
        <f>IF(BDJ7=0,0,IF(MAX($F9:BDI9)=$D12,0,BDI9+1))</f>
        <v>0</v>
      </c>
      <c r="BDK9" s="26">
        <f>IF(BDK7=0,0,IF(MAX($F9:BDJ9)=$D12,0,BDJ9+1))</f>
        <v>0</v>
      </c>
      <c r="BDL9" s="26">
        <f>IF(BDL7=0,0,IF(MAX($F9:BDK9)=$D12,0,BDK9+1))</f>
        <v>0</v>
      </c>
      <c r="BDM9" s="26">
        <f>IF(BDM7=0,0,IF(MAX($F9:BDL9)=$D12,0,BDL9+1))</f>
        <v>0</v>
      </c>
      <c r="BDN9" s="26">
        <f>IF(BDN7=0,0,IF(MAX($F9:BDM9)=$D12,0,BDM9+1))</f>
        <v>0</v>
      </c>
      <c r="BDO9" s="26">
        <f>IF(BDO7=0,0,IF(MAX($F9:BDN9)=$D12,0,BDN9+1))</f>
        <v>0</v>
      </c>
      <c r="BDP9" s="26">
        <f>IF(BDP7=0,0,IF(MAX($F9:BDO9)=$D12,0,BDO9+1))</f>
        <v>0</v>
      </c>
      <c r="BDQ9" s="26">
        <f>IF(BDQ7=0,0,IF(MAX($F9:BDP9)=$D12,0,BDP9+1))</f>
        <v>0</v>
      </c>
      <c r="BDR9" s="26">
        <f>IF(BDR7=0,0,IF(MAX($F9:BDQ9)=$D12,0,BDQ9+1))</f>
        <v>0</v>
      </c>
      <c r="BDS9" s="26">
        <f>IF(BDS7=0,0,IF(MAX($F9:BDR9)=$D12,0,BDR9+1))</f>
        <v>0</v>
      </c>
      <c r="BDT9" s="26">
        <f>IF(BDT7=0,0,IF(MAX($F9:BDS9)=$D12,0,BDS9+1))</f>
        <v>0</v>
      </c>
      <c r="BDU9" s="26">
        <f>IF(BDU7=0,0,IF(MAX($F9:BDT9)=$D12,0,BDT9+1))</f>
        <v>0</v>
      </c>
      <c r="BDV9" s="26">
        <f>IF(BDV7=0,0,IF(MAX($F9:BDU9)=$D12,0,BDU9+1))</f>
        <v>0</v>
      </c>
      <c r="BDW9" s="26">
        <f>IF(BDW7=0,0,IF(MAX($F9:BDV9)=$D12,0,BDV9+1))</f>
        <v>0</v>
      </c>
      <c r="BDX9" s="26">
        <f>IF(BDX7=0,0,IF(MAX($F9:BDW9)=$D12,0,BDW9+1))</f>
        <v>0</v>
      </c>
      <c r="BDY9" s="26">
        <f>IF(BDY7=0,0,IF(MAX($F9:BDX9)=$D12,0,BDX9+1))</f>
        <v>0</v>
      </c>
      <c r="BDZ9" s="26">
        <f>IF(BDZ7=0,0,IF(MAX($F9:BDY9)=$D12,0,BDY9+1))</f>
        <v>0</v>
      </c>
      <c r="BEA9" s="26">
        <f>IF(BEA7=0,0,IF(MAX($F9:BDZ9)=$D12,0,BDZ9+1))</f>
        <v>0</v>
      </c>
      <c r="BEB9" s="26">
        <f>IF(BEB7=0,0,IF(MAX($F9:BEA9)=$D12,0,BEA9+1))</f>
        <v>0</v>
      </c>
      <c r="BEC9" s="26">
        <f>IF(BEC7=0,0,IF(MAX($F9:BEB9)=$D12,0,BEB9+1))</f>
        <v>0</v>
      </c>
      <c r="BED9" s="26">
        <f>IF(BED7=0,0,IF(MAX($F9:BEC9)=$D12,0,BEC9+1))</f>
        <v>0</v>
      </c>
      <c r="BEE9" s="26">
        <f>IF(BEE7=0,0,IF(MAX($F9:BED9)=$D12,0,BED9+1))</f>
        <v>0</v>
      </c>
      <c r="BEF9" s="26">
        <f>IF(BEF7=0,0,IF(MAX($F9:BEE9)=$D12,0,BEE9+1))</f>
        <v>0</v>
      </c>
      <c r="BEG9" s="26">
        <f>IF(BEG7=0,0,IF(MAX($F9:BEF9)=$D12,0,BEF9+1))</f>
        <v>0</v>
      </c>
      <c r="BEH9" s="26">
        <f>IF(BEH7=0,0,IF(MAX($F9:BEG9)=$D12,0,BEG9+1))</f>
        <v>0</v>
      </c>
      <c r="BEI9" s="26">
        <f>IF(BEI7=0,0,IF(MAX($F9:BEH9)=$D12,0,BEH9+1))</f>
        <v>0</v>
      </c>
      <c r="BEJ9" s="26">
        <f>IF(BEJ7=0,0,IF(MAX($F9:BEI9)=$D12,0,BEI9+1))</f>
        <v>0</v>
      </c>
      <c r="BEK9" s="26">
        <f>IF(BEK7=0,0,IF(MAX($F9:BEJ9)=$D12,0,BEJ9+1))</f>
        <v>0</v>
      </c>
      <c r="BEL9" s="26">
        <f>IF(BEL7=0,0,IF(MAX($F9:BEK9)=$D12,0,BEK9+1))</f>
        <v>0</v>
      </c>
      <c r="BEM9" s="26">
        <f>IF(BEM7=0,0,IF(MAX($F9:BEL9)=$D12,0,BEL9+1))</f>
        <v>0</v>
      </c>
      <c r="BEN9" s="26">
        <f>IF(BEN7=0,0,IF(MAX($F9:BEM9)=$D12,0,BEM9+1))</f>
        <v>0</v>
      </c>
      <c r="BEO9" s="26">
        <f>IF(BEO7=0,0,IF(MAX($F9:BEN9)=$D12,0,BEN9+1))</f>
        <v>0</v>
      </c>
      <c r="BEP9" s="26">
        <f>IF(BEP7=0,0,IF(MAX($F9:BEO9)=$D12,0,BEO9+1))</f>
        <v>0</v>
      </c>
      <c r="BEQ9" s="26">
        <f>IF(BEQ7=0,0,IF(MAX($F9:BEP9)=$D12,0,BEP9+1))</f>
        <v>0</v>
      </c>
      <c r="BER9" s="26">
        <f>IF(BER7=0,0,IF(MAX($F9:BEQ9)=$D12,0,BEQ9+1))</f>
        <v>0</v>
      </c>
      <c r="BES9" s="26">
        <f>IF(BES7=0,0,IF(MAX($F9:BER9)=$D12,0,BER9+1))</f>
        <v>0</v>
      </c>
      <c r="BET9" s="26">
        <f>IF(BET7=0,0,IF(MAX($F9:BES9)=$D12,0,BES9+1))</f>
        <v>0</v>
      </c>
      <c r="BEU9" s="26">
        <f>IF(BEU7=0,0,IF(MAX($F9:BET9)=$D12,0,BET9+1))</f>
        <v>0</v>
      </c>
      <c r="BEV9" s="26">
        <f>IF(BEV7=0,0,IF(MAX($F9:BEU9)=$D12,0,BEU9+1))</f>
        <v>0</v>
      </c>
      <c r="BEW9" s="26">
        <f>IF(BEW7=0,0,IF(MAX($F9:BEV9)=$D12,0,BEV9+1))</f>
        <v>0</v>
      </c>
      <c r="BEX9" s="26">
        <f>IF(BEX7=0,0,IF(MAX($F9:BEW9)=$D12,0,BEW9+1))</f>
        <v>0</v>
      </c>
      <c r="BEY9" s="26">
        <f>IF(BEY7=0,0,IF(MAX($F9:BEX9)=$D12,0,BEX9+1))</f>
        <v>0</v>
      </c>
      <c r="BEZ9" s="26">
        <f>IF(BEZ7=0,0,IF(MAX($F9:BEY9)=$D12,0,BEY9+1))</f>
        <v>0</v>
      </c>
      <c r="BFA9" s="26">
        <f>IF(BFA7=0,0,IF(MAX($F9:BEZ9)=$D12,0,BEZ9+1))</f>
        <v>0</v>
      </c>
      <c r="BFB9" s="26">
        <f>IF(BFB7=0,0,IF(MAX($F9:BFA9)=$D12,0,BFA9+1))</f>
        <v>0</v>
      </c>
      <c r="BFC9" s="26">
        <f>IF(BFC7=0,0,IF(MAX($F9:BFB9)=$D12,0,BFB9+1))</f>
        <v>0</v>
      </c>
      <c r="BFD9" s="26">
        <f>IF(BFD7=0,0,IF(MAX($F9:BFC9)=$D12,0,BFC9+1))</f>
        <v>0</v>
      </c>
      <c r="BFE9" s="26">
        <f>IF(BFE7=0,0,IF(MAX($F9:BFD9)=$D12,0,BFD9+1))</f>
        <v>0</v>
      </c>
      <c r="BFF9" s="26">
        <f>IF(BFF7=0,0,IF(MAX($F9:BFE9)=$D12,0,BFE9+1))</f>
        <v>0</v>
      </c>
      <c r="BFG9" s="26">
        <f>IF(BFG7=0,0,IF(MAX($F9:BFF9)=$D12,0,BFF9+1))</f>
        <v>0</v>
      </c>
      <c r="BFH9" s="26">
        <f>IF(BFH7=0,0,IF(MAX($F9:BFG9)=$D12,0,BFG9+1))</f>
        <v>0</v>
      </c>
      <c r="BFI9" s="26">
        <f>IF(BFI7=0,0,IF(MAX($F9:BFH9)=$D12,0,BFH9+1))</f>
        <v>0</v>
      </c>
      <c r="BFJ9" s="26">
        <f>IF(BFJ7=0,0,IF(MAX($F9:BFI9)=$D12,0,BFI9+1))</f>
        <v>0</v>
      </c>
      <c r="BFK9" s="26">
        <f>IF(BFK7=0,0,IF(MAX($F9:BFJ9)=$D12,0,BFJ9+1))</f>
        <v>0</v>
      </c>
      <c r="BFL9" s="26">
        <f>IF(BFL7=0,0,IF(MAX($F9:BFK9)=$D12,0,BFK9+1))</f>
        <v>0</v>
      </c>
      <c r="BFM9" s="26">
        <f>IF(BFM7=0,0,IF(MAX($F9:BFL9)=$D12,0,BFL9+1))</f>
        <v>0</v>
      </c>
      <c r="BFN9" s="26">
        <f>IF(BFN7=0,0,IF(MAX($F9:BFM9)=$D12,0,BFM9+1))</f>
        <v>0</v>
      </c>
      <c r="BFO9" s="26">
        <f>IF(BFO7=0,0,IF(MAX($F9:BFN9)=$D12,0,BFN9+1))</f>
        <v>0</v>
      </c>
      <c r="BFP9" s="26">
        <f>IF(BFP7=0,0,IF(MAX($F9:BFO9)=$D12,0,BFO9+1))</f>
        <v>0</v>
      </c>
      <c r="BFQ9" s="26">
        <f>IF(BFQ7=0,0,IF(MAX($F9:BFP9)=$D12,0,BFP9+1))</f>
        <v>0</v>
      </c>
      <c r="BFR9" s="26">
        <f>IF(BFR7=0,0,IF(MAX($F9:BFQ9)=$D12,0,BFQ9+1))</f>
        <v>0</v>
      </c>
      <c r="BFS9" s="26">
        <f>IF(BFS7=0,0,IF(MAX($F9:BFR9)=$D12,0,BFR9+1))</f>
        <v>0</v>
      </c>
      <c r="BFT9" s="26">
        <f>IF(BFT7=0,0,IF(MAX($F9:BFS9)=$D12,0,BFS9+1))</f>
        <v>0</v>
      </c>
      <c r="BFU9" s="26">
        <f>IF(BFU7=0,0,IF(MAX($F9:BFT9)=$D12,0,BFT9+1))</f>
        <v>0</v>
      </c>
      <c r="BFV9" s="26">
        <f>IF(BFV7=0,0,IF(MAX($F9:BFU9)=$D12,0,BFU9+1))</f>
        <v>0</v>
      </c>
      <c r="BFW9" s="26">
        <f>IF(BFW7=0,0,IF(MAX($F9:BFV9)=$D12,0,BFV9+1))</f>
        <v>0</v>
      </c>
      <c r="BFX9" s="26">
        <f>IF(BFX7=0,0,IF(MAX($F9:BFW9)=$D12,0,BFW9+1))</f>
        <v>0</v>
      </c>
      <c r="BFY9" s="26">
        <f>IF(BFY7=0,0,IF(MAX($F9:BFX9)=$D12,0,BFX9+1))</f>
        <v>0</v>
      </c>
      <c r="BFZ9" s="26">
        <f>IF(BFZ7=0,0,IF(MAX($F9:BFY9)=$D12,0,BFY9+1))</f>
        <v>0</v>
      </c>
      <c r="BGA9" s="26">
        <f>IF(BGA7=0,0,IF(MAX($F9:BFZ9)=$D12,0,BFZ9+1))</f>
        <v>0</v>
      </c>
      <c r="BGB9" s="26">
        <f>IF(BGB7=0,0,IF(MAX($F9:BGA9)=$D12,0,BGA9+1))</f>
        <v>0</v>
      </c>
      <c r="BGC9" s="26">
        <f>IF(BGC7=0,0,IF(MAX($F9:BGB9)=$D12,0,BGB9+1))</f>
        <v>0</v>
      </c>
      <c r="BGD9" s="26">
        <f>IF(BGD7=0,0,IF(MAX($F9:BGC9)=$D12,0,BGC9+1))</f>
        <v>0</v>
      </c>
      <c r="BGE9" s="26">
        <f>IF(BGE7=0,0,IF(MAX($F9:BGD9)=$D12,0,BGD9+1))</f>
        <v>0</v>
      </c>
      <c r="BGF9" s="26">
        <f>IF(BGF7=0,0,IF(MAX($F9:BGE9)=$D12,0,BGE9+1))</f>
        <v>0</v>
      </c>
      <c r="BGG9" s="26">
        <f>IF(BGG7=0,0,IF(MAX($F9:BGF9)=$D12,0,BGF9+1))</f>
        <v>0</v>
      </c>
      <c r="BGH9" s="26">
        <f>IF(BGH7=0,0,IF(MAX($F9:BGG9)=$D12,0,BGG9+1))</f>
        <v>0</v>
      </c>
      <c r="BGI9" s="26">
        <f>IF(BGI7=0,0,IF(MAX($F9:BGH9)=$D12,0,BGH9+1))</f>
        <v>0</v>
      </c>
      <c r="BGJ9" s="26">
        <f>IF(BGJ7=0,0,IF(MAX($F9:BGI9)=$D12,0,BGI9+1))</f>
        <v>0</v>
      </c>
      <c r="BGK9" s="26">
        <f>IF(BGK7=0,0,IF(MAX($F9:BGJ9)=$D12,0,BGJ9+1))</f>
        <v>0</v>
      </c>
      <c r="BGL9" s="26">
        <f>IF(BGL7=0,0,IF(MAX($F9:BGK9)=$D12,0,BGK9+1))</f>
        <v>0</v>
      </c>
      <c r="BGM9" s="26">
        <f>IF(BGM7=0,0,IF(MAX($F9:BGL9)=$D12,0,BGL9+1))</f>
        <v>0</v>
      </c>
      <c r="BGN9" s="26">
        <f>IF(BGN7=0,0,IF(MAX($F9:BGM9)=$D12,0,BGM9+1))</f>
        <v>0</v>
      </c>
      <c r="BGO9" s="26">
        <f>IF(BGO7=0,0,IF(MAX($F9:BGN9)=$D12,0,BGN9+1))</f>
        <v>0</v>
      </c>
      <c r="BGP9" s="26">
        <f>IF(BGP7=0,0,IF(MAX($F9:BGO9)=$D12,0,BGO9+1))</f>
        <v>0</v>
      </c>
      <c r="BGQ9" s="26">
        <f>IF(BGQ7=0,0,IF(MAX($F9:BGP9)=$D12,0,BGP9+1))</f>
        <v>0</v>
      </c>
      <c r="BGR9" s="26">
        <f>IF(BGR7=0,0,IF(MAX($F9:BGQ9)=$D12,0,BGQ9+1))</f>
        <v>0</v>
      </c>
      <c r="BGS9" s="26">
        <f>IF(BGS7=0,0,IF(MAX($F9:BGR9)=$D12,0,BGR9+1))</f>
        <v>0</v>
      </c>
      <c r="BGT9" s="26">
        <f>IF(BGT7=0,0,IF(MAX($F9:BGS9)=$D12,0,BGS9+1))</f>
        <v>0</v>
      </c>
      <c r="BGU9" s="26">
        <f>IF(BGU7=0,0,IF(MAX($F9:BGT9)=$D12,0,BGT9+1))</f>
        <v>0</v>
      </c>
      <c r="BGV9" s="26">
        <f>IF(BGV7=0,0,IF(MAX($F9:BGU9)=$D12,0,BGU9+1))</f>
        <v>0</v>
      </c>
      <c r="BGW9" s="26">
        <f>IF(BGW7=0,0,IF(MAX($F9:BGV9)=$D12,0,BGV9+1))</f>
        <v>0</v>
      </c>
      <c r="BGX9" s="26">
        <f>IF(BGX7=0,0,IF(MAX($F9:BGW9)=$D12,0,BGW9+1))</f>
        <v>0</v>
      </c>
      <c r="BGY9" s="26">
        <f>IF(BGY7=0,0,IF(MAX($F9:BGX9)=$D12,0,BGX9+1))</f>
        <v>0</v>
      </c>
      <c r="BGZ9" s="26">
        <f>IF(BGZ7=0,0,IF(MAX($F9:BGY9)=$D12,0,BGY9+1))</f>
        <v>0</v>
      </c>
      <c r="BHA9" s="26">
        <f>IF(BHA7=0,0,IF(MAX($F9:BGZ9)=$D12,0,BGZ9+1))</f>
        <v>0</v>
      </c>
      <c r="BHB9" s="26">
        <f>IF(BHB7=0,0,IF(MAX($F9:BHA9)=$D12,0,BHA9+1))</f>
        <v>0</v>
      </c>
      <c r="BHC9" s="26">
        <f>IF(BHC7=0,0,IF(MAX($F9:BHB9)=$D12,0,BHB9+1))</f>
        <v>0</v>
      </c>
      <c r="BHD9" s="26">
        <f>IF(BHD7=0,0,IF(MAX($F9:BHC9)=$D12,0,BHC9+1))</f>
        <v>0</v>
      </c>
      <c r="BHE9" s="26">
        <f>IF(BHE7=0,0,IF(MAX($F9:BHD9)=$D12,0,BHD9+1))</f>
        <v>0</v>
      </c>
      <c r="BHF9" s="26">
        <f>IF(BHF7=0,0,IF(MAX($F9:BHE9)=$D12,0,BHE9+1))</f>
        <v>0</v>
      </c>
      <c r="BHG9" s="26">
        <f>IF(BHG7=0,0,IF(MAX($F9:BHF9)=$D12,0,BHF9+1))</f>
        <v>0</v>
      </c>
      <c r="BHH9" s="26">
        <f>IF(BHH7=0,0,IF(MAX($F9:BHG9)=$D12,0,BHG9+1))</f>
        <v>0</v>
      </c>
      <c r="BHI9" s="26">
        <f>IF(BHI7=0,0,IF(MAX($F9:BHH9)=$D12,0,BHH9+1))</f>
        <v>0</v>
      </c>
      <c r="BHJ9" s="26">
        <f>IF(BHJ7=0,0,IF(MAX($F9:BHI9)=$D12,0,BHI9+1))</f>
        <v>0</v>
      </c>
      <c r="BHK9" s="26">
        <f>IF(BHK7=0,0,IF(MAX($F9:BHJ9)=$D12,0,BHJ9+1))</f>
        <v>0</v>
      </c>
      <c r="BHL9" s="26">
        <f>IF(BHL7=0,0,IF(MAX($F9:BHK9)=$D12,0,BHK9+1))</f>
        <v>0</v>
      </c>
      <c r="BHM9" s="26">
        <f>IF(BHM7=0,0,IF(MAX($F9:BHL9)=$D12,0,BHL9+1))</f>
        <v>0</v>
      </c>
      <c r="BHN9" s="26">
        <f>IF(BHN7=0,0,IF(MAX($F9:BHM9)=$D12,0,BHM9+1))</f>
        <v>0</v>
      </c>
      <c r="BHO9" s="26">
        <f>IF(BHO7=0,0,IF(MAX($F9:BHN9)=$D12,0,BHN9+1))</f>
        <v>0</v>
      </c>
      <c r="BHP9" s="26">
        <f>IF(BHP7=0,0,IF(MAX($F9:BHO9)=$D12,0,BHO9+1))</f>
        <v>0</v>
      </c>
      <c r="BHQ9" s="26">
        <f>IF(BHQ7=0,0,IF(MAX($F9:BHP9)=$D12,0,BHP9+1))</f>
        <v>0</v>
      </c>
      <c r="BHR9" s="26">
        <f>IF(BHR7=0,0,IF(MAX($F9:BHQ9)=$D12,0,BHQ9+1))</f>
        <v>0</v>
      </c>
      <c r="BHS9" s="26">
        <f>IF(BHS7=0,0,IF(MAX($F9:BHR9)=$D12,0,BHR9+1))</f>
        <v>0</v>
      </c>
      <c r="BHT9" s="26">
        <f>IF(BHT7=0,0,IF(MAX($F9:BHS9)=$D12,0,BHS9+1))</f>
        <v>0</v>
      </c>
      <c r="BHU9" s="26">
        <f>IF(BHU7=0,0,IF(MAX($F9:BHT9)=$D12,0,BHT9+1))</f>
        <v>0</v>
      </c>
      <c r="BHV9" s="26">
        <f>IF(BHV7=0,0,IF(MAX($F9:BHU9)=$D12,0,BHU9+1))</f>
        <v>0</v>
      </c>
      <c r="BHW9" s="26">
        <f>IF(BHW7=0,0,IF(MAX($F9:BHV9)=$D12,0,BHV9+1))</f>
        <v>0</v>
      </c>
      <c r="BHX9" s="26">
        <f>IF(BHX7=0,0,IF(MAX($F9:BHW9)=$D12,0,BHW9+1))</f>
        <v>0</v>
      </c>
      <c r="BHY9" s="26">
        <f>IF(BHY7=0,0,IF(MAX($F9:BHX9)=$D12,0,BHX9+1))</f>
        <v>0</v>
      </c>
      <c r="BHZ9" s="26">
        <f>IF(BHZ7=0,0,IF(MAX($F9:BHY9)=$D12,0,BHY9+1))</f>
        <v>0</v>
      </c>
      <c r="BIA9" s="26">
        <f>IF(BIA7=0,0,IF(MAX($F9:BHZ9)=$D12,0,BHZ9+1))</f>
        <v>0</v>
      </c>
      <c r="BIB9" s="26">
        <f>IF(BIB7=0,0,IF(MAX($F9:BIA9)=$D12,0,BIA9+1))</f>
        <v>0</v>
      </c>
      <c r="BIC9" s="26">
        <f>IF(BIC7=0,0,IF(MAX($F9:BIB9)=$D12,0,BIB9+1))</f>
        <v>0</v>
      </c>
      <c r="BID9" s="26">
        <f>IF(BID7=0,0,IF(MAX($F9:BIC9)=$D12,0,BIC9+1))</f>
        <v>0</v>
      </c>
      <c r="BIE9" s="26">
        <f>IF(BIE7=0,0,IF(MAX($F9:BID9)=$D12,0,BID9+1))</f>
        <v>0</v>
      </c>
      <c r="BIF9" s="26">
        <f>IF(BIF7=0,0,IF(MAX($F9:BIE9)=$D12,0,BIE9+1))</f>
        <v>0</v>
      </c>
      <c r="BIG9" s="26">
        <f>IF(BIG7=0,0,IF(MAX($F9:BIF9)=$D12,0,BIF9+1))</f>
        <v>0</v>
      </c>
      <c r="BIH9" s="26">
        <f>IF(BIH7=0,0,IF(MAX($F9:BIG9)=$D12,0,BIG9+1))</f>
        <v>0</v>
      </c>
      <c r="BII9" s="26">
        <f>IF(BII7=0,0,IF(MAX($F9:BIH9)=$D12,0,BIH9+1))</f>
        <v>0</v>
      </c>
      <c r="BIJ9" s="26">
        <f>IF(BIJ7=0,0,IF(MAX($F9:BII9)=$D12,0,BII9+1))</f>
        <v>0</v>
      </c>
      <c r="BIK9" s="26">
        <f>IF(BIK7=0,0,IF(MAX($F9:BIJ9)=$D12,0,BIJ9+1))</f>
        <v>0</v>
      </c>
      <c r="BIL9" s="26">
        <f>IF(BIL7=0,0,IF(MAX($F9:BIK9)=$D12,0,BIK9+1))</f>
        <v>0</v>
      </c>
      <c r="BIM9" s="26">
        <f>IF(BIM7=0,0,IF(MAX($F9:BIL9)=$D12,0,BIL9+1))</f>
        <v>0</v>
      </c>
      <c r="BIN9" s="26">
        <f>IF(BIN7=0,0,IF(MAX($F9:BIM9)=$D12,0,BIM9+1))</f>
        <v>0</v>
      </c>
      <c r="BIO9" s="26">
        <f>IF(BIO7=0,0,IF(MAX($F9:BIN9)=$D12,0,BIN9+1))</f>
        <v>0</v>
      </c>
      <c r="BIP9" s="26">
        <f>IF(BIP7=0,0,IF(MAX($F9:BIO9)=$D12,0,BIO9+1))</f>
        <v>0</v>
      </c>
      <c r="BIQ9" s="26">
        <f>IF(BIQ7=0,0,IF(MAX($F9:BIP9)=$D12,0,BIP9+1))</f>
        <v>0</v>
      </c>
      <c r="BIR9" s="26">
        <f>IF(BIR7=0,0,IF(MAX($F9:BIQ9)=$D12,0,BIQ9+1))</f>
        <v>0</v>
      </c>
      <c r="BIS9" s="26">
        <f>IF(BIS7=0,0,IF(MAX($F9:BIR9)=$D12,0,BIR9+1))</f>
        <v>0</v>
      </c>
      <c r="BIT9" s="26">
        <f>IF(BIT7=0,0,IF(MAX($F9:BIS9)=$D12,0,BIS9+1))</f>
        <v>0</v>
      </c>
      <c r="BIU9" s="26">
        <f>IF(BIU7=0,0,IF(MAX($F9:BIT9)=$D12,0,BIT9+1))</f>
        <v>0</v>
      </c>
      <c r="BIV9" s="26">
        <f>IF(BIV7=0,0,IF(MAX($F9:BIU9)=$D12,0,BIU9+1))</f>
        <v>0</v>
      </c>
      <c r="BIW9" s="26">
        <f>IF(BIW7=0,0,IF(MAX($F9:BIV9)=$D12,0,BIV9+1))</f>
        <v>0</v>
      </c>
      <c r="BIX9" s="26">
        <f>IF(BIX7=0,0,IF(MAX($F9:BIW9)=$D12,0,BIW9+1))</f>
        <v>0</v>
      </c>
      <c r="BIY9" s="26">
        <f>IF(BIY7=0,0,IF(MAX($F9:BIX9)=$D12,0,BIX9+1))</f>
        <v>0</v>
      </c>
      <c r="BIZ9" s="26">
        <f>IF(BIZ7=0,0,IF(MAX($F9:BIY9)=$D12,0,BIY9+1))</f>
        <v>0</v>
      </c>
      <c r="BJA9" s="26">
        <f>IF(BJA7=0,0,IF(MAX($F9:BIZ9)=$D12,0,BIZ9+1))</f>
        <v>0</v>
      </c>
      <c r="BJB9" s="26">
        <f>IF(BJB7=0,0,IF(MAX($F9:BJA9)=$D12,0,BJA9+1))</f>
        <v>0</v>
      </c>
      <c r="BJC9" s="26">
        <f>IF(BJC7=0,0,IF(MAX($F9:BJB9)=$D12,0,BJB9+1))</f>
        <v>0</v>
      </c>
      <c r="BJD9" s="26">
        <f>IF(BJD7=0,0,IF(MAX($F9:BJC9)=$D12,0,BJC9+1))</f>
        <v>0</v>
      </c>
      <c r="BJE9" s="26">
        <f>IF(BJE7=0,0,IF(MAX($F9:BJD9)=$D12,0,BJD9+1))</f>
        <v>0</v>
      </c>
      <c r="BJF9" s="26">
        <f>IF(BJF7=0,0,IF(MAX($F9:BJE9)=$D12,0,BJE9+1))</f>
        <v>0</v>
      </c>
      <c r="BJG9" s="26">
        <f>IF(BJG7=0,0,IF(MAX($F9:BJF9)=$D12,0,BJF9+1))</f>
        <v>0</v>
      </c>
      <c r="BJH9" s="26">
        <f>IF(BJH7=0,0,IF(MAX($F9:BJG9)=$D12,0,BJG9+1))</f>
        <v>0</v>
      </c>
      <c r="BJI9" s="26">
        <f>IF(BJI7=0,0,IF(MAX($F9:BJH9)=$D12,0,BJH9+1))</f>
        <v>0</v>
      </c>
      <c r="BJJ9" s="26">
        <f>IF(BJJ7=0,0,IF(MAX($F9:BJI9)=$D12,0,BJI9+1))</f>
        <v>0</v>
      </c>
      <c r="BJK9" s="26">
        <f>IF(BJK7=0,0,IF(MAX($F9:BJJ9)=$D12,0,BJJ9+1))</f>
        <v>0</v>
      </c>
      <c r="BJL9" s="26">
        <f>IF(BJL7=0,0,IF(MAX($F9:BJK9)=$D12,0,BJK9+1))</f>
        <v>0</v>
      </c>
      <c r="BJM9" s="26">
        <f>IF(BJM7=0,0,IF(MAX($F9:BJL9)=$D12,0,BJL9+1))</f>
        <v>0</v>
      </c>
      <c r="BJN9" s="26">
        <f>IF(BJN7=0,0,IF(MAX($F9:BJM9)=$D12,0,BJM9+1))</f>
        <v>0</v>
      </c>
      <c r="BJO9" s="26">
        <f>IF(BJO7=0,0,IF(MAX($F9:BJN9)=$D12,0,BJN9+1))</f>
        <v>0</v>
      </c>
      <c r="BJP9" s="26">
        <f>IF(BJP7=0,0,IF(MAX($F9:BJO9)=$D12,0,BJO9+1))</f>
        <v>0</v>
      </c>
      <c r="BJQ9" s="26">
        <f>IF(BJQ7=0,0,IF(MAX($F9:BJP9)=$D12,0,BJP9+1))</f>
        <v>0</v>
      </c>
      <c r="BJR9" s="26">
        <f>IF(BJR7=0,0,IF(MAX($F9:BJQ9)=$D12,0,BJQ9+1))</f>
        <v>0</v>
      </c>
      <c r="BJS9" s="26">
        <f>IF(BJS7=0,0,IF(MAX($F9:BJR9)=$D12,0,BJR9+1))</f>
        <v>0</v>
      </c>
      <c r="BJT9" s="26">
        <f>IF(BJT7=0,0,IF(MAX($F9:BJS9)=$D12,0,BJS9+1))</f>
        <v>0</v>
      </c>
      <c r="BJU9" s="26">
        <f>IF(BJU7=0,0,IF(MAX($F9:BJT9)=$D12,0,BJT9+1))</f>
        <v>0</v>
      </c>
      <c r="BJV9" s="26">
        <f>IF(BJV7=0,0,IF(MAX($F9:BJU9)=$D12,0,BJU9+1))</f>
        <v>0</v>
      </c>
      <c r="BJW9" s="26">
        <f>IF(BJW7=0,0,IF(MAX($F9:BJV9)=$D12,0,BJV9+1))</f>
        <v>0</v>
      </c>
      <c r="BJX9" s="26">
        <f>IF(BJX7=0,0,IF(MAX($F9:BJW9)=$D12,0,BJW9+1))</f>
        <v>0</v>
      </c>
      <c r="BJY9" s="26">
        <f>IF(BJY7=0,0,IF(MAX($F9:BJX9)=$D12,0,BJX9+1))</f>
        <v>0</v>
      </c>
      <c r="BJZ9" s="26">
        <f>IF(BJZ7=0,0,IF(MAX($F9:BJY9)=$D12,0,BJY9+1))</f>
        <v>0</v>
      </c>
      <c r="BKA9" s="26">
        <f>IF(BKA7=0,0,IF(MAX($F9:BJZ9)=$D12,0,BJZ9+1))</f>
        <v>0</v>
      </c>
      <c r="BKB9" s="26">
        <f>IF(BKB7=0,0,IF(MAX($F9:BKA9)=$D12,0,BKA9+1))</f>
        <v>0</v>
      </c>
      <c r="BKC9" s="26">
        <f>IF(BKC7=0,0,IF(MAX($F9:BKB9)=$D12,0,BKB9+1))</f>
        <v>0</v>
      </c>
      <c r="BKD9" s="26">
        <f>IF(BKD7=0,0,IF(MAX($F9:BKC9)=$D12,0,BKC9+1))</f>
        <v>0</v>
      </c>
      <c r="BKE9" s="26">
        <f>IF(BKE7=0,0,IF(MAX($F9:BKD9)=$D12,0,BKD9+1))</f>
        <v>0</v>
      </c>
      <c r="BKF9" s="26">
        <f>IF(BKF7=0,0,IF(MAX($F9:BKE9)=$D12,0,BKE9+1))</f>
        <v>0</v>
      </c>
      <c r="BKG9" s="26">
        <f>IF(BKG7=0,0,IF(MAX($F9:BKF9)=$D12,0,BKF9+1))</f>
        <v>0</v>
      </c>
      <c r="BKH9" s="26">
        <f>IF(BKH7=0,0,IF(MAX($F9:BKG9)=$D12,0,BKG9+1))</f>
        <v>0</v>
      </c>
      <c r="BKI9" s="26">
        <f>IF(BKI7=0,0,IF(MAX($F9:BKH9)=$D12,0,BKH9+1))</f>
        <v>0</v>
      </c>
      <c r="BKJ9" s="26">
        <f>IF(BKJ7=0,0,IF(MAX($F9:BKI9)=$D12,0,BKI9+1))</f>
        <v>0</v>
      </c>
      <c r="BKK9" s="26">
        <f>IF(BKK7=0,0,IF(MAX($F9:BKJ9)=$D12,0,BKJ9+1))</f>
        <v>0</v>
      </c>
      <c r="BKL9" s="26">
        <f>IF(BKL7=0,0,IF(MAX($F9:BKK9)=$D12,0,BKK9+1))</f>
        <v>0</v>
      </c>
      <c r="BKM9" s="26">
        <f>IF(BKM7=0,0,IF(MAX($F9:BKL9)=$D12,0,BKL9+1))</f>
        <v>0</v>
      </c>
      <c r="BKN9" s="26">
        <f>IF(BKN7=0,0,IF(MAX($F9:BKM9)=$D12,0,BKM9+1))</f>
        <v>0</v>
      </c>
      <c r="BKO9" s="26">
        <f>IF(BKO7=0,0,IF(MAX($F9:BKN9)=$D12,0,BKN9+1))</f>
        <v>0</v>
      </c>
      <c r="BKP9" s="26">
        <f>IF(BKP7=0,0,IF(MAX($F9:BKO9)=$D12,0,BKO9+1))</f>
        <v>0</v>
      </c>
      <c r="BKQ9" s="26">
        <f>IF(BKQ7=0,0,IF(MAX($F9:BKP9)=$D12,0,BKP9+1))</f>
        <v>0</v>
      </c>
      <c r="BKR9" s="26">
        <f>IF(BKR7=0,0,IF(MAX($F9:BKQ9)=$D12,0,BKQ9+1))</f>
        <v>0</v>
      </c>
      <c r="BKS9" s="26">
        <f>IF(BKS7=0,0,IF(MAX($F9:BKR9)=$D12,0,BKR9+1))</f>
        <v>0</v>
      </c>
      <c r="BKT9" s="26">
        <f>IF(BKT7=0,0,IF(MAX($F9:BKS9)=$D12,0,BKS9+1))</f>
        <v>0</v>
      </c>
      <c r="BKU9" s="26">
        <f>IF(BKU7=0,0,IF(MAX($F9:BKT9)=$D12,0,BKT9+1))</f>
        <v>0</v>
      </c>
      <c r="BKV9" s="26">
        <f>IF(BKV7=0,0,IF(MAX($F9:BKU9)=$D12,0,BKU9+1))</f>
        <v>0</v>
      </c>
      <c r="BKW9" s="26">
        <f>IF(BKW7=0,0,IF(MAX($F9:BKV9)=$D12,0,BKV9+1))</f>
        <v>0</v>
      </c>
      <c r="BKX9" s="26">
        <f>IF(BKX7=0,0,IF(MAX($F9:BKW9)=$D12,0,BKW9+1))</f>
        <v>0</v>
      </c>
      <c r="BKY9" s="26">
        <f>IF(BKY7=0,0,IF(MAX($F9:BKX9)=$D12,0,BKX9+1))</f>
        <v>0</v>
      </c>
      <c r="BKZ9" s="26">
        <f>IF(BKZ7=0,0,IF(MAX($F9:BKY9)=$D12,0,BKY9+1))</f>
        <v>0</v>
      </c>
      <c r="BLA9" s="26">
        <f>IF(BLA7=0,0,IF(MAX($F9:BKZ9)=$D12,0,BKZ9+1))</f>
        <v>0</v>
      </c>
      <c r="BLB9" s="26">
        <f>IF(BLB7=0,0,IF(MAX($F9:BLA9)=$D12,0,BLA9+1))</f>
        <v>0</v>
      </c>
      <c r="BLC9" s="26">
        <f>IF(BLC7=0,0,IF(MAX($F9:BLB9)=$D12,0,BLB9+1))</f>
        <v>0</v>
      </c>
      <c r="BLD9" s="26">
        <f>IF(BLD7=0,0,IF(MAX($F9:BLC9)=$D12,0,BLC9+1))</f>
        <v>0</v>
      </c>
      <c r="BLE9" s="26">
        <f>IF(BLE7=0,0,IF(MAX($F9:BLD9)=$D12,0,BLD9+1))</f>
        <v>0</v>
      </c>
      <c r="BLF9" s="26">
        <f>IF(BLF7=0,0,IF(MAX($F9:BLE9)=$D12,0,BLE9+1))</f>
        <v>0</v>
      </c>
      <c r="BLG9" s="26">
        <f>IF(BLG7=0,0,IF(MAX($F9:BLF9)=$D12,0,BLF9+1))</f>
        <v>0</v>
      </c>
      <c r="BLH9" s="26">
        <f>IF(BLH7=0,0,IF(MAX($F9:BLG9)=$D12,0,BLG9+1))</f>
        <v>0</v>
      </c>
      <c r="BLI9" s="26">
        <f>IF(BLI7=0,0,IF(MAX($F9:BLH9)=$D12,0,BLH9+1))</f>
        <v>0</v>
      </c>
      <c r="BLJ9" s="26">
        <f>IF(BLJ7=0,0,IF(MAX($F9:BLI9)=$D12,0,BLI9+1))</f>
        <v>0</v>
      </c>
      <c r="BLK9" s="26">
        <f>IF(BLK7=0,0,IF(MAX($F9:BLJ9)=$D12,0,BLJ9+1))</f>
        <v>0</v>
      </c>
      <c r="BLL9" s="26">
        <f>IF(BLL7=0,0,IF(MAX($F9:BLK9)=$D12,0,BLK9+1))</f>
        <v>0</v>
      </c>
      <c r="BLM9" s="26">
        <f>IF(BLM7=0,0,IF(MAX($F9:BLL9)=$D12,0,BLL9+1))</f>
        <v>0</v>
      </c>
      <c r="BLN9" s="26">
        <f>IF(BLN7=0,0,IF(MAX($F9:BLM9)=$D12,0,BLM9+1))</f>
        <v>0</v>
      </c>
      <c r="BLO9" s="26">
        <f>IF(BLO7=0,0,IF(MAX($F9:BLN9)=$D12,0,BLN9+1))</f>
        <v>0</v>
      </c>
      <c r="BLP9" s="26">
        <f>IF(BLP7=0,0,IF(MAX($F9:BLO9)=$D12,0,BLO9+1))</f>
        <v>0</v>
      </c>
      <c r="BLQ9" s="26">
        <f>IF(BLQ7=0,0,IF(MAX($F9:BLP9)=$D12,0,BLP9+1))</f>
        <v>0</v>
      </c>
      <c r="BLR9" s="26">
        <f>IF(BLR7=0,0,IF(MAX($F9:BLQ9)=$D12,0,BLQ9+1))</f>
        <v>0</v>
      </c>
      <c r="BLS9" s="26">
        <f>IF(BLS7=0,0,IF(MAX($F9:BLR9)=$D12,0,BLR9+1))</f>
        <v>0</v>
      </c>
      <c r="BLT9" s="26">
        <f>IF(BLT7=0,0,IF(MAX($F9:BLS9)=$D12,0,BLS9+1))</f>
        <v>0</v>
      </c>
      <c r="BLU9" s="26">
        <f>IF(BLU7=0,0,IF(MAX($F9:BLT9)=$D12,0,BLT9+1))</f>
        <v>0</v>
      </c>
      <c r="BLV9" s="26">
        <f>IF(BLV7=0,0,IF(MAX($F9:BLU9)=$D12,0,BLU9+1))</f>
        <v>0</v>
      </c>
      <c r="BLW9" s="26">
        <f>IF(BLW7=0,0,IF(MAX($F9:BLV9)=$D12,0,BLV9+1))</f>
        <v>0</v>
      </c>
      <c r="BLX9" s="26">
        <f>IF(BLX7=0,0,IF(MAX($F9:BLW9)=$D12,0,BLW9+1))</f>
        <v>0</v>
      </c>
      <c r="BLY9" s="26">
        <f>IF(BLY7=0,0,IF(MAX($F9:BLX9)=$D12,0,BLX9+1))</f>
        <v>0</v>
      </c>
      <c r="BLZ9" s="26">
        <f>IF(BLZ7=0,0,IF(MAX($F9:BLY9)=$D12,0,BLY9+1))</f>
        <v>0</v>
      </c>
      <c r="BMA9" s="26">
        <f>IF(BMA7=0,0,IF(MAX($F9:BLZ9)=$D12,0,BLZ9+1))</f>
        <v>0</v>
      </c>
      <c r="BMB9" s="26">
        <f>IF(BMB7=0,0,IF(MAX($F9:BMA9)=$D12,0,BMA9+1))</f>
        <v>0</v>
      </c>
      <c r="BMC9" s="26">
        <f>IF(BMC7=0,0,IF(MAX($F9:BMB9)=$D12,0,BMB9+1))</f>
        <v>0</v>
      </c>
      <c r="BMD9" s="26">
        <f>IF(BMD7=0,0,IF(MAX($F9:BMC9)=$D12,0,BMC9+1))</f>
        <v>0</v>
      </c>
      <c r="BME9" s="26">
        <f>IF(BME7=0,0,IF(MAX($F9:BMD9)=$D12,0,BMD9+1))</f>
        <v>0</v>
      </c>
      <c r="BMF9" s="26">
        <f>IF(BMF7=0,0,IF(MAX($F9:BME9)=$D12,0,BME9+1))</f>
        <v>0</v>
      </c>
      <c r="BMG9" s="26">
        <f>IF(BMG7=0,0,IF(MAX($F9:BMF9)=$D12,0,BMF9+1))</f>
        <v>0</v>
      </c>
      <c r="BMH9" s="26">
        <f>IF(BMH7=0,0,IF(MAX($F9:BMG9)=$D12,0,BMG9+1))</f>
        <v>0</v>
      </c>
      <c r="BMI9" s="26">
        <f>IF(BMI7=0,0,IF(MAX($F9:BMH9)=$D12,0,BMH9+1))</f>
        <v>0</v>
      </c>
      <c r="BMJ9" s="26">
        <f>IF(BMJ7=0,0,IF(MAX($F9:BMI9)=$D12,0,BMI9+1))</f>
        <v>0</v>
      </c>
      <c r="BMK9" s="26">
        <f>IF(BMK7=0,0,IF(MAX($F9:BMJ9)=$D12,0,BMJ9+1))</f>
        <v>0</v>
      </c>
      <c r="BML9" s="26">
        <f>IF(BML7=0,0,IF(MAX($F9:BMK9)=$D12,0,BMK9+1))</f>
        <v>0</v>
      </c>
      <c r="BMM9" s="26">
        <f>IF(BMM7=0,0,IF(MAX($F9:BML9)=$D12,0,BML9+1))</f>
        <v>0</v>
      </c>
      <c r="BMN9" s="26">
        <f>IF(BMN7=0,0,IF(MAX($F9:BMM9)=$D12,0,BMM9+1))</f>
        <v>0</v>
      </c>
      <c r="BMO9" s="26">
        <f>IF(BMO7=0,0,IF(MAX($F9:BMN9)=$D12,0,BMN9+1))</f>
        <v>0</v>
      </c>
      <c r="BMP9" s="26">
        <f>IF(BMP7=0,0,IF(MAX($F9:BMO9)=$D12,0,BMO9+1))</f>
        <v>0</v>
      </c>
      <c r="BMQ9" s="26">
        <f>IF(BMQ7=0,0,IF(MAX($F9:BMP9)=$D12,0,BMP9+1))</f>
        <v>0</v>
      </c>
      <c r="BMR9" s="26">
        <f>IF(BMR7=0,0,IF(MAX($F9:BMQ9)=$D12,0,BMQ9+1))</f>
        <v>0</v>
      </c>
      <c r="BMS9" s="26">
        <f>IF(BMS7=0,0,IF(MAX($F9:BMR9)=$D12,0,BMR9+1))</f>
        <v>0</v>
      </c>
      <c r="BMT9" s="26">
        <f>IF(BMT7=0,0,IF(MAX($F9:BMS9)=$D12,0,BMS9+1))</f>
        <v>0</v>
      </c>
      <c r="BMU9" s="26">
        <f>IF(BMU7=0,0,IF(MAX($F9:BMT9)=$D12,0,BMT9+1))</f>
        <v>0</v>
      </c>
      <c r="BMV9" s="26">
        <f>IF(BMV7=0,0,IF(MAX($F9:BMU9)=$D12,0,BMU9+1))</f>
        <v>0</v>
      </c>
      <c r="BMW9" s="26">
        <f>IF(BMW7=0,0,IF(MAX($F9:BMV9)=$D12,0,BMV9+1))</f>
        <v>0</v>
      </c>
      <c r="BMX9" s="26">
        <f>IF(BMX7=0,0,IF(MAX($F9:BMW9)=$D12,0,BMW9+1))</f>
        <v>0</v>
      </c>
      <c r="BMY9" s="26">
        <f>IF(BMY7=0,0,IF(MAX($F9:BMX9)=$D12,0,BMX9+1))</f>
        <v>0</v>
      </c>
      <c r="BMZ9" s="26">
        <f>IF(BMZ7=0,0,IF(MAX($F9:BMY9)=$D12,0,BMY9+1))</f>
        <v>0</v>
      </c>
      <c r="BNA9" s="26">
        <f>IF(BNA7=0,0,IF(MAX($F9:BMZ9)=$D12,0,BMZ9+1))</f>
        <v>0</v>
      </c>
      <c r="BNB9" s="26">
        <f>IF(BNB7=0,0,IF(MAX($F9:BNA9)=$D12,0,BNA9+1))</f>
        <v>0</v>
      </c>
      <c r="BNC9" s="26">
        <f>IF(BNC7=0,0,IF(MAX($F9:BNB9)=$D12,0,BNB9+1))</f>
        <v>0</v>
      </c>
      <c r="BND9" s="26">
        <f>IF(BND7=0,0,IF(MAX($F9:BNC9)=$D12,0,BNC9+1))</f>
        <v>0</v>
      </c>
      <c r="BNE9" s="26">
        <f>IF(BNE7=0,0,IF(MAX($F9:BND9)=$D12,0,BND9+1))</f>
        <v>0</v>
      </c>
      <c r="BNF9" s="26">
        <f>IF(BNF7=0,0,IF(MAX($F9:BNE9)=$D12,0,BNE9+1))</f>
        <v>0</v>
      </c>
      <c r="BNG9" s="26">
        <f>IF(BNG7=0,0,IF(MAX($F9:BNF9)=$D12,0,BNF9+1))</f>
        <v>0</v>
      </c>
      <c r="BNH9" s="26">
        <f>IF(BNH7=0,0,IF(MAX($F9:BNG9)=$D12,0,BNG9+1))</f>
        <v>0</v>
      </c>
      <c r="BNI9" s="26">
        <f>IF(BNI7=0,0,IF(MAX($F9:BNH9)=$D12,0,BNH9+1))</f>
        <v>0</v>
      </c>
      <c r="BNJ9" s="26">
        <f>IF(BNJ7=0,0,IF(MAX($F9:BNI9)=$D12,0,BNI9+1))</f>
        <v>0</v>
      </c>
      <c r="BNK9" s="26">
        <f>IF(BNK7=0,0,IF(MAX($F9:BNJ9)=$D12,0,BNJ9+1))</f>
        <v>0</v>
      </c>
      <c r="BNL9" s="26">
        <f>IF(BNL7=0,0,IF(MAX($F9:BNK9)=$D12,0,BNK9+1))</f>
        <v>0</v>
      </c>
      <c r="BNM9" s="26">
        <f>IF(BNM7=0,0,IF(MAX($F9:BNL9)=$D12,0,BNL9+1))</f>
        <v>0</v>
      </c>
      <c r="BNN9" s="26">
        <f>IF(BNN7=0,0,IF(MAX($F9:BNM9)=$D12,0,BNM9+1))</f>
        <v>0</v>
      </c>
      <c r="BNO9" s="26">
        <f>IF(BNO7=0,0,IF(MAX($F9:BNN9)=$D12,0,BNN9+1))</f>
        <v>0</v>
      </c>
      <c r="BNP9" s="26">
        <f>IF(BNP7=0,0,IF(MAX($F9:BNO9)=$D12,0,BNO9+1))</f>
        <v>0</v>
      </c>
      <c r="BNQ9" s="26">
        <f>IF(BNQ7=0,0,IF(MAX($F9:BNP9)=$D12,0,BNP9+1))</f>
        <v>0</v>
      </c>
      <c r="BNR9" s="26">
        <f>IF(BNR7=0,0,IF(MAX($F9:BNQ9)=$D12,0,BNQ9+1))</f>
        <v>0</v>
      </c>
      <c r="BNS9" s="26">
        <f>IF(BNS7=0,0,IF(MAX($F9:BNR9)=$D12,0,BNR9+1))</f>
        <v>0</v>
      </c>
      <c r="BNT9" s="26">
        <f>IF(BNT7=0,0,IF(MAX($F9:BNS9)=$D12,0,BNS9+1))</f>
        <v>0</v>
      </c>
      <c r="BNU9" s="26">
        <f>IF(BNU7=0,0,IF(MAX($F9:BNT9)=$D12,0,BNT9+1))</f>
        <v>0</v>
      </c>
      <c r="BNV9" s="26">
        <f>IF(BNV7=0,0,IF(MAX($F9:BNU9)=$D12,0,BNU9+1))</f>
        <v>0</v>
      </c>
      <c r="BNW9" s="26">
        <f>IF(BNW7=0,0,IF(MAX($F9:BNV9)=$D12,0,BNV9+1))</f>
        <v>0</v>
      </c>
      <c r="BNX9" s="26">
        <f>IF(BNX7=0,0,IF(MAX($F9:BNW9)=$D12,0,BNW9+1))</f>
        <v>0</v>
      </c>
      <c r="BNY9" s="26">
        <f>IF(BNY7=0,0,IF(MAX($F9:BNX9)=$D12,0,BNX9+1))</f>
        <v>0</v>
      </c>
      <c r="BNZ9" s="26">
        <f>IF(BNZ7=0,0,IF(MAX($F9:BNY9)=$D12,0,BNY9+1))</f>
        <v>0</v>
      </c>
      <c r="BOA9" s="26">
        <f>IF(BOA7=0,0,IF(MAX($F9:BNZ9)=$D12,0,BNZ9+1))</f>
        <v>0</v>
      </c>
      <c r="BOB9" s="26">
        <f>IF(BOB7=0,0,IF(MAX($F9:BOA9)=$D12,0,BOA9+1))</f>
        <v>0</v>
      </c>
      <c r="BOC9" s="26">
        <f>IF(BOC7=0,0,IF(MAX($F9:BOB9)=$D12,0,BOB9+1))</f>
        <v>0</v>
      </c>
      <c r="BOD9" s="26">
        <f>IF(BOD7=0,0,IF(MAX($F9:BOC9)=$D12,0,BOC9+1))</f>
        <v>0</v>
      </c>
      <c r="BOE9" s="26">
        <f>IF(BOE7=0,0,IF(MAX($F9:BOD9)=$D12,0,BOD9+1))</f>
        <v>0</v>
      </c>
      <c r="BOF9" s="26">
        <f>IF(BOF7=0,0,IF(MAX($F9:BOE9)=$D12,0,BOE9+1))</f>
        <v>0</v>
      </c>
      <c r="BOG9" s="26">
        <f>IF(BOG7=0,0,IF(MAX($F9:BOF9)=$D12,0,BOF9+1))</f>
        <v>0</v>
      </c>
      <c r="BOH9" s="26">
        <f>IF(BOH7=0,0,IF(MAX($F9:BOG9)=$D12,0,BOG9+1))</f>
        <v>0</v>
      </c>
      <c r="BOI9" s="26">
        <f>IF(BOI7=0,0,IF(MAX($F9:BOH9)=$D12,0,BOH9+1))</f>
        <v>0</v>
      </c>
      <c r="BOJ9" s="26">
        <f>IF(BOJ7=0,0,IF(MAX($F9:BOI9)=$D12,0,BOI9+1))</f>
        <v>0</v>
      </c>
      <c r="BOK9" s="26">
        <f>IF(BOK7=0,0,IF(MAX($F9:BOJ9)=$D12,0,BOJ9+1))</f>
        <v>0</v>
      </c>
      <c r="BOL9" s="26">
        <f>IF(BOL7=0,0,IF(MAX($F9:BOK9)=$D12,0,BOK9+1))</f>
        <v>0</v>
      </c>
      <c r="BOM9" s="26">
        <f>IF(BOM7=0,0,IF(MAX($F9:BOL9)=$D12,0,BOL9+1))</f>
        <v>0</v>
      </c>
      <c r="BON9" s="26">
        <f>IF(BON7=0,0,IF(MAX($F9:BOM9)=$D12,0,BOM9+1))</f>
        <v>0</v>
      </c>
      <c r="BOO9" s="26">
        <f>IF(BOO7=0,0,IF(MAX($F9:BON9)=$D12,0,BON9+1))</f>
        <v>0</v>
      </c>
      <c r="BOP9" s="26">
        <f>IF(BOP7=0,0,IF(MAX($F9:BOO9)=$D12,0,BOO9+1))</f>
        <v>0</v>
      </c>
      <c r="BOQ9" s="26">
        <f>IF(BOQ7=0,0,IF(MAX($F9:BOP9)=$D12,0,BOP9+1))</f>
        <v>0</v>
      </c>
      <c r="BOR9" s="26">
        <f>IF(BOR7=0,0,IF(MAX($F9:BOQ9)=$D12,0,BOQ9+1))</f>
        <v>0</v>
      </c>
      <c r="BOS9" s="26">
        <f>IF(BOS7=0,0,IF(MAX($F9:BOR9)=$D12,0,BOR9+1))</f>
        <v>0</v>
      </c>
      <c r="BOT9" s="26">
        <f>IF(BOT7=0,0,IF(MAX($F9:BOS9)=$D12,0,BOS9+1))</f>
        <v>0</v>
      </c>
      <c r="BOU9" s="26">
        <f>IF(BOU7=0,0,IF(MAX($F9:BOT9)=$D12,0,BOT9+1))</f>
        <v>0</v>
      </c>
      <c r="BOV9" s="26">
        <f>IF(BOV7=0,0,IF(MAX($F9:BOU9)=$D12,0,BOU9+1))</f>
        <v>0</v>
      </c>
      <c r="BOW9" s="26">
        <f>IF(BOW7=0,0,IF(MAX($F9:BOV9)=$D12,0,BOV9+1))</f>
        <v>0</v>
      </c>
      <c r="BOX9" s="26">
        <f>IF(BOX7=0,0,IF(MAX($F9:BOW9)=$D12,0,BOW9+1))</f>
        <v>0</v>
      </c>
      <c r="BOY9" s="26">
        <f>IF(BOY7=0,0,IF(MAX($F9:BOX9)=$D12,0,BOX9+1))</f>
        <v>0</v>
      </c>
      <c r="BOZ9" s="26">
        <f>IF(BOZ7=0,0,IF(MAX($F9:BOY9)=$D12,0,BOY9+1))</f>
        <v>0</v>
      </c>
      <c r="BPA9" s="26">
        <f>IF(BPA7=0,0,IF(MAX($F9:BOZ9)=$D12,0,BOZ9+1))</f>
        <v>0</v>
      </c>
      <c r="BPB9" s="26">
        <f>IF(BPB7=0,0,IF(MAX($F9:BPA9)=$D12,0,BPA9+1))</f>
        <v>0</v>
      </c>
      <c r="BPC9" s="26">
        <f>IF(BPC7=0,0,IF(MAX($F9:BPB9)=$D12,0,BPB9+1))</f>
        <v>0</v>
      </c>
      <c r="BPD9" s="26">
        <f>IF(BPD7=0,0,IF(MAX($F9:BPC9)=$D12,0,BPC9+1))</f>
        <v>0</v>
      </c>
      <c r="BPE9" s="26">
        <f>IF(BPE7=0,0,IF(MAX($F9:BPD9)=$D12,0,BPD9+1))</f>
        <v>0</v>
      </c>
      <c r="BPF9" s="26">
        <f>IF(BPF7=0,0,IF(MAX($F9:BPE9)=$D12,0,BPE9+1))</f>
        <v>0</v>
      </c>
      <c r="BPG9" s="26">
        <f>IF(BPG7=0,0,IF(MAX($F9:BPF9)=$D12,0,BPF9+1))</f>
        <v>0</v>
      </c>
      <c r="BPH9" s="26">
        <f>IF(BPH7=0,0,IF(MAX($F9:BPG9)=$D12,0,BPG9+1))</f>
        <v>0</v>
      </c>
      <c r="BPI9" s="26">
        <f>IF(BPI7=0,0,IF(MAX($F9:BPH9)=$D12,0,BPH9+1))</f>
        <v>0</v>
      </c>
      <c r="BPJ9" s="26">
        <f>IF(BPJ7=0,0,IF(MAX($F9:BPI9)=$D12,0,BPI9+1))</f>
        <v>0</v>
      </c>
      <c r="BPK9" s="26">
        <f>IF(BPK7=0,0,IF(MAX($F9:BPJ9)=$D12,0,BPJ9+1))</f>
        <v>0</v>
      </c>
      <c r="BPL9" s="26">
        <f>IF(BPL7=0,0,IF(MAX($F9:BPK9)=$D12,0,BPK9+1))</f>
        <v>0</v>
      </c>
      <c r="BPM9" s="26">
        <f>IF(BPM7=0,0,IF(MAX($F9:BPL9)=$D12,0,BPL9+1))</f>
        <v>0</v>
      </c>
      <c r="BPN9" s="26">
        <f>IF(BPN7=0,0,IF(MAX($F9:BPM9)=$D12,0,BPM9+1))</f>
        <v>0</v>
      </c>
      <c r="BPO9" s="26">
        <f>IF(BPO7=0,0,IF(MAX($F9:BPN9)=$D12,0,BPN9+1))</f>
        <v>0</v>
      </c>
      <c r="BPP9" s="26">
        <f>IF(BPP7=0,0,IF(MAX($F9:BPO9)=$D12,0,BPO9+1))</f>
        <v>0</v>
      </c>
      <c r="BPQ9" s="26">
        <f>IF(BPQ7=0,0,IF(MAX($F9:BPP9)=$D12,0,BPP9+1))</f>
        <v>0</v>
      </c>
      <c r="BPR9" s="26">
        <f>IF(BPR7=0,0,IF(MAX($F9:BPQ9)=$D12,0,BPQ9+1))</f>
        <v>0</v>
      </c>
      <c r="BPS9" s="26">
        <f>IF(BPS7=0,0,IF(MAX($F9:BPR9)=$D12,0,BPR9+1))</f>
        <v>0</v>
      </c>
      <c r="BPT9" s="26">
        <f>IF(BPT7=0,0,IF(MAX($F9:BPS9)=$D12,0,BPS9+1))</f>
        <v>0</v>
      </c>
      <c r="BPU9" s="26">
        <f>IF(BPU7=0,0,IF(MAX($F9:BPT9)=$D12,0,BPT9+1))</f>
        <v>0</v>
      </c>
      <c r="BPV9" s="26">
        <f>IF(BPV7=0,0,IF(MAX($F9:BPU9)=$D12,0,BPU9+1))</f>
        <v>0</v>
      </c>
      <c r="BPW9" s="26">
        <f>IF(BPW7=0,0,IF(MAX($F9:BPV9)=$D12,0,BPV9+1))</f>
        <v>0</v>
      </c>
      <c r="BPX9" s="26">
        <f>IF(BPX7=0,0,IF(MAX($F9:BPW9)=$D12,0,BPW9+1))</f>
        <v>0</v>
      </c>
      <c r="BPY9" s="26">
        <f>IF(BPY7=0,0,IF(MAX($F9:BPX9)=$D12,0,BPX9+1))</f>
        <v>0</v>
      </c>
      <c r="BPZ9" s="26">
        <f>IF(BPZ7=0,0,IF(MAX($F9:BPY9)=$D12,0,BPY9+1))</f>
        <v>0</v>
      </c>
      <c r="BQA9" s="26">
        <f>IF(BQA7=0,0,IF(MAX($F9:BPZ9)=$D12,0,BPZ9+1))</f>
        <v>0</v>
      </c>
      <c r="BQB9" s="26">
        <f>IF(BQB7=0,0,IF(MAX($F9:BQA9)=$D12,0,BQA9+1))</f>
        <v>0</v>
      </c>
      <c r="BQC9" s="26">
        <f>IF(BQC7=0,0,IF(MAX($F9:BQB9)=$D12,0,BQB9+1))</f>
        <v>0</v>
      </c>
      <c r="BQD9" s="26">
        <f>IF(BQD7=0,0,IF(MAX($F9:BQC9)=$D12,0,BQC9+1))</f>
        <v>0</v>
      </c>
      <c r="BQE9" s="26">
        <f>IF(BQE7=0,0,IF(MAX($F9:BQD9)=$D12,0,BQD9+1))</f>
        <v>0</v>
      </c>
      <c r="BQF9" s="26">
        <f>IF(BQF7=0,0,IF(MAX($F9:BQE9)=$D12,0,BQE9+1))</f>
        <v>0</v>
      </c>
      <c r="BQG9" s="26">
        <f>IF(BQG7=0,0,IF(MAX($F9:BQF9)=$D12,0,BQF9+1))</f>
        <v>0</v>
      </c>
      <c r="BQH9" s="26">
        <f>IF(BQH7=0,0,IF(MAX($F9:BQG9)=$D12,0,BQG9+1))</f>
        <v>0</v>
      </c>
      <c r="BQI9" s="26">
        <f>IF(BQI7=0,0,IF(MAX($F9:BQH9)=$D12,0,BQH9+1))</f>
        <v>0</v>
      </c>
      <c r="BQJ9" s="26">
        <f>IF(BQJ7=0,0,IF(MAX($F9:BQI9)=$D12,0,BQI9+1))</f>
        <v>0</v>
      </c>
      <c r="BQK9" s="26">
        <f>IF(BQK7=0,0,IF(MAX($F9:BQJ9)=$D12,0,BQJ9+1))</f>
        <v>0</v>
      </c>
      <c r="BQL9" s="26">
        <f>IF(BQL7=0,0,IF(MAX($F9:BQK9)=$D12,0,BQK9+1))</f>
        <v>0</v>
      </c>
      <c r="BQM9" s="26">
        <f>IF(BQM7=0,0,IF(MAX($F9:BQL9)=$D12,0,BQL9+1))</f>
        <v>0</v>
      </c>
      <c r="BQN9" s="26">
        <f>IF(BQN7=0,0,IF(MAX($F9:BQM9)=$D12,0,BQM9+1))</f>
        <v>0</v>
      </c>
      <c r="BQO9" s="26">
        <f>IF(BQO7=0,0,IF(MAX($F9:BQN9)=$D12,0,BQN9+1))</f>
        <v>0</v>
      </c>
      <c r="BQP9" s="26">
        <f>IF(BQP7=0,0,IF(MAX($F9:BQO9)=$D12,0,BQO9+1))</f>
        <v>0</v>
      </c>
      <c r="BQQ9" s="26">
        <f>IF(BQQ7=0,0,IF(MAX($F9:BQP9)=$D12,0,BQP9+1))</f>
        <v>0</v>
      </c>
      <c r="BQR9" s="26">
        <f>IF(BQR7=0,0,IF(MAX($F9:BQQ9)=$D12,0,BQQ9+1))</f>
        <v>0</v>
      </c>
      <c r="BQS9" s="26">
        <f>IF(BQS7=0,0,IF(MAX($F9:BQR9)=$D12,0,BQR9+1))</f>
        <v>0</v>
      </c>
      <c r="BQT9" s="26">
        <f>IF(BQT7=0,0,IF(MAX($F9:BQS9)=$D12,0,BQS9+1))</f>
        <v>0</v>
      </c>
      <c r="BQU9" s="26">
        <f>IF(BQU7=0,0,IF(MAX($F9:BQT9)=$D12,0,BQT9+1))</f>
        <v>0</v>
      </c>
      <c r="BQV9" s="26">
        <f>IF(BQV7=0,0,IF(MAX($F9:BQU9)=$D12,0,BQU9+1))</f>
        <v>0</v>
      </c>
      <c r="BQW9" s="26">
        <f>IF(BQW7=0,0,IF(MAX($F9:BQV9)=$D12,0,BQV9+1))</f>
        <v>0</v>
      </c>
      <c r="BQX9" s="26">
        <f>IF(BQX7=0,0,IF(MAX($F9:BQW9)=$D12,0,BQW9+1))</f>
        <v>0</v>
      </c>
      <c r="BQY9" s="26">
        <f>IF(BQY7=0,0,IF(MAX($F9:BQX9)=$D12,0,BQX9+1))</f>
        <v>0</v>
      </c>
      <c r="BQZ9" s="26">
        <f>IF(BQZ7=0,0,IF(MAX($F9:BQY9)=$D12,0,BQY9+1))</f>
        <v>0</v>
      </c>
      <c r="BRA9" s="26">
        <f>IF(BRA7=0,0,IF(MAX($F9:BQZ9)=$D12,0,BQZ9+1))</f>
        <v>0</v>
      </c>
      <c r="BRB9" s="26">
        <f>IF(BRB7=0,0,IF(MAX($F9:BRA9)=$D12,0,BRA9+1))</f>
        <v>0</v>
      </c>
      <c r="BRC9" s="26">
        <f>IF(BRC7=0,0,IF(MAX($F9:BRB9)=$D12,0,BRB9+1))</f>
        <v>0</v>
      </c>
      <c r="BRD9" s="26">
        <f>IF(BRD7=0,0,IF(MAX($F9:BRC9)=$D12,0,BRC9+1))</f>
        <v>0</v>
      </c>
      <c r="BRE9" s="26">
        <f>IF(BRE7=0,0,IF(MAX($F9:BRD9)=$D12,0,BRD9+1))</f>
        <v>0</v>
      </c>
      <c r="BRF9" s="26">
        <f>IF(BRF7=0,0,IF(MAX($F9:BRE9)=$D12,0,BRE9+1))</f>
        <v>0</v>
      </c>
      <c r="BRG9" s="26">
        <f>IF(BRG7=0,0,IF(MAX($F9:BRF9)=$D12,0,BRF9+1))</f>
        <v>0</v>
      </c>
      <c r="BRH9" s="26">
        <f>IF(BRH7=0,0,IF(MAX($F9:BRG9)=$D12,0,BRG9+1))</f>
        <v>0</v>
      </c>
      <c r="BRI9" s="26">
        <f>IF(BRI7=0,0,IF(MAX($F9:BRH9)=$D12,0,BRH9+1))</f>
        <v>0</v>
      </c>
      <c r="BRJ9" s="26">
        <f>IF(BRJ7=0,0,IF(MAX($F9:BRI9)=$D12,0,BRI9+1))</f>
        <v>0</v>
      </c>
      <c r="BRK9" s="26">
        <f>IF(BRK7=0,0,IF(MAX($F9:BRJ9)=$D12,0,BRJ9+1))</f>
        <v>0</v>
      </c>
      <c r="BRL9" s="26">
        <f>IF(BRL7=0,0,IF(MAX($F9:BRK9)=$D12,0,BRK9+1))</f>
        <v>0</v>
      </c>
      <c r="BRM9" s="26">
        <f>IF(BRM7=0,0,IF(MAX($F9:BRL9)=$D12,0,BRL9+1))</f>
        <v>0</v>
      </c>
      <c r="BRN9" s="26">
        <f>IF(BRN7=0,0,IF(MAX($F9:BRM9)=$D12,0,BRM9+1))</f>
        <v>0</v>
      </c>
      <c r="BRO9" s="26">
        <f>IF(BRO7=0,0,IF(MAX($F9:BRN9)=$D12,0,BRN9+1))</f>
        <v>0</v>
      </c>
      <c r="BRP9" s="26">
        <f>IF(BRP7=0,0,IF(MAX($F9:BRO9)=$D12,0,BRO9+1))</f>
        <v>0</v>
      </c>
      <c r="BRQ9" s="26">
        <f>IF(BRQ7=0,0,IF(MAX($F9:BRP9)=$D12,0,BRP9+1))</f>
        <v>0</v>
      </c>
      <c r="BRR9" s="26">
        <f>IF(BRR7=0,0,IF(MAX($F9:BRQ9)=$D12,0,BRQ9+1))</f>
        <v>0</v>
      </c>
      <c r="BRS9" s="26">
        <f>IF(BRS7=0,0,IF(MAX($F9:BRR9)=$D12,0,BRR9+1))</f>
        <v>0</v>
      </c>
      <c r="BRT9" s="26">
        <f>IF(BRT7=0,0,IF(MAX($F9:BRS9)=$D12,0,BRS9+1))</f>
        <v>0</v>
      </c>
      <c r="BRU9" s="26">
        <f>IF(BRU7=0,0,IF(MAX($F9:BRT9)=$D12,0,BRT9+1))</f>
        <v>0</v>
      </c>
      <c r="BRV9" s="26">
        <f>IF(BRV7=0,0,IF(MAX($F9:BRU9)=$D12,0,BRU9+1))</f>
        <v>0</v>
      </c>
      <c r="BRW9" s="26">
        <f>IF(BRW7=0,0,IF(MAX($F9:BRV9)=$D12,0,BRV9+1))</f>
        <v>0</v>
      </c>
      <c r="BRX9" s="26">
        <f>IF(BRX7=0,0,IF(MAX($F9:BRW9)=$D12,0,BRW9+1))</f>
        <v>0</v>
      </c>
      <c r="BRY9" s="26">
        <f>IF(BRY7=0,0,IF(MAX($F9:BRX9)=$D12,0,BRX9+1))</f>
        <v>0</v>
      </c>
      <c r="BRZ9" s="26">
        <f>IF(BRZ7=0,0,IF(MAX($F9:BRY9)=$D12,0,BRY9+1))</f>
        <v>0</v>
      </c>
      <c r="BSA9" s="26">
        <f>IF(BSA7=0,0,IF(MAX($F9:BRZ9)=$D12,0,BRZ9+1))</f>
        <v>0</v>
      </c>
      <c r="BSB9" s="26">
        <f>IF(BSB7=0,0,IF(MAX($F9:BSA9)=$D12,0,BSA9+1))</f>
        <v>0</v>
      </c>
      <c r="BSC9" s="26">
        <f>IF(BSC7=0,0,IF(MAX($F9:BSB9)=$D12,0,BSB9+1))</f>
        <v>0</v>
      </c>
      <c r="BSD9" s="26">
        <f>IF(BSD7=0,0,IF(MAX($F9:BSC9)=$D12,0,BSC9+1))</f>
        <v>0</v>
      </c>
      <c r="BSE9" s="26">
        <f>IF(BSE7=0,0,IF(MAX($F9:BSD9)=$D12,0,BSD9+1))</f>
        <v>0</v>
      </c>
      <c r="BSF9" s="26">
        <f>IF(BSF7=0,0,IF(MAX($F9:BSE9)=$D12,0,BSE9+1))</f>
        <v>0</v>
      </c>
      <c r="BSG9" s="26">
        <f>IF(BSG7=0,0,IF(MAX($F9:BSF9)=$D12,0,BSF9+1))</f>
        <v>0</v>
      </c>
      <c r="BSH9" s="26">
        <f>IF(BSH7=0,0,IF(MAX($F9:BSG9)=$D12,0,BSG9+1))</f>
        <v>0</v>
      </c>
      <c r="BSI9" s="26">
        <f>IF(BSI7=0,0,IF(MAX($F9:BSH9)=$D12,0,BSH9+1))</f>
        <v>0</v>
      </c>
      <c r="BSJ9" s="26">
        <f>IF(BSJ7=0,0,IF(MAX($F9:BSI9)=$D12,0,BSI9+1))</f>
        <v>0</v>
      </c>
      <c r="BSK9" s="26">
        <f>IF(BSK7=0,0,IF(MAX($F9:BSJ9)=$D12,0,BSJ9+1))</f>
        <v>0</v>
      </c>
      <c r="BSL9" s="26">
        <f>IF(BSL7=0,0,IF(MAX($F9:BSK9)=$D12,0,BSK9+1))</f>
        <v>0</v>
      </c>
      <c r="BSM9" s="26">
        <f>IF(BSM7=0,0,IF(MAX($F9:BSL9)=$D12,0,BSL9+1))</f>
        <v>0</v>
      </c>
      <c r="BSN9" s="26">
        <f>IF(BSN7=0,0,IF(MAX($F9:BSM9)=$D12,0,BSM9+1))</f>
        <v>0</v>
      </c>
      <c r="BSO9" s="26">
        <f>IF(BSO7=0,0,IF(MAX($F9:BSN9)=$D12,0,BSN9+1))</f>
        <v>0</v>
      </c>
      <c r="BSP9" s="26">
        <f>IF(BSP7=0,0,IF(MAX($F9:BSO9)=$D12,0,BSO9+1))</f>
        <v>0</v>
      </c>
      <c r="BSQ9" s="26">
        <f>IF(BSQ7=0,0,IF(MAX($F9:BSP9)=$D12,0,BSP9+1))</f>
        <v>0</v>
      </c>
      <c r="BSR9" s="26">
        <f>IF(BSR7=0,0,IF(MAX($F9:BSQ9)=$D12,0,BSQ9+1))</f>
        <v>0</v>
      </c>
      <c r="BSS9" s="26">
        <f>IF(BSS7=0,0,IF(MAX($F9:BSR9)=$D12,0,BSR9+1))</f>
        <v>0</v>
      </c>
      <c r="BST9" s="26">
        <f>IF(BST7=0,0,IF(MAX($F9:BSS9)=$D12,0,BSS9+1))</f>
        <v>0</v>
      </c>
      <c r="BSU9" s="26">
        <f>IF(BSU7=0,0,IF(MAX($F9:BST9)=$D12,0,BST9+1))</f>
        <v>0</v>
      </c>
      <c r="BSV9" s="26">
        <f>IF(BSV7=0,0,IF(MAX($F9:BSU9)=$D12,0,BSU9+1))</f>
        <v>0</v>
      </c>
      <c r="BSW9" s="26">
        <f>IF(BSW7=0,0,IF(MAX($F9:BSV9)=$D12,0,BSV9+1))</f>
        <v>0</v>
      </c>
      <c r="BSX9" s="26">
        <f>IF(BSX7=0,0,IF(MAX($F9:BSW9)=$D12,0,BSW9+1))</f>
        <v>0</v>
      </c>
      <c r="BSY9" s="26">
        <f>IF(BSY7=0,0,IF(MAX($F9:BSX9)=$D12,0,BSX9+1))</f>
        <v>0</v>
      </c>
      <c r="BSZ9" s="26">
        <f>IF(BSZ7=0,0,IF(MAX($F9:BSY9)=$D12,0,BSY9+1))</f>
        <v>0</v>
      </c>
      <c r="BTA9" s="26">
        <f>IF(BTA7=0,0,IF(MAX($F9:BSZ9)=$D12,0,BSZ9+1))</f>
        <v>0</v>
      </c>
      <c r="BTB9" s="26">
        <f>IF(BTB7=0,0,IF(MAX($F9:BTA9)=$D12,0,BTA9+1))</f>
        <v>0</v>
      </c>
      <c r="BTC9" s="26">
        <f>IF(BTC7=0,0,IF(MAX($F9:BTB9)=$D12,0,BTB9+1))</f>
        <v>0</v>
      </c>
      <c r="BTD9" s="26">
        <f>IF(BTD7=0,0,IF(MAX($F9:BTC9)=$D12,0,BTC9+1))</f>
        <v>0</v>
      </c>
      <c r="BTE9" s="26">
        <f>IF(BTE7=0,0,IF(MAX($F9:BTD9)=$D12,0,BTD9+1))</f>
        <v>0</v>
      </c>
      <c r="BTF9" s="26">
        <f>IF(BTF7=0,0,IF(MAX($F9:BTE9)=$D12,0,BTE9+1))</f>
        <v>0</v>
      </c>
      <c r="BTG9" s="26">
        <f>IF(BTG7=0,0,IF(MAX($F9:BTF9)=$D12,0,BTF9+1))</f>
        <v>0</v>
      </c>
      <c r="BTH9" s="26">
        <f>IF(BTH7=0,0,IF(MAX($F9:BTG9)=$D12,0,BTG9+1))</f>
        <v>0</v>
      </c>
      <c r="BTI9" s="26">
        <f>IF(BTI7=0,0,IF(MAX($F9:BTH9)=$D12,0,BTH9+1))</f>
        <v>0</v>
      </c>
      <c r="BTJ9" s="26">
        <f>IF(BTJ7=0,0,IF(MAX($F9:BTI9)=$D12,0,BTI9+1))</f>
        <v>0</v>
      </c>
      <c r="BTK9" s="26">
        <f>IF(BTK7=0,0,IF(MAX($F9:BTJ9)=$D12,0,BTJ9+1))</f>
        <v>0</v>
      </c>
      <c r="BTL9" s="26">
        <f>IF(BTL7=0,0,IF(MAX($F9:BTK9)=$D12,0,BTK9+1))</f>
        <v>0</v>
      </c>
      <c r="BTM9" s="26">
        <f>IF(BTM7=0,0,IF(MAX($F9:BTL9)=$D12,0,BTL9+1))</f>
        <v>0</v>
      </c>
      <c r="BTN9" s="26">
        <f>IF(BTN7=0,0,IF(MAX($F9:BTM9)=$D12,0,BTM9+1))</f>
        <v>0</v>
      </c>
      <c r="BTO9" s="26">
        <f>IF(BTO7=0,0,IF(MAX($F9:BTN9)=$D12,0,BTN9+1))</f>
        <v>0</v>
      </c>
      <c r="BTP9" s="26">
        <f>IF(BTP7=0,0,IF(MAX($F9:BTO9)=$D12,0,BTO9+1))</f>
        <v>0</v>
      </c>
      <c r="BTQ9" s="26">
        <f>IF(BTQ7=0,0,IF(MAX($F9:BTP9)=$D12,0,BTP9+1))</f>
        <v>0</v>
      </c>
      <c r="BTR9" s="26">
        <f>IF(BTR7=0,0,IF(MAX($F9:BTQ9)=$D12,0,BTQ9+1))</f>
        <v>0</v>
      </c>
      <c r="BTS9" s="26">
        <f>IF(BTS7=0,0,IF(MAX($F9:BTR9)=$D12,0,BTR9+1))</f>
        <v>0</v>
      </c>
      <c r="BTT9" s="26">
        <f>IF(BTT7=0,0,IF(MAX($F9:BTS9)=$D12,0,BTS9+1))</f>
        <v>0</v>
      </c>
      <c r="BTU9" s="26">
        <f>IF(BTU7=0,0,IF(MAX($F9:BTT9)=$D12,0,BTT9+1))</f>
        <v>0</v>
      </c>
      <c r="BTV9" s="26">
        <f>IF(BTV7=0,0,IF(MAX($F9:BTU9)=$D12,0,BTU9+1))</f>
        <v>0</v>
      </c>
      <c r="BTW9" s="26">
        <f>IF(BTW7=0,0,IF(MAX($F9:BTV9)=$D12,0,BTV9+1))</f>
        <v>0</v>
      </c>
      <c r="BTX9" s="26">
        <f>IF(BTX7=0,0,IF(MAX($F9:BTW9)=$D12,0,BTW9+1))</f>
        <v>0</v>
      </c>
      <c r="BTY9" s="26">
        <f>IF(BTY7=0,0,IF(MAX($F9:BTX9)=$D12,0,BTX9+1))</f>
        <v>0</v>
      </c>
      <c r="BTZ9" s="26">
        <f>IF(BTZ7=0,0,IF(MAX($F9:BTY9)=$D12,0,BTY9+1))</f>
        <v>0</v>
      </c>
      <c r="BUA9" s="26">
        <f>IF(BUA7=0,0,IF(MAX($F9:BTZ9)=$D12,0,BTZ9+1))</f>
        <v>0</v>
      </c>
      <c r="BUB9" s="26">
        <f>IF(BUB7=0,0,IF(MAX($F9:BUA9)=$D12,0,BUA9+1))</f>
        <v>0</v>
      </c>
      <c r="BUC9" s="26">
        <f>IF(BUC7=0,0,IF(MAX($F9:BUB9)=$D12,0,BUB9+1))</f>
        <v>0</v>
      </c>
      <c r="BUD9" s="26">
        <f>IF(BUD7=0,0,IF(MAX($F9:BUC9)=$D12,0,BUC9+1))</f>
        <v>0</v>
      </c>
      <c r="BUE9" s="26">
        <f>IF(BUE7=0,0,IF(MAX($F9:BUD9)=$D12,0,BUD9+1))</f>
        <v>0</v>
      </c>
      <c r="BUF9" s="26">
        <f>IF(BUF7=0,0,IF(MAX($F9:BUE9)=$D12,0,BUE9+1))</f>
        <v>0</v>
      </c>
      <c r="BUG9" s="26">
        <f>IF(BUG7=0,0,IF(MAX($F9:BUF9)=$D12,0,BUF9+1))</f>
        <v>0</v>
      </c>
      <c r="BUH9" s="26">
        <f>IF(BUH7=0,0,IF(MAX($F9:BUG9)=$D12,0,BUG9+1))</f>
        <v>0</v>
      </c>
      <c r="BUI9" s="26">
        <f>IF(BUI7=0,0,IF(MAX($F9:BUH9)=$D12,0,BUH9+1))</f>
        <v>0</v>
      </c>
      <c r="BUJ9" s="26">
        <f>IF(BUJ7=0,0,IF(MAX($F9:BUI9)=$D12,0,BUI9+1))</f>
        <v>0</v>
      </c>
      <c r="BUK9" s="26">
        <f>IF(BUK7=0,0,IF(MAX($F9:BUJ9)=$D12,0,BUJ9+1))</f>
        <v>0</v>
      </c>
      <c r="BUL9" s="26">
        <f>IF(BUL7=0,0,IF(MAX($F9:BUK9)=$D12,0,BUK9+1))</f>
        <v>0</v>
      </c>
      <c r="BUM9" s="26">
        <f>IF(BUM7=0,0,IF(MAX($F9:BUL9)=$D12,0,BUL9+1))</f>
        <v>0</v>
      </c>
      <c r="BUN9" s="26">
        <f>IF(BUN7=0,0,IF(MAX($F9:BUM9)=$D12,0,BUM9+1))</f>
        <v>0</v>
      </c>
      <c r="BUO9" s="26">
        <f>IF(BUO7=0,0,IF(MAX($F9:BUN9)=$D12,0,BUN9+1))</f>
        <v>0</v>
      </c>
      <c r="BUP9" s="26">
        <f>IF(BUP7=0,0,IF(MAX($F9:BUO9)=$D12,0,BUO9+1))</f>
        <v>0</v>
      </c>
      <c r="BUQ9" s="26">
        <f>IF(BUQ7=0,0,IF(MAX($F9:BUP9)=$D12,0,BUP9+1))</f>
        <v>0</v>
      </c>
      <c r="BUR9" s="26">
        <f>IF(BUR7=0,0,IF(MAX($F9:BUQ9)=$D12,0,BUQ9+1))</f>
        <v>0</v>
      </c>
      <c r="BUS9" s="26">
        <f>IF(BUS7=0,0,IF(MAX($F9:BUR9)=$D12,0,BUR9+1))</f>
        <v>0</v>
      </c>
      <c r="BUT9" s="26">
        <f>IF(BUT7=0,0,IF(MAX($F9:BUS9)=$D12,0,BUS9+1))</f>
        <v>0</v>
      </c>
      <c r="BUU9" s="26">
        <f>IF(BUU7=0,0,IF(MAX($F9:BUT9)=$D12,0,BUT9+1))</f>
        <v>0</v>
      </c>
      <c r="BUV9" s="26">
        <f>IF(BUV7=0,0,IF(MAX($F9:BUU9)=$D12,0,BUU9+1))</f>
        <v>0</v>
      </c>
      <c r="BUW9" s="26">
        <f>IF(BUW7=0,0,IF(MAX($F9:BUV9)=$D12,0,BUV9+1))</f>
        <v>0</v>
      </c>
      <c r="BUX9" s="26">
        <f>IF(BUX7=0,0,IF(MAX($F9:BUW9)=$D12,0,BUW9+1))</f>
        <v>0</v>
      </c>
      <c r="BUY9" s="26">
        <f>IF(BUY7=0,0,IF(MAX($F9:BUX9)=$D12,0,BUX9+1))</f>
        <v>0</v>
      </c>
      <c r="BUZ9" s="26">
        <f>IF(BUZ7=0,0,IF(MAX($F9:BUY9)=$D12,0,BUY9+1))</f>
        <v>0</v>
      </c>
      <c r="BVA9" s="26">
        <f>IF(BVA7=0,0,IF(MAX($F9:BUZ9)=$D12,0,BUZ9+1))</f>
        <v>0</v>
      </c>
      <c r="BVB9" s="26">
        <f>IF(BVB7=0,0,IF(MAX($F9:BVA9)=$D12,0,BVA9+1))</f>
        <v>0</v>
      </c>
      <c r="BVC9" s="26">
        <f>IF(BVC7=0,0,IF(MAX($F9:BVB9)=$D12,0,BVB9+1))</f>
        <v>0</v>
      </c>
      <c r="BVD9" s="26">
        <f>IF(BVD7=0,0,IF(MAX($F9:BVC9)=$D12,0,BVC9+1))</f>
        <v>0</v>
      </c>
      <c r="BVE9" s="26">
        <f>IF(BVE7=0,0,IF(MAX($F9:BVD9)=$D12,0,BVD9+1))</f>
        <v>0</v>
      </c>
      <c r="BVF9" s="26">
        <f>IF(BVF7=0,0,IF(MAX($F9:BVE9)=$D12,0,BVE9+1))</f>
        <v>0</v>
      </c>
      <c r="BVG9" s="26">
        <f>IF(BVG7=0,0,IF(MAX($F9:BVF9)=$D12,0,BVF9+1))</f>
        <v>0</v>
      </c>
      <c r="BVH9" s="26">
        <f>IF(BVH7=0,0,IF(MAX($F9:BVG9)=$D12,0,BVG9+1))</f>
        <v>0</v>
      </c>
      <c r="BVI9" s="26">
        <f>IF(BVI7=0,0,IF(MAX($F9:BVH9)=$D12,0,BVH9+1))</f>
        <v>0</v>
      </c>
      <c r="BVJ9" s="26">
        <f>IF(BVJ7=0,0,IF(MAX($F9:BVI9)=$D12,0,BVI9+1))</f>
        <v>0</v>
      </c>
      <c r="BVK9" s="26">
        <f>IF(BVK7=0,0,IF(MAX($F9:BVJ9)=$D12,0,BVJ9+1))</f>
        <v>0</v>
      </c>
      <c r="BVL9" s="26">
        <f>IF(BVL7=0,0,IF(MAX($F9:BVK9)=$D12,0,BVK9+1))</f>
        <v>0</v>
      </c>
      <c r="BVM9" s="26">
        <f>IF(BVM7=0,0,IF(MAX($F9:BVL9)=$D12,0,BVL9+1))</f>
        <v>0</v>
      </c>
      <c r="BVN9" s="26">
        <f>IF(BVN7=0,0,IF(MAX($F9:BVM9)=$D12,0,BVM9+1))</f>
        <v>0</v>
      </c>
      <c r="BVO9" s="26">
        <f>IF(BVO7=0,0,IF(MAX($F9:BVN9)=$D12,0,BVN9+1))</f>
        <v>0</v>
      </c>
      <c r="BVP9" s="26">
        <f>IF(BVP7=0,0,IF(MAX($F9:BVO9)=$D12,0,BVO9+1))</f>
        <v>0</v>
      </c>
      <c r="BVQ9" s="26">
        <f>IF(BVQ7=0,0,IF(MAX($F9:BVP9)=$D12,0,BVP9+1))</f>
        <v>0</v>
      </c>
      <c r="BVR9" s="26">
        <f>IF(BVR7=0,0,IF(MAX($F9:BVQ9)=$D12,0,BVQ9+1))</f>
        <v>0</v>
      </c>
      <c r="BVS9" s="26">
        <f>IF(BVS7=0,0,IF(MAX($F9:BVR9)=$D12,0,BVR9+1))</f>
        <v>0</v>
      </c>
      <c r="BVT9" s="26">
        <f>IF(BVT7=0,0,IF(MAX($F9:BVS9)=$D12,0,BVS9+1))</f>
        <v>0</v>
      </c>
      <c r="BVU9" s="26">
        <f>IF(BVU7=0,0,IF(MAX($F9:BVT9)=$D12,0,BVT9+1))</f>
        <v>0</v>
      </c>
      <c r="BVV9" s="26">
        <f>IF(BVV7=0,0,IF(MAX($F9:BVU9)=$D12,0,BVU9+1))</f>
        <v>0</v>
      </c>
      <c r="BVW9" s="26">
        <f>IF(BVW7=0,0,IF(MAX($F9:BVV9)=$D12,0,BVV9+1))</f>
        <v>0</v>
      </c>
      <c r="BVX9" s="26">
        <f>IF(BVX7=0,0,IF(MAX($F9:BVW9)=$D12,0,BVW9+1))</f>
        <v>0</v>
      </c>
      <c r="BVY9" s="26">
        <f>IF(BVY7=0,0,IF(MAX($F9:BVX9)=$D12,0,BVX9+1))</f>
        <v>0</v>
      </c>
      <c r="BVZ9" s="26">
        <f>IF(BVZ7=0,0,IF(MAX($F9:BVY9)=$D12,0,BVY9+1))</f>
        <v>0</v>
      </c>
      <c r="BWA9" s="26">
        <f>IF(BWA7=0,0,IF(MAX($F9:BVZ9)=$D12,0,BVZ9+1))</f>
        <v>0</v>
      </c>
      <c r="BWB9" s="26">
        <f>IF(BWB7=0,0,IF(MAX($F9:BWA9)=$D12,0,BWA9+1))</f>
        <v>0</v>
      </c>
      <c r="BWC9" s="26">
        <f>IF(BWC7=0,0,IF(MAX($F9:BWB9)=$D12,0,BWB9+1))</f>
        <v>0</v>
      </c>
      <c r="BWD9" s="26">
        <f>IF(BWD7=0,0,IF(MAX($F9:BWC9)=$D12,0,BWC9+1))</f>
        <v>0</v>
      </c>
      <c r="BWE9" s="26">
        <f>IF(BWE7=0,0,IF(MAX($F9:BWD9)=$D12,0,BWD9+1))</f>
        <v>0</v>
      </c>
      <c r="BWF9" s="26">
        <f>IF(BWF7=0,0,IF(MAX($F9:BWE9)=$D12,0,BWE9+1))</f>
        <v>0</v>
      </c>
      <c r="BWG9" s="26">
        <f>IF(BWG7=0,0,IF(MAX($F9:BWF9)=$D12,0,BWF9+1))</f>
        <v>0</v>
      </c>
      <c r="BWH9" s="26">
        <f>IF(BWH7=0,0,IF(MAX($F9:BWG9)=$D12,0,BWG9+1))</f>
        <v>0</v>
      </c>
      <c r="BWI9" s="26">
        <f>IF(BWI7=0,0,IF(MAX($F9:BWH9)=$D12,0,BWH9+1))</f>
        <v>0</v>
      </c>
      <c r="BWJ9" s="26">
        <f>IF(BWJ7=0,0,IF(MAX($F9:BWI9)=$D12,0,BWI9+1))</f>
        <v>0</v>
      </c>
      <c r="BWK9" s="26">
        <f>IF(BWK7=0,0,IF(MAX($F9:BWJ9)=$D12,0,BWJ9+1))</f>
        <v>0</v>
      </c>
      <c r="BWL9" s="26">
        <f>IF(BWL7=0,0,IF(MAX($F9:BWK9)=$D12,0,BWK9+1))</f>
        <v>0</v>
      </c>
      <c r="BWM9" s="26">
        <f>IF(BWM7=0,0,IF(MAX($F9:BWL9)=$D12,0,BWL9+1))</f>
        <v>0</v>
      </c>
      <c r="BWN9" s="26">
        <f>IF(BWN7=0,0,IF(MAX($F9:BWM9)=$D12,0,BWM9+1))</f>
        <v>0</v>
      </c>
      <c r="BWO9" s="26">
        <f>IF(BWO7=0,0,IF(MAX($F9:BWN9)=$D12,0,BWN9+1))</f>
        <v>0</v>
      </c>
      <c r="BWP9" s="26">
        <f>IF(BWP7=0,0,IF(MAX($F9:BWO9)=$D12,0,BWO9+1))</f>
        <v>0</v>
      </c>
      <c r="BWQ9" s="26">
        <f>IF(BWQ7=0,0,IF(MAX($F9:BWP9)=$D12,0,BWP9+1))</f>
        <v>0</v>
      </c>
      <c r="BWR9" s="26">
        <f>IF(BWR7=0,0,IF(MAX($F9:BWQ9)=$D12,0,BWQ9+1))</f>
        <v>0</v>
      </c>
      <c r="BWS9" s="26">
        <f>IF(BWS7=0,0,IF(MAX($F9:BWR9)=$D12,0,BWR9+1))</f>
        <v>0</v>
      </c>
      <c r="BWT9" s="26">
        <f>IF(BWT7=0,0,IF(MAX($F9:BWS9)=$D12,0,BWS9+1))</f>
        <v>0</v>
      </c>
      <c r="BWU9" s="26">
        <f>IF(BWU7=0,0,IF(MAX($F9:BWT9)=$D12,0,BWT9+1))</f>
        <v>0</v>
      </c>
      <c r="BWV9" s="26">
        <f>IF(BWV7=0,0,IF(MAX($F9:BWU9)=$D12,0,BWU9+1))</f>
        <v>0</v>
      </c>
      <c r="BWW9" s="26">
        <f>IF(BWW7=0,0,IF(MAX($F9:BWV9)=$D12,0,BWV9+1))</f>
        <v>0</v>
      </c>
      <c r="BWX9" s="26">
        <f>IF(BWX7=0,0,IF(MAX($F9:BWW9)=$D12,0,BWW9+1))</f>
        <v>0</v>
      </c>
      <c r="BWY9" s="26">
        <f>IF(BWY7=0,0,IF(MAX($F9:BWX9)=$D12,0,BWX9+1))</f>
        <v>0</v>
      </c>
      <c r="BWZ9" s="26">
        <f>IF(BWZ7=0,0,IF(MAX($F9:BWY9)=$D12,0,BWY9+1))</f>
        <v>0</v>
      </c>
      <c r="BXA9" s="26">
        <f>IF(BXA7=0,0,IF(MAX($F9:BWZ9)=$D12,0,BWZ9+1))</f>
        <v>0</v>
      </c>
      <c r="BXB9" s="26">
        <f>IF(BXB7=0,0,IF(MAX($F9:BXA9)=$D12,0,BXA9+1))</f>
        <v>0</v>
      </c>
      <c r="BXC9" s="26">
        <f>IF(BXC7=0,0,IF(MAX($F9:BXB9)=$D12,0,BXB9+1))</f>
        <v>0</v>
      </c>
      <c r="BXD9" s="26">
        <f>IF(BXD7=0,0,IF(MAX($F9:BXC9)=$D12,0,BXC9+1))</f>
        <v>0</v>
      </c>
      <c r="BXE9" s="26">
        <f>IF(BXE7=0,0,IF(MAX($F9:BXD9)=$D12,0,BXD9+1))</f>
        <v>0</v>
      </c>
      <c r="BXF9" s="26">
        <f>IF(BXF7=0,0,IF(MAX($F9:BXE9)=$D12,0,BXE9+1))</f>
        <v>0</v>
      </c>
      <c r="BXG9" s="26">
        <f>IF(BXG7=0,0,IF(MAX($F9:BXF9)=$D12,0,BXF9+1))</f>
        <v>0</v>
      </c>
      <c r="BXH9" s="26">
        <f>IF(BXH7=0,0,IF(MAX($F9:BXG9)=$D12,0,BXG9+1))</f>
        <v>0</v>
      </c>
      <c r="BXI9" s="26">
        <f>IF(BXI7=0,0,IF(MAX($F9:BXH9)=$D12,0,BXH9+1))</f>
        <v>0</v>
      </c>
      <c r="BXJ9" s="26">
        <f>IF(BXJ7=0,0,IF(MAX($F9:BXI9)=$D12,0,BXI9+1))</f>
        <v>0</v>
      </c>
      <c r="BXK9" s="26">
        <f>IF(BXK7=0,0,IF(MAX($F9:BXJ9)=$D12,0,BXJ9+1))</f>
        <v>0</v>
      </c>
      <c r="BXL9" s="26">
        <f>IF(BXL7=0,0,IF(MAX($F9:BXK9)=$D12,0,BXK9+1))</f>
        <v>0</v>
      </c>
      <c r="BXM9" s="26">
        <f>IF(BXM7=0,0,IF(MAX($F9:BXL9)=$D12,0,BXL9+1))</f>
        <v>0</v>
      </c>
      <c r="BXN9" s="26">
        <f>IF(BXN7=0,0,IF(MAX($F9:BXM9)=$D12,0,BXM9+1))</f>
        <v>0</v>
      </c>
      <c r="BXO9" s="26">
        <f>IF(BXO7=0,0,IF(MAX($F9:BXN9)=$D12,0,BXN9+1))</f>
        <v>0</v>
      </c>
      <c r="BXP9" s="26">
        <f>IF(BXP7=0,0,IF(MAX($F9:BXO9)=$D12,0,BXO9+1))</f>
        <v>0</v>
      </c>
      <c r="BXQ9" s="26">
        <f>IF(BXQ7=0,0,IF(MAX($F9:BXP9)=$D12,0,BXP9+1))</f>
        <v>0</v>
      </c>
      <c r="BXR9" s="26">
        <f>IF(BXR7=0,0,IF(MAX($F9:BXQ9)=$D12,0,BXQ9+1))</f>
        <v>0</v>
      </c>
      <c r="BXS9" s="26">
        <f>IF(BXS7=0,0,IF(MAX($F9:BXR9)=$D12,0,BXR9+1))</f>
        <v>0</v>
      </c>
      <c r="BXT9" s="26">
        <f>IF(BXT7=0,0,IF(MAX($F9:BXS9)=$D12,0,BXS9+1))</f>
        <v>0</v>
      </c>
      <c r="BXU9" s="26">
        <f>IF(BXU7=0,0,IF(MAX($F9:BXT9)=$D12,0,BXT9+1))</f>
        <v>0</v>
      </c>
      <c r="BXV9" s="26">
        <f>IF(BXV7=0,0,IF(MAX($F9:BXU9)=$D12,0,BXU9+1))</f>
        <v>0</v>
      </c>
      <c r="BXW9" s="26">
        <f>IF(BXW7=0,0,IF(MAX($F9:BXV9)=$D12,0,BXV9+1))</f>
        <v>0</v>
      </c>
      <c r="BXX9" s="26">
        <f>IF(BXX7=0,0,IF(MAX($F9:BXW9)=$D12,0,BXW9+1))</f>
        <v>0</v>
      </c>
      <c r="BXY9" s="26">
        <f>IF(BXY7=0,0,IF(MAX($F9:BXX9)=$D12,0,BXX9+1))</f>
        <v>0</v>
      </c>
      <c r="BXZ9" s="26">
        <f>IF(BXZ7=0,0,IF(MAX($F9:BXY9)=$D12,0,BXY9+1))</f>
        <v>0</v>
      </c>
      <c r="BYA9" s="26">
        <f>IF(BYA7=0,0,IF(MAX($F9:BXZ9)=$D12,0,BXZ9+1))</f>
        <v>0</v>
      </c>
      <c r="BYB9" s="26">
        <f>IF(BYB7=0,0,IF(MAX($F9:BYA9)=$D12,0,BYA9+1))</f>
        <v>0</v>
      </c>
      <c r="BYC9" s="26">
        <f>IF(BYC7=0,0,IF(MAX($F9:BYB9)=$D12,0,BYB9+1))</f>
        <v>0</v>
      </c>
      <c r="BYD9" s="26">
        <f>IF(BYD7=0,0,IF(MAX($F9:BYC9)=$D12,0,BYC9+1))</f>
        <v>0</v>
      </c>
      <c r="BYE9" s="26">
        <f>IF(BYE7=0,0,IF(MAX($F9:BYD9)=$D12,0,BYD9+1))</f>
        <v>0</v>
      </c>
      <c r="BYF9" s="26">
        <f>IF(BYF7=0,0,IF(MAX($F9:BYE9)=$D12,0,BYE9+1))</f>
        <v>0</v>
      </c>
      <c r="BYG9" s="26">
        <f>IF(BYG7=0,0,IF(MAX($F9:BYF9)=$D12,0,BYF9+1))</f>
        <v>0</v>
      </c>
      <c r="BYH9" s="26">
        <f>IF(BYH7=0,0,IF(MAX($F9:BYG9)=$D12,0,BYG9+1))</f>
        <v>0</v>
      </c>
      <c r="BYI9" s="26">
        <f>IF(BYI7=0,0,IF(MAX($F9:BYH9)=$D12,0,BYH9+1))</f>
        <v>0</v>
      </c>
      <c r="BYJ9" s="26">
        <f>IF(BYJ7=0,0,IF(MAX($F9:BYI9)=$D12,0,BYI9+1))</f>
        <v>0</v>
      </c>
      <c r="BYK9" s="26">
        <f>IF(BYK7=0,0,IF(MAX($F9:BYJ9)=$D12,0,BYJ9+1))</f>
        <v>0</v>
      </c>
      <c r="BYL9" s="26">
        <f>IF(BYL7=0,0,IF(MAX($F9:BYK9)=$D12,0,BYK9+1))</f>
        <v>0</v>
      </c>
      <c r="BYM9" s="26">
        <f>IF(BYM7=0,0,IF(MAX($F9:BYL9)=$D12,0,BYL9+1))</f>
        <v>0</v>
      </c>
      <c r="BYN9" s="26">
        <f>IF(BYN7=0,0,IF(MAX($F9:BYM9)=$D12,0,BYM9+1))</f>
        <v>0</v>
      </c>
      <c r="BYO9" s="26">
        <f>IF(BYO7=0,0,IF(MAX($F9:BYN9)=$D12,0,BYN9+1))</f>
        <v>0</v>
      </c>
      <c r="BYP9" s="26">
        <f>IF(BYP7=0,0,IF(MAX($F9:BYO9)=$D12,0,BYO9+1))</f>
        <v>0</v>
      </c>
      <c r="BYQ9" s="26">
        <f>IF(BYQ7=0,0,IF(MAX($F9:BYP9)=$D12,0,BYP9+1))</f>
        <v>0</v>
      </c>
      <c r="BYR9" s="26">
        <f>IF(BYR7=0,0,IF(MAX($F9:BYQ9)=$D12,0,BYQ9+1))</f>
        <v>0</v>
      </c>
      <c r="BYS9" s="26">
        <f>IF(BYS7=0,0,IF(MAX($F9:BYR9)=$D12,0,BYR9+1))</f>
        <v>0</v>
      </c>
      <c r="BYT9" s="26">
        <f>IF(BYT7=0,0,IF(MAX($F9:BYS9)=$D12,0,BYS9+1))</f>
        <v>0</v>
      </c>
      <c r="BYU9" s="26">
        <f>IF(BYU7=0,0,IF(MAX($F9:BYT9)=$D12,0,BYT9+1))</f>
        <v>0</v>
      </c>
      <c r="BYV9" s="26">
        <f>IF(BYV7=0,0,IF(MAX($F9:BYU9)=$D12,0,BYU9+1))</f>
        <v>0</v>
      </c>
      <c r="BYW9" s="26">
        <f>IF(BYW7=0,0,IF(MAX($F9:BYV9)=$D12,0,BYV9+1))</f>
        <v>0</v>
      </c>
      <c r="BYX9" s="26">
        <f>IF(BYX7=0,0,IF(MAX($F9:BYW9)=$D12,0,BYW9+1))</f>
        <v>0</v>
      </c>
      <c r="BYY9" s="26">
        <f>IF(BYY7=0,0,IF(MAX($F9:BYX9)=$D12,0,BYX9+1))</f>
        <v>0</v>
      </c>
      <c r="BYZ9" s="26">
        <f>IF(BYZ7=0,0,IF(MAX($F9:BYY9)=$D12,0,BYY9+1))</f>
        <v>0</v>
      </c>
      <c r="BZA9" s="26">
        <f>IF(BZA7=0,0,IF(MAX($F9:BYZ9)=$D12,0,BYZ9+1))</f>
        <v>0</v>
      </c>
      <c r="BZB9" s="26">
        <f>IF(BZB7=0,0,IF(MAX($F9:BZA9)=$D12,0,BZA9+1))</f>
        <v>0</v>
      </c>
      <c r="BZC9" s="26">
        <f>IF(BZC7=0,0,IF(MAX($F9:BZB9)=$D12,0,BZB9+1))</f>
        <v>0</v>
      </c>
      <c r="BZD9" s="26">
        <f>IF(BZD7=0,0,IF(MAX($F9:BZC9)=$D12,0,BZC9+1))</f>
        <v>0</v>
      </c>
      <c r="BZE9" s="26">
        <f>IF(BZE7=0,0,IF(MAX($F9:BZD9)=$D12,0,BZD9+1))</f>
        <v>0</v>
      </c>
      <c r="BZF9" s="26">
        <f>IF(BZF7=0,0,IF(MAX($F9:BZE9)=$D12,0,BZE9+1))</f>
        <v>0</v>
      </c>
      <c r="BZG9" s="26">
        <f>IF(BZG7=0,0,IF(MAX($F9:BZF9)=$D12,0,BZF9+1))</f>
        <v>0</v>
      </c>
      <c r="BZH9" s="26">
        <f>IF(BZH7=0,0,IF(MAX($F9:BZG9)=$D12,0,BZG9+1))</f>
        <v>0</v>
      </c>
      <c r="BZI9" s="26">
        <f>IF(BZI7=0,0,IF(MAX($F9:BZH9)=$D12,0,BZH9+1))</f>
        <v>0</v>
      </c>
      <c r="BZJ9" s="26">
        <f>IF(BZJ7=0,0,IF(MAX($F9:BZI9)=$D12,0,BZI9+1))</f>
        <v>0</v>
      </c>
      <c r="BZK9" s="26">
        <f>IF(BZK7=0,0,IF(MAX($F9:BZJ9)=$D12,0,BZJ9+1))</f>
        <v>0</v>
      </c>
      <c r="BZL9" s="26">
        <f>IF(BZL7=0,0,IF(MAX($F9:BZK9)=$D12,0,BZK9+1))</f>
        <v>0</v>
      </c>
      <c r="BZM9" s="26">
        <f>IF(BZM7=0,0,IF(MAX($F9:BZL9)=$D12,0,BZL9+1))</f>
        <v>0</v>
      </c>
      <c r="BZN9" s="26">
        <f>IF(BZN7=0,0,IF(MAX($F9:BZM9)=$D12,0,BZM9+1))</f>
        <v>0</v>
      </c>
      <c r="BZO9" s="26">
        <f>IF(BZO7=0,0,IF(MAX($F9:BZN9)=$D12,0,BZN9+1))</f>
        <v>0</v>
      </c>
      <c r="BZP9" s="26">
        <f>IF(BZP7=0,0,IF(MAX($F9:BZO9)=$D12,0,BZO9+1))</f>
        <v>0</v>
      </c>
      <c r="BZQ9" s="26">
        <f>IF(BZQ7=0,0,IF(MAX($F9:BZP9)=$D12,0,BZP9+1))</f>
        <v>0</v>
      </c>
      <c r="BZR9" s="26">
        <f>IF(BZR7=0,0,IF(MAX($F9:BZQ9)=$D12,0,BZQ9+1))</f>
        <v>0</v>
      </c>
      <c r="BZS9" s="26">
        <f>IF(BZS7=0,0,IF(MAX($F9:BZR9)=$D12,0,BZR9+1))</f>
        <v>0</v>
      </c>
      <c r="BZT9" s="26">
        <f>IF(BZT7=0,0,IF(MAX($F9:BZS9)=$D12,0,BZS9+1))</f>
        <v>0</v>
      </c>
      <c r="BZU9" s="26">
        <f>IF(BZU7=0,0,IF(MAX($F9:BZT9)=$D12,0,BZT9+1))</f>
        <v>0</v>
      </c>
      <c r="BZV9" s="26">
        <f>IF(BZV7=0,0,IF(MAX($F9:BZU9)=$D12,0,BZU9+1))</f>
        <v>0</v>
      </c>
      <c r="BZW9" s="26">
        <f>IF(BZW7=0,0,IF(MAX($F9:BZV9)=$D12,0,BZV9+1))</f>
        <v>0</v>
      </c>
      <c r="BZX9" s="26">
        <f>IF(BZX7=0,0,IF(MAX($F9:BZW9)=$D12,0,BZW9+1))</f>
        <v>0</v>
      </c>
      <c r="BZY9" s="26">
        <f>IF(BZY7=0,0,IF(MAX($F9:BZX9)=$D12,0,BZX9+1))</f>
        <v>0</v>
      </c>
      <c r="BZZ9" s="26">
        <f>IF(BZZ7=0,0,IF(MAX($F9:BZY9)=$D12,0,BZY9+1))</f>
        <v>0</v>
      </c>
      <c r="CAA9" s="26">
        <f>IF(CAA7=0,0,IF(MAX($F9:BZZ9)=$D12,0,BZZ9+1))</f>
        <v>0</v>
      </c>
      <c r="CAB9" s="26">
        <f>IF(CAB7=0,0,IF(MAX($F9:CAA9)=$D12,0,CAA9+1))</f>
        <v>0</v>
      </c>
      <c r="CAC9" s="26">
        <f>IF(CAC7=0,0,IF(MAX($F9:CAB9)=$D12,0,CAB9+1))</f>
        <v>0</v>
      </c>
      <c r="CAD9" s="26">
        <f>IF(CAD7=0,0,IF(MAX($F9:CAC9)=$D12,0,CAC9+1))</f>
        <v>0</v>
      </c>
      <c r="CAE9" s="26">
        <f>IF(CAE7=0,0,IF(MAX($F9:CAD9)=$D12,0,CAD9+1))</f>
        <v>0</v>
      </c>
      <c r="CAF9" s="26">
        <f>IF(CAF7=0,0,IF(MAX($F9:CAE9)=$D12,0,CAE9+1))</f>
        <v>0</v>
      </c>
      <c r="CAG9" s="26">
        <f>IF(CAG7=0,0,IF(MAX($F9:CAF9)=$D12,0,CAF9+1))</f>
        <v>0</v>
      </c>
      <c r="CAH9" s="26">
        <f>IF(CAH7=0,0,IF(MAX($F9:CAG9)=$D12,0,CAG9+1))</f>
        <v>0</v>
      </c>
      <c r="CAI9" s="26">
        <f>IF(CAI7=0,0,IF(MAX($F9:CAH9)=$D12,0,CAH9+1))</f>
        <v>0</v>
      </c>
      <c r="CAJ9" s="26">
        <f>IF(CAJ7=0,0,IF(MAX($F9:CAI9)=$D12,0,CAI9+1))</f>
        <v>0</v>
      </c>
      <c r="CAK9" s="26">
        <f>IF(CAK7=0,0,IF(MAX($F9:CAJ9)=$D12,0,CAJ9+1))</f>
        <v>0</v>
      </c>
      <c r="CAL9" s="26">
        <f>IF(CAL7=0,0,IF(MAX($F9:CAK9)=$D12,0,CAK9+1))</f>
        <v>0</v>
      </c>
      <c r="CAM9" s="26">
        <f>IF(CAM7=0,0,IF(MAX($F9:CAL9)=$D12,0,CAL9+1))</f>
        <v>0</v>
      </c>
      <c r="CAN9" s="26">
        <f>IF(CAN7=0,0,IF(MAX($F9:CAM9)=$D12,0,CAM9+1))</f>
        <v>0</v>
      </c>
      <c r="CAO9" s="26">
        <f>IF(CAO7=0,0,IF(MAX($F9:CAN9)=$D12,0,CAN9+1))</f>
        <v>0</v>
      </c>
      <c r="CAP9" s="26">
        <f>IF(CAP7=0,0,IF(MAX($F9:CAO9)=$D12,0,CAO9+1))</f>
        <v>0</v>
      </c>
      <c r="CAQ9" s="26">
        <f>IF(CAQ7=0,0,IF(MAX($F9:CAP9)=$D12,0,CAP9+1))</f>
        <v>0</v>
      </c>
      <c r="CAR9" s="26">
        <f>IF(CAR7=0,0,IF(MAX($F9:CAQ9)=$D12,0,CAQ9+1))</f>
        <v>0</v>
      </c>
      <c r="CAS9" s="26">
        <f>IF(CAS7=0,0,IF(MAX($F9:CAR9)=$D12,0,CAR9+1))</f>
        <v>0</v>
      </c>
      <c r="CAT9" s="26">
        <f>IF(CAT7=0,0,IF(MAX($F9:CAS9)=$D12,0,CAS9+1))</f>
        <v>0</v>
      </c>
      <c r="CAU9" s="26">
        <f>IF(CAU7=0,0,IF(MAX($F9:CAT9)=$D12,0,CAT9+1))</f>
        <v>0</v>
      </c>
      <c r="CAV9" s="26">
        <f>IF(CAV7=0,0,IF(MAX($F9:CAU9)=$D12,0,CAU9+1))</f>
        <v>0</v>
      </c>
      <c r="CAW9" s="26">
        <f>IF(CAW7=0,0,IF(MAX($F9:CAV9)=$D12,0,CAV9+1))</f>
        <v>0</v>
      </c>
      <c r="CAX9" s="26">
        <f>IF(CAX7=0,0,IF(MAX($F9:CAW9)=$D12,0,CAW9+1))</f>
        <v>0</v>
      </c>
      <c r="CAY9" s="26">
        <f>IF(CAY7=0,0,IF(MAX($F9:CAX9)=$D12,0,CAX9+1))</f>
        <v>0</v>
      </c>
      <c r="CAZ9" s="26">
        <f>IF(CAZ7=0,0,IF(MAX($F9:CAY9)=$D12,0,CAY9+1))</f>
        <v>0</v>
      </c>
      <c r="CBA9" s="26">
        <f>IF(CBA7=0,0,IF(MAX($F9:CAZ9)=$D12,0,CAZ9+1))</f>
        <v>0</v>
      </c>
      <c r="CBB9" s="26">
        <f>IF(CBB7=0,0,IF(MAX($F9:CBA9)=$D12,0,CBA9+1))</f>
        <v>0</v>
      </c>
      <c r="CBC9" s="26">
        <f>IF(CBC7=0,0,IF(MAX($F9:CBB9)=$D12,0,CBB9+1))</f>
        <v>0</v>
      </c>
      <c r="CBD9" s="26">
        <f>IF(CBD7=0,0,IF(MAX($F9:CBC9)=$D12,0,CBC9+1))</f>
        <v>0</v>
      </c>
      <c r="CBE9" s="26">
        <f>IF(CBE7=0,0,IF(MAX($F9:CBD9)=$D12,0,CBD9+1))</f>
        <v>0</v>
      </c>
      <c r="CBF9" s="26">
        <f>IF(CBF7=0,0,IF(MAX($F9:CBE9)=$D12,0,CBE9+1))</f>
        <v>0</v>
      </c>
      <c r="CBG9" s="26">
        <f>IF(CBG7=0,0,IF(MAX($F9:CBF9)=$D12,0,CBF9+1))</f>
        <v>0</v>
      </c>
      <c r="CBH9" s="26">
        <f>IF(CBH7=0,0,IF(MAX($F9:CBG9)=$D12,0,CBG9+1))</f>
        <v>0</v>
      </c>
      <c r="CBI9" s="26">
        <f>IF(CBI7=0,0,IF(MAX($F9:CBH9)=$D12,0,CBH9+1))</f>
        <v>0</v>
      </c>
      <c r="CBJ9" s="26">
        <f>IF(CBJ7=0,0,IF(MAX($F9:CBI9)=$D12,0,CBI9+1))</f>
        <v>0</v>
      </c>
      <c r="CBK9" s="26">
        <f>IF(CBK7=0,0,IF(MAX($F9:CBJ9)=$D12,0,CBJ9+1))</f>
        <v>0</v>
      </c>
      <c r="CBL9" s="26">
        <f>IF(CBL7=0,0,IF(MAX($F9:CBK9)=$D12,0,CBK9+1))</f>
        <v>0</v>
      </c>
      <c r="CBM9" s="26">
        <f>IF(CBM7=0,0,IF(MAX($F9:CBL9)=$D12,0,CBL9+1))</f>
        <v>0</v>
      </c>
      <c r="CBN9" s="26">
        <f>IF(CBN7=0,0,IF(MAX($F9:CBM9)=$D12,0,CBM9+1))</f>
        <v>0</v>
      </c>
      <c r="CBO9" s="26">
        <f>IF(CBO7=0,0,IF(MAX($F9:CBN9)=$D12,0,CBN9+1))</f>
        <v>0</v>
      </c>
      <c r="CBP9" s="26">
        <f>IF(CBP7=0,0,IF(MAX($F9:CBO9)=$D12,0,CBO9+1))</f>
        <v>0</v>
      </c>
      <c r="CBQ9" s="26">
        <f>IF(CBQ7=0,0,IF(MAX($F9:CBP9)=$D12,0,CBP9+1))</f>
        <v>0</v>
      </c>
      <c r="CBR9" s="26">
        <f>IF(CBR7=0,0,IF(MAX($F9:CBQ9)=$D12,0,CBQ9+1))</f>
        <v>0</v>
      </c>
      <c r="CBS9" s="26">
        <f>IF(CBS7=0,0,IF(MAX($F9:CBR9)=$D12,0,CBR9+1))</f>
        <v>0</v>
      </c>
      <c r="CBT9" s="26">
        <f>IF(CBT7=0,0,IF(MAX($F9:CBS9)=$D12,0,CBS9+1))</f>
        <v>0</v>
      </c>
      <c r="CBU9" s="26">
        <f>IF(CBU7=0,0,IF(MAX($F9:CBT9)=$D12,0,CBT9+1))</f>
        <v>0</v>
      </c>
      <c r="CBV9" s="26">
        <f>IF(CBV7=0,0,IF(MAX($F9:CBU9)=$D12,0,CBU9+1))</f>
        <v>0</v>
      </c>
      <c r="CBW9" s="26">
        <f>IF(CBW7=0,0,IF(MAX($F9:CBV9)=$D12,0,CBV9+1))</f>
        <v>0</v>
      </c>
      <c r="CBX9" s="26">
        <f>IF(CBX7=0,0,IF(MAX($F9:CBW9)=$D12,0,CBW9+1))</f>
        <v>0</v>
      </c>
      <c r="CBY9" s="26">
        <f>IF(CBY7=0,0,IF(MAX($F9:CBX9)=$D12,0,CBX9+1))</f>
        <v>0</v>
      </c>
      <c r="CBZ9" s="26">
        <f>IF(CBZ7=0,0,IF(MAX($F9:CBY9)=$D12,0,CBY9+1))</f>
        <v>0</v>
      </c>
      <c r="CCA9" s="26">
        <f>IF(CCA7=0,0,IF(MAX($F9:CBZ9)=$D12,0,CBZ9+1))</f>
        <v>0</v>
      </c>
      <c r="CCB9" s="26">
        <f>IF(CCB7=0,0,IF(MAX($F9:CCA9)=$D12,0,CCA9+1))</f>
        <v>0</v>
      </c>
      <c r="CCC9" s="26">
        <f>IF(CCC7=0,0,IF(MAX($F9:CCB9)=$D12,0,CCB9+1))</f>
        <v>0</v>
      </c>
      <c r="CCD9" s="26">
        <f>IF(CCD7=0,0,IF(MAX($F9:CCC9)=$D12,0,CCC9+1))</f>
        <v>0</v>
      </c>
      <c r="CCE9" s="26">
        <f>IF(CCE7=0,0,IF(MAX($F9:CCD9)=$D12,0,CCD9+1))</f>
        <v>0</v>
      </c>
      <c r="CCF9" s="26">
        <f>IF(CCF7=0,0,IF(MAX($F9:CCE9)=$D12,0,CCE9+1))</f>
        <v>0</v>
      </c>
      <c r="CCG9" s="26">
        <f>IF(CCG7=0,0,IF(MAX($F9:CCF9)=$D12,0,CCF9+1))</f>
        <v>0</v>
      </c>
      <c r="CCH9" s="26">
        <f>IF(CCH7=0,0,IF(MAX($F9:CCG9)=$D12,0,CCG9+1))</f>
        <v>0</v>
      </c>
      <c r="CCI9" s="26">
        <f>IF(CCI7=0,0,IF(MAX($F9:CCH9)=$D12,0,CCH9+1))</f>
        <v>0</v>
      </c>
      <c r="CCJ9" s="26">
        <f>IF(CCJ7=0,0,IF(MAX($F9:CCI9)=$D12,0,CCI9+1))</f>
        <v>0</v>
      </c>
      <c r="CCK9" s="26">
        <f>IF(CCK7=0,0,IF(MAX($F9:CCJ9)=$D12,0,CCJ9+1))</f>
        <v>0</v>
      </c>
      <c r="CCL9" s="26">
        <f>IF(CCL7=0,0,IF(MAX($F9:CCK9)=$D12,0,CCK9+1))</f>
        <v>0</v>
      </c>
      <c r="CCM9" s="26">
        <f>IF(CCM7=0,0,IF(MAX($F9:CCL9)=$D12,0,CCL9+1))</f>
        <v>0</v>
      </c>
      <c r="CCN9" s="26">
        <f>IF(CCN7=0,0,IF(MAX($F9:CCM9)=$D12,0,CCM9+1))</f>
        <v>0</v>
      </c>
      <c r="CCO9" s="26">
        <f>IF(CCO7=0,0,IF(MAX($F9:CCN9)=$D12,0,CCN9+1))</f>
        <v>0</v>
      </c>
      <c r="CCP9" s="26">
        <f>IF(CCP7=0,0,IF(MAX($F9:CCO9)=$D12,0,CCO9+1))</f>
        <v>0</v>
      </c>
      <c r="CCQ9" s="26">
        <f>IF(CCQ7=0,0,IF(MAX($F9:CCP9)=$D12,0,CCP9+1))</f>
        <v>0</v>
      </c>
      <c r="CCR9" s="26">
        <f>IF(CCR7=0,0,IF(MAX($F9:CCQ9)=$D12,0,CCQ9+1))</f>
        <v>0</v>
      </c>
      <c r="CCS9" s="26">
        <f>IF(CCS7=0,0,IF(MAX($F9:CCR9)=$D12,0,CCR9+1))</f>
        <v>0</v>
      </c>
      <c r="CCT9" s="26">
        <f>IF(CCT7=0,0,IF(MAX($F9:CCS9)=$D12,0,CCS9+1))</f>
        <v>0</v>
      </c>
      <c r="CCU9" s="26">
        <f>IF(CCU7=0,0,IF(MAX($F9:CCT9)=$D12,0,CCT9+1))</f>
        <v>0</v>
      </c>
      <c r="CCV9" s="26">
        <f>IF(CCV7=0,0,IF(MAX($F9:CCU9)=$D12,0,CCU9+1))</f>
        <v>0</v>
      </c>
      <c r="CCW9" s="26">
        <f>IF(CCW7=0,0,IF(MAX($F9:CCV9)=$D12,0,CCV9+1))</f>
        <v>0</v>
      </c>
      <c r="CCX9" s="26">
        <f>IF(CCX7=0,0,IF(MAX($F9:CCW9)=$D12,0,CCW9+1))</f>
        <v>0</v>
      </c>
      <c r="CCY9" s="26">
        <f>IF(CCY7=0,0,IF(MAX($F9:CCX9)=$D12,0,CCX9+1))</f>
        <v>0</v>
      </c>
      <c r="CCZ9" s="26">
        <f>IF(CCZ7=0,0,IF(MAX($F9:CCY9)=$D12,0,CCY9+1))</f>
        <v>0</v>
      </c>
      <c r="CDA9" s="26">
        <f>IF(CDA7=0,0,IF(MAX($F9:CCZ9)=$D12,0,CCZ9+1))</f>
        <v>0</v>
      </c>
      <c r="CDB9" s="26">
        <f>IF(CDB7=0,0,IF(MAX($F9:CDA9)=$D12,0,CDA9+1))</f>
        <v>0</v>
      </c>
      <c r="CDC9" s="26">
        <f>IF(CDC7=0,0,IF(MAX($F9:CDB9)=$D12,0,CDB9+1))</f>
        <v>0</v>
      </c>
      <c r="CDD9" s="26">
        <f>IF(CDD7=0,0,IF(MAX($F9:CDC9)=$D12,0,CDC9+1))</f>
        <v>0</v>
      </c>
      <c r="CDE9" s="26">
        <f>IF(CDE7=0,0,IF(MAX($F9:CDD9)=$D12,0,CDD9+1))</f>
        <v>0</v>
      </c>
      <c r="CDF9" s="26">
        <f>IF(CDF7=0,0,IF(MAX($F9:CDE9)=$D12,0,CDE9+1))</f>
        <v>0</v>
      </c>
      <c r="CDG9" s="26">
        <f>IF(CDG7=0,0,IF(MAX($F9:CDF9)=$D12,0,CDF9+1))</f>
        <v>0</v>
      </c>
      <c r="CDH9" s="26">
        <f>IF(CDH7=0,0,IF(MAX($F9:CDG9)=$D12,0,CDG9+1))</f>
        <v>0</v>
      </c>
      <c r="CDI9" s="26">
        <f>IF(CDI7=0,0,IF(MAX($F9:CDH9)=$D12,0,CDH9+1))</f>
        <v>0</v>
      </c>
      <c r="CDJ9" s="26">
        <f>IF(CDJ7=0,0,IF(MAX($F9:CDI9)=$D12,0,CDI9+1))</f>
        <v>0</v>
      </c>
      <c r="CDK9" s="26">
        <f>IF(CDK7=0,0,IF(MAX($F9:CDJ9)=$D12,0,CDJ9+1))</f>
        <v>0</v>
      </c>
      <c r="CDL9" s="26">
        <f>IF(CDL7=0,0,IF(MAX($F9:CDK9)=$D12,0,CDK9+1))</f>
        <v>0</v>
      </c>
      <c r="CDM9" s="26">
        <f>IF(CDM7=0,0,IF(MAX($F9:CDL9)=$D12,0,CDL9+1))</f>
        <v>0</v>
      </c>
      <c r="CDN9" s="26">
        <f>IF(CDN7=0,0,IF(MAX($F9:CDM9)=$D12,0,CDM9+1))</f>
        <v>0</v>
      </c>
      <c r="CDO9" s="26">
        <f>IF(CDO7=0,0,IF(MAX($F9:CDN9)=$D12,0,CDN9+1))</f>
        <v>0</v>
      </c>
      <c r="CDP9" s="26">
        <f>IF(CDP7=0,0,IF(MAX($F9:CDO9)=$D12,0,CDO9+1))</f>
        <v>0</v>
      </c>
      <c r="CDQ9" s="26">
        <f>IF(CDQ7=0,0,IF(MAX($F9:CDP9)=$D12,0,CDP9+1))</f>
        <v>0</v>
      </c>
      <c r="CDR9" s="26">
        <f>IF(CDR7=0,0,IF(MAX($F9:CDQ9)=$D12,0,CDQ9+1))</f>
        <v>0</v>
      </c>
      <c r="CDS9" s="26">
        <f>IF(CDS7=0,0,IF(MAX($F9:CDR9)=$D12,0,CDR9+1))</f>
        <v>0</v>
      </c>
      <c r="CDT9" s="26">
        <f>IF(CDT7=0,0,IF(MAX($F9:CDS9)=$D12,0,CDS9+1))</f>
        <v>0</v>
      </c>
      <c r="CDU9" s="26">
        <f>IF(CDU7=0,0,IF(MAX($F9:CDT9)=$D12,0,CDT9+1))</f>
        <v>0</v>
      </c>
      <c r="CDV9" s="26">
        <f>IF(CDV7=0,0,IF(MAX($F9:CDU9)=$D12,0,CDU9+1))</f>
        <v>0</v>
      </c>
      <c r="CDW9" s="26">
        <f>IF(CDW7=0,0,IF(MAX($F9:CDV9)=$D12,0,CDV9+1))</f>
        <v>0</v>
      </c>
      <c r="CDX9" s="26">
        <f>IF(CDX7=0,0,IF(MAX($F9:CDW9)=$D12,0,CDW9+1))</f>
        <v>0</v>
      </c>
      <c r="CDY9" s="26">
        <f>IF(CDY7=0,0,IF(MAX($F9:CDX9)=$D12,0,CDX9+1))</f>
        <v>0</v>
      </c>
      <c r="CDZ9" s="26">
        <f>IF(CDZ7=0,0,IF(MAX($F9:CDY9)=$D12,0,CDY9+1))</f>
        <v>0</v>
      </c>
      <c r="CEA9" s="26">
        <f>IF(CEA7=0,0,IF(MAX($F9:CDZ9)=$D12,0,CDZ9+1))</f>
        <v>0</v>
      </c>
      <c r="CEB9" s="26">
        <f>IF(CEB7=0,0,IF(MAX($F9:CEA9)=$D12,0,CEA9+1))</f>
        <v>0</v>
      </c>
      <c r="CEC9" s="26">
        <f>IF(CEC7=0,0,IF(MAX($F9:CEB9)=$D12,0,CEB9+1))</f>
        <v>0</v>
      </c>
      <c r="CED9" s="26">
        <f>IF(CED7=0,0,IF(MAX($F9:CEC9)=$D12,0,CEC9+1))</f>
        <v>0</v>
      </c>
      <c r="CEE9" s="26">
        <f>IF(CEE7=0,0,IF(MAX($F9:CED9)=$D12,0,CED9+1))</f>
        <v>0</v>
      </c>
      <c r="CEF9" s="26">
        <f>IF(CEF7=0,0,IF(MAX($F9:CEE9)=$D12,0,CEE9+1))</f>
        <v>0</v>
      </c>
      <c r="CEG9" s="26">
        <f>IF(CEG7=0,0,IF(MAX($F9:CEF9)=$D12,0,CEF9+1))</f>
        <v>0</v>
      </c>
      <c r="CEH9" s="26">
        <f>IF(CEH7=0,0,IF(MAX($F9:CEG9)=$D12,0,CEG9+1))</f>
        <v>0</v>
      </c>
      <c r="CEI9" s="26">
        <f>IF(CEI7=0,0,IF(MAX($F9:CEH9)=$D12,0,CEH9+1))</f>
        <v>0</v>
      </c>
      <c r="CEJ9" s="26">
        <f>IF(CEJ7=0,0,IF(MAX($F9:CEI9)=$D12,0,CEI9+1))</f>
        <v>0</v>
      </c>
      <c r="CEK9" s="26">
        <f>IF(CEK7=0,0,IF(MAX($F9:CEJ9)=$D12,0,CEJ9+1))</f>
        <v>0</v>
      </c>
      <c r="CEL9" s="26">
        <f>IF(CEL7=0,0,IF(MAX($F9:CEK9)=$D12,0,CEK9+1))</f>
        <v>0</v>
      </c>
      <c r="CEM9" s="26">
        <f>IF(CEM7=0,0,IF(MAX($F9:CEL9)=$D12,0,CEL9+1))</f>
        <v>0</v>
      </c>
      <c r="CEN9" s="26">
        <f>IF(CEN7=0,0,IF(MAX($F9:CEM9)=$D12,0,CEM9+1))</f>
        <v>0</v>
      </c>
      <c r="CEO9" s="26">
        <f>IF(CEO7=0,0,IF(MAX($F9:CEN9)=$D12,0,CEN9+1))</f>
        <v>0</v>
      </c>
      <c r="CEP9" s="26">
        <f>IF(CEP7=0,0,IF(MAX($F9:CEO9)=$D12,0,CEO9+1))</f>
        <v>0</v>
      </c>
      <c r="CEQ9" s="26">
        <f>IF(CEQ7=0,0,IF(MAX($F9:CEP9)=$D12,0,CEP9+1))</f>
        <v>0</v>
      </c>
      <c r="CER9" s="26">
        <f>IF(CER7=0,0,IF(MAX($F9:CEQ9)=$D12,0,CEQ9+1))</f>
        <v>0</v>
      </c>
      <c r="CES9" s="26">
        <f>IF(CES7=0,0,IF(MAX($F9:CER9)=$D12,0,CER9+1))</f>
        <v>0</v>
      </c>
      <c r="CET9" s="26">
        <f>IF(CET7=0,0,IF(MAX($F9:CES9)=$D12,0,CES9+1))</f>
        <v>0</v>
      </c>
      <c r="CEU9" s="26">
        <f>IF(CEU7=0,0,IF(MAX($F9:CET9)=$D12,0,CET9+1))</f>
        <v>0</v>
      </c>
      <c r="CEV9" s="26">
        <f>IF(CEV7=0,0,IF(MAX($F9:CEU9)=$D12,0,CEU9+1))</f>
        <v>0</v>
      </c>
      <c r="CEW9" s="26">
        <f>IF(CEW7=0,0,IF(MAX($F9:CEV9)=$D12,0,CEV9+1))</f>
        <v>0</v>
      </c>
      <c r="CEX9" s="26">
        <f>IF(CEX7=0,0,IF(MAX($F9:CEW9)=$D12,0,CEW9+1))</f>
        <v>0</v>
      </c>
      <c r="CEY9" s="26">
        <f>IF(CEY7=0,0,IF(MAX($F9:CEX9)=$D12,0,CEX9+1))</f>
        <v>0</v>
      </c>
      <c r="CEZ9" s="26">
        <f>IF(CEZ7=0,0,IF(MAX($F9:CEY9)=$D12,0,CEY9+1))</f>
        <v>0</v>
      </c>
      <c r="CFA9" s="26">
        <f>IF(CFA7=0,0,IF(MAX($F9:CEZ9)=$D12,0,CEZ9+1))</f>
        <v>0</v>
      </c>
      <c r="CFB9" s="26">
        <f>IF(CFB7=0,0,IF(MAX($F9:CFA9)=$D12,0,CFA9+1))</f>
        <v>0</v>
      </c>
      <c r="CFC9" s="26">
        <f>IF(CFC7=0,0,IF(MAX($F9:CFB9)=$D12,0,CFB9+1))</f>
        <v>0</v>
      </c>
      <c r="CFD9" s="26">
        <f>IF(CFD7=0,0,IF(MAX($F9:CFC9)=$D12,0,CFC9+1))</f>
        <v>0</v>
      </c>
      <c r="CFE9" s="26">
        <f>IF(CFE7=0,0,IF(MAX($F9:CFD9)=$D12,0,CFD9+1))</f>
        <v>0</v>
      </c>
      <c r="CFF9" s="26">
        <f>IF(CFF7=0,0,IF(MAX($F9:CFE9)=$D12,0,CFE9+1))</f>
        <v>0</v>
      </c>
      <c r="CFG9" s="26">
        <f>IF(CFG7=0,0,IF(MAX($F9:CFF9)=$D12,0,CFF9+1))</f>
        <v>0</v>
      </c>
      <c r="CFH9" s="26">
        <f>IF(CFH7=0,0,IF(MAX($F9:CFG9)=$D12,0,CFG9+1))</f>
        <v>0</v>
      </c>
      <c r="CFI9" s="26">
        <f>IF(CFI7=0,0,IF(MAX($F9:CFH9)=$D12,0,CFH9+1))</f>
        <v>0</v>
      </c>
      <c r="CFJ9" s="26">
        <f>IF(CFJ7=0,0,IF(MAX($F9:CFI9)=$D12,0,CFI9+1))</f>
        <v>0</v>
      </c>
      <c r="CFK9" s="26">
        <f>IF(CFK7=0,0,IF(MAX($F9:CFJ9)=$D12,0,CFJ9+1))</f>
        <v>0</v>
      </c>
      <c r="CFL9" s="26">
        <f>IF(CFL7=0,0,IF(MAX($F9:CFK9)=$D12,0,CFK9+1))</f>
        <v>0</v>
      </c>
      <c r="CFM9" s="26">
        <f>IF(CFM7=0,0,IF(MAX($F9:CFL9)=$D12,0,CFL9+1))</f>
        <v>0</v>
      </c>
      <c r="CFN9" s="26">
        <f>IF(CFN7=0,0,IF(MAX($F9:CFM9)=$D12,0,CFM9+1))</f>
        <v>0</v>
      </c>
      <c r="CFO9" s="26">
        <f>IF(CFO7=0,0,IF(MAX($F9:CFN9)=$D12,0,CFN9+1))</f>
        <v>0</v>
      </c>
      <c r="CFP9" s="26">
        <f>IF(CFP7=0,0,IF(MAX($F9:CFO9)=$D12,0,CFO9+1))</f>
        <v>0</v>
      </c>
      <c r="CFQ9" s="26">
        <f>IF(CFQ7=0,0,IF(MAX($F9:CFP9)=$D12,0,CFP9+1))</f>
        <v>0</v>
      </c>
      <c r="CFR9" s="26">
        <f>IF(CFR7=0,0,IF(MAX($F9:CFQ9)=$D12,0,CFQ9+1))</f>
        <v>0</v>
      </c>
      <c r="CFS9" s="26">
        <f>IF(CFS7=0,0,IF(MAX($F9:CFR9)=$D12,0,CFR9+1))</f>
        <v>0</v>
      </c>
      <c r="CFT9" s="26">
        <f>IF(CFT7=0,0,IF(MAX($F9:CFS9)=$D12,0,CFS9+1))</f>
        <v>0</v>
      </c>
      <c r="CFU9" s="26">
        <f>IF(CFU7=0,0,IF(MAX($F9:CFT9)=$D12,0,CFT9+1))</f>
        <v>0</v>
      </c>
      <c r="CFV9" s="26">
        <f>IF(CFV7=0,0,IF(MAX($F9:CFU9)=$D12,0,CFU9+1))</f>
        <v>0</v>
      </c>
      <c r="CFW9" s="26">
        <f>IF(CFW7=0,0,IF(MAX($F9:CFV9)=$D12,0,CFV9+1))</f>
        <v>0</v>
      </c>
      <c r="CFX9" s="26">
        <f>IF(CFX7=0,0,IF(MAX($F9:CFW9)=$D12,0,CFW9+1))</f>
        <v>0</v>
      </c>
      <c r="CFY9" s="26">
        <f>IF(CFY7=0,0,IF(MAX($F9:CFX9)=$D12,0,CFX9+1))</f>
        <v>0</v>
      </c>
      <c r="CFZ9" s="26">
        <f>IF(CFZ7=0,0,IF(MAX($F9:CFY9)=$D12,0,CFY9+1))</f>
        <v>0</v>
      </c>
      <c r="CGA9" s="26">
        <f>IF(CGA7=0,0,IF(MAX($F9:CFZ9)=$D12,0,CFZ9+1))</f>
        <v>0</v>
      </c>
      <c r="CGB9" s="26">
        <f>IF(CGB7=0,0,IF(MAX($F9:CGA9)=$D12,0,CGA9+1))</f>
        <v>0</v>
      </c>
      <c r="CGC9" s="26">
        <f>IF(CGC7=0,0,IF(MAX($F9:CGB9)=$D12,0,CGB9+1))</f>
        <v>0</v>
      </c>
      <c r="CGD9" s="26">
        <f>IF(CGD7=0,0,IF(MAX($F9:CGC9)=$D12,0,CGC9+1))</f>
        <v>0</v>
      </c>
      <c r="CGE9" s="26">
        <f>IF(CGE7=0,0,IF(MAX($F9:CGD9)=$D12,0,CGD9+1))</f>
        <v>0</v>
      </c>
      <c r="CGF9" s="26">
        <f>IF(CGF7=0,0,IF(MAX($F9:CGE9)=$D12,0,CGE9+1))</f>
        <v>0</v>
      </c>
      <c r="CGG9" s="26">
        <f>IF(CGG7=0,0,IF(MAX($F9:CGF9)=$D12,0,CGF9+1))</f>
        <v>0</v>
      </c>
      <c r="CGH9" s="26">
        <f>IF(CGH7=0,0,IF(MAX($F9:CGG9)=$D12,0,CGG9+1))</f>
        <v>0</v>
      </c>
      <c r="CGI9" s="26">
        <f>IF(CGI7=0,0,IF(MAX($F9:CGH9)=$D12,0,CGH9+1))</f>
        <v>0</v>
      </c>
      <c r="CGJ9" s="26">
        <f>IF(CGJ7=0,0,IF(MAX($F9:CGI9)=$D12,0,CGI9+1))</f>
        <v>0</v>
      </c>
      <c r="CGK9" s="26">
        <f>IF(CGK7=0,0,IF(MAX($F9:CGJ9)=$D12,0,CGJ9+1))</f>
        <v>0</v>
      </c>
      <c r="CGL9" s="26">
        <f>IF(CGL7=0,0,IF(MAX($F9:CGK9)=$D12,0,CGK9+1))</f>
        <v>0</v>
      </c>
      <c r="CGM9" s="26">
        <f>IF(CGM7=0,0,IF(MAX($F9:CGL9)=$D12,0,CGL9+1))</f>
        <v>0</v>
      </c>
      <c r="CGN9" s="26">
        <f>IF(CGN7=0,0,IF(MAX($F9:CGM9)=$D12,0,CGM9+1))</f>
        <v>0</v>
      </c>
      <c r="CGO9" s="26">
        <f>IF(CGO7=0,0,IF(MAX($F9:CGN9)=$D12,0,CGN9+1))</f>
        <v>0</v>
      </c>
      <c r="CGP9" s="26">
        <f>IF(CGP7=0,0,IF(MAX($F9:CGO9)=$D12,0,CGO9+1))</f>
        <v>0</v>
      </c>
      <c r="CGQ9" s="26">
        <f>IF(CGQ7=0,0,IF(MAX($F9:CGP9)=$D12,0,CGP9+1))</f>
        <v>0</v>
      </c>
      <c r="CGR9" s="26">
        <f>IF(CGR7=0,0,IF(MAX($F9:CGQ9)=$D12,0,CGQ9+1))</f>
        <v>0</v>
      </c>
      <c r="CGS9" s="26">
        <f>IF(CGS7=0,0,IF(MAX($F9:CGR9)=$D12,0,CGR9+1))</f>
        <v>0</v>
      </c>
      <c r="CGT9" s="26">
        <f>IF(CGT7=0,0,IF(MAX($F9:CGS9)=$D12,0,CGS9+1))</f>
        <v>0</v>
      </c>
      <c r="CGU9" s="26">
        <f>IF(CGU7=0,0,IF(MAX($F9:CGT9)=$D12,0,CGT9+1))</f>
        <v>0</v>
      </c>
      <c r="CGV9" s="26">
        <f>IF(CGV7=0,0,IF(MAX($F9:CGU9)=$D12,0,CGU9+1))</f>
        <v>0</v>
      </c>
      <c r="CGW9" s="26">
        <f>IF(CGW7=0,0,IF(MAX($F9:CGV9)=$D12,0,CGV9+1))</f>
        <v>0</v>
      </c>
      <c r="CGX9" s="26">
        <f>IF(CGX7=0,0,IF(MAX($F9:CGW9)=$D12,0,CGW9+1))</f>
        <v>0</v>
      </c>
      <c r="CGY9" s="26">
        <f>IF(CGY7=0,0,IF(MAX($F9:CGX9)=$D12,0,CGX9+1))</f>
        <v>0</v>
      </c>
      <c r="CGZ9" s="26">
        <f>IF(CGZ7=0,0,IF(MAX($F9:CGY9)=$D12,0,CGY9+1))</f>
        <v>0</v>
      </c>
      <c r="CHA9" s="26">
        <f>IF(CHA7=0,0,IF(MAX($F9:CGZ9)=$D12,0,CGZ9+1))</f>
        <v>0</v>
      </c>
      <c r="CHB9" s="26">
        <f>IF(CHB7=0,0,IF(MAX($F9:CHA9)=$D12,0,CHA9+1))</f>
        <v>0</v>
      </c>
      <c r="CHC9" s="26">
        <f>IF(CHC7=0,0,IF(MAX($F9:CHB9)=$D12,0,CHB9+1))</f>
        <v>0</v>
      </c>
      <c r="CHD9" s="26">
        <f>IF(CHD7=0,0,IF(MAX($F9:CHC9)=$D12,0,CHC9+1))</f>
        <v>0</v>
      </c>
      <c r="CHE9" s="26">
        <f>IF(CHE7=0,0,IF(MAX($F9:CHD9)=$D12,0,CHD9+1))</f>
        <v>0</v>
      </c>
      <c r="CHF9" s="26">
        <f>IF(CHF7=0,0,IF(MAX($F9:CHE9)=$D12,0,CHE9+1))</f>
        <v>0</v>
      </c>
      <c r="CHG9" s="26">
        <f>IF(CHG7=0,0,IF(MAX($F9:CHF9)=$D12,0,CHF9+1))</f>
        <v>0</v>
      </c>
      <c r="CHH9" s="26">
        <f>IF(CHH7=0,0,IF(MAX($F9:CHG9)=$D12,0,CHG9+1))</f>
        <v>0</v>
      </c>
      <c r="CHI9" s="26">
        <f>IF(CHI7=0,0,IF(MAX($F9:CHH9)=$D12,0,CHH9+1))</f>
        <v>0</v>
      </c>
      <c r="CHJ9" s="26">
        <f>IF(CHJ7=0,0,IF(MAX($F9:CHI9)=$D12,0,CHI9+1))</f>
        <v>0</v>
      </c>
      <c r="CHK9" s="26">
        <f>IF(CHK7=0,0,IF(MAX($F9:CHJ9)=$D12,0,CHJ9+1))</f>
        <v>0</v>
      </c>
      <c r="CHL9" s="26">
        <f>IF(CHL7=0,0,IF(MAX($F9:CHK9)=$D12,0,CHK9+1))</f>
        <v>0</v>
      </c>
      <c r="CHM9" s="26">
        <f>IF(CHM7=0,0,IF(MAX($F9:CHL9)=$D12,0,CHL9+1))</f>
        <v>0</v>
      </c>
      <c r="CHN9" s="26">
        <f>IF(CHN7=0,0,IF(MAX($F9:CHM9)=$D12,0,CHM9+1))</f>
        <v>0</v>
      </c>
      <c r="CHO9" s="26">
        <f>IF(CHO7=0,0,IF(MAX($F9:CHN9)=$D12,0,CHN9+1))</f>
        <v>0</v>
      </c>
      <c r="CHP9" s="26">
        <f>IF(CHP7=0,0,IF(MAX($F9:CHO9)=$D12,0,CHO9+1))</f>
        <v>0</v>
      </c>
      <c r="CHQ9" s="26">
        <f>IF(CHQ7=0,0,IF(MAX($F9:CHP9)=$D12,0,CHP9+1))</f>
        <v>0</v>
      </c>
      <c r="CHR9" s="26">
        <f>IF(CHR7=0,0,IF(MAX($F9:CHQ9)=$D12,0,CHQ9+1))</f>
        <v>0</v>
      </c>
      <c r="CHS9" s="26">
        <f>IF(CHS7=0,0,IF(MAX($F9:CHR9)=$D12,0,CHR9+1))</f>
        <v>0</v>
      </c>
      <c r="CHT9" s="26">
        <f>IF(CHT7=0,0,IF(MAX($F9:CHS9)=$D12,0,CHS9+1))</f>
        <v>0</v>
      </c>
      <c r="CHU9" s="26">
        <f>IF(CHU7=0,0,IF(MAX($F9:CHT9)=$D12,0,CHT9+1))</f>
        <v>0</v>
      </c>
      <c r="CHV9" s="26">
        <f>IF(CHV7=0,0,IF(MAX($F9:CHU9)=$D12,0,CHU9+1))</f>
        <v>0</v>
      </c>
      <c r="CHW9" s="26">
        <f>IF(CHW7=0,0,IF(MAX($F9:CHV9)=$D12,0,CHV9+1))</f>
        <v>0</v>
      </c>
      <c r="CHX9" s="26">
        <f>IF(CHX7=0,0,IF(MAX($F9:CHW9)=$D12,0,CHW9+1))</f>
        <v>0</v>
      </c>
      <c r="CHY9" s="26">
        <f>IF(CHY7=0,0,IF(MAX($F9:CHX9)=$D12,0,CHX9+1))</f>
        <v>0</v>
      </c>
      <c r="CHZ9" s="26">
        <f>IF(CHZ7=0,0,IF(MAX($F9:CHY9)=$D12,0,CHY9+1))</f>
        <v>0</v>
      </c>
      <c r="CIA9" s="26">
        <f>IF(CIA7=0,0,IF(MAX($F9:CHZ9)=$D12,0,CHZ9+1))</f>
        <v>0</v>
      </c>
      <c r="CIB9" s="26">
        <f>IF(CIB7=0,0,IF(MAX($F9:CIA9)=$D12,0,CIA9+1))</f>
        <v>0</v>
      </c>
      <c r="CIC9" s="26">
        <f>IF(CIC7=0,0,IF(MAX($F9:CIB9)=$D12,0,CIB9+1))</f>
        <v>0</v>
      </c>
      <c r="CID9" s="26">
        <f>IF(CID7=0,0,IF(MAX($F9:CIC9)=$D12,0,CIC9+1))</f>
        <v>0</v>
      </c>
      <c r="CIE9" s="26">
        <f>IF(CIE7=0,0,IF(MAX($F9:CID9)=$D12,0,CID9+1))</f>
        <v>0</v>
      </c>
      <c r="CIF9" s="26">
        <f>IF(CIF7=0,0,IF(MAX($F9:CIE9)=$D12,0,CIE9+1))</f>
        <v>0</v>
      </c>
      <c r="CIG9" s="26">
        <f>IF(CIG7=0,0,IF(MAX($F9:CIF9)=$D12,0,CIF9+1))</f>
        <v>0</v>
      </c>
      <c r="CIH9" s="26">
        <f>IF(CIH7=0,0,IF(MAX($F9:CIG9)=$D12,0,CIG9+1))</f>
        <v>0</v>
      </c>
      <c r="CII9" s="26">
        <f>IF(CII7=0,0,IF(MAX($F9:CIH9)=$D12,0,CIH9+1))</f>
        <v>0</v>
      </c>
      <c r="CIJ9" s="26">
        <f>IF(CIJ7=0,0,IF(MAX($F9:CII9)=$D12,0,CII9+1))</f>
        <v>0</v>
      </c>
      <c r="CIK9" s="26">
        <f>IF(CIK7=0,0,IF(MAX($F9:CIJ9)=$D12,0,CIJ9+1))</f>
        <v>0</v>
      </c>
      <c r="CIL9" s="26">
        <f>IF(CIL7=0,0,IF(MAX($F9:CIK9)=$D12,0,CIK9+1))</f>
        <v>0</v>
      </c>
      <c r="CIM9" s="26">
        <f>IF(CIM7=0,0,IF(MAX($F9:CIL9)=$D12,0,CIL9+1))</f>
        <v>0</v>
      </c>
      <c r="CIN9" s="26">
        <f>IF(CIN7=0,0,IF(MAX($F9:CIM9)=$D12,0,CIM9+1))</f>
        <v>0</v>
      </c>
      <c r="CIO9" s="26">
        <f>IF(CIO7=0,0,IF(MAX($F9:CIN9)=$D12,0,CIN9+1))</f>
        <v>0</v>
      </c>
      <c r="CIP9" s="26">
        <f>IF(CIP7=0,0,IF(MAX($F9:CIO9)=$D12,0,CIO9+1))</f>
        <v>0</v>
      </c>
      <c r="CIQ9" s="26">
        <f>IF(CIQ7=0,0,IF(MAX($F9:CIP9)=$D12,0,CIP9+1))</f>
        <v>0</v>
      </c>
      <c r="CIR9" s="26">
        <f>IF(CIR7=0,0,IF(MAX($F9:CIQ9)=$D12,0,CIQ9+1))</f>
        <v>0</v>
      </c>
      <c r="CIS9" s="26">
        <f>IF(CIS7=0,0,IF(MAX($F9:CIR9)=$D12,0,CIR9+1))</f>
        <v>0</v>
      </c>
      <c r="CIT9" s="26">
        <f>IF(CIT7=0,0,IF(MAX($F9:CIS9)=$D12,0,CIS9+1))</f>
        <v>0</v>
      </c>
      <c r="CIU9" s="26">
        <f>IF(CIU7=0,0,IF(MAX($F9:CIT9)=$D12,0,CIT9+1))</f>
        <v>0</v>
      </c>
      <c r="CIV9" s="26">
        <f>IF(CIV7=0,0,IF(MAX($F9:CIU9)=$D12,0,CIU9+1))</f>
        <v>0</v>
      </c>
      <c r="CIW9" s="26">
        <f>IF(CIW7=0,0,IF(MAX($F9:CIV9)=$D12,0,CIV9+1))</f>
        <v>0</v>
      </c>
      <c r="CIX9" s="26">
        <f>IF(CIX7=0,0,IF(MAX($F9:CIW9)=$D12,0,CIW9+1))</f>
        <v>0</v>
      </c>
      <c r="CIY9" s="26">
        <f>IF(CIY7=0,0,IF(MAX($F9:CIX9)=$D12,0,CIX9+1))</f>
        <v>0</v>
      </c>
      <c r="CIZ9" s="26">
        <f>IF(CIZ7=0,0,IF(MAX($F9:CIY9)=$D12,0,CIY9+1))</f>
        <v>0</v>
      </c>
      <c r="CJA9" s="26">
        <f>IF(CJA7=0,0,IF(MAX($F9:CIZ9)=$D12,0,CIZ9+1))</f>
        <v>0</v>
      </c>
      <c r="CJB9" s="26">
        <f>IF(CJB7=0,0,IF(MAX($F9:CJA9)=$D12,0,CJA9+1))</f>
        <v>0</v>
      </c>
      <c r="CJC9" s="26">
        <f>IF(CJC7=0,0,IF(MAX($F9:CJB9)=$D12,0,CJB9+1))</f>
        <v>0</v>
      </c>
      <c r="CJD9" s="26">
        <f>IF(CJD7=0,0,IF(MAX($F9:CJC9)=$D12,0,CJC9+1))</f>
        <v>0</v>
      </c>
      <c r="CJE9" s="26">
        <f>IF(CJE7=0,0,IF(MAX($F9:CJD9)=$D12,0,CJD9+1))</f>
        <v>0</v>
      </c>
      <c r="CJF9" s="26">
        <f>IF(CJF7=0,0,IF(MAX($F9:CJE9)=$D12,0,CJE9+1))</f>
        <v>0</v>
      </c>
      <c r="CJG9" s="26">
        <f>IF(CJG7=0,0,IF(MAX($F9:CJF9)=$D12,0,CJF9+1))</f>
        <v>0</v>
      </c>
      <c r="CJH9" s="26">
        <f>IF(CJH7=0,0,IF(MAX($F9:CJG9)=$D12,0,CJG9+1))</f>
        <v>0</v>
      </c>
      <c r="CJI9" s="26">
        <f>IF(CJI7=0,0,IF(MAX($F9:CJH9)=$D12,0,CJH9+1))</f>
        <v>0</v>
      </c>
      <c r="CJJ9" s="26">
        <f>IF(CJJ7=0,0,IF(MAX($F9:CJI9)=$D12,0,CJI9+1))</f>
        <v>0</v>
      </c>
      <c r="CJK9" s="26">
        <f>IF(CJK7=0,0,IF(MAX($F9:CJJ9)=$D12,0,CJJ9+1))</f>
        <v>0</v>
      </c>
      <c r="CJL9" s="26">
        <f>IF(CJL7=0,0,IF(MAX($F9:CJK9)=$D12,0,CJK9+1))</f>
        <v>0</v>
      </c>
      <c r="CJM9" s="26">
        <f>IF(CJM7=0,0,IF(MAX($F9:CJL9)=$D12,0,CJL9+1))</f>
        <v>0</v>
      </c>
      <c r="CJN9" s="26">
        <f>IF(CJN7=0,0,IF(MAX($F9:CJM9)=$D12,0,CJM9+1))</f>
        <v>0</v>
      </c>
      <c r="CJO9" s="26">
        <f>IF(CJO7=0,0,IF(MAX($F9:CJN9)=$D12,0,CJN9+1))</f>
        <v>0</v>
      </c>
      <c r="CJP9" s="26">
        <f>IF(CJP7=0,0,IF(MAX($F9:CJO9)=$D12,0,CJO9+1))</f>
        <v>0</v>
      </c>
      <c r="CJQ9" s="26">
        <f>IF(CJQ7=0,0,IF(MAX($F9:CJP9)=$D12,0,CJP9+1))</f>
        <v>0</v>
      </c>
      <c r="CJR9" s="26">
        <f>IF(CJR7=0,0,IF(MAX($F9:CJQ9)=$D12,0,CJQ9+1))</f>
        <v>0</v>
      </c>
      <c r="CJS9" s="26">
        <f>IF(CJS7=0,0,IF(MAX($F9:CJR9)=$D12,0,CJR9+1))</f>
        <v>0</v>
      </c>
      <c r="CJT9" s="26">
        <f>IF(CJT7=0,0,IF(MAX($F9:CJS9)=$D12,0,CJS9+1))</f>
        <v>0</v>
      </c>
      <c r="CJU9" s="26">
        <f>IF(CJU7=0,0,IF(MAX($F9:CJT9)=$D12,0,CJT9+1))</f>
        <v>0</v>
      </c>
      <c r="CJV9" s="26">
        <f>IF(CJV7=0,0,IF(MAX($F9:CJU9)=$D12,0,CJU9+1))</f>
        <v>0</v>
      </c>
      <c r="CJW9" s="26">
        <f>IF(CJW7=0,0,IF(MAX($F9:CJV9)=$D12,0,CJV9+1))</f>
        <v>0</v>
      </c>
      <c r="CJX9" s="26">
        <f>IF(CJX7=0,0,IF(MAX($F9:CJW9)=$D12,0,CJW9+1))</f>
        <v>0</v>
      </c>
      <c r="CJY9" s="26">
        <f>IF(CJY7=0,0,IF(MAX($F9:CJX9)=$D12,0,CJX9+1))</f>
        <v>0</v>
      </c>
      <c r="CJZ9" s="26">
        <f>IF(CJZ7=0,0,IF(MAX($F9:CJY9)=$D12,0,CJY9+1))</f>
        <v>0</v>
      </c>
      <c r="CKA9" s="26">
        <f>IF(CKA7=0,0,IF(MAX($F9:CJZ9)=$D12,0,CJZ9+1))</f>
        <v>0</v>
      </c>
      <c r="CKB9" s="26">
        <f>IF(CKB7=0,0,IF(MAX($F9:CKA9)=$D12,0,CKA9+1))</f>
        <v>0</v>
      </c>
      <c r="CKC9" s="26">
        <f>IF(CKC7=0,0,IF(MAX($F9:CKB9)=$D12,0,CKB9+1))</f>
        <v>0</v>
      </c>
      <c r="CKD9" s="26">
        <f>IF(CKD7=0,0,IF(MAX($F9:CKC9)=$D12,0,CKC9+1))</f>
        <v>0</v>
      </c>
      <c r="CKE9" s="26">
        <f>IF(CKE7=0,0,IF(MAX($F9:CKD9)=$D12,0,CKD9+1))</f>
        <v>0</v>
      </c>
      <c r="CKF9" s="26">
        <f>IF(CKF7=0,0,IF(MAX($F9:CKE9)=$D12,0,CKE9+1))</f>
        <v>0</v>
      </c>
      <c r="CKG9" s="26">
        <f>IF(CKG7=0,0,IF(MAX($F9:CKF9)=$D12,0,CKF9+1))</f>
        <v>0</v>
      </c>
      <c r="CKH9" s="26">
        <f>IF(CKH7=0,0,IF(MAX($F9:CKG9)=$D12,0,CKG9+1))</f>
        <v>0</v>
      </c>
      <c r="CKI9" s="26">
        <f>IF(CKI7=0,0,IF(MAX($F9:CKH9)=$D12,0,CKH9+1))</f>
        <v>0</v>
      </c>
      <c r="CKJ9" s="26">
        <f>IF(CKJ7=0,0,IF(MAX($F9:CKI9)=$D12,0,CKI9+1))</f>
        <v>0</v>
      </c>
      <c r="CKK9" s="26">
        <f>IF(CKK7=0,0,IF(MAX($F9:CKJ9)=$D12,0,CKJ9+1))</f>
        <v>0</v>
      </c>
      <c r="CKL9" s="26">
        <f>IF(CKL7=0,0,IF(MAX($F9:CKK9)=$D12,0,CKK9+1))</f>
        <v>0</v>
      </c>
      <c r="CKM9" s="26">
        <f>IF(CKM7=0,0,IF(MAX($F9:CKL9)=$D12,0,CKL9+1))</f>
        <v>0</v>
      </c>
      <c r="CKN9" s="26">
        <f>IF(CKN7=0,0,IF(MAX($F9:CKM9)=$D12,0,CKM9+1))</f>
        <v>0</v>
      </c>
      <c r="CKO9" s="26">
        <f>IF(CKO7=0,0,IF(MAX($F9:CKN9)=$D12,0,CKN9+1))</f>
        <v>0</v>
      </c>
      <c r="CKP9" s="26">
        <f>IF(CKP7=0,0,IF(MAX($F9:CKO9)=$D12,0,CKO9+1))</f>
        <v>0</v>
      </c>
      <c r="CKQ9" s="26">
        <f>IF(CKQ7=0,0,IF(MAX($F9:CKP9)=$D12,0,CKP9+1))</f>
        <v>0</v>
      </c>
      <c r="CKR9" s="26">
        <f>IF(CKR7=0,0,IF(MAX($F9:CKQ9)=$D12,0,CKQ9+1))</f>
        <v>0</v>
      </c>
      <c r="CKS9" s="26">
        <f>IF(CKS7=0,0,IF(MAX($F9:CKR9)=$D12,0,CKR9+1))</f>
        <v>0</v>
      </c>
      <c r="CKT9" s="26">
        <f>IF(CKT7=0,0,IF(MAX($F9:CKS9)=$D12,0,CKS9+1))</f>
        <v>0</v>
      </c>
      <c r="CKU9" s="26">
        <f>IF(CKU7=0,0,IF(MAX($F9:CKT9)=$D12,0,CKT9+1))</f>
        <v>0</v>
      </c>
      <c r="CKV9" s="26">
        <f>IF(CKV7=0,0,IF(MAX($F9:CKU9)=$D12,0,CKU9+1))</f>
        <v>0</v>
      </c>
      <c r="CKW9" s="26">
        <f>IF(CKW7=0,0,IF(MAX($F9:CKV9)=$D12,0,CKV9+1))</f>
        <v>0</v>
      </c>
      <c r="CKX9" s="26">
        <f>IF(CKX7=0,0,IF(MAX($F9:CKW9)=$D12,0,CKW9+1))</f>
        <v>0</v>
      </c>
      <c r="CKY9" s="26">
        <f>IF(CKY7=0,0,IF(MAX($F9:CKX9)=$D12,0,CKX9+1))</f>
        <v>0</v>
      </c>
      <c r="CKZ9" s="26">
        <f>IF(CKZ7=0,0,IF(MAX($F9:CKY9)=$D12,0,CKY9+1))</f>
        <v>0</v>
      </c>
      <c r="CLA9" s="26">
        <f>IF(CLA7=0,0,IF(MAX($F9:CKZ9)=$D12,0,CKZ9+1))</f>
        <v>0</v>
      </c>
      <c r="CLB9" s="26">
        <f>IF(CLB7=0,0,IF(MAX($F9:CLA9)=$D12,0,CLA9+1))</f>
        <v>0</v>
      </c>
      <c r="CLC9" s="26">
        <f>IF(CLC7=0,0,IF(MAX($F9:CLB9)=$D12,0,CLB9+1))</f>
        <v>0</v>
      </c>
      <c r="CLD9" s="26">
        <f>IF(CLD7=0,0,IF(MAX($F9:CLC9)=$D12,0,CLC9+1))</f>
        <v>0</v>
      </c>
      <c r="CLE9" s="26">
        <f>IF(CLE7=0,0,IF(MAX($F9:CLD9)=$D12,0,CLD9+1))</f>
        <v>0</v>
      </c>
      <c r="CLF9" s="26">
        <f>IF(CLF7=0,0,IF(MAX($F9:CLE9)=$D12,0,CLE9+1))</f>
        <v>0</v>
      </c>
      <c r="CLG9" s="26">
        <f>IF(CLG7=0,0,IF(MAX($F9:CLF9)=$D12,0,CLF9+1))</f>
        <v>0</v>
      </c>
      <c r="CLH9" s="26">
        <f>IF(CLH7=0,0,IF(MAX($F9:CLG9)=$D12,0,CLG9+1))</f>
        <v>0</v>
      </c>
      <c r="CLI9" s="26">
        <f>IF(CLI7=0,0,IF(MAX($F9:CLH9)=$D12,0,CLH9+1))</f>
        <v>0</v>
      </c>
      <c r="CLJ9" s="26">
        <f>IF(CLJ7=0,0,IF(MAX($F9:CLI9)=$D12,0,CLI9+1))</f>
        <v>0</v>
      </c>
      <c r="CLK9" s="26">
        <f>IF(CLK7=0,0,IF(MAX($F9:CLJ9)=$D12,0,CLJ9+1))</f>
        <v>0</v>
      </c>
      <c r="CLL9" s="26">
        <f>IF(CLL7=0,0,IF(MAX($F9:CLK9)=$D12,0,CLK9+1))</f>
        <v>0</v>
      </c>
      <c r="CLM9" s="26">
        <f>IF(CLM7=0,0,IF(MAX($F9:CLL9)=$D12,0,CLL9+1))</f>
        <v>0</v>
      </c>
      <c r="CLN9" s="26">
        <f>IF(CLN7=0,0,IF(MAX($F9:CLM9)=$D12,0,CLM9+1))</f>
        <v>0</v>
      </c>
      <c r="CLO9" s="26">
        <f>IF(CLO7=0,0,IF(MAX($F9:CLN9)=$D12,0,CLN9+1))</f>
        <v>0</v>
      </c>
      <c r="CLP9" s="26">
        <f>IF(CLP7=0,0,IF(MAX($F9:CLO9)=$D12,0,CLO9+1))</f>
        <v>0</v>
      </c>
      <c r="CLQ9" s="26">
        <f>IF(CLQ7=0,0,IF(MAX($F9:CLP9)=$D12,0,CLP9+1))</f>
        <v>0</v>
      </c>
      <c r="CLR9" s="26">
        <f>IF(CLR7=0,0,IF(MAX($F9:CLQ9)=$D12,0,CLQ9+1))</f>
        <v>0</v>
      </c>
      <c r="CLS9" s="26">
        <f>IF(CLS7=0,0,IF(MAX($F9:CLR9)=$D12,0,CLR9+1))</f>
        <v>0</v>
      </c>
      <c r="CLT9" s="26">
        <f>IF(CLT7=0,0,IF(MAX($F9:CLS9)=$D12,0,CLS9+1))</f>
        <v>0</v>
      </c>
      <c r="CLU9" s="26">
        <f>IF(CLU7=0,0,IF(MAX($F9:CLT9)=$D12,0,CLT9+1))</f>
        <v>0</v>
      </c>
      <c r="CLV9" s="26">
        <f>IF(CLV7=0,0,IF(MAX($F9:CLU9)=$D12,0,CLU9+1))</f>
        <v>0</v>
      </c>
      <c r="CLW9" s="26">
        <f>IF(CLW7=0,0,IF(MAX($F9:CLV9)=$D12,0,CLV9+1))</f>
        <v>0</v>
      </c>
      <c r="CLX9" s="26">
        <f>IF(CLX7=0,0,IF(MAX($F9:CLW9)=$D12,0,CLW9+1))</f>
        <v>0</v>
      </c>
      <c r="CLY9" s="26">
        <f>IF(CLY7=0,0,IF(MAX($F9:CLX9)=$D12,0,CLX9+1))</f>
        <v>0</v>
      </c>
      <c r="CLZ9" s="26">
        <f>IF(CLZ7=0,0,IF(MAX($F9:CLY9)=$D12,0,CLY9+1))</f>
        <v>0</v>
      </c>
      <c r="CMA9" s="26">
        <f>IF(CMA7=0,0,IF(MAX($F9:CLZ9)=$D12,0,CLZ9+1))</f>
        <v>0</v>
      </c>
      <c r="CMB9" s="26">
        <f>IF(CMB7=0,0,IF(MAX($F9:CMA9)=$D12,0,CMA9+1))</f>
        <v>0</v>
      </c>
      <c r="CMC9" s="26">
        <f>IF(CMC7=0,0,IF(MAX($F9:CMB9)=$D12,0,CMB9+1))</f>
        <v>0</v>
      </c>
      <c r="CMD9" s="26">
        <f>IF(CMD7=0,0,IF(MAX($F9:CMC9)=$D12,0,CMC9+1))</f>
        <v>0</v>
      </c>
      <c r="CME9" s="26">
        <f>IF(CME7=0,0,IF(MAX($F9:CMD9)=$D12,0,CMD9+1))</f>
        <v>0</v>
      </c>
      <c r="CMF9" s="26">
        <f>IF(CMF7=0,0,IF(MAX($F9:CME9)=$D12,0,CME9+1))</f>
        <v>0</v>
      </c>
      <c r="CMG9" s="26">
        <f>IF(CMG7=0,0,IF(MAX($F9:CMF9)=$D12,0,CMF9+1))</f>
        <v>0</v>
      </c>
      <c r="CMH9" s="26">
        <f>IF(CMH7=0,0,IF(MAX($F9:CMG9)=$D12,0,CMG9+1))</f>
        <v>0</v>
      </c>
      <c r="CMI9" s="26">
        <f>IF(CMI7=0,0,IF(MAX($F9:CMH9)=$D12,0,CMH9+1))</f>
        <v>0</v>
      </c>
      <c r="CMJ9" s="26">
        <f>IF(CMJ7=0,0,IF(MAX($F9:CMI9)=$D12,0,CMI9+1))</f>
        <v>0</v>
      </c>
      <c r="CMK9" s="26">
        <f>IF(CMK7=0,0,IF(MAX($F9:CMJ9)=$D12,0,CMJ9+1))</f>
        <v>0</v>
      </c>
      <c r="CML9" s="26">
        <f>IF(CML7=0,0,IF(MAX($F9:CMK9)=$D12,0,CMK9+1))</f>
        <v>0</v>
      </c>
      <c r="CMM9" s="26">
        <f>IF(CMM7=0,0,IF(MAX($F9:CML9)=$D12,0,CML9+1))</f>
        <v>0</v>
      </c>
      <c r="CMN9" s="26">
        <f>IF(CMN7=0,0,IF(MAX($F9:CMM9)=$D12,0,CMM9+1))</f>
        <v>0</v>
      </c>
      <c r="CMO9" s="26">
        <f>IF(CMO7=0,0,IF(MAX($F9:CMN9)=$D12,0,CMN9+1))</f>
        <v>0</v>
      </c>
      <c r="CMP9" s="26">
        <f>IF(CMP7=0,0,IF(MAX($F9:CMO9)=$D12,0,CMO9+1))</f>
        <v>0</v>
      </c>
      <c r="CMQ9" s="26">
        <f>IF(CMQ7=0,0,IF(MAX($F9:CMP9)=$D12,0,CMP9+1))</f>
        <v>0</v>
      </c>
      <c r="CMR9" s="26">
        <f>IF(CMR7=0,0,IF(MAX($F9:CMQ9)=$D12,0,CMQ9+1))</f>
        <v>0</v>
      </c>
      <c r="CMS9" s="26">
        <f>IF(CMS7=0,0,IF(MAX($F9:CMR9)=$D12,0,CMR9+1))</f>
        <v>0</v>
      </c>
      <c r="CMT9" s="26">
        <f>IF(CMT7=0,0,IF(MAX($F9:CMS9)=$D12,0,CMS9+1))</f>
        <v>0</v>
      </c>
      <c r="CMU9" s="26">
        <f>IF(CMU7=0,0,IF(MAX($F9:CMT9)=$D12,0,CMT9+1))</f>
        <v>0</v>
      </c>
      <c r="CMV9" s="26">
        <f>IF(CMV7=0,0,IF(MAX($F9:CMU9)=$D12,0,CMU9+1))</f>
        <v>0</v>
      </c>
      <c r="CMW9" s="26">
        <f>IF(CMW7=0,0,IF(MAX($F9:CMV9)=$D12,0,CMV9+1))</f>
        <v>0</v>
      </c>
      <c r="CMX9" s="26">
        <f>IF(CMX7=0,0,IF(MAX($F9:CMW9)=$D12,0,CMW9+1))</f>
        <v>0</v>
      </c>
      <c r="CMY9" s="26">
        <f>IF(CMY7=0,0,IF(MAX($F9:CMX9)=$D12,0,CMX9+1))</f>
        <v>0</v>
      </c>
      <c r="CMZ9" s="26">
        <f>IF(CMZ7=0,0,IF(MAX($F9:CMY9)=$D12,0,CMY9+1))</f>
        <v>0</v>
      </c>
      <c r="CNA9" s="26">
        <f>IF(CNA7=0,0,IF(MAX($F9:CMZ9)=$D12,0,CMZ9+1))</f>
        <v>0</v>
      </c>
      <c r="CNB9" s="26">
        <f>IF(CNB7=0,0,IF(MAX($F9:CNA9)=$D12,0,CNA9+1))</f>
        <v>0</v>
      </c>
      <c r="CNC9" s="26">
        <f>IF(CNC7=0,0,IF(MAX($F9:CNB9)=$D12,0,CNB9+1))</f>
        <v>0</v>
      </c>
      <c r="CND9" s="26">
        <f>IF(CND7=0,0,IF(MAX($F9:CNC9)=$D12,0,CNC9+1))</f>
        <v>0</v>
      </c>
      <c r="CNE9" s="26">
        <f>IF(CNE7=0,0,IF(MAX($F9:CND9)=$D12,0,CND9+1))</f>
        <v>0</v>
      </c>
      <c r="CNF9" s="26">
        <f>IF(CNF7=0,0,IF(MAX($F9:CNE9)=$D12,0,CNE9+1))</f>
        <v>0</v>
      </c>
      <c r="CNG9" s="26">
        <f>IF(CNG7=0,0,IF(MAX($F9:CNF9)=$D12,0,CNF9+1))</f>
        <v>0</v>
      </c>
      <c r="CNH9" s="26">
        <f>IF(CNH7=0,0,IF(MAX($F9:CNG9)=$D12,0,CNG9+1))</f>
        <v>0</v>
      </c>
      <c r="CNI9" s="26">
        <f>IF(CNI7=0,0,IF(MAX($F9:CNH9)=$D12,0,CNH9+1))</f>
        <v>0</v>
      </c>
      <c r="CNJ9" s="26">
        <f>IF(CNJ7=0,0,IF(MAX($F9:CNI9)=$D12,0,CNI9+1))</f>
        <v>0</v>
      </c>
      <c r="CNK9" s="26">
        <f>IF(CNK7=0,0,IF(MAX($F9:CNJ9)=$D12,0,CNJ9+1))</f>
        <v>0</v>
      </c>
      <c r="CNL9" s="26">
        <f>IF(CNL7=0,0,IF(MAX($F9:CNK9)=$D12,0,CNK9+1))</f>
        <v>0</v>
      </c>
      <c r="CNM9" s="26">
        <f>IF(CNM7=0,0,IF(MAX($F9:CNL9)=$D12,0,CNL9+1))</f>
        <v>0</v>
      </c>
      <c r="CNN9" s="26">
        <f>IF(CNN7=0,0,IF(MAX($F9:CNM9)=$D12,0,CNM9+1))</f>
        <v>0</v>
      </c>
      <c r="CNO9" s="26">
        <f>IF(CNO7=0,0,IF(MAX($F9:CNN9)=$D12,0,CNN9+1))</f>
        <v>0</v>
      </c>
      <c r="CNP9" s="26">
        <f>IF(CNP7=0,0,IF(MAX($F9:CNO9)=$D12,0,CNO9+1))</f>
        <v>0</v>
      </c>
      <c r="CNQ9" s="26">
        <f>IF(CNQ7=0,0,IF(MAX($F9:CNP9)=$D12,0,CNP9+1))</f>
        <v>0</v>
      </c>
      <c r="CNR9" s="26">
        <f>IF(CNR7=0,0,IF(MAX($F9:CNQ9)=$D12,0,CNQ9+1))</f>
        <v>0</v>
      </c>
      <c r="CNS9" s="26">
        <f>IF(CNS7=0,0,IF(MAX($F9:CNR9)=$D12,0,CNR9+1))</f>
        <v>0</v>
      </c>
      <c r="CNT9" s="26">
        <f>IF(CNT7=0,0,IF(MAX($F9:CNS9)=$D12,0,CNS9+1))</f>
        <v>0</v>
      </c>
      <c r="CNU9" s="26">
        <f>IF(CNU7=0,0,IF(MAX($F9:CNT9)=$D12,0,CNT9+1))</f>
        <v>0</v>
      </c>
      <c r="CNV9" s="26">
        <f>IF(CNV7=0,0,IF(MAX($F9:CNU9)=$D12,0,CNU9+1))</f>
        <v>0</v>
      </c>
      <c r="CNW9" s="26">
        <f>IF(CNW7=0,0,IF(MAX($F9:CNV9)=$D12,0,CNV9+1))</f>
        <v>0</v>
      </c>
      <c r="CNX9" s="26">
        <f>IF(CNX7=0,0,IF(MAX($F9:CNW9)=$D12,0,CNW9+1))</f>
        <v>0</v>
      </c>
      <c r="CNY9" s="26">
        <f>IF(CNY7=0,0,IF(MAX($F9:CNX9)=$D12,0,CNX9+1))</f>
        <v>0</v>
      </c>
      <c r="CNZ9" s="26">
        <f>IF(CNZ7=0,0,IF(MAX($F9:CNY9)=$D12,0,CNY9+1))</f>
        <v>0</v>
      </c>
      <c r="COA9" s="26">
        <f>IF(COA7=0,0,IF(MAX($F9:CNZ9)=$D12,0,CNZ9+1))</f>
        <v>0</v>
      </c>
      <c r="COB9" s="26">
        <f>IF(COB7=0,0,IF(MAX($F9:COA9)=$D12,0,COA9+1))</f>
        <v>0</v>
      </c>
      <c r="COC9" s="26">
        <f>IF(COC7=0,0,IF(MAX($F9:COB9)=$D12,0,COB9+1))</f>
        <v>0</v>
      </c>
      <c r="COD9" s="26">
        <f>IF(COD7=0,0,IF(MAX($F9:COC9)=$D12,0,COC9+1))</f>
        <v>0</v>
      </c>
      <c r="COE9" s="26">
        <f>IF(COE7=0,0,IF(MAX($F9:COD9)=$D12,0,COD9+1))</f>
        <v>0</v>
      </c>
      <c r="COF9" s="26">
        <f>IF(COF7=0,0,IF(MAX($F9:COE9)=$D12,0,COE9+1))</f>
        <v>0</v>
      </c>
      <c r="COG9" s="26">
        <f>IF(COG7=0,0,IF(MAX($F9:COF9)=$D12,0,COF9+1))</f>
        <v>0</v>
      </c>
      <c r="COH9" s="26">
        <f>IF(COH7=0,0,IF(MAX($F9:COG9)=$D12,0,COG9+1))</f>
        <v>0</v>
      </c>
      <c r="COI9" s="26">
        <f>IF(COI7=0,0,IF(MAX($F9:COH9)=$D12,0,COH9+1))</f>
        <v>0</v>
      </c>
      <c r="COJ9" s="26">
        <f>IF(COJ7=0,0,IF(MAX($F9:COI9)=$D12,0,COI9+1))</f>
        <v>0</v>
      </c>
      <c r="COK9" s="26">
        <f>IF(COK7=0,0,IF(MAX($F9:COJ9)=$D12,0,COJ9+1))</f>
        <v>0</v>
      </c>
      <c r="COL9" s="26">
        <f>IF(COL7=0,0,IF(MAX($F9:COK9)=$D12,0,COK9+1))</f>
        <v>0</v>
      </c>
      <c r="COM9" s="26">
        <f>IF(COM7=0,0,IF(MAX($F9:COL9)=$D12,0,COL9+1))</f>
        <v>0</v>
      </c>
      <c r="CON9" s="26">
        <f>IF(CON7=0,0,IF(MAX($F9:COM9)=$D12,0,COM9+1))</f>
        <v>0</v>
      </c>
      <c r="COO9" s="26">
        <f>IF(COO7=0,0,IF(MAX($F9:CON9)=$D12,0,CON9+1))</f>
        <v>0</v>
      </c>
      <c r="COP9" s="26">
        <f>IF(COP7=0,0,IF(MAX($F9:COO9)=$D12,0,COO9+1))</f>
        <v>0</v>
      </c>
      <c r="COQ9" s="26">
        <f>IF(COQ7=0,0,IF(MAX($F9:COP9)=$D12,0,COP9+1))</f>
        <v>0</v>
      </c>
      <c r="COR9" s="26">
        <f>IF(COR7=0,0,IF(MAX($F9:COQ9)=$D12,0,COQ9+1))</f>
        <v>0</v>
      </c>
      <c r="COS9" s="26">
        <f>IF(COS7=0,0,IF(MAX($F9:COR9)=$D12,0,COR9+1))</f>
        <v>0</v>
      </c>
      <c r="COT9" s="26">
        <f>IF(COT7=0,0,IF(MAX($F9:COS9)=$D12,0,COS9+1))</f>
        <v>0</v>
      </c>
      <c r="COU9" s="26">
        <f>IF(COU7=0,0,IF(MAX($F9:COT9)=$D12,0,COT9+1))</f>
        <v>0</v>
      </c>
      <c r="COV9" s="26">
        <f>IF(COV7=0,0,IF(MAX($F9:COU9)=$D12,0,COU9+1))</f>
        <v>0</v>
      </c>
      <c r="COW9" s="26">
        <f>IF(COW7=0,0,IF(MAX($F9:COV9)=$D12,0,COV9+1))</f>
        <v>0</v>
      </c>
      <c r="COX9" s="26">
        <f>IF(COX7=0,0,IF(MAX($F9:COW9)=$D12,0,COW9+1))</f>
        <v>0</v>
      </c>
      <c r="COY9" s="26">
        <f>IF(COY7=0,0,IF(MAX($F9:COX9)=$D12,0,COX9+1))</f>
        <v>0</v>
      </c>
      <c r="COZ9" s="26">
        <f>IF(COZ7=0,0,IF(MAX($F9:COY9)=$D12,0,COY9+1))</f>
        <v>0</v>
      </c>
      <c r="CPA9" s="26">
        <f>IF(CPA7=0,0,IF(MAX($F9:COZ9)=$D12,0,COZ9+1))</f>
        <v>0</v>
      </c>
      <c r="CPB9" s="26">
        <f>IF(CPB7=0,0,IF(MAX($F9:CPA9)=$D12,0,CPA9+1))</f>
        <v>0</v>
      </c>
      <c r="CPC9" s="26">
        <f>IF(CPC7=0,0,IF(MAX($F9:CPB9)=$D12,0,CPB9+1))</f>
        <v>0</v>
      </c>
      <c r="CPD9" s="26">
        <f>IF(CPD7=0,0,IF(MAX($F9:CPC9)=$D12,0,CPC9+1))</f>
        <v>0</v>
      </c>
      <c r="CPE9" s="26">
        <f>IF(CPE7=0,0,IF(MAX($F9:CPD9)=$D12,0,CPD9+1))</f>
        <v>0</v>
      </c>
      <c r="CPF9" s="26">
        <f>IF(CPF7=0,0,IF(MAX($F9:CPE9)=$D12,0,CPE9+1))</f>
        <v>0</v>
      </c>
      <c r="CPG9" s="26">
        <f>IF(CPG7=0,0,IF(MAX($F9:CPF9)=$D12,0,CPF9+1))</f>
        <v>0</v>
      </c>
      <c r="CPH9" s="26">
        <f>IF(CPH7=0,0,IF(MAX($F9:CPG9)=$D12,0,CPG9+1))</f>
        <v>0</v>
      </c>
      <c r="CPI9" s="26">
        <f>IF(CPI7=0,0,IF(MAX($F9:CPH9)=$D12,0,CPH9+1))</f>
        <v>0</v>
      </c>
      <c r="CPJ9" s="26">
        <f>IF(CPJ7=0,0,IF(MAX($F9:CPI9)=$D12,0,CPI9+1))</f>
        <v>0</v>
      </c>
      <c r="CPK9" s="26">
        <f>IF(CPK7=0,0,IF(MAX($F9:CPJ9)=$D12,0,CPJ9+1))</f>
        <v>0</v>
      </c>
      <c r="CPL9" s="26">
        <f>IF(CPL7=0,0,IF(MAX($F9:CPK9)=$D12,0,CPK9+1))</f>
        <v>0</v>
      </c>
      <c r="CPM9" s="26">
        <f>IF(CPM7=0,0,IF(MAX($F9:CPL9)=$D12,0,CPL9+1))</f>
        <v>0</v>
      </c>
      <c r="CPN9" s="26">
        <f>IF(CPN7=0,0,IF(MAX($F9:CPM9)=$D12,0,CPM9+1))</f>
        <v>0</v>
      </c>
      <c r="CPO9" s="26">
        <f>IF(CPO7=0,0,IF(MAX($F9:CPN9)=$D12,0,CPN9+1))</f>
        <v>0</v>
      </c>
      <c r="CPP9" s="26">
        <f>IF(CPP7=0,0,IF(MAX($F9:CPO9)=$D12,0,CPO9+1))</f>
        <v>0</v>
      </c>
      <c r="CPQ9" s="26">
        <f>IF(CPQ7=0,0,IF(MAX($F9:CPP9)=$D12,0,CPP9+1))</f>
        <v>0</v>
      </c>
      <c r="CPR9" s="26">
        <f>IF(CPR7=0,0,IF(MAX($F9:CPQ9)=$D12,0,CPQ9+1))</f>
        <v>0</v>
      </c>
      <c r="CPS9" s="26">
        <f>IF(CLP7=0,0,IF(MAX($F9:CPR9)=$D12,0,CPR9+1))</f>
        <v>0</v>
      </c>
      <c r="CPT9" s="26">
        <f>IF(CPT7=0,0,IF(MAX($F9:CLP9)=$D12,0,CLP9+1))</f>
        <v>0</v>
      </c>
      <c r="CPU9" s="26">
        <f>IF(CPU7=0,0,IF(MAX($F9:CPT9)=$D12,0,CPT9+1))</f>
        <v>0</v>
      </c>
      <c r="CPV9" s="26">
        <f>IF(CPV7=0,0,IF(MAX($F9:CPU9)=$D12,0,CPU9+1))</f>
        <v>0</v>
      </c>
      <c r="CPW9" s="26">
        <f>IF(CPW7=0,0,IF(MAX($F9:CPV9)=$D12,0,CPV9+1))</f>
        <v>0</v>
      </c>
      <c r="CPX9" s="26">
        <f>IF(CPX7=0,0,IF(MAX($F9:CPW9)=$D12,0,CPW9+1))</f>
        <v>0</v>
      </c>
      <c r="CPY9" s="26">
        <f>IF(CPY7=0,0,IF(MAX($F9:CPX9)=$D12,0,CPX9+1))</f>
        <v>0</v>
      </c>
      <c r="CPZ9" s="26">
        <f>IF(CPZ7=0,0,IF(MAX($F9:CPY9)=$D12,0,CPY9+1))</f>
        <v>0</v>
      </c>
      <c r="CQA9" s="26">
        <f>IF(CQA7=0,0,IF(MAX($F9:CPZ9)=$D12,0,CPZ9+1))</f>
        <v>0</v>
      </c>
      <c r="CQB9" s="26">
        <f>IF(CQB7=0,0,IF(MAX($F9:CQA9)=$D12,0,CQA9+1))</f>
        <v>0</v>
      </c>
      <c r="CQC9" s="26">
        <f>IF(CQC7=0,0,IF(MAX($F9:CQB9)=$D12,0,CQB9+1))</f>
        <v>0</v>
      </c>
      <c r="CQD9" s="26">
        <f>IF(CQD7=0,0,IF(MAX($F9:CQC9)=$D12,0,CQC9+1))</f>
        <v>0</v>
      </c>
      <c r="CQE9" s="26">
        <f>IF(CQE7=0,0,IF(MAX($F9:CQD9)=$D12,0,CQD9+1))</f>
        <v>0</v>
      </c>
      <c r="CQF9" s="26">
        <f>IF(CQF7=0,0,IF(MAX($F9:CQE9)=$D12,0,CQE9+1))</f>
        <v>0</v>
      </c>
      <c r="CQG9" s="26">
        <f>IF(CQG7=0,0,IF(MAX($F9:CQF9)=$D12,0,CQF9+1))</f>
        <v>0</v>
      </c>
      <c r="CQH9" s="26">
        <f>IF(CQH7=0,0,IF(MAX($F9:CQG9)=$D12,0,CQG9+1))</f>
        <v>0</v>
      </c>
      <c r="CQI9" s="26">
        <f>IF(CQI7=0,0,IF(MAX($F9:CQH9)=$D12,0,CQH9+1))</f>
        <v>0</v>
      </c>
      <c r="CQJ9" s="26">
        <f>IF(CQJ7=0,0,IF(MAX($F9:CQI9)=$D12,0,CQI9+1))</f>
        <v>0</v>
      </c>
      <c r="CQK9" s="26">
        <f>IF(CQK7=0,0,IF(MAX($F9:CQJ9)=$D12,0,CQJ9+1))</f>
        <v>0</v>
      </c>
      <c r="CQL9" s="26">
        <f>IF(CQL7=0,0,IF(MAX($F9:CQK9)=$D12,0,CQK9+1))</f>
        <v>0</v>
      </c>
      <c r="CQM9" s="26">
        <f>IF(CQM7=0,0,IF(MAX($F9:CQL9)=$D12,0,CQL9+1))</f>
        <v>0</v>
      </c>
      <c r="CQN9" s="26">
        <f>IF(CQN7=0,0,IF(MAX($F9:CQM9)=$D12,0,CQM9+1))</f>
        <v>0</v>
      </c>
      <c r="CQO9" s="26">
        <f>IF(CQO7=0,0,IF(MAX($F9:CQN9)=$D12,0,CQN9+1))</f>
        <v>0</v>
      </c>
      <c r="CQP9" s="26">
        <f>IF(CQP7=0,0,IF(MAX($F9:CQO9)=$D12,0,CQO9+1))</f>
        <v>0</v>
      </c>
      <c r="CQQ9" s="26">
        <f>IF(CQQ7=0,0,IF(MAX($F9:CQP9)=$D12,0,CQP9+1))</f>
        <v>0</v>
      </c>
      <c r="CQR9" s="26">
        <f>IF(CQR7=0,0,IF(MAX($F9:CQQ9)=$D12,0,CQQ9+1))</f>
        <v>0</v>
      </c>
      <c r="CQS9" s="26">
        <f>IF(CQS7=0,0,IF(MAX($F9:CQR9)=$D12,0,CQR9+1))</f>
        <v>0</v>
      </c>
      <c r="CQT9" s="26">
        <f>IF(CQT7=0,0,IF(MAX($F9:CQS9)=$D12,0,CQS9+1))</f>
        <v>0</v>
      </c>
      <c r="CQU9" s="26">
        <f>IF(CQU7=0,0,IF(MAX($F9:CQT9)=$D12,0,CQT9+1))</f>
        <v>0</v>
      </c>
      <c r="CQV9" s="26">
        <f>IF(CQV7=0,0,IF(MAX($F9:CQU9)=$D12,0,CQU9+1))</f>
        <v>0</v>
      </c>
      <c r="CQW9" s="26">
        <f>IF(CQW7=0,0,IF(MAX($F9:CQV9)=$D12,0,CQV9+1))</f>
        <v>0</v>
      </c>
      <c r="CQX9" s="26">
        <f>IF(CQX7=0,0,IF(MAX($F9:CQW9)=$D12,0,CQW9+1))</f>
        <v>0</v>
      </c>
      <c r="CQY9" s="26">
        <f>IF(CQY7=0,0,IF(MAX($F9:CQX9)=$D12,0,CQX9+1))</f>
        <v>0</v>
      </c>
      <c r="CQZ9" s="26">
        <f>IF(CQZ7=0,0,IF(MAX($F9:CQY9)=$D12,0,CQY9+1))</f>
        <v>0</v>
      </c>
      <c r="CRA9" s="26">
        <f>IF(CRA7=0,0,IF(MAX($F9:CQZ9)=$D12,0,CQZ9+1))</f>
        <v>0</v>
      </c>
      <c r="CRB9" s="26">
        <f>IF(CRB7=0,0,IF(MAX($F9:CRA9)=$D12,0,CRA9+1))</f>
        <v>0</v>
      </c>
      <c r="CRC9" s="26">
        <f>IF(CRC7=0,0,IF(MAX($F9:CRB9)=$D12,0,CRB9+1))</f>
        <v>0</v>
      </c>
      <c r="CRD9" s="26">
        <f>IF(CRD7=0,0,IF(MAX($F9:CRC9)=$D12,0,CRC9+1))</f>
        <v>0</v>
      </c>
      <c r="CRE9" s="26">
        <f>IF(CRE7=0,0,IF(MAX($F9:CRD9)=$D12,0,CRD9+1))</f>
        <v>0</v>
      </c>
      <c r="CRF9" s="26">
        <f>IF(CRF7=0,0,IF(MAX($F9:CRE9)=$D12,0,CRE9+1))</f>
        <v>0</v>
      </c>
      <c r="CRG9" s="26">
        <f>IF(CRG7=0,0,IF(MAX($F9:CRF9)=$D12,0,CRF9+1))</f>
        <v>0</v>
      </c>
      <c r="CRH9" s="26">
        <f>IF(CRH7=0,0,IF(MAX($F9:CRG9)=$D12,0,CRG9+1))</f>
        <v>0</v>
      </c>
      <c r="CRI9" s="26">
        <f>IF(CRI7=0,0,IF(MAX($F9:CRH9)=$D12,0,CRH9+1))</f>
        <v>0</v>
      </c>
      <c r="CRJ9" s="26">
        <f>IF(CRJ7=0,0,IF(MAX($F9:CRI9)=$D12,0,CRI9+1))</f>
        <v>0</v>
      </c>
      <c r="CRK9" s="26">
        <f>IF(CRK7=0,0,IF(MAX($F9:CRJ9)=$D12,0,CRJ9+1))</f>
        <v>0</v>
      </c>
      <c r="CRL9" s="26">
        <f>IF(CRL7=0,0,IF(MAX($F9:CRK9)=$D12,0,CRK9+1))</f>
        <v>0</v>
      </c>
      <c r="CRM9" s="26">
        <f>IF(CRM7=0,0,IF(MAX($F9:CRL9)=$D12,0,CRL9+1))</f>
        <v>0</v>
      </c>
      <c r="CRN9" s="26">
        <f>IF(CRN7=0,0,IF(MAX($F9:CRM9)=$D12,0,CRM9+1))</f>
        <v>0</v>
      </c>
      <c r="CRO9" s="26">
        <f>IF(CRO7=0,0,IF(MAX($F9:CRN9)=$D12,0,CRN9+1))</f>
        <v>0</v>
      </c>
      <c r="CRP9" s="26">
        <f>IF(CRP7=0,0,IF(MAX($F9:CRO9)=$D12,0,CRO9+1))</f>
        <v>0</v>
      </c>
      <c r="CRQ9" s="26">
        <f>IF(CRQ7=0,0,IF(MAX($F9:CRP9)=$D12,0,CRP9+1))</f>
        <v>0</v>
      </c>
      <c r="CRR9" s="26">
        <f>IF(CRR7=0,0,IF(MAX($F9:CRQ9)=$D12,0,CRQ9+1))</f>
        <v>0</v>
      </c>
      <c r="CRS9" s="26">
        <f>IF(CRS7=0,0,IF(MAX($F9:CRR9)=$D12,0,CRR9+1))</f>
        <v>0</v>
      </c>
      <c r="CRT9" s="26">
        <f>IF(CRT7=0,0,IF(MAX($F9:CRS9)=$D12,0,CRS9+1))</f>
        <v>0</v>
      </c>
      <c r="CRU9" s="26">
        <f>IF(CRU7=0,0,IF(MAX($F9:CRT9)=$D12,0,CRT9+1))</f>
        <v>0</v>
      </c>
      <c r="CRV9" s="26">
        <f>IF(CRV7=0,0,IF(MAX($F9:CRU9)=$D12,0,CRU9+1))</f>
        <v>0</v>
      </c>
      <c r="CRW9" s="26">
        <f>IF(CRW7=0,0,IF(MAX($F9:CRV9)=$D12,0,CRV9+1))</f>
        <v>0</v>
      </c>
      <c r="CRX9" s="26">
        <f>IF(CRX7=0,0,IF(MAX($F9:CRW9)=$D12,0,CRW9+1))</f>
        <v>0</v>
      </c>
      <c r="CRY9" s="26">
        <f>IF(CRY7=0,0,IF(MAX($F9:CRX9)=$D12,0,CRX9+1))</f>
        <v>0</v>
      </c>
      <c r="CRZ9" s="26">
        <f>IF(CRZ7=0,0,IF(MAX($F9:CRY9)=$D12,0,CRY9+1))</f>
        <v>0</v>
      </c>
      <c r="CSA9" s="26">
        <f>IF(CSA7=0,0,IF(MAX($F9:CRZ9)=$D12,0,CRZ9+1))</f>
        <v>0</v>
      </c>
      <c r="CSB9" s="26">
        <f>IF(CSB7=0,0,IF(MAX($F9:CSA9)=$D12,0,CSA9+1))</f>
        <v>0</v>
      </c>
      <c r="CSC9" s="26">
        <f>IF(CSC7=0,0,IF(MAX($F9:CSB9)=$D12,0,CSB9+1))</f>
        <v>0</v>
      </c>
      <c r="CSD9" s="26">
        <f>IF(CSD7=0,0,IF(MAX($F9:CSC9)=$D12,0,CSC9+1))</f>
        <v>0</v>
      </c>
      <c r="CSE9" s="26">
        <f>IF(CSE7=0,0,IF(MAX($F9:CSD9)=$D12,0,CSD9+1))</f>
        <v>0</v>
      </c>
      <c r="CSF9" s="26">
        <f>IF(CSF7=0,0,IF(MAX($F9:CSE9)=$D12,0,CSE9+1))</f>
        <v>0</v>
      </c>
      <c r="CSG9" s="26">
        <f>IF(CSG7=0,0,IF(MAX($F9:CSF9)=$D12,0,CSF9+1))</f>
        <v>0</v>
      </c>
      <c r="CSH9" s="26">
        <f>IF(CSH7=0,0,IF(MAX($F9:CSG9)=$D12,0,CSG9+1))</f>
        <v>0</v>
      </c>
      <c r="CSI9" s="26">
        <f>IF(CSI7=0,0,IF(MAX($F9:CSH9)=$D12,0,CSH9+1))</f>
        <v>0</v>
      </c>
      <c r="CSJ9" s="26">
        <f>IF(CSJ7=0,0,IF(MAX($F9:CSI9)=$D12,0,CSI9+1))</f>
        <v>0</v>
      </c>
      <c r="CSK9" s="26">
        <f>IF(CSK7=0,0,IF(MAX($F9:CSJ9)=$D12,0,CSJ9+1))</f>
        <v>0</v>
      </c>
      <c r="CSL9" s="26">
        <f>IF(CSL7=0,0,IF(MAX($F9:CSK9)=$D12,0,CSK9+1))</f>
        <v>0</v>
      </c>
      <c r="CSM9" s="26">
        <f>IF(CSM7=0,0,IF(MAX($F9:CSL9)=$D12,0,CSL9+1))</f>
        <v>0</v>
      </c>
      <c r="CSN9" s="26">
        <f>IF(CSN7=0,0,IF(MAX($F9:CSM9)=$D12,0,CSM9+1))</f>
        <v>0</v>
      </c>
      <c r="CSO9" s="26">
        <f>IF(CSO7=0,0,IF(MAX($F9:CSN9)=$D12,0,CSN9+1))</f>
        <v>0</v>
      </c>
      <c r="CSP9" s="26">
        <f>IF(CSP7=0,0,IF(MAX($F9:CSO9)=$D12,0,CSO9+1))</f>
        <v>0</v>
      </c>
      <c r="CSQ9" s="26">
        <f>IF(CSQ7=0,0,IF(MAX($F9:CSP9)=$D12,0,CSP9+1))</f>
        <v>0</v>
      </c>
      <c r="CSR9" s="26">
        <f>IF(CSR7=0,0,IF(MAX($F9:CSQ9)=$D12,0,CSQ9+1))</f>
        <v>0</v>
      </c>
      <c r="CSS9" s="26">
        <f>IF(CSS7=0,0,IF(MAX($F9:CSR9)=$D12,0,CSR9+1))</f>
        <v>0</v>
      </c>
      <c r="CST9" s="26">
        <f>IF(CST7=0,0,IF(MAX($F9:CSS9)=$D12,0,CSS9+1))</f>
        <v>0</v>
      </c>
      <c r="CSU9" s="26">
        <f>IF(CSU7=0,0,IF(MAX($F9:CST9)=$D12,0,CST9+1))</f>
        <v>0</v>
      </c>
      <c r="CSV9" s="26">
        <f>IF(CSV7=0,0,IF(MAX($F9:CSU9)=$D12,0,CSU9+1))</f>
        <v>0</v>
      </c>
      <c r="CSW9" s="26">
        <f>IF(CSW7=0,0,IF(MAX($F9:CSV9)=$D12,0,CSV9+1))</f>
        <v>0</v>
      </c>
      <c r="CSX9" s="26">
        <f>IF(CSX7=0,0,IF(MAX($F9:CSW9)=$D12,0,CSW9+1))</f>
        <v>0</v>
      </c>
      <c r="CSY9" s="26">
        <f>IF(CSY7=0,0,IF(MAX($F9:CSX9)=$D12,0,CSX9+1))</f>
        <v>0</v>
      </c>
      <c r="CSZ9" s="26">
        <f>IF(CSZ7=0,0,IF(MAX($F9:CSY9)=$D12,0,CSY9+1))</f>
        <v>0</v>
      </c>
      <c r="CTA9" s="26">
        <f>IF(CTA7=0,0,IF(MAX($F9:CSZ9)=$D12,0,CSZ9+1))</f>
        <v>0</v>
      </c>
      <c r="CTB9" s="26">
        <f>IF(CTB7=0,0,IF(MAX($F9:CTA9)=$D12,0,CTA9+1))</f>
        <v>0</v>
      </c>
      <c r="CTC9" s="26">
        <f>IF(CTC7=0,0,IF(MAX($F9:CTB9)=$D12,0,CTB9+1))</f>
        <v>0</v>
      </c>
      <c r="CTD9" s="26">
        <f>IF(CTD7=0,0,IF(MAX($F9:CTC9)=$D12,0,CTC9+1))</f>
        <v>0</v>
      </c>
      <c r="CTE9" s="26">
        <f>IF(CTE7=0,0,IF(MAX($F9:CTD9)=$D12,0,CTD9+1))</f>
        <v>0</v>
      </c>
      <c r="CTF9" s="26">
        <f>IF(CTF7=0,0,IF(MAX($F9:CTE9)=$D12,0,CTE9+1))</f>
        <v>0</v>
      </c>
      <c r="CTG9" s="26">
        <f>IF(CTG7=0,0,IF(MAX($F9:CTF9)=$D12,0,CTF9+1))</f>
        <v>0</v>
      </c>
      <c r="CTH9" s="26">
        <f>IF(CTH7=0,0,IF(MAX($F9:CTG9)=$D12,0,CTG9+1))</f>
        <v>0</v>
      </c>
      <c r="CTI9" s="26">
        <f>IF(CTI7=0,0,IF(MAX($F9:CTH9)=$D12,0,CTH9+1))</f>
        <v>0</v>
      </c>
      <c r="CTJ9" s="26">
        <f>IF(CTJ7=0,0,IF(MAX($F9:CTI9)=$D12,0,CTI9+1))</f>
        <v>0</v>
      </c>
      <c r="CTK9" s="26">
        <f>IF(CTK7=0,0,IF(MAX($F9:CTJ9)=$D12,0,CTJ9+1))</f>
        <v>0</v>
      </c>
      <c r="CTL9" s="26">
        <f>IF(CTL7=0,0,IF(MAX($F9:CTK9)=$D12,0,CTK9+1))</f>
        <v>0</v>
      </c>
      <c r="CTM9" s="26">
        <f>IF(CTM7=0,0,IF(MAX($F9:CTL9)=$D12,0,CTL9+1))</f>
        <v>0</v>
      </c>
      <c r="CTN9" s="26">
        <f>IF(CTN7=0,0,IF(MAX($F9:CTM9)=$D12,0,CTM9+1))</f>
        <v>0</v>
      </c>
      <c r="CTO9" s="26">
        <f>IF(CTO7=0,0,IF(MAX($F9:CTN9)=$D12,0,CTN9+1))</f>
        <v>0</v>
      </c>
      <c r="CTP9" s="26">
        <f>IF(CTP7=0,0,IF(MAX($F9:CTO9)=$D12,0,CTO9+1))</f>
        <v>0</v>
      </c>
      <c r="CTQ9" s="26">
        <f>IF(CTQ7=0,0,IF(MAX($F9:CTP9)=$D12,0,CTP9+1))</f>
        <v>0</v>
      </c>
      <c r="CTR9" s="26">
        <f>IF(CTR7=0,0,IF(MAX($F9:CTQ9)=$D12,0,CTQ9+1))</f>
        <v>0</v>
      </c>
      <c r="CTS9" s="26">
        <f>IF(CTS7=0,0,IF(MAX($F9:CTR9)=$D12,0,CTR9+1))</f>
        <v>0</v>
      </c>
      <c r="CTT9" s="26">
        <f>IF(CTT7=0,0,IF(MAX($F9:CTS9)=$D12,0,CTS9+1))</f>
        <v>0</v>
      </c>
      <c r="CTU9" s="26">
        <f>IF(CTU7=0,0,IF(MAX($F9:CTT9)=$D12,0,CTT9+1))</f>
        <v>0</v>
      </c>
      <c r="CTV9" s="26">
        <f>IF(CTV7=0,0,IF(MAX($F9:CTU9)=$D12,0,CTU9+1))</f>
        <v>0</v>
      </c>
      <c r="CTW9" s="26">
        <f>IF(CTW7=0,0,IF(MAX($F9:CTV9)=$D12,0,CTV9+1))</f>
        <v>0</v>
      </c>
      <c r="CTX9" s="26">
        <f>IF(CTX7=0,0,IF(MAX($F9:CTW9)=$D12,0,CTW9+1))</f>
        <v>0</v>
      </c>
      <c r="CTY9" s="26">
        <f>IF(CTY7=0,0,IF(MAX($F9:CTX9)=$D12,0,CTX9+1))</f>
        <v>0</v>
      </c>
      <c r="CTZ9" s="26">
        <f>IF(CTZ7=0,0,IF(MAX($F9:CTY9)=$D12,0,CTY9+1))</f>
        <v>0</v>
      </c>
      <c r="CUA9" s="26">
        <f>IF(CUA7=0,0,IF(MAX($F9:CTZ9)=$D12,0,CTZ9+1))</f>
        <v>0</v>
      </c>
      <c r="CUB9" s="26">
        <f>IF(CUB7=0,0,IF(MAX($F9:CUA9)=$D12,0,CUA9+1))</f>
        <v>0</v>
      </c>
      <c r="CUC9" s="26">
        <f>IF(CUC7=0,0,IF(MAX($F9:CUB9)=$D12,0,CUB9+1))</f>
        <v>0</v>
      </c>
      <c r="CUD9" s="26">
        <f>IF(CUD7=0,0,IF(MAX($F9:CUC9)=$D12,0,CUC9+1))</f>
        <v>0</v>
      </c>
      <c r="CUE9" s="26">
        <f>IF(CUE7=0,0,IF(MAX($F9:CUD9)=$D12,0,CUD9+1))</f>
        <v>0</v>
      </c>
      <c r="CUF9" s="26">
        <f>IF(CUF7=0,0,IF(MAX($F9:CUE9)=$D12,0,CUE9+1))</f>
        <v>0</v>
      </c>
      <c r="CUG9" s="26">
        <f>IF(CUG7=0,0,IF(MAX($F9:CUF9)=$D12,0,CUF9+1))</f>
        <v>0</v>
      </c>
      <c r="CUH9" s="26">
        <f>IF(CUH7=0,0,IF(MAX($F9:CUG9)=$D12,0,CUG9+1))</f>
        <v>0</v>
      </c>
      <c r="CUI9" s="26">
        <f>IF(CUI7=0,0,IF(MAX($F9:CUH9)=$D12,0,CUH9+1))</f>
        <v>0</v>
      </c>
      <c r="CUJ9" s="26">
        <f>IF(CUJ7=0,0,IF(MAX($F9:CUI9)=$D12,0,CUI9+1))</f>
        <v>0</v>
      </c>
      <c r="CUK9" s="26">
        <f>IF(CUK7=0,0,IF(MAX($F9:CUJ9)=$D12,0,CUJ9+1))</f>
        <v>0</v>
      </c>
      <c r="CUL9" s="26">
        <f>IF(CUL7=0,0,IF(MAX($F9:CUK9)=$D12,0,CUK9+1))</f>
        <v>0</v>
      </c>
      <c r="CUM9" s="26">
        <f>IF(CUM7=0,0,IF(MAX($F9:CUL9)=$D12,0,CUL9+1))</f>
        <v>0</v>
      </c>
      <c r="CUN9" s="26">
        <f>IF(CUN7=0,0,IF(MAX($F9:CUM9)=$D12,0,CUM9+1))</f>
        <v>0</v>
      </c>
      <c r="CUO9" s="26">
        <f>IF(CUO7=0,0,IF(MAX($F9:CUN9)=$D12,0,CUN9+1))</f>
        <v>0</v>
      </c>
      <c r="CUP9" s="26">
        <f>IF(CUP7=0,0,IF(MAX($F9:CUO9)=$D12,0,CUO9+1))</f>
        <v>0</v>
      </c>
      <c r="CUQ9" s="26">
        <f>IF(CUQ7=0,0,IF(MAX($F9:CUP9)=$D12,0,CUP9+1))</f>
        <v>0</v>
      </c>
      <c r="CUR9" s="26">
        <f>IF(CUR7=0,0,IF(MAX($F9:CUQ9)=$D12,0,CUQ9+1))</f>
        <v>0</v>
      </c>
      <c r="CUS9" s="26">
        <f>IF(CUS7=0,0,IF(MAX($F9:CUR9)=$D12,0,CUR9+1))</f>
        <v>0</v>
      </c>
      <c r="CUT9" s="26">
        <f>IF(CUT7=0,0,IF(MAX($F9:CUS9)=$D12,0,CUS9+1))</f>
        <v>0</v>
      </c>
      <c r="CUU9" s="26">
        <f>IF(CUU7=0,0,IF(MAX($F9:CUT9)=$D12,0,CUT9+1))</f>
        <v>0</v>
      </c>
      <c r="CUV9" s="26">
        <f>IF(CUV7=0,0,IF(MAX($F9:CUU9)=$D12,0,CUU9+1))</f>
        <v>0</v>
      </c>
      <c r="CUW9" s="26">
        <f>IF(CUW7=0,0,IF(MAX($F9:CUV9)=$D12,0,CUV9+1))</f>
        <v>0</v>
      </c>
      <c r="CUX9" s="26">
        <f>IF(CUX7=0,0,IF(MAX($F9:CUW9)=$D12,0,CUW9+1))</f>
        <v>0</v>
      </c>
      <c r="CUY9" s="26">
        <f>IF(CUY7=0,0,IF(MAX($F9:CUX9)=$D12,0,CUX9+1))</f>
        <v>0</v>
      </c>
      <c r="CUZ9" s="26">
        <f>IF(CUZ7=0,0,IF(MAX($F9:CUY9)=$D12,0,CUY9+1))</f>
        <v>0</v>
      </c>
      <c r="CVA9" s="26">
        <f>IF(CVA7=0,0,IF(MAX($F9:CUZ9)=$D12,0,CUZ9+1))</f>
        <v>0</v>
      </c>
      <c r="CVB9" s="26">
        <f>IF(CVB7=0,0,IF(MAX($F9:CVA9)=$D12,0,CVA9+1))</f>
        <v>0</v>
      </c>
      <c r="CVC9" s="26">
        <f>IF(CVC7=0,0,IF(MAX($F9:CVB9)=$D12,0,CVB9+1))</f>
        <v>0</v>
      </c>
      <c r="CVD9" s="26">
        <f>IF(CVD7=0,0,IF(MAX($F9:CVC9)=$D12,0,CVC9+1))</f>
        <v>0</v>
      </c>
      <c r="CVE9" s="26">
        <f>IF(CVE7=0,0,IF(MAX($F9:CVD9)=$D12,0,CVD9+1))</f>
        <v>0</v>
      </c>
      <c r="CVF9" s="26">
        <f>IF(CVF7=0,0,IF(MAX($F9:CVE9)=$D12,0,CVE9+1))</f>
        <v>0</v>
      </c>
      <c r="CVG9" s="26">
        <f>IF(CVG7=0,0,IF(MAX($F9:CVF9)=$D12,0,CVF9+1))</f>
        <v>0</v>
      </c>
      <c r="CVH9" s="26">
        <f>IF(CVH7=0,0,IF(MAX($F9:CVG9)=$D12,0,CVG9+1))</f>
        <v>0</v>
      </c>
      <c r="CVI9" s="26">
        <f>IF(CVI7=0,0,IF(MAX($F9:CVH9)=$D12,0,CVH9+1))</f>
        <v>0</v>
      </c>
      <c r="CVJ9" s="26">
        <f>IF(CVJ7=0,0,IF(MAX($F9:CVI9)=$D12,0,CVI9+1))</f>
        <v>0</v>
      </c>
      <c r="CVK9" s="26">
        <f>IF(CVK7=0,0,IF(MAX($F9:CVJ9)=$D12,0,CVJ9+1))</f>
        <v>0</v>
      </c>
      <c r="CVL9" s="26">
        <f>IF(CVL7=0,0,IF(MAX($F9:CVK9)=$D12,0,CVK9+1))</f>
        <v>0</v>
      </c>
      <c r="CVM9" s="26">
        <f>IF(CVM7=0,0,IF(MAX($F9:CVL9)=$D12,0,CVL9+1))</f>
        <v>0</v>
      </c>
      <c r="CVN9" s="26">
        <f>IF(CVN7=0,0,IF(MAX($F9:CVM9)=$D12,0,CVM9+1))</f>
        <v>0</v>
      </c>
      <c r="CVO9" s="26">
        <f>IF(CVO7=0,0,IF(MAX($F9:CVN9)=$D12,0,CVN9+1))</f>
        <v>0</v>
      </c>
      <c r="CVP9" s="26">
        <f>IF(CVP7=0,0,IF(MAX($F9:CVO9)=$D12,0,CVO9+1))</f>
        <v>0</v>
      </c>
      <c r="CVQ9" s="26">
        <f>IF(CVQ7=0,0,IF(MAX($F9:CVP9)=$D12,0,CVP9+1))</f>
        <v>0</v>
      </c>
      <c r="CVR9" s="26">
        <f>IF(CVR7=0,0,IF(MAX($F9:CVQ9)=$D12,0,CVQ9+1))</f>
        <v>0</v>
      </c>
      <c r="CVS9" s="26">
        <f>IF(CVS7=0,0,IF(MAX($F9:CVR9)=$D12,0,CVR9+1))</f>
        <v>0</v>
      </c>
      <c r="CVT9" s="26">
        <f>IF(CVT7=0,0,IF(MAX($F9:CVS9)=$D12,0,CVS9+1))</f>
        <v>0</v>
      </c>
      <c r="CVU9" s="26">
        <f>IF(CVU7=0,0,IF(MAX($F9:CVT9)=$D12,0,CVT9+1))</f>
        <v>0</v>
      </c>
      <c r="CVV9" s="26">
        <f>IF(CVV7=0,0,IF(MAX($F9:CVU9)=$D12,0,CVU9+1))</f>
        <v>0</v>
      </c>
      <c r="CVW9" s="26">
        <f>IF(CVW7=0,0,IF(MAX($F9:CVV9)=$D12,0,CVV9+1))</f>
        <v>0</v>
      </c>
      <c r="CVX9" s="26">
        <f>IF(CVX7=0,0,IF(MAX($F9:CVW9)=$D12,0,CVW9+1))</f>
        <v>0</v>
      </c>
      <c r="CVY9" s="26">
        <f>IF(CVY7=0,0,IF(MAX($F9:CVX9)=$D12,0,CVX9+1))</f>
        <v>0</v>
      </c>
      <c r="CVZ9" s="26">
        <f>IF(CVZ7=0,0,IF(MAX($F9:CVY9)=$D12,0,CVY9+1))</f>
        <v>0</v>
      </c>
      <c r="CWA9" s="26">
        <f>IF(CWA7=0,0,IF(MAX($F9:CVZ9)=$D12,0,CVZ9+1))</f>
        <v>0</v>
      </c>
      <c r="CWB9" s="26">
        <f>IF(CWB7=0,0,IF(MAX($F9:CWA9)=$D12,0,CWA9+1))</f>
        <v>0</v>
      </c>
      <c r="CWC9" s="26">
        <f>IF(CWC7=0,0,IF(MAX($F9:CWB9)=$D12,0,CWB9+1))</f>
        <v>0</v>
      </c>
      <c r="CWD9" s="26">
        <f>IF(CWD7=0,0,IF(MAX($F9:CWC9)=$D12,0,CWC9+1))</f>
        <v>0</v>
      </c>
      <c r="CWE9" s="26">
        <f>IF(CWE7=0,0,IF(MAX($F9:CWD9)=$D12,0,CWD9+1))</f>
        <v>0</v>
      </c>
      <c r="CWF9" s="26">
        <f>IF(CWF7=0,0,IF(MAX($F9:CWE9)=$D12,0,CWE9+1))</f>
        <v>0</v>
      </c>
      <c r="CWG9" s="26">
        <f>IF(CWG7=0,0,IF(MAX($F9:CWF9)=$D12,0,CWF9+1))</f>
        <v>0</v>
      </c>
      <c r="CWH9" s="26">
        <f>IF(CWH7=0,0,IF(MAX($F9:CWG9)=$D12,0,CWG9+1))</f>
        <v>0</v>
      </c>
      <c r="CWI9" s="26">
        <f>IF(CWI7=0,0,IF(MAX($F9:CWH9)=$D12,0,CWH9+1))</f>
        <v>0</v>
      </c>
      <c r="CWJ9" s="26">
        <f>IF(CWJ7=0,0,IF(MAX($F9:CWI9)=$D12,0,CWI9+1))</f>
        <v>0</v>
      </c>
      <c r="CWK9" s="26">
        <f>IF(CWK7=0,0,IF(MAX($F9:CWJ9)=$D12,0,CWJ9+1))</f>
        <v>0</v>
      </c>
      <c r="CWL9" s="26">
        <f>IF(CWL7=0,0,IF(MAX($F9:CWK9)=$D12,0,CWK9+1))</f>
        <v>0</v>
      </c>
      <c r="CWM9" s="26">
        <f>IF(CWM7=0,0,IF(MAX($F9:CWL9)=$D12,0,CWL9+1))</f>
        <v>0</v>
      </c>
      <c r="CWN9" s="26">
        <f>IF(CWN7=0,0,IF(MAX($F9:CWM9)=$D12,0,CWM9+1))</f>
        <v>0</v>
      </c>
      <c r="CWO9" s="26">
        <f>IF(CWO7=0,0,IF(MAX($F9:CWN9)=$D12,0,CWN9+1))</f>
        <v>0</v>
      </c>
      <c r="CWP9" s="26">
        <f>IF(CWP7=0,0,IF(MAX($F9:CWO9)=$D12,0,CWO9+1))</f>
        <v>0</v>
      </c>
      <c r="CWQ9" s="26">
        <f>IF(CWQ7=0,0,IF(MAX($F9:CWP9)=$D12,0,CWP9+1))</f>
        <v>0</v>
      </c>
      <c r="CWR9" s="26">
        <f>IF(CWR7=0,0,IF(MAX($F9:CWQ9)=$D12,0,CWQ9+1))</f>
        <v>0</v>
      </c>
      <c r="CWS9" s="26">
        <f>IF(CWS7=0,0,IF(MAX($F9:CWR9)=$D12,0,CWR9+1))</f>
        <v>0</v>
      </c>
      <c r="CWT9" s="26">
        <f>IF(CWT7=0,0,IF(MAX($F9:CWS9)=$D12,0,CWS9+1))</f>
        <v>0</v>
      </c>
      <c r="CWU9" s="26">
        <f>IF(CWU7=0,0,IF(MAX($F9:CWT9)=$D12,0,CWT9+1))</f>
        <v>0</v>
      </c>
      <c r="CWV9" s="26">
        <f>IF(CWV7=0,0,IF(MAX($F9:CWU9)=$D12,0,CWU9+1))</f>
        <v>0</v>
      </c>
      <c r="CWW9" s="26">
        <f>IF(CWW7=0,0,IF(MAX($F9:CWV9)=$D12,0,CWV9+1))</f>
        <v>0</v>
      </c>
      <c r="CWX9" s="26">
        <f>IF(CWX7=0,0,IF(MAX($F9:CWW9)=$D12,0,CWW9+1))</f>
        <v>0</v>
      </c>
      <c r="CWY9" s="26">
        <f>IF(CWY7=0,0,IF(MAX($F9:CWX9)=$D12,0,CWX9+1))</f>
        <v>0</v>
      </c>
      <c r="CWZ9" s="26">
        <f>IF(CWZ7=0,0,IF(MAX($F9:CWY9)=$D12,0,CWY9+1))</f>
        <v>0</v>
      </c>
      <c r="CXA9" s="26">
        <f>IF(CXA7=0,0,IF(MAX($F9:CWZ9)=$D12,0,CWZ9+1))</f>
        <v>0</v>
      </c>
      <c r="CXB9" s="26">
        <f>IF(CXB7=0,0,IF(MAX($F9:CXA9)=$D12,0,CXA9+1))</f>
        <v>0</v>
      </c>
      <c r="CXC9" s="26">
        <f>IF(CXC7=0,0,IF(MAX($F9:CXB9)=$D12,0,CXB9+1))</f>
        <v>0</v>
      </c>
      <c r="CXD9" s="26">
        <f>IF(CXD7=0,0,IF(MAX($F9:CXC9)=$D12,0,CXC9+1))</f>
        <v>0</v>
      </c>
      <c r="CXE9" s="26">
        <f>IF(CXE7=0,0,IF(MAX($F9:CXD9)=$D12,0,CXD9+1))</f>
        <v>0</v>
      </c>
      <c r="CXF9" s="26">
        <f>IF(CXF7=0,0,IF(MAX($F9:CXE9)=$D12,0,CXE9+1))</f>
        <v>0</v>
      </c>
      <c r="CXG9" s="26">
        <f>IF(CXG7=0,0,IF(MAX($F9:CXF9)=$D12,0,CXF9+1))</f>
        <v>0</v>
      </c>
      <c r="CXH9" s="26">
        <f>IF(CXH7=0,0,IF(MAX($F9:CXG9)=$D12,0,CXG9+1))</f>
        <v>0</v>
      </c>
      <c r="CXI9" s="26">
        <f>IF(CXI7=0,0,IF(MAX($F9:CXH9)=$D12,0,CXH9+1))</f>
        <v>0</v>
      </c>
      <c r="CXJ9" s="26">
        <f>IF(CXJ7=0,0,IF(MAX($F9:CXI9)=$D12,0,CXI9+1))</f>
        <v>0</v>
      </c>
      <c r="CXK9" s="26">
        <f>IF(CXK7=0,0,IF(MAX($F9:CXJ9)=$D12,0,CXJ9+1))</f>
        <v>0</v>
      </c>
      <c r="CXL9" s="26">
        <f>IF(CXL7=0,0,IF(MAX($F9:CXK9)=$D12,0,CXK9+1))</f>
        <v>0</v>
      </c>
      <c r="CXM9" s="26">
        <f>IF(CXM7=0,0,IF(MAX($F9:CXL9)=$D12,0,CXL9+1))</f>
        <v>0</v>
      </c>
      <c r="CXN9" s="26">
        <f>IF(CXN7=0,0,IF(MAX($F9:CXM9)=$D12,0,CXM9+1))</f>
        <v>0</v>
      </c>
      <c r="CXO9" s="26">
        <f>IF(CXO7=0,0,IF(MAX($F9:CXN9)=$D12,0,CXN9+1))</f>
        <v>0</v>
      </c>
      <c r="CXP9" s="26">
        <f>IF(CXP7=0,0,IF(MAX($F9:CXO9)=$D12,0,CXO9+1))</f>
        <v>0</v>
      </c>
      <c r="CXQ9" s="26">
        <f>IF(CXQ7=0,0,IF(MAX($F9:CXP9)=$D12,0,CXP9+1))</f>
        <v>0</v>
      </c>
      <c r="CXR9" s="26">
        <f>IF(CXR7=0,0,IF(MAX($F9:CXQ9)=$D12,0,CXQ9+1))</f>
        <v>0</v>
      </c>
      <c r="CXS9" s="26">
        <f>IF(CXS7=0,0,IF(MAX($F9:CXR9)=$D12,0,CXR9+1))</f>
        <v>0</v>
      </c>
      <c r="CXT9" s="26">
        <f>IF(CXT7=0,0,IF(MAX($F9:CXS9)=$D12,0,CXS9+1))</f>
        <v>0</v>
      </c>
      <c r="CXU9" s="26">
        <f>IF(CXU7=0,0,IF(MAX($F9:CXT9)=$D12,0,CXT9+1))</f>
        <v>0</v>
      </c>
      <c r="CXV9" s="26">
        <f>IF(CXV7=0,0,IF(MAX($F9:CXU9)=$D12,0,CXU9+1))</f>
        <v>0</v>
      </c>
      <c r="CXW9" s="26">
        <f>IF(CXW7=0,0,IF(MAX($F9:CXV9)=$D12,0,CXV9+1))</f>
        <v>0</v>
      </c>
      <c r="CXX9" s="26">
        <f>IF(CXX7=0,0,IF(MAX($F9:CXW9)=$D12,0,CXW9+1))</f>
        <v>0</v>
      </c>
      <c r="CXY9" s="26">
        <f>IF(CXY7=0,0,IF(MAX($F9:CXX9)=$D12,0,CXX9+1))</f>
        <v>0</v>
      </c>
      <c r="CXZ9" s="26">
        <f>IF(CXZ7=0,0,IF(MAX($F9:CXY9)=$D12,0,CXY9+1))</f>
        <v>0</v>
      </c>
      <c r="CYA9" s="26">
        <f>IF(CYA7=0,0,IF(MAX($F9:CXZ9)=$D12,0,CXZ9+1))</f>
        <v>0</v>
      </c>
      <c r="CYB9" s="26">
        <f>IF(CYB7=0,0,IF(MAX($F9:CYA9)=$D12,0,CYA9+1))</f>
        <v>0</v>
      </c>
      <c r="CYC9" s="26">
        <f>IF(CYC7=0,0,IF(MAX($F9:CYB9)=$D12,0,CYB9+1))</f>
        <v>0</v>
      </c>
      <c r="CYD9" s="26">
        <f>IF(CYD7=0,0,IF(MAX($F9:CYC9)=$D12,0,CYC9+1))</f>
        <v>0</v>
      </c>
      <c r="CYE9" s="26">
        <f>IF(CYE7=0,0,IF(MAX($F9:CYD9)=$D12,0,CYD9+1))</f>
        <v>0</v>
      </c>
      <c r="CYF9" s="26">
        <f>IF(CYF7=0,0,IF(MAX($F9:CYE9)=$D12,0,CYE9+1))</f>
        <v>0</v>
      </c>
      <c r="CYG9" s="26">
        <f>IF(CYG7=0,0,IF(MAX($F9:CYF9)=$D12,0,CYF9+1))</f>
        <v>0</v>
      </c>
      <c r="CYH9" s="26">
        <f>IF(CYH7=0,0,IF(MAX($F9:CYG9)=$D12,0,CYG9+1))</f>
        <v>0</v>
      </c>
      <c r="CYI9" s="26">
        <f>IF(CYI7=0,0,IF(MAX($F9:CYH9)=$D12,0,CYH9+1))</f>
        <v>0</v>
      </c>
      <c r="CYJ9" s="26">
        <f>IF(CYJ7=0,0,IF(MAX($F9:CYI9)=$D12,0,CYI9+1))</f>
        <v>0</v>
      </c>
      <c r="CYK9" s="26">
        <f>IF(CYK7=0,0,IF(MAX($F9:CYJ9)=$D12,0,CYJ9+1))</f>
        <v>0</v>
      </c>
      <c r="CYL9" s="26">
        <f>IF(CYL7=0,0,IF(MAX($F9:CYK9)=$D12,0,CYK9+1))</f>
        <v>0</v>
      </c>
      <c r="CYM9" s="26">
        <f>IF(CYM7=0,0,IF(MAX($F9:CYL9)=$D12,0,CYL9+1))</f>
        <v>0</v>
      </c>
      <c r="CYN9" s="26">
        <f>IF(CYN7=0,0,IF(MAX($F9:CYM9)=$D12,0,CYM9+1))</f>
        <v>0</v>
      </c>
      <c r="CYO9" s="26">
        <f>IF(CYO7=0,0,IF(MAX($F9:CYN9)=$D12,0,CYN9+1))</f>
        <v>0</v>
      </c>
      <c r="CYP9" s="26">
        <f>IF(CYP7=0,0,IF(MAX($F9:CYO9)=$D12,0,CYO9+1))</f>
        <v>0</v>
      </c>
      <c r="CYQ9" s="26">
        <f>IF(CYQ7=0,0,IF(MAX($F9:CYP9)=$D12,0,CYP9+1))</f>
        <v>0</v>
      </c>
      <c r="CYR9" s="26">
        <f>IF(CYR7=0,0,IF(MAX($F9:CYQ9)=$D12,0,CYQ9+1))</f>
        <v>0</v>
      </c>
      <c r="CYS9" s="26">
        <f>IF(CYS7=0,0,IF(MAX($F9:CYR9)=$D12,0,CYR9+1))</f>
        <v>0</v>
      </c>
      <c r="CYT9" s="26">
        <f>IF(CYT7=0,0,IF(MAX($F9:CYS9)=$D12,0,CYS9+1))</f>
        <v>0</v>
      </c>
      <c r="CYU9" s="26">
        <f>IF(CYU7=0,0,IF(MAX($F9:CYT9)=$D12,0,CYT9+1))</f>
        <v>0</v>
      </c>
      <c r="CYV9" s="26">
        <f>IF(CYV7=0,0,IF(MAX($F9:CYU9)=$D12,0,CYU9+1))</f>
        <v>0</v>
      </c>
      <c r="CYW9" s="26">
        <f>IF(CYW7=0,0,IF(MAX($F9:CYV9)=$D12,0,CYV9+1))</f>
        <v>0</v>
      </c>
      <c r="CYX9" s="26">
        <f>IF(CYX7=0,0,IF(MAX($F9:CYW9)=$D12,0,CYW9+1))</f>
        <v>0</v>
      </c>
      <c r="CYY9" s="26">
        <f>IF(CYY7=0,0,IF(MAX($F9:CYX9)=$D12,0,CYX9+1))</f>
        <v>0</v>
      </c>
      <c r="CYZ9" s="26">
        <f>IF(CYZ7=0,0,IF(MAX($F9:CYY9)=$D12,0,CYY9+1))</f>
        <v>0</v>
      </c>
      <c r="CZA9" s="26">
        <f>IF(CZA7=0,0,IF(MAX($F9:CYZ9)=$D12,0,CYZ9+1))</f>
        <v>0</v>
      </c>
      <c r="CZB9" s="26">
        <f>IF(CZB7=0,0,IF(MAX($F9:CZA9)=$D12,0,CZA9+1))</f>
        <v>0</v>
      </c>
      <c r="CZC9" s="26">
        <f>IF(CZC7=0,0,IF(MAX($F9:CZB9)=$D12,0,CZB9+1))</f>
        <v>0</v>
      </c>
      <c r="CZD9" s="26">
        <f>IF(CZD7=0,0,IF(MAX($F9:CZC9)=$D12,0,CZC9+1))</f>
        <v>0</v>
      </c>
      <c r="CZE9" s="26">
        <f>IF(CZE7=0,0,IF(MAX($F9:CZD9)=$D12,0,CZD9+1))</f>
        <v>0</v>
      </c>
      <c r="CZF9" s="26">
        <f>IF(CZF7=0,0,IF(MAX($F9:CZE9)=$D12,0,CZE9+1))</f>
        <v>0</v>
      </c>
      <c r="CZG9" s="26">
        <f>IF(CZG7=0,0,IF(MAX($F9:CZF9)=$D12,0,CZF9+1))</f>
        <v>0</v>
      </c>
      <c r="CZH9" s="26">
        <f>IF(CZH7=0,0,IF(MAX($F9:CZG9)=$D12,0,CZG9+1))</f>
        <v>0</v>
      </c>
      <c r="CZI9" s="26">
        <f>IF(CZI7=0,0,IF(MAX($F9:CZH9)=$D12,0,CZH9+1))</f>
        <v>0</v>
      </c>
      <c r="CZJ9" s="26">
        <f>IF(CZJ7=0,0,IF(MAX($F9:CZI9)=$D12,0,CZI9+1))</f>
        <v>0</v>
      </c>
      <c r="CZK9" s="26">
        <f>IF(CZK7=0,0,IF(MAX($F9:CZJ9)=$D12,0,CZJ9+1))</f>
        <v>0</v>
      </c>
      <c r="CZL9" s="26">
        <f>IF(CZL7=0,0,IF(MAX($F9:CZK9)=$D12,0,CZK9+1))</f>
        <v>0</v>
      </c>
      <c r="CZM9" s="26">
        <f>IF(CZM7=0,0,IF(MAX($F9:CZL9)=$D12,0,CZL9+1))</f>
        <v>0</v>
      </c>
      <c r="CZN9" s="26">
        <f>IF(CZN7=0,0,IF(MAX($F9:CZM9)=$D12,0,CZM9+1))</f>
        <v>0</v>
      </c>
      <c r="CZO9" s="26">
        <f>IF(CZO7=0,0,IF(MAX($F9:CZN9)=$D12,0,CZN9+1))</f>
        <v>0</v>
      </c>
      <c r="CZP9" s="26">
        <f>IF(CZP7=0,0,IF(MAX($F9:CZO9)=$D12,0,CZO9+1))</f>
        <v>0</v>
      </c>
      <c r="CZQ9" s="26">
        <f>IF(CZQ7=0,0,IF(MAX($F9:CZP9)=$D12,0,CZP9+1))</f>
        <v>0</v>
      </c>
      <c r="CZR9" s="26">
        <f>IF(CZR7=0,0,IF(MAX($F9:CZQ9)=$D12,0,CZQ9+1))</f>
        <v>0</v>
      </c>
      <c r="CZS9" s="26">
        <f>IF(CZS7=0,0,IF(MAX($F9:CZR9)=$D12,0,CZR9+1))</f>
        <v>0</v>
      </c>
      <c r="CZT9" s="26">
        <f>IF(CZT7=0,0,IF(MAX($F9:CZS9)=$D12,0,CZS9+1))</f>
        <v>0</v>
      </c>
      <c r="CZU9" s="26">
        <f>IF(CZU7=0,0,IF(MAX($F9:CZT9)=$D12,0,CZT9+1))</f>
        <v>0</v>
      </c>
      <c r="CZV9" s="26">
        <f>IF(CZV7=0,0,IF(MAX($F9:CZU9)=$D12,0,CZU9+1))</f>
        <v>0</v>
      </c>
      <c r="CZW9" s="26">
        <f>IF(CZW7=0,0,IF(MAX($F9:CZV9)=$D12,0,CZV9+1))</f>
        <v>0</v>
      </c>
      <c r="CZX9" s="26">
        <f>IF(CZX7=0,0,IF(MAX($F9:CZW9)=$D12,0,CZW9+1))</f>
        <v>0</v>
      </c>
      <c r="CZY9" s="26">
        <f>IF(CZY7=0,0,IF(MAX($F9:CZX9)=$D12,0,CZX9+1))</f>
        <v>0</v>
      </c>
      <c r="CZZ9" s="26">
        <f>IF(CZZ7=0,0,IF(MAX($F9:CZY9)=$D12,0,CZY9+1))</f>
        <v>0</v>
      </c>
      <c r="DAA9" s="26">
        <f>IF(DAA7=0,0,IF(MAX($F9:CZZ9)=$D12,0,CZZ9+1))</f>
        <v>0</v>
      </c>
      <c r="DAB9" s="26">
        <f>IF(DAB7=0,0,IF(MAX($F9:DAA9)=$D12,0,DAA9+1))</f>
        <v>0</v>
      </c>
      <c r="DAC9" s="26">
        <f>IF(DAC7=0,0,IF(MAX($F9:DAB9)=$D12,0,DAB9+1))</f>
        <v>0</v>
      </c>
      <c r="DAD9" s="26">
        <f>IF(DAD7=0,0,IF(MAX($F9:DAC9)=$D12,0,DAC9+1))</f>
        <v>0</v>
      </c>
      <c r="DAE9" s="26">
        <f>IF(DAE7=0,0,IF(MAX($F9:DAD9)=$D12,0,DAD9+1))</f>
        <v>0</v>
      </c>
      <c r="DAF9" s="26">
        <f>IF(DAF7=0,0,IF(MAX($F9:DAE9)=$D12,0,DAE9+1))</f>
        <v>0</v>
      </c>
      <c r="DAG9" s="26">
        <f>IF(DAG7=0,0,IF(MAX($F9:DAF9)=$D12,0,DAF9+1))</f>
        <v>0</v>
      </c>
      <c r="DAH9" s="26">
        <f>IF(DAH7=0,0,IF(MAX($F9:DAG9)=$D12,0,DAG9+1))</f>
        <v>0</v>
      </c>
      <c r="DAI9" s="26">
        <f>IF(DAI7=0,0,IF(MAX($F9:DAH9)=$D12,0,DAH9+1))</f>
        <v>0</v>
      </c>
      <c r="DAJ9" s="26">
        <f>IF(DAJ7=0,0,IF(MAX($F9:DAI9)=$D12,0,DAI9+1))</f>
        <v>0</v>
      </c>
      <c r="DAK9" s="26">
        <f>IF(DAK7=0,0,IF(MAX($F9:DAJ9)=$D12,0,DAJ9+1))</f>
        <v>0</v>
      </c>
      <c r="DAL9" s="26">
        <f>IF(DAL7=0,0,IF(MAX($F9:DAK9)=$D12,0,DAK9+1))</f>
        <v>0</v>
      </c>
      <c r="DAM9" s="26">
        <f>IF(DAM7=0,0,IF(MAX($F9:DAL9)=$D12,0,DAL9+1))</f>
        <v>0</v>
      </c>
      <c r="DAN9" s="26">
        <f>IF(DAN7=0,0,IF(MAX($F9:DAM9)=$D12,0,DAM9+1))</f>
        <v>0</v>
      </c>
      <c r="DAO9" s="26">
        <f>IF(DAO7=0,0,IF(MAX($F9:DAN9)=$D12,0,DAN9+1))</f>
        <v>0</v>
      </c>
      <c r="DAP9" s="26">
        <f>IF(DAP7=0,0,IF(MAX($F9:DAO9)=$D12,0,DAO9+1))</f>
        <v>0</v>
      </c>
      <c r="DAQ9" s="26">
        <f>IF(DAQ7=0,0,IF(MAX($F9:DAP9)=$D12,0,DAP9+1))</f>
        <v>0</v>
      </c>
      <c r="DAR9" s="26">
        <f>IF(DAR7=0,0,IF(MAX($F9:DAQ9)=$D12,0,DAQ9+1))</f>
        <v>0</v>
      </c>
      <c r="DAS9" s="26">
        <f>IF(DAS7=0,0,IF(MAX($F9:DAR9)=$D12,0,DAR9+1))</f>
        <v>0</v>
      </c>
      <c r="DAT9" s="26">
        <f>IF(DAT7=0,0,IF(MAX($F9:DAS9)=$D12,0,DAS9+1))</f>
        <v>0</v>
      </c>
      <c r="DAU9" s="26">
        <f>IF(DAU7=0,0,IF(MAX($F9:DAT9)=$D12,0,DAT9+1))</f>
        <v>0</v>
      </c>
      <c r="DAV9" s="26">
        <f>IF(DAV7=0,0,IF(MAX($F9:DAU9)=$D12,0,DAU9+1))</f>
        <v>0</v>
      </c>
      <c r="DAW9" s="26">
        <f>IF(DAW7=0,0,IF(MAX($F9:DAV9)=$D12,0,DAV9+1))</f>
        <v>0</v>
      </c>
      <c r="DAX9" s="26">
        <f>IF(DAX7=0,0,IF(MAX($F9:DAW9)=$D12,0,DAW9+1))</f>
        <v>0</v>
      </c>
      <c r="DAY9" s="26">
        <f>IF(DAY7=0,0,IF(MAX($F9:DAX9)=$D12,0,DAX9+1))</f>
        <v>0</v>
      </c>
      <c r="DAZ9" s="26">
        <f>IF(DAZ7=0,0,IF(MAX($F9:DAY9)=$D12,0,DAY9+1))</f>
        <v>0</v>
      </c>
      <c r="DBA9" s="26">
        <f>IF(DBA7=0,0,IF(MAX($F9:DAZ9)=$D12,0,DAZ9+1))</f>
        <v>0</v>
      </c>
      <c r="DBB9" s="26">
        <f>IF(DBB7=0,0,IF(MAX($F9:DBA9)=$D12,0,DBA9+1))</f>
        <v>0</v>
      </c>
      <c r="DBC9" s="26">
        <f>IF(DBC7=0,0,IF(MAX($F9:DBB9)=$D12,0,DBB9+1))</f>
        <v>0</v>
      </c>
      <c r="DBD9" s="26">
        <f>IF(DBD7=0,0,IF(MAX($F9:DBC9)=$D12,0,DBC9+1))</f>
        <v>0</v>
      </c>
      <c r="DBE9" s="26">
        <f>IF(DBE7=0,0,IF(MAX($F9:DBD9)=$D12,0,DBD9+1))</f>
        <v>0</v>
      </c>
      <c r="DBF9" s="26">
        <f>IF(DBF7=0,0,IF(MAX($F9:DBE9)=$D12,0,DBE9+1))</f>
        <v>0</v>
      </c>
      <c r="DBG9" s="26">
        <f>IF(DBG7=0,0,IF(MAX($F9:DBF9)=$D12,0,DBF9+1))</f>
        <v>0</v>
      </c>
      <c r="DBH9" s="26">
        <f>IF(DBH7=0,0,IF(MAX($F9:DBG9)=$D12,0,DBG9+1))</f>
        <v>0</v>
      </c>
      <c r="DBI9" s="26">
        <f>IF(DBI7=0,0,IF(MAX($F9:DBH9)=$D12,0,DBH9+1))</f>
        <v>0</v>
      </c>
      <c r="DBJ9" s="26">
        <f>IF(DBJ7=0,0,IF(MAX($F9:DBI9)=$D12,0,DBI9+1))</f>
        <v>0</v>
      </c>
      <c r="DBK9" s="26">
        <f>IF(DBK7=0,0,IF(MAX($F9:DBJ9)=$D12,0,DBJ9+1))</f>
        <v>0</v>
      </c>
      <c r="DBL9" s="26">
        <f>IF(DBL7=0,0,IF(MAX($F9:DBK9)=$D12,0,DBK9+1))</f>
        <v>0</v>
      </c>
      <c r="DBM9" s="26">
        <f>IF(DBM7=0,0,IF(MAX($F9:DBL9)=$D12,0,DBL9+1))</f>
        <v>0</v>
      </c>
      <c r="DBN9" s="26">
        <f>IF(DBN7=0,0,IF(MAX($F9:DBM9)=$D12,0,DBM9+1))</f>
        <v>0</v>
      </c>
      <c r="DBO9" s="26">
        <f>IF(DBO7=0,0,IF(MAX($F9:DBN9)=$D12,0,DBN9+1))</f>
        <v>0</v>
      </c>
      <c r="DBP9" s="26">
        <f>IF(DBP7=0,0,IF(MAX($F9:DBO9)=$D12,0,DBO9+1))</f>
        <v>0</v>
      </c>
      <c r="DBQ9" s="26">
        <f>IF(DBQ7=0,0,IF(MAX($F9:DBP9)=$D12,0,DBP9+1))</f>
        <v>0</v>
      </c>
      <c r="DBR9" s="26">
        <f>IF(DBR7=0,0,IF(MAX($F9:DBQ9)=$D12,0,DBQ9+1))</f>
        <v>0</v>
      </c>
      <c r="DBS9" s="26">
        <f>IF(DBS7=0,0,IF(MAX($F9:DBR9)=$D12,0,DBR9+1))</f>
        <v>0</v>
      </c>
      <c r="DBT9" s="26">
        <f>IF(DBT7=0,0,IF(MAX($F9:DBS9)=$D12,0,DBS9+1))</f>
        <v>0</v>
      </c>
      <c r="DBU9" s="26">
        <f>IF(DBU7=0,0,IF(MAX($F9:DBT9)=$D12,0,DBT9+1))</f>
        <v>0</v>
      </c>
      <c r="DBV9" s="26">
        <f>IF(DBV7=0,0,IF(MAX($F9:DBU9)=$D12,0,DBU9+1))</f>
        <v>0</v>
      </c>
      <c r="DBW9" s="26">
        <f>IF(DBW7=0,0,IF(MAX($F9:DBV9)=$D12,0,DBV9+1))</f>
        <v>0</v>
      </c>
      <c r="DBX9" s="26">
        <f>IF(DBX7=0,0,IF(MAX($F9:DBW9)=$D12,0,DBW9+1))</f>
        <v>0</v>
      </c>
      <c r="DBY9" s="26">
        <f>IF(DBY7=0,0,IF(MAX($F9:DBX9)=$D12,0,DBX9+1))</f>
        <v>0</v>
      </c>
      <c r="DBZ9" s="26">
        <f>IF(DBZ7=0,0,IF(MAX($F9:DBY9)=$D12,0,DBY9+1))</f>
        <v>0</v>
      </c>
      <c r="DCA9" s="26">
        <f>IF(DCA7=0,0,IF(MAX($F9:DBZ9)=$D12,0,DBZ9+1))</f>
        <v>0</v>
      </c>
      <c r="DCB9" s="26">
        <f>IF(DCB7=0,0,IF(MAX($F9:DCA9)=$D12,0,DCA9+1))</f>
        <v>0</v>
      </c>
      <c r="DCC9" s="26">
        <f>IF(DCC7=0,0,IF(MAX($F9:DCB9)=$D12,0,DCB9+1))</f>
        <v>0</v>
      </c>
      <c r="DCD9" s="26">
        <f>IF(DCD7=0,0,IF(MAX($F9:DCC9)=$D12,0,DCC9+1))</f>
        <v>0</v>
      </c>
      <c r="DCE9" s="26">
        <f>IF(DCE7=0,0,IF(MAX($F9:DCD9)=$D12,0,DCD9+1))</f>
        <v>0</v>
      </c>
      <c r="DCF9" s="26">
        <f>IF(DCF7=0,0,IF(MAX($F9:DCE9)=$D12,0,DCE9+1))</f>
        <v>0</v>
      </c>
      <c r="DCG9" s="26">
        <f>IF(DCG7=0,0,IF(MAX($F9:DCF9)=$D12,0,DCF9+1))</f>
        <v>0</v>
      </c>
      <c r="DCH9" s="26">
        <f>IF(DCH7=0,0,IF(MAX($F9:DCG9)=$D12,0,DCG9+1))</f>
        <v>0</v>
      </c>
      <c r="DCI9" s="26">
        <f>IF(DCI7=0,0,IF(MAX($F9:DCH9)=$D12,0,DCH9+1))</f>
        <v>0</v>
      </c>
      <c r="DCJ9" s="26">
        <f>IF(DCJ7=0,0,IF(MAX($F9:DCI9)=$D12,0,DCI9+1))</f>
        <v>0</v>
      </c>
      <c r="DCK9" s="26">
        <f>IF(DCK7=0,0,IF(MAX($F9:DCJ9)=$D12,0,DCJ9+1))</f>
        <v>0</v>
      </c>
      <c r="DCL9" s="26">
        <f>IF(DCL7=0,0,IF(MAX($F9:DCK9)=$D12,0,DCK9+1))</f>
        <v>0</v>
      </c>
      <c r="DCM9" s="26">
        <f>IF(DCM7=0,0,IF(MAX($F9:DCL9)=$D12,0,DCL9+1))</f>
        <v>0</v>
      </c>
      <c r="DCN9" s="26">
        <f>IF(DCN7=0,0,IF(MAX($F9:DCM9)=$D12,0,DCM9+1))</f>
        <v>0</v>
      </c>
      <c r="DCO9" s="26">
        <f>IF(DCO7=0,0,IF(MAX($F9:DCN9)=$D12,0,DCN9+1))</f>
        <v>0</v>
      </c>
      <c r="DCP9" s="26">
        <f>IF(DCP7=0,0,IF(MAX($F9:DCO9)=$D12,0,DCO9+1))</f>
        <v>0</v>
      </c>
      <c r="DCQ9" s="26">
        <f>IF(DCQ7=0,0,IF(MAX($F9:DCP9)=$D12,0,DCP9+1))</f>
        <v>0</v>
      </c>
      <c r="DCR9" s="26">
        <f>IF(DCR7=0,0,IF(MAX($F9:DCQ9)=$D12,0,DCQ9+1))</f>
        <v>0</v>
      </c>
      <c r="DCS9" s="26">
        <f>IF(DCS7=0,0,IF(MAX($F9:DCR9)=$D12,0,DCR9+1))</f>
        <v>0</v>
      </c>
      <c r="DCT9" s="26">
        <f>IF(DCT7=0,0,IF(MAX($F9:DCS9)=$D12,0,DCS9+1))</f>
        <v>0</v>
      </c>
      <c r="DCU9" s="26">
        <f>IF(DCU7=0,0,IF(MAX($F9:DCT9)=$D12,0,DCT9+1))</f>
        <v>0</v>
      </c>
      <c r="DCV9" s="26">
        <f>IF(DCV7=0,0,IF(MAX($F9:DCU9)=$D12,0,DCU9+1))</f>
        <v>0</v>
      </c>
      <c r="DCW9" s="26">
        <f>IF(DCW7=0,0,IF(MAX($F9:DCV9)=$D12,0,DCV9+1))</f>
        <v>0</v>
      </c>
      <c r="DCX9" s="26">
        <f>IF(DCX7=0,0,IF(MAX($F9:DCW9)=$D12,0,DCW9+1))</f>
        <v>0</v>
      </c>
      <c r="DCY9" s="26">
        <f>IF(DCY7=0,0,IF(MAX($F9:DCX9)=$D12,0,DCX9+1))</f>
        <v>0</v>
      </c>
      <c r="DCZ9" s="26">
        <f>IF(DCZ7=0,0,IF(MAX($F9:DCY9)=$D12,0,DCY9+1))</f>
        <v>0</v>
      </c>
      <c r="DDA9" s="26">
        <f>IF(DDA7=0,0,IF(MAX($F9:DCZ9)=$D12,0,DCZ9+1))</f>
        <v>0</v>
      </c>
      <c r="DDB9" s="26">
        <f>IF(DDB7=0,0,IF(MAX($F9:DDA9)=$D12,0,DDA9+1))</f>
        <v>0</v>
      </c>
      <c r="DDC9" s="26">
        <f>IF(DDC7=0,0,IF(MAX($F9:DDB9)=$D12,0,DDB9+1))</f>
        <v>0</v>
      </c>
      <c r="DDD9" s="26">
        <f>IF(DDD7=0,0,IF(MAX($F9:DDC9)=$D12,0,DDC9+1))</f>
        <v>0</v>
      </c>
      <c r="DDE9" s="26">
        <f>IF(DDE7=0,0,IF(MAX($F9:DDD9)=$D12,0,DDD9+1))</f>
        <v>0</v>
      </c>
      <c r="DDF9" s="26">
        <f>IF(DDF7=0,0,IF(MAX($F9:DDE9)=$D12,0,DDE9+1))</f>
        <v>0</v>
      </c>
      <c r="DDG9" s="26">
        <f>IF(DDG7=0,0,IF(MAX($F9:DDF9)=$D12,0,DDF9+1))</f>
        <v>0</v>
      </c>
      <c r="DDH9" s="26">
        <f>IF(DDH7=0,0,IF(MAX($F9:DDG9)=$D12,0,DDG9+1))</f>
        <v>0</v>
      </c>
      <c r="DDI9" s="26">
        <f>IF(DDI7=0,0,IF(MAX($F9:DDH9)=$D12,0,DDH9+1))</f>
        <v>0</v>
      </c>
      <c r="DDJ9" s="26">
        <f>IF(DDJ7=0,0,IF(MAX($F9:DDI9)=$D12,0,DDI9+1))</f>
        <v>0</v>
      </c>
      <c r="DDK9" s="26">
        <f>IF(DDK7=0,0,IF(MAX($F9:DDJ9)=$D12,0,DDJ9+1))</f>
        <v>0</v>
      </c>
      <c r="DDL9" s="26">
        <f>IF(DDL7=0,0,IF(MAX($F9:DDK9)=$D12,0,DDK9+1))</f>
        <v>0</v>
      </c>
      <c r="DDM9" s="26">
        <f>IF(DDM7=0,0,IF(MAX($F9:DDL9)=$D12,0,DDL9+1))</f>
        <v>0</v>
      </c>
      <c r="DDN9" s="26">
        <f>IF(DDN7=0,0,IF(MAX($F9:DDM9)=$D12,0,DDM9+1))</f>
        <v>0</v>
      </c>
      <c r="DDO9" s="26">
        <f>IF(DDO7=0,0,IF(MAX($F9:DDN9)=$D12,0,DDN9+1))</f>
        <v>0</v>
      </c>
      <c r="DDP9" s="26">
        <f>IF(DDP7=0,0,IF(MAX($F9:DDO9)=$D12,0,DDO9+1))</f>
        <v>0</v>
      </c>
      <c r="DDQ9" s="26">
        <f>IF(DDQ7=0,0,IF(MAX($F9:DDP9)=$D12,0,DDP9+1))</f>
        <v>0</v>
      </c>
      <c r="DDR9" s="26">
        <f>IF(DDR7=0,0,IF(MAX($F9:DDQ9)=$D12,0,DDQ9+1))</f>
        <v>0</v>
      </c>
      <c r="DDS9" s="26">
        <f>IF(DDS7=0,0,IF(MAX($F9:DDR9)=$D12,0,DDR9+1))</f>
        <v>0</v>
      </c>
      <c r="DDT9" s="26">
        <f>IF(DDT7=0,0,IF(MAX($F9:DDS9)=$D12,0,DDS9+1))</f>
        <v>0</v>
      </c>
      <c r="DDU9" s="26">
        <f>IF(DDU7=0,0,IF(MAX($F9:DDT9)=$D12,0,DDT9+1))</f>
        <v>0</v>
      </c>
      <c r="DDV9" s="26">
        <f>IF(DDV7=0,0,IF(MAX($F9:DDU9)=$D12,0,DDU9+1))</f>
        <v>0</v>
      </c>
      <c r="DDW9" s="26">
        <f>IF(DDW7=0,0,IF(MAX($F9:DDV9)=$D12,0,DDV9+1))</f>
        <v>0</v>
      </c>
      <c r="DDX9" s="26">
        <f>IF(DDX7=0,0,IF(MAX($F9:DDW9)=$D12,0,DDW9+1))</f>
        <v>0</v>
      </c>
      <c r="DDY9" s="26">
        <f>IF(DDY7=0,0,IF(MAX($F9:DDX9)=$D12,0,DDX9+1))</f>
        <v>0</v>
      </c>
      <c r="DDZ9" s="26">
        <f>IF(DDZ7=0,0,IF(MAX($F9:DDY9)=$D12,0,DDY9+1))</f>
        <v>0</v>
      </c>
      <c r="DEA9" s="26">
        <f>IF(DEA7=0,0,IF(MAX($F9:DDZ9)=$D12,0,DDZ9+1))</f>
        <v>0</v>
      </c>
      <c r="DEB9" s="26">
        <f>IF(DEB7=0,0,IF(MAX($F9:DEA9)=$D12,0,DEA9+1))</f>
        <v>0</v>
      </c>
      <c r="DEC9" s="26">
        <f>IF(DEC7=0,0,IF(MAX($F9:DEB9)=$D12,0,DEB9+1))</f>
        <v>0</v>
      </c>
      <c r="DED9" s="26">
        <f>IF(DED7=0,0,IF(MAX($F9:DEC9)=$D12,0,DEC9+1))</f>
        <v>0</v>
      </c>
      <c r="DEE9" s="26">
        <f>IF(DEE7=0,0,IF(MAX($F9:DED9)=$D12,0,DED9+1))</f>
        <v>0</v>
      </c>
      <c r="DEF9" s="26">
        <f>IF(DEF7=0,0,IF(MAX($F9:DEE9)=$D12,0,DEE9+1))</f>
        <v>0</v>
      </c>
      <c r="DEG9" s="26">
        <f>IF(DEG7=0,0,IF(MAX($F9:DEF9)=$D12,0,DEF9+1))</f>
        <v>0</v>
      </c>
      <c r="DEH9" s="26">
        <f>IF(DEH7=0,0,IF(MAX($F9:DEG9)=$D12,0,DEG9+1))</f>
        <v>0</v>
      </c>
      <c r="DEI9" s="26">
        <f>IF(DEI7=0,0,IF(MAX($F9:DEH9)=$D12,0,DEH9+1))</f>
        <v>0</v>
      </c>
      <c r="DEJ9" s="26">
        <f>IF(DEJ7=0,0,IF(MAX($F9:DEI9)=$D12,0,DEI9+1))</f>
        <v>0</v>
      </c>
      <c r="DEK9" s="26">
        <f>IF(DEK7=0,0,IF(MAX($F9:DEJ9)=$D12,0,DEJ9+1))</f>
        <v>0</v>
      </c>
      <c r="DEL9" s="26">
        <f>IF(DEL7=0,0,IF(MAX($F9:DEK9)=$D12,0,DEK9+1))</f>
        <v>0</v>
      </c>
      <c r="DEM9" s="26">
        <f>IF(DEM7=0,0,IF(MAX($F9:DEL9)=$D12,0,DEL9+1))</f>
        <v>0</v>
      </c>
      <c r="DEN9" s="26">
        <f>IF(DEN7=0,0,IF(MAX($F9:DEM9)=$D12,0,DEM9+1))</f>
        <v>0</v>
      </c>
      <c r="DEO9" s="26">
        <f>IF(DEO7=0,0,IF(MAX($F9:DEN9)=$D12,0,DEN9+1))</f>
        <v>0</v>
      </c>
      <c r="DEP9" s="26">
        <f>IF(DEP7=0,0,IF(MAX($F9:DEO9)=$D12,0,DEO9+1))</f>
        <v>0</v>
      </c>
      <c r="DEQ9" s="26">
        <f>IF(DEQ7=0,0,IF(MAX($F9:DEP9)=$D12,0,DEP9+1))</f>
        <v>0</v>
      </c>
      <c r="DER9" s="26">
        <f>IF(DER7=0,0,IF(MAX($F9:DEQ9)=$D12,0,DEQ9+1))</f>
        <v>0</v>
      </c>
      <c r="DES9" s="26">
        <f>IF(DES7=0,0,IF(MAX($F9:DER9)=$D12,0,DER9+1))</f>
        <v>0</v>
      </c>
      <c r="DET9" s="26">
        <f>IF(DET7=0,0,IF(MAX($F9:DES9)=$D12,0,DES9+1))</f>
        <v>0</v>
      </c>
      <c r="DEU9" s="26">
        <f>IF(DEU7=0,0,IF(MAX($F9:DET9)=$D12,0,DET9+1))</f>
        <v>0</v>
      </c>
      <c r="DEV9" s="26">
        <f>IF(DEV7=0,0,IF(MAX($F9:DEU9)=$D12,0,DEU9+1))</f>
        <v>0</v>
      </c>
      <c r="DEW9" s="26">
        <f>IF(DEW7=0,0,IF(MAX($F9:DEV9)=$D12,0,DEV9+1))</f>
        <v>0</v>
      </c>
      <c r="DEX9" s="26">
        <f>IF(DEX7=0,0,IF(MAX($F9:DEW9)=$D12,0,DEW9+1))</f>
        <v>0</v>
      </c>
      <c r="DEY9" s="26">
        <f>IF(DEY7=0,0,IF(MAX($F9:DEX9)=$D12,0,DEX9+1))</f>
        <v>0</v>
      </c>
      <c r="DEZ9" s="26">
        <f>IF(DEZ7=0,0,IF(MAX($F9:DEY9)=$D12,0,DEY9+1))</f>
        <v>0</v>
      </c>
      <c r="DFA9" s="26">
        <f>IF(DFA7=0,0,IF(MAX($F9:DEZ9)=$D12,0,DEZ9+1))</f>
        <v>0</v>
      </c>
      <c r="DFB9" s="26">
        <f>IF(DFB7=0,0,IF(MAX($F9:DFA9)=$D12,0,DFA9+1))</f>
        <v>0</v>
      </c>
      <c r="DFC9" s="26">
        <f>IF(DFC7=0,0,IF(MAX($F9:DFB9)=$D12,0,DFB9+1))</f>
        <v>0</v>
      </c>
      <c r="DFD9" s="26">
        <f>IF(DFD7=0,0,IF(MAX($F9:DFC9)=$D12,0,DFC9+1))</f>
        <v>0</v>
      </c>
      <c r="DFE9" s="26">
        <f>IF(DFE7=0,0,IF(MAX($F9:DFD9)=$D12,0,DFD9+1))</f>
        <v>0</v>
      </c>
      <c r="DFF9" s="26">
        <f>IF(DFF7=0,0,IF(MAX($F9:DFE9)=$D12,0,DFE9+1))</f>
        <v>0</v>
      </c>
      <c r="DFG9" s="26">
        <f>IF(DFG7=0,0,IF(MAX($F9:DFF9)=$D12,0,DFF9+1))</f>
        <v>0</v>
      </c>
      <c r="DFH9" s="26">
        <f>IF(DFH7=0,0,IF(MAX($F9:DFG9)=$D12,0,DFG9+1))</f>
        <v>0</v>
      </c>
      <c r="DFI9" s="26">
        <f>IF(DFI7=0,0,IF(MAX($F9:DFH9)=$D12,0,DFH9+1))</f>
        <v>0</v>
      </c>
      <c r="DFJ9" s="26">
        <f>IF(DFJ7=0,0,IF(MAX($F9:DFI9)=$D12,0,DFI9+1))</f>
        <v>0</v>
      </c>
      <c r="DFK9" s="26">
        <f>IF(DFK7=0,0,IF(MAX($F9:DFJ9)=$D12,0,DFJ9+1))</f>
        <v>0</v>
      </c>
      <c r="DFL9" s="26">
        <f>IF(DFL7=0,0,IF(MAX($F9:DFK9)=$D12,0,DFK9+1))</f>
        <v>0</v>
      </c>
      <c r="DFM9" s="26">
        <f>IF(DFM7=0,0,IF(MAX($F9:DFL9)=$D12,0,DFL9+1))</f>
        <v>0</v>
      </c>
      <c r="DFN9" s="26">
        <f>IF(DFN7=0,0,IF(MAX($F9:DFM9)=$D12,0,DFM9+1))</f>
        <v>0</v>
      </c>
      <c r="DFO9" s="26">
        <f>IF(DFO7=0,0,IF(MAX($F9:DFN9)=$D12,0,DFN9+1))</f>
        <v>0</v>
      </c>
      <c r="DFP9" s="26">
        <f>IF(DFP7=0,0,IF(MAX($F9:DFO9)=$D12,0,DFO9+1))</f>
        <v>0</v>
      </c>
      <c r="DFQ9" s="26">
        <f>IF(DFQ7=0,0,IF(MAX($F9:DFP9)=$D12,0,DFP9+1))</f>
        <v>0</v>
      </c>
      <c r="DFR9" s="26">
        <f>IF(DFR7=0,0,IF(MAX($F9:DFQ9)=$D12,0,DFQ9+1))</f>
        <v>0</v>
      </c>
      <c r="DFS9" s="26">
        <f>IF(DFS7=0,0,IF(MAX($F9:DFR9)=$D12,0,DFR9+1))</f>
        <v>0</v>
      </c>
      <c r="DFT9" s="26">
        <f>IF(DFT7=0,0,IF(MAX($F9:DFS9)=$D12,0,DFS9+1))</f>
        <v>0</v>
      </c>
      <c r="DFU9" s="26">
        <f>IF(DFU7=0,0,IF(MAX($F9:DFT9)=$D12,0,DFT9+1))</f>
        <v>0</v>
      </c>
      <c r="DFV9" s="26">
        <f>IF(DFV7=0,0,IF(MAX($F9:DFU9)=$D12,0,DFU9+1))</f>
        <v>0</v>
      </c>
      <c r="DFW9" s="26">
        <f>IF(DFW7=0,0,IF(MAX($F9:DFV9)=$D12,0,DFV9+1))</f>
        <v>0</v>
      </c>
      <c r="DFX9" s="26">
        <f>IF(DFX7=0,0,IF(MAX($F9:DFW9)=$D12,0,DFW9+1))</f>
        <v>0</v>
      </c>
      <c r="DFY9" s="26">
        <f>IF(DFY7=0,0,IF(MAX($F9:DFX9)=$D12,0,DFX9+1))</f>
        <v>0</v>
      </c>
      <c r="DFZ9" s="26">
        <f>IF(DFZ7=0,0,IF(MAX($F9:DFY9)=$D12,0,DFY9+1))</f>
        <v>0</v>
      </c>
      <c r="DGA9" s="26">
        <f>IF(DGA7=0,0,IF(MAX($F9:DFZ9)=$D12,0,DFZ9+1))</f>
        <v>0</v>
      </c>
      <c r="DGB9" s="26">
        <f>IF(DGB7=0,0,IF(MAX($F9:DGA9)=$D12,0,DGA9+1))</f>
        <v>0</v>
      </c>
      <c r="DGC9" s="26">
        <f>IF(DGC7=0,0,IF(MAX($F9:DGB9)=$D12,0,DGB9+1))</f>
        <v>0</v>
      </c>
      <c r="DGD9" s="26">
        <f>IF(DGD7=0,0,IF(MAX($F9:DGC9)=$D12,0,DGC9+1))</f>
        <v>0</v>
      </c>
      <c r="DGE9" s="26">
        <f>IF(DGE7=0,0,IF(MAX($F9:DGD9)=$D12,0,DGD9+1))</f>
        <v>0</v>
      </c>
      <c r="DGF9" s="26">
        <f>IF(DGF7=0,0,IF(MAX($F9:DGE9)=$D12,0,DGE9+1))</f>
        <v>0</v>
      </c>
      <c r="DGG9" s="26">
        <f>IF(DGG7=0,0,IF(MAX($F9:DGF9)=$D12,0,DGF9+1))</f>
        <v>0</v>
      </c>
      <c r="DGH9" s="26">
        <f>IF(DGH7=0,0,IF(MAX($F9:DGG9)=$D12,0,DGG9+1))</f>
        <v>0</v>
      </c>
      <c r="DGI9" s="26">
        <f>IF(DGI7=0,0,IF(MAX($F9:DGH9)=$D12,0,DGH9+1))</f>
        <v>0</v>
      </c>
      <c r="DGJ9" s="26">
        <f>IF(DGJ7=0,0,IF(MAX($F9:DGI9)=$D12,0,DGI9+1))</f>
        <v>0</v>
      </c>
      <c r="DGK9" s="26">
        <f>IF(DGK7=0,0,IF(MAX($F9:DGJ9)=$D12,0,DGJ9+1))</f>
        <v>0</v>
      </c>
      <c r="DGL9" s="26">
        <f>IF(DGL7=0,0,IF(MAX($F9:DGK9)=$D12,0,DGK9+1))</f>
        <v>0</v>
      </c>
      <c r="DGM9" s="26">
        <f>IF(DGM7=0,0,IF(MAX($F9:DGL9)=$D12,0,DGL9+1))</f>
        <v>0</v>
      </c>
      <c r="DGN9" s="26">
        <f>IF(DGN7=0,0,IF(MAX($F9:DGM9)=$D12,0,DGM9+1))</f>
        <v>0</v>
      </c>
      <c r="DGO9" s="26">
        <f>IF(DGO7=0,0,IF(MAX($F9:DGN9)=$D12,0,DGN9+1))</f>
        <v>0</v>
      </c>
      <c r="DGP9" s="26">
        <f>IF(DGP7=0,0,IF(MAX($F9:DGO9)=$D12,0,DGO9+1))</f>
        <v>0</v>
      </c>
      <c r="DGQ9" s="26">
        <f>IF(DGQ7=0,0,IF(MAX($F9:DGP9)=$D12,0,DGP9+1))</f>
        <v>0</v>
      </c>
      <c r="DGR9" s="26">
        <f>IF(DGR7=0,0,IF(MAX($F9:DGQ9)=$D12,0,DGQ9+1))</f>
        <v>0</v>
      </c>
      <c r="DGS9" s="26">
        <f>IF(DGS7=0,0,IF(MAX($F9:DGR9)=$D12,0,DGR9+1))</f>
        <v>0</v>
      </c>
      <c r="DGT9" s="26">
        <f>IF(DGT7=0,0,IF(MAX($F9:DGS9)=$D12,0,DGS9+1))</f>
        <v>0</v>
      </c>
      <c r="DGU9" s="26">
        <f>IF(DGU7=0,0,IF(MAX($F9:DGT9)=$D12,0,DGT9+1))</f>
        <v>0</v>
      </c>
      <c r="DGV9" s="26">
        <f>IF(DGV7=0,0,IF(MAX($F9:DGU9)=$D12,0,DGU9+1))</f>
        <v>0</v>
      </c>
      <c r="DGW9" s="26">
        <f>IF(DGW7=0,0,IF(MAX($F9:DGV9)=$D12,0,DGV9+1))</f>
        <v>0</v>
      </c>
      <c r="DGX9" s="26">
        <f>IF(DGX7=0,0,IF(MAX($F9:DGW9)=$D12,0,DGW9+1))</f>
        <v>0</v>
      </c>
      <c r="DGY9" s="26">
        <f>IF(DGY7=0,0,IF(MAX($F9:DGX9)=$D12,0,DGX9+1))</f>
        <v>0</v>
      </c>
      <c r="DGZ9" s="26">
        <f>IF(DGZ7=0,0,IF(MAX($F9:DGY9)=$D12,0,DGY9+1))</f>
        <v>0</v>
      </c>
      <c r="DHA9" s="26">
        <f>IF(DHA7=0,0,IF(MAX($F9:DGZ9)=$D12,0,DGZ9+1))</f>
        <v>0</v>
      </c>
      <c r="DHB9" s="26">
        <f>IF(DHB7=0,0,IF(MAX($F9:DHA9)=$D12,0,DHA9+1))</f>
        <v>0</v>
      </c>
      <c r="DHC9" s="26">
        <f>IF(DHC7=0,0,IF(MAX($F9:DHB9)=$D12,0,DHB9+1))</f>
        <v>0</v>
      </c>
      <c r="DHD9" s="26">
        <f>IF(DHD7=0,0,IF(MAX($F9:DHC9)=$D12,0,DHC9+1))</f>
        <v>0</v>
      </c>
      <c r="DHE9" s="26">
        <f>IF(DHE7=0,0,IF(MAX($F9:DHD9)=$D12,0,DHD9+1))</f>
        <v>0</v>
      </c>
      <c r="DHF9" s="26">
        <f>IF(DHF7=0,0,IF(MAX($F9:DHE9)=$D12,0,DHE9+1))</f>
        <v>0</v>
      </c>
      <c r="DHG9" s="26">
        <f>IF(DHG7=0,0,IF(MAX($F9:DHF9)=$D12,0,DHF9+1))</f>
        <v>0</v>
      </c>
      <c r="DHH9" s="26">
        <f>IF(DHH7=0,0,IF(MAX($F9:DHG9)=$D12,0,DHG9+1))</f>
        <v>0</v>
      </c>
      <c r="DHI9" s="26">
        <f>IF(DHI7=0,0,IF(MAX($F9:DHH9)=$D12,0,DHH9+1))</f>
        <v>0</v>
      </c>
      <c r="DHJ9" s="26">
        <f>IF(DHJ7=0,0,IF(MAX($F9:DHI9)=$D12,0,DHI9+1))</f>
        <v>0</v>
      </c>
      <c r="DHK9" s="26">
        <f>IF(DHK7=0,0,IF(MAX($F9:DHJ9)=$D12,0,DHJ9+1))</f>
        <v>0</v>
      </c>
      <c r="DHL9" s="26">
        <f>IF(DHL7=0,0,IF(MAX($F9:DHK9)=$D12,0,DHK9+1))</f>
        <v>0</v>
      </c>
      <c r="DHM9" s="26">
        <f>IF(DHM7=0,0,IF(MAX($F9:DHL9)=$D12,0,DHL9+1))</f>
        <v>0</v>
      </c>
      <c r="DHN9" s="26">
        <f>IF(DHN7=0,0,IF(MAX($F9:DHM9)=$D12,0,DHM9+1))</f>
        <v>0</v>
      </c>
      <c r="DHO9" s="26">
        <f>IF(DHO7=0,0,IF(MAX($F9:DHN9)=$D12,0,DHN9+1))</f>
        <v>0</v>
      </c>
      <c r="DHP9" s="26">
        <f>IF(DHP7=0,0,IF(MAX($F9:DHO9)=$D12,0,DHO9+1))</f>
        <v>0</v>
      </c>
      <c r="DHQ9" s="26">
        <f>IF(DHQ7=0,0,IF(MAX($F9:DHP9)=$D12,0,DHP9+1))</f>
        <v>0</v>
      </c>
      <c r="DHR9" s="26">
        <f>IF(DHR7=0,0,IF(MAX($F9:DHQ9)=$D12,0,DHQ9+1))</f>
        <v>0</v>
      </c>
      <c r="DHS9" s="26">
        <f>IF(DHS7=0,0,IF(MAX($F9:DHR9)=$D12,0,DHR9+1))</f>
        <v>0</v>
      </c>
      <c r="DHT9" s="26">
        <f>IF(DHT7=0,0,IF(MAX($F9:DHS9)=$D12,0,DHS9+1))</f>
        <v>0</v>
      </c>
      <c r="DHU9" s="26">
        <f>IF(DHU7=0,0,IF(MAX($F9:DHT9)=$D12,0,DHT9+1))</f>
        <v>0</v>
      </c>
      <c r="DHV9" s="26">
        <f>IF(DHV7=0,0,IF(MAX($F9:DHU9)=$D12,0,DHU9+1))</f>
        <v>0</v>
      </c>
      <c r="DHW9" s="26">
        <f>IF(DHW7=0,0,IF(MAX($F9:DHV9)=$D12,0,DHV9+1))</f>
        <v>0</v>
      </c>
      <c r="DHX9" s="26">
        <f>IF(DHX7=0,0,IF(MAX($F9:DHW9)=$D12,0,DHW9+1))</f>
        <v>0</v>
      </c>
      <c r="DHY9" s="26">
        <f>IF(DHY7=0,0,IF(MAX($F9:DHX9)=$D12,0,DHX9+1))</f>
        <v>0</v>
      </c>
      <c r="DHZ9" s="26">
        <f>IF(DHZ7=0,0,IF(MAX($F9:DHY9)=$D12,0,DHY9+1))</f>
        <v>0</v>
      </c>
      <c r="DIA9" s="26">
        <f>IF(DIA7=0,0,IF(MAX($F9:DHZ9)=$D12,0,DHZ9+1))</f>
        <v>0</v>
      </c>
      <c r="DIB9" s="26">
        <f>IF(DIB7=0,0,IF(MAX($F9:DIA9)=$D12,0,DIA9+1))</f>
        <v>0</v>
      </c>
      <c r="DIC9" s="26">
        <f>IF(DIC7=0,0,IF(MAX($F9:DIB9)=$D12,0,DIB9+1))</f>
        <v>0</v>
      </c>
      <c r="DID9" s="26">
        <f>IF(DID7=0,0,IF(MAX($F9:DIC9)=$D12,0,DIC9+1))</f>
        <v>0</v>
      </c>
      <c r="DIE9" s="26">
        <f>IF(DIE7=0,0,IF(MAX($F9:DID9)=$D12,0,DID9+1))</f>
        <v>0</v>
      </c>
      <c r="DIF9" s="26">
        <f>IF(DIF7=0,0,IF(MAX($F9:DIE9)=$D12,0,DIE9+1))</f>
        <v>0</v>
      </c>
      <c r="DIG9" s="26">
        <f>IF(DIG7=0,0,IF(MAX($F9:DIF9)=$D12,0,DIF9+1))</f>
        <v>0</v>
      </c>
      <c r="DIH9" s="26">
        <f>IF(DIH7=0,0,IF(MAX($F9:DIG9)=$D12,0,DIG9+1))</f>
        <v>0</v>
      </c>
      <c r="DII9" s="26">
        <f>IF(DII7=0,0,IF(MAX($F9:DIH9)=$D12,0,DIH9+1))</f>
        <v>0</v>
      </c>
      <c r="DIJ9" s="26">
        <f>IF(DIJ7=0,0,IF(MAX($F9:DII9)=$D12,0,DII9+1))</f>
        <v>0</v>
      </c>
      <c r="DIK9" s="26">
        <f>IF(DIK7=0,0,IF(MAX($F9:DIJ9)=$D12,0,DIJ9+1))</f>
        <v>0</v>
      </c>
      <c r="DIL9" s="26">
        <f>IF(DIL7=0,0,IF(MAX($F9:DIK9)=$D12,0,DIK9+1))</f>
        <v>0</v>
      </c>
      <c r="DIM9" s="26">
        <f>IF(DIM7=0,0,IF(MAX($F9:DIL9)=$D12,0,DIL9+1))</f>
        <v>0</v>
      </c>
      <c r="DIN9" s="26">
        <f>IF(DIN7=0,0,IF(MAX($F9:DIM9)=$D12,0,DIM9+1))</f>
        <v>0</v>
      </c>
      <c r="DIO9" s="26">
        <f>IF(DIO7=0,0,IF(MAX($F9:DIN9)=$D12,0,DIN9+1))</f>
        <v>0</v>
      </c>
      <c r="DIP9" s="26">
        <f>IF(DIP7=0,0,IF(MAX($F9:DIO9)=$D12,0,DIO9+1))</f>
        <v>0</v>
      </c>
      <c r="DIQ9" s="26">
        <f>IF(DIQ7=0,0,IF(MAX($F9:DIP9)=$D12,0,DIP9+1))</f>
        <v>0</v>
      </c>
      <c r="DIR9" s="26">
        <f>IF(DIR7=0,0,IF(MAX($F9:DIQ9)=$D12,0,DIQ9+1))</f>
        <v>0</v>
      </c>
      <c r="DIS9" s="26">
        <f>IF(DIS7=0,0,IF(MAX($F9:DIR9)=$D12,0,DIR9+1))</f>
        <v>0</v>
      </c>
      <c r="DIT9" s="26">
        <f>IF(DIT7=0,0,IF(MAX($F9:DIS9)=$D12,0,DIS9+1))</f>
        <v>0</v>
      </c>
      <c r="DIU9" s="26">
        <f>IF(DIU7=0,0,IF(MAX($F9:DIT9)=$D12,0,DIT9+1))</f>
        <v>0</v>
      </c>
      <c r="DIV9" s="26">
        <f>IF(DIV7=0,0,IF(MAX($F9:DIU9)=$D12,0,DIU9+1))</f>
        <v>0</v>
      </c>
      <c r="DIW9" s="26">
        <f>IF(DIW7=0,0,IF(MAX($F9:DIV9)=$D12,0,DIV9+1))</f>
        <v>0</v>
      </c>
      <c r="DIX9" s="26">
        <f>IF(DIX7=0,0,IF(MAX($F9:DIW9)=$D12,0,DIW9+1))</f>
        <v>0</v>
      </c>
      <c r="DIY9" s="26">
        <f>IF(DIY7=0,0,IF(MAX($F9:DIX9)=$D12,0,DIX9+1))</f>
        <v>0</v>
      </c>
      <c r="DIZ9" s="26">
        <f>IF(DIZ7=0,0,IF(MAX($F9:DIY9)=$D12,0,DIY9+1))</f>
        <v>0</v>
      </c>
      <c r="DJA9" s="26">
        <f>IF(DJA7=0,0,IF(MAX($F9:DIZ9)=$D12,0,DIZ9+1))</f>
        <v>0</v>
      </c>
      <c r="DJB9" s="26">
        <f>IF(DJB7=0,0,IF(MAX($F9:DJA9)=$D12,0,DJA9+1))</f>
        <v>0</v>
      </c>
      <c r="DJC9" s="26">
        <f>IF(DJC7=0,0,IF(MAX($F9:DJB9)=$D12,0,DJB9+1))</f>
        <v>0</v>
      </c>
      <c r="DJD9" s="26">
        <f>IF(DJD7=0,0,IF(MAX($F9:DJC9)=$D12,0,DJC9+1))</f>
        <v>0</v>
      </c>
      <c r="DJE9" s="26">
        <f>IF(DJE7=0,0,IF(MAX($F9:DJD9)=$D12,0,DJD9+1))</f>
        <v>0</v>
      </c>
      <c r="DJF9" s="26">
        <f>IF(DJF7=0,0,IF(MAX($F9:DJE9)=$D12,0,DJE9+1))</f>
        <v>0</v>
      </c>
      <c r="DJG9" s="26">
        <f>IF(DJG7=0,0,IF(MAX($F9:DJF9)=$D12,0,DJF9+1))</f>
        <v>0</v>
      </c>
      <c r="DJH9" s="26">
        <f>IF(DJH7=0,0,IF(MAX($F9:DJG9)=$D12,0,DJG9+1))</f>
        <v>0</v>
      </c>
      <c r="DJI9" s="26">
        <f>IF(DJI7=0,0,IF(MAX($F9:DJH9)=$D12,0,DJH9+1))</f>
        <v>0</v>
      </c>
      <c r="DJJ9" s="26">
        <f>IF(DJJ7=0,0,IF(MAX($F9:DJI9)=$D12,0,DJI9+1))</f>
        <v>0</v>
      </c>
      <c r="DJK9" s="26">
        <f>IF(DJK7=0,0,IF(MAX($F9:DJJ9)=$D12,0,DJJ9+1))</f>
        <v>0</v>
      </c>
      <c r="DJL9" s="26">
        <f>IF(DJL7=0,0,IF(MAX($F9:DJK9)=$D12,0,DJK9+1))</f>
        <v>0</v>
      </c>
      <c r="DJM9" s="26">
        <f>IF(DJM7=0,0,IF(MAX($F9:DJL9)=$D12,0,DJL9+1))</f>
        <v>0</v>
      </c>
      <c r="DJN9" s="26">
        <f>IF(DJN7=0,0,IF(MAX($F9:DJM9)=$D12,0,DJM9+1))</f>
        <v>0</v>
      </c>
      <c r="DJO9" s="26">
        <f>IF(DJO7=0,0,IF(MAX($F9:DJN9)=$D12,0,DJN9+1))</f>
        <v>0</v>
      </c>
      <c r="DJP9" s="26">
        <f>IF(DJP7=0,0,IF(MAX($F9:DJO9)=$D12,0,DJO9+1))</f>
        <v>0</v>
      </c>
      <c r="DJQ9" s="26">
        <f>IF(DJQ7=0,0,IF(MAX($F9:DJP9)=$D12,0,DJP9+1))</f>
        <v>0</v>
      </c>
      <c r="DJR9" s="26">
        <f>IF(DJR7=0,0,IF(MAX($F9:DJQ9)=$D12,0,DJQ9+1))</f>
        <v>0</v>
      </c>
      <c r="DJS9" s="26">
        <f>IF(DJS7=0,0,IF(MAX($F9:DJR9)=$D12,0,DJR9+1))</f>
        <v>0</v>
      </c>
      <c r="DJT9" s="26">
        <f>IF(DJT7=0,0,IF(MAX($F9:DJS9)=$D12,0,DJS9+1))</f>
        <v>0</v>
      </c>
      <c r="DJU9" s="26">
        <f>IF(DJU7=0,0,IF(MAX($F9:DJT9)=$D12,0,DJT9+1))</f>
        <v>0</v>
      </c>
      <c r="DJV9" s="26">
        <f>IF(DJV7=0,0,IF(MAX($F9:DJU9)=$D12,0,DJU9+1))</f>
        <v>0</v>
      </c>
      <c r="DJW9" s="26">
        <f>IF(DJW7=0,0,IF(MAX($F9:DJV9)=$D12,0,DJV9+1))</f>
        <v>0</v>
      </c>
      <c r="DJX9" s="26">
        <f>IF(DJX7=0,0,IF(MAX($F9:DJW9)=$D12,0,DJW9+1))</f>
        <v>0</v>
      </c>
      <c r="DJY9" s="26">
        <f>IF(DJY7=0,0,IF(MAX($F9:DJX9)=$D12,0,DJX9+1))</f>
        <v>0</v>
      </c>
      <c r="DJZ9" s="26">
        <f>IF(DJZ7=0,0,IF(MAX($F9:DJY9)=$D12,0,DJY9+1))</f>
        <v>0</v>
      </c>
      <c r="DKA9" s="26">
        <f>IF(DKA7=0,0,IF(MAX($F9:DJZ9)=$D12,0,DJZ9+1))</f>
        <v>0</v>
      </c>
      <c r="DKB9" s="26">
        <f>IF(DKB7=0,0,IF(MAX($F9:DKA9)=$D12,0,DKA9+1))</f>
        <v>0</v>
      </c>
      <c r="DKC9" s="26">
        <f>IF(DKC7=0,0,IF(MAX($F9:DKB9)=$D12,0,DKB9+1))</f>
        <v>0</v>
      </c>
      <c r="DKD9" s="26">
        <f>IF(DKD7=0,0,IF(MAX($F9:DKC9)=$D12,0,DKC9+1))</f>
        <v>0</v>
      </c>
      <c r="DKE9" s="26">
        <f>IF(DKE7=0,0,IF(MAX($F9:DKD9)=$D12,0,DKD9+1))</f>
        <v>0</v>
      </c>
      <c r="DKF9" s="26">
        <f>IF(DKF7=0,0,IF(MAX($F9:DKE9)=$D12,0,DKE9+1))</f>
        <v>0</v>
      </c>
      <c r="DKG9" s="26">
        <f>IF(DKG7=0,0,IF(MAX($F9:DKF9)=$D12,0,DKF9+1))</f>
        <v>0</v>
      </c>
      <c r="DKH9" s="26">
        <f>IF(DKH7=0,0,IF(MAX($F9:DKG9)=$D12,0,DKG9+1))</f>
        <v>0</v>
      </c>
      <c r="DKI9" s="26">
        <f>IF(DKI7=0,0,IF(MAX($F9:DKH9)=$D12,0,DKH9+1))</f>
        <v>0</v>
      </c>
      <c r="DKJ9" s="26">
        <f>IF(DKJ7=0,0,IF(MAX($F9:DKI9)=$D12,0,DKI9+1))</f>
        <v>0</v>
      </c>
      <c r="DKK9" s="26">
        <f>IF(DKK7=0,0,IF(MAX($F9:DKJ9)=$D12,0,DKJ9+1))</f>
        <v>0</v>
      </c>
      <c r="DKL9" s="26">
        <f>IF(DKL7=0,0,IF(MAX($F9:DKK9)=$D12,0,DKK9+1))</f>
        <v>0</v>
      </c>
      <c r="DKM9" s="26">
        <f>IF(DKM7=0,0,IF(MAX($F9:DKL9)=$D12,0,DKL9+1))</f>
        <v>0</v>
      </c>
      <c r="DKN9" s="26">
        <f>IF(DKN7=0,0,IF(MAX($F9:DKM9)=$D12,0,DKM9+1))</f>
        <v>0</v>
      </c>
      <c r="DKO9" s="26">
        <f>IF(DKO7=0,0,IF(MAX($F9:DKN9)=$D12,0,DKN9+1))</f>
        <v>0</v>
      </c>
      <c r="DKP9" s="26">
        <f>IF(DKP7=0,0,IF(MAX($F9:DKO9)=$D12,0,DKO9+1))</f>
        <v>0</v>
      </c>
      <c r="DKQ9" s="26">
        <f>IF(DKQ7=0,0,IF(MAX($F9:DKP9)=$D12,0,DKP9+1))</f>
        <v>0</v>
      </c>
      <c r="DKR9" s="26">
        <f>IF(DKR7=0,0,IF(MAX($F9:DKQ9)=$D12,0,DKQ9+1))</f>
        <v>0</v>
      </c>
      <c r="DKS9" s="26">
        <f>IF(DKS7=0,0,IF(MAX($F9:DKR9)=$D12,0,DKR9+1))</f>
        <v>0</v>
      </c>
      <c r="DKT9" s="26">
        <f>IF(DKT7=0,0,IF(MAX($F9:DKS9)=$D12,0,DKS9+1))</f>
        <v>0</v>
      </c>
      <c r="DKU9" s="26">
        <f>IF(DKU7=0,0,IF(MAX($F9:DKT9)=$D12,0,DKT9+1))</f>
        <v>0</v>
      </c>
      <c r="DKV9" s="26">
        <f>IF(DKV7=0,0,IF(MAX($F9:DKU9)=$D12,0,DKU9+1))</f>
        <v>0</v>
      </c>
      <c r="DKW9" s="26">
        <f>IF(DKW7=0,0,IF(MAX($F9:DKV9)=$D12,0,DKV9+1))</f>
        <v>0</v>
      </c>
      <c r="DKX9" s="26">
        <f>IF(DKX7=0,0,IF(MAX($F9:DKW9)=$D12,0,DKW9+1))</f>
        <v>0</v>
      </c>
      <c r="DKY9" s="26">
        <f>IF(DKY7=0,0,IF(MAX($F9:DKX9)=$D12,0,DKX9+1))</f>
        <v>0</v>
      </c>
      <c r="DKZ9" s="26">
        <f>IF(DKZ7=0,0,IF(MAX($F9:DKY9)=$D12,0,DKY9+1))</f>
        <v>0</v>
      </c>
      <c r="DLA9" s="26">
        <f>IF(DLA7=0,0,IF(MAX($F9:DKZ9)=$D12,0,DKZ9+1))</f>
        <v>0</v>
      </c>
      <c r="DLB9" s="26">
        <f>IF(DLB7=0,0,IF(MAX($F9:DLA9)=$D12,0,DLA9+1))</f>
        <v>0</v>
      </c>
      <c r="DLC9" s="26">
        <f>IF(DLC7=0,0,IF(MAX($F9:DLB9)=$D12,0,DLB9+1))</f>
        <v>0</v>
      </c>
      <c r="DLD9" s="26">
        <f>IF(DLD7=0,0,IF(MAX($F9:DLC9)=$D12,0,DLC9+1))</f>
        <v>0</v>
      </c>
      <c r="DLE9" s="26">
        <f>IF(DLE7=0,0,IF(MAX($F9:DLD9)=$D12,0,DLD9+1))</f>
        <v>0</v>
      </c>
      <c r="DLF9" s="26">
        <f>IF(DLF7=0,0,IF(MAX($F9:DLE9)=$D12,0,DLE9+1))</f>
        <v>0</v>
      </c>
      <c r="DLG9" s="26">
        <f>IF(DLG7=0,0,IF(MAX($F9:DLF9)=$D12,0,DLF9+1))</f>
        <v>0</v>
      </c>
      <c r="DLH9" s="26">
        <f>IF(DLH7=0,0,IF(MAX($F9:DLG9)=$D12,0,DLG9+1))</f>
        <v>0</v>
      </c>
      <c r="DLI9" s="26">
        <f>IF(DLI7=0,0,IF(MAX($F9:DLH9)=$D12,0,DLH9+1))</f>
        <v>0</v>
      </c>
      <c r="DLJ9" s="26">
        <f>IF(DLJ7=0,0,IF(MAX($F9:DLI9)=$D12,0,DLI9+1))</f>
        <v>0</v>
      </c>
      <c r="DLK9" s="26">
        <f>IF(DLK7=0,0,IF(MAX($F9:DLJ9)=$D12,0,DLJ9+1))</f>
        <v>0</v>
      </c>
      <c r="DLL9" s="26">
        <f>IF(DLL7=0,0,IF(MAX($F9:DLK9)=$D12,0,DLK9+1))</f>
        <v>0</v>
      </c>
      <c r="DLM9" s="26">
        <f>IF(DLM7=0,0,IF(MAX($F9:DLL9)=$D12,0,DLL9+1))</f>
        <v>0</v>
      </c>
      <c r="DLN9" s="26">
        <f>IF(DLN7=0,0,IF(MAX($F9:DLM9)=$D12,0,DLM9+1))</f>
        <v>0</v>
      </c>
      <c r="DLO9" s="26">
        <f>IF(DLO7=0,0,IF(MAX($F9:DLN9)=$D12,0,DLN9+1))</f>
        <v>0</v>
      </c>
      <c r="DLP9" s="26">
        <f>IF(DLP7=0,0,IF(MAX($F9:DLO9)=$D12,0,DLO9+1))</f>
        <v>0</v>
      </c>
      <c r="DLQ9" s="26">
        <f>IF(DLQ7=0,0,IF(MAX($F9:DLP9)=$D12,0,DLP9+1))</f>
        <v>0</v>
      </c>
      <c r="DLR9" s="26">
        <f>IF(DLR7=0,0,IF(MAX($F9:DLQ9)=$D12,0,DLQ9+1))</f>
        <v>0</v>
      </c>
      <c r="DLS9" s="26">
        <f>IF(DLS7=0,0,IF(MAX($F9:DLR9)=$D12,0,DLR9+1))</f>
        <v>0</v>
      </c>
      <c r="DLT9" s="26">
        <f>IF(DLT7=0,0,IF(MAX($F9:DLS9)=$D12,0,DLS9+1))</f>
        <v>0</v>
      </c>
      <c r="DLU9" s="26">
        <f>IF(DLU7=0,0,IF(MAX($F9:DLT9)=$D12,0,DLT9+1))</f>
        <v>0</v>
      </c>
      <c r="DLV9" s="26">
        <f>IF(DLV7=0,0,IF(MAX($F9:DLU9)=$D12,0,DLU9+1))</f>
        <v>0</v>
      </c>
      <c r="DLW9" s="26">
        <f>IF(DLW7=0,0,IF(MAX($F9:DLV9)=$D12,0,DLV9+1))</f>
        <v>0</v>
      </c>
      <c r="DLX9" s="26">
        <f>IF(DLX7=0,0,IF(MAX($F9:DLW9)=$D12,0,DLW9+1))</f>
        <v>0</v>
      </c>
      <c r="DLY9" s="26">
        <f>IF(DLY7=0,0,IF(MAX($F9:DLX9)=$D12,0,DLX9+1))</f>
        <v>0</v>
      </c>
      <c r="DLZ9" s="26">
        <f>IF(DLZ7=0,0,IF(MAX($F9:DLY9)=$D12,0,DLY9+1))</f>
        <v>0</v>
      </c>
      <c r="DMA9" s="26">
        <f>IF(DMA7=0,0,IF(MAX($F9:DLZ9)=$D12,0,DLZ9+1))</f>
        <v>0</v>
      </c>
      <c r="DMB9" s="26">
        <f>IF(DMB7=0,0,IF(MAX($F9:DMA9)=$D12,0,DMA9+1))</f>
        <v>0</v>
      </c>
      <c r="DMC9" s="26">
        <f>IF(DMC7=0,0,IF(MAX($F9:DMB9)=$D12,0,DMB9+1))</f>
        <v>0</v>
      </c>
      <c r="DMD9" s="26">
        <f>IF(DMD7=0,0,IF(MAX($F9:DMC9)=$D12,0,DMC9+1))</f>
        <v>0</v>
      </c>
      <c r="DME9" s="26">
        <f>IF(DME7=0,0,IF(MAX($F9:DMD9)=$D12,0,DMD9+1))</f>
        <v>0</v>
      </c>
      <c r="DMF9" s="26">
        <f>IF(DMF7=0,0,IF(MAX($F9:DME9)=$D12,0,DME9+1))</f>
        <v>0</v>
      </c>
      <c r="DMG9" s="26">
        <f>IF(DMG7=0,0,IF(MAX($F9:DMF9)=$D12,0,DMF9+1))</f>
        <v>0</v>
      </c>
      <c r="DMH9" s="26">
        <f>IF(DMH7=0,0,IF(MAX($F9:DMG9)=$D12,0,DMG9+1))</f>
        <v>0</v>
      </c>
      <c r="DMI9" s="26">
        <f>IF(DMI7=0,0,IF(MAX($F9:DMH9)=$D12,0,DMH9+1))</f>
        <v>0</v>
      </c>
      <c r="DMJ9" s="26">
        <f>IF(DMJ7=0,0,IF(MAX($F9:DMI9)=$D12,0,DMI9+1))</f>
        <v>0</v>
      </c>
      <c r="DMK9" s="26">
        <f>IF(DMK7=0,0,IF(MAX($F9:DMJ9)=$D12,0,DMJ9+1))</f>
        <v>0</v>
      </c>
      <c r="DML9" s="26">
        <f>IF(DML7=0,0,IF(MAX($F9:DMK9)=$D12,0,DMK9+1))</f>
        <v>0</v>
      </c>
      <c r="DMM9" s="26">
        <f>IF(DMM7=0,0,IF(MAX($F9:DML9)=$D12,0,DML9+1))</f>
        <v>0</v>
      </c>
      <c r="DMN9" s="26">
        <f>IF(DMN7=0,0,IF(MAX($F9:DMM9)=$D12,0,DMM9+1))</f>
        <v>0</v>
      </c>
      <c r="DMO9" s="26">
        <f>IF(DMO7=0,0,IF(MAX($F9:DMN9)=$D12,0,DMN9+1))</f>
        <v>0</v>
      </c>
      <c r="DMP9" s="26">
        <f>IF(DMP7=0,0,IF(MAX($F9:DMO9)=$D12,0,DMO9+1))</f>
        <v>0</v>
      </c>
      <c r="DMQ9" s="26">
        <f>IF(DMQ7=0,0,IF(MAX($F9:DMP9)=$D12,0,DMP9+1))</f>
        <v>0</v>
      </c>
      <c r="DMR9" s="26">
        <f>IF(DMR7=0,0,IF(MAX($F9:DMQ9)=$D12,0,DMQ9+1))</f>
        <v>0</v>
      </c>
      <c r="DMS9" s="26">
        <f>IF(DMS7=0,0,IF(MAX($F9:DMR9)=$D12,0,DMR9+1))</f>
        <v>0</v>
      </c>
      <c r="DMT9" s="26">
        <f>IF(DMT7=0,0,IF(MAX($F9:DMS9)=$D12,0,DMS9+1))</f>
        <v>0</v>
      </c>
      <c r="DMU9" s="26">
        <f>IF(DMU7=0,0,IF(MAX($F9:DMT9)=$D12,0,DMT9+1))</f>
        <v>0</v>
      </c>
      <c r="DMV9" s="26">
        <f>IF(DMV7=0,0,IF(MAX($F9:DMU9)=$D12,0,DMU9+1))</f>
        <v>0</v>
      </c>
      <c r="DMW9" s="26">
        <f>IF(DMW7=0,0,IF(MAX($F9:DMV9)=$D12,0,DMV9+1))</f>
        <v>0</v>
      </c>
      <c r="DMX9" s="26">
        <f>IF(DMX7=0,0,IF(MAX($F9:DMW9)=$D12,0,DMW9+1))</f>
        <v>0</v>
      </c>
      <c r="DMY9" s="26">
        <f>IF(DMY7=0,0,IF(MAX($F9:DMX9)=$D12,0,DMX9+1))</f>
        <v>0</v>
      </c>
      <c r="DMZ9" s="26">
        <f>IF(DMZ7=0,0,IF(MAX($F9:DMY9)=$D12,0,DMY9+1))</f>
        <v>0</v>
      </c>
      <c r="DNA9" s="26">
        <f>IF(DNA7=0,0,IF(MAX($F9:DMZ9)=$D12,0,DMZ9+1))</f>
        <v>0</v>
      </c>
      <c r="DNB9" s="26">
        <f>IF(DNB7=0,0,IF(MAX($F9:DNA9)=$D12,0,DNA9+1))</f>
        <v>0</v>
      </c>
      <c r="DNC9" s="26">
        <f>IF(DNC7=0,0,IF(MAX($F9:DNB9)=$D12,0,DNB9+1))</f>
        <v>0</v>
      </c>
      <c r="DND9" s="26">
        <f>IF(DND7=0,0,IF(MAX($F9:DNC9)=$D12,0,DNC9+1))</f>
        <v>0</v>
      </c>
      <c r="DNE9" s="26">
        <f>IF(DNE7=0,0,IF(MAX($F9:DND9)=$D12,0,DND9+1))</f>
        <v>0</v>
      </c>
      <c r="DNF9" s="26">
        <f>IF(DNF7=0,0,IF(MAX($F9:DNE9)=$D12,0,DNE9+1))</f>
        <v>0</v>
      </c>
      <c r="DNG9" s="26">
        <f>IF(DNG7=0,0,IF(MAX($F9:DNF9)=$D12,0,DNF9+1))</f>
        <v>0</v>
      </c>
      <c r="DNH9" s="26">
        <f>IF(DNH7=0,0,IF(MAX($F9:DNG9)=$D12,0,DNG9+1))</f>
        <v>0</v>
      </c>
      <c r="DNI9" s="26">
        <f>IF(DNI7=0,0,IF(MAX($F9:DNH9)=$D12,0,DNH9+1))</f>
        <v>0</v>
      </c>
      <c r="DNJ9" s="26">
        <f>IF(DNJ7=0,0,IF(MAX($F9:DNI9)=$D12,0,DNI9+1))</f>
        <v>0</v>
      </c>
      <c r="DNK9" s="26">
        <f>IF(DNK7=0,0,IF(MAX($F9:DNJ9)=$D12,0,DNJ9+1))</f>
        <v>0</v>
      </c>
      <c r="DNL9" s="26">
        <f>IF(DNL7=0,0,IF(MAX($F9:DNK9)=$D12,0,DNK9+1))</f>
        <v>0</v>
      </c>
      <c r="DNM9" s="26">
        <f>IF(DNM7=0,0,IF(MAX($F9:DNL9)=$D12,0,DNL9+1))</f>
        <v>0</v>
      </c>
      <c r="DNN9" s="26">
        <f>IF(DNN7=0,0,IF(MAX($F9:DNM9)=$D12,0,DNM9+1))</f>
        <v>0</v>
      </c>
      <c r="DNO9" s="26">
        <f>IF(DNO7=0,0,IF(MAX($F9:DNN9)=$D12,0,DNN9+1))</f>
        <v>0</v>
      </c>
      <c r="DNP9" s="26">
        <f>IF(DNP7=0,0,IF(MAX($F9:DNO9)=$D12,0,DNO9+1))</f>
        <v>0</v>
      </c>
      <c r="DNQ9" s="26">
        <f>IF(DNQ7=0,0,IF(MAX($F9:DNP9)=$D12,0,DNP9+1))</f>
        <v>0</v>
      </c>
      <c r="DNR9" s="26">
        <f>IF(DNR7=0,0,IF(MAX($F9:DNQ9)=$D12,0,DNQ9+1))</f>
        <v>0</v>
      </c>
      <c r="DNS9" s="26">
        <f>IF(DNS7=0,0,IF(MAX($F9:DNR9)=$D12,0,DNR9+1))</f>
        <v>0</v>
      </c>
      <c r="DNT9" s="26">
        <f>IF(DNT7=0,0,IF(MAX($F9:DNS9)=$D12,0,DNS9+1))</f>
        <v>0</v>
      </c>
      <c r="DNU9" s="26">
        <f>IF(DNU7=0,0,IF(MAX($F9:DNT9)=$D12,0,DNT9+1))</f>
        <v>0</v>
      </c>
      <c r="DNV9" s="26">
        <f>IF(DNV7=0,0,IF(MAX($F9:DNU9)=$D12,0,DNU9+1))</f>
        <v>0</v>
      </c>
      <c r="DNW9" s="26">
        <f>IF(DNW7=0,0,IF(MAX($F9:DNV9)=$D12,0,DNV9+1))</f>
        <v>0</v>
      </c>
      <c r="DNX9" s="26">
        <f>IF(DNX7=0,0,IF(MAX($F9:DNW9)=$D12,0,DNW9+1))</f>
        <v>0</v>
      </c>
      <c r="DNY9" s="26">
        <f>IF(DNY7=0,0,IF(MAX($F9:DNX9)=$D12,0,DNX9+1))</f>
        <v>0</v>
      </c>
      <c r="DNZ9" s="26">
        <f>IF(DNZ7=0,0,IF(MAX($F9:DNY9)=$D12,0,DNY9+1))</f>
        <v>0</v>
      </c>
      <c r="DOA9" s="26">
        <f>IF(DOA7=0,0,IF(MAX($F9:DNZ9)=$D12,0,DNZ9+1))</f>
        <v>0</v>
      </c>
      <c r="DOB9" s="26">
        <f>IF(DOB7=0,0,IF(MAX($F9:DOA9)=$D12,0,DOA9+1))</f>
        <v>0</v>
      </c>
      <c r="DOC9" s="26">
        <f>IF(DOC7=0,0,IF(MAX($F9:DOB9)=$D12,0,DOB9+1))</f>
        <v>0</v>
      </c>
      <c r="DOD9" s="26">
        <f>IF(DOD7=0,0,IF(MAX($F9:DOC9)=$D12,0,DOC9+1))</f>
        <v>0</v>
      </c>
      <c r="DOE9" s="26">
        <f>IF(DOE7=0,0,IF(MAX($F9:DOD9)=$D12,0,DOD9+1))</f>
        <v>0</v>
      </c>
      <c r="DOF9" s="26">
        <f>IF(DOF7=0,0,IF(MAX($F9:DOE9)=$D12,0,DOE9+1))</f>
        <v>0</v>
      </c>
      <c r="DOG9" s="26">
        <f>IF(DOG7=0,0,IF(MAX($F9:DOF9)=$D12,0,DOF9+1))</f>
        <v>0</v>
      </c>
      <c r="DOH9" s="26">
        <f>IF(DOH7=0,0,IF(MAX($F9:DOG9)=$D12,0,DOG9+1))</f>
        <v>0</v>
      </c>
      <c r="DOI9" s="26">
        <f>IF(DOI7=0,0,IF(MAX($F9:DOH9)=$D12,0,DOH9+1))</f>
        <v>0</v>
      </c>
      <c r="DOJ9" s="26">
        <f>IF(DOJ7=0,0,IF(MAX($F9:DOI9)=$D12,0,DOI9+1))</f>
        <v>0</v>
      </c>
      <c r="DOK9" s="26">
        <f>IF(DOK7=0,0,IF(MAX($F9:DOJ9)=$D12,0,DOJ9+1))</f>
        <v>0</v>
      </c>
      <c r="DOL9" s="26">
        <f>IF(DOL7=0,0,IF(MAX($F9:DOK9)=$D12,0,DOK9+1))</f>
        <v>0</v>
      </c>
      <c r="DOM9" s="26">
        <f>IF(DOM7=0,0,IF(MAX($F9:DOL9)=$D12,0,DOL9+1))</f>
        <v>0</v>
      </c>
      <c r="DON9" s="26">
        <f>IF(DON7=0,0,IF(MAX($F9:DOM9)=$D12,0,DOM9+1))</f>
        <v>0</v>
      </c>
      <c r="DOO9" s="26">
        <f>IF(DOO7=0,0,IF(MAX($F9:DON9)=$D12,0,DON9+1))</f>
        <v>0</v>
      </c>
      <c r="DOP9" s="26">
        <f>IF(DOP7=0,0,IF(MAX($F9:DOO9)=$D12,0,DOO9+1))</f>
        <v>0</v>
      </c>
      <c r="DOQ9" s="26">
        <f>IF(DOQ7=0,0,IF(MAX($F9:DOP9)=$D12,0,DOP9+1))</f>
        <v>0</v>
      </c>
      <c r="DOR9" s="26">
        <f>IF(DOR7=0,0,IF(MAX($F9:DOQ9)=$D12,0,DOQ9+1))</f>
        <v>0</v>
      </c>
      <c r="DOS9" s="26">
        <f>IF(DOS7=0,0,IF(MAX($F9:DOR9)=$D12,0,DOR9+1))</f>
        <v>0</v>
      </c>
      <c r="DOT9" s="26">
        <f>IF(DOT7=0,0,IF(MAX($F9:DOS9)=$D12,0,DOS9+1))</f>
        <v>0</v>
      </c>
      <c r="DOU9" s="26">
        <f>IF(DOU7=0,0,IF(MAX($F9:DOT9)=$D12,0,DOT9+1))</f>
        <v>0</v>
      </c>
      <c r="DOV9" s="26">
        <f>IF(DOV7=0,0,IF(MAX($F9:DOU9)=$D12,0,DOU9+1))</f>
        <v>0</v>
      </c>
      <c r="DOW9" s="26">
        <f>IF(DOW7=0,0,IF(MAX($F9:DOV9)=$D12,0,DOV9+1))</f>
        <v>0</v>
      </c>
      <c r="DOX9" s="26">
        <f>IF(DOX7=0,0,IF(MAX($F9:DOW9)=$D12,0,DOW9+1))</f>
        <v>0</v>
      </c>
      <c r="DOY9" s="26">
        <f>IF(DOY7=0,0,IF(MAX($F9:DOX9)=$D12,0,DOX9+1))</f>
        <v>0</v>
      </c>
      <c r="DOZ9" s="26">
        <f>IF(DOZ7=0,0,IF(MAX($F9:DOY9)=$D12,0,DOY9+1))</f>
        <v>0</v>
      </c>
      <c r="DPA9" s="26">
        <f>IF(DPA7=0,0,IF(MAX($F9:DOZ9)=$D12,0,DOZ9+1))</f>
        <v>0</v>
      </c>
      <c r="DPB9" s="26">
        <f>IF(DPB7=0,0,IF(MAX($F9:DPA9)=$D12,0,DPA9+1))</f>
        <v>0</v>
      </c>
      <c r="DPC9" s="26">
        <f>IF(DPC7=0,0,IF(MAX($F9:DPB9)=$D12,0,DPB9+1))</f>
        <v>0</v>
      </c>
      <c r="DPD9" s="26">
        <f>IF(DPD7=0,0,IF(MAX($F9:DPC9)=$D12,0,DPC9+1))</f>
        <v>0</v>
      </c>
      <c r="DPE9" s="26">
        <f>IF(DPE7=0,0,IF(MAX($F9:DPD9)=$D12,0,DPD9+1))</f>
        <v>0</v>
      </c>
      <c r="DPF9" s="26">
        <f>IF(DPF7=0,0,IF(MAX($F9:DPE9)=$D12,0,DPE9+1))</f>
        <v>0</v>
      </c>
      <c r="DPG9" s="26">
        <f>IF(DPG7=0,0,IF(MAX($F9:DPF9)=$D12,0,DPF9+1))</f>
        <v>0</v>
      </c>
      <c r="DPH9" s="26">
        <f>IF(DPH7=0,0,IF(MAX($F9:DPG9)=$D12,0,DPG9+1))</f>
        <v>0</v>
      </c>
      <c r="DPI9" s="26">
        <f>IF(DPI7=0,0,IF(MAX($F9:DPH9)=$D12,0,DPH9+1))</f>
        <v>0</v>
      </c>
      <c r="DPJ9" s="26">
        <f>IF(DPJ7=0,0,IF(MAX($F9:DPI9)=$D12,0,DPI9+1))</f>
        <v>0</v>
      </c>
      <c r="DPK9" s="26">
        <f>IF(DPK7=0,0,IF(MAX($F9:DPJ9)=$D12,0,DPJ9+1))</f>
        <v>0</v>
      </c>
      <c r="DPL9" s="26">
        <f>IF(DPL7=0,0,IF(MAX($F9:DPK9)=$D12,0,DPK9+1))</f>
        <v>0</v>
      </c>
      <c r="DPM9" s="26">
        <f>IF(DPM7=0,0,IF(MAX($F9:DPL9)=$D12,0,DPL9+1))</f>
        <v>0</v>
      </c>
      <c r="DPN9" s="26">
        <f>IF(DPN7=0,0,IF(MAX($F9:DPM9)=$D12,0,DPM9+1))</f>
        <v>0</v>
      </c>
      <c r="DPO9" s="26">
        <f>IF(DPO7=0,0,IF(MAX($F9:DPN9)=$D12,0,DPN9+1))</f>
        <v>0</v>
      </c>
      <c r="DPP9" s="26">
        <f>IF(DPP7=0,0,IF(MAX($F9:DPO9)=$D12,0,DPO9+1))</f>
        <v>0</v>
      </c>
      <c r="DPQ9" s="26">
        <f>IF(DPQ7=0,0,IF(MAX($F9:DPP9)=$D12,0,DPP9+1))</f>
        <v>0</v>
      </c>
      <c r="DPR9" s="26">
        <f>IF(DPR7=0,0,IF(MAX($F9:DPQ9)=$D12,0,DPQ9+1))</f>
        <v>0</v>
      </c>
      <c r="DPS9" s="26">
        <f>IF(DPS7=0,0,IF(MAX($F9:DPR9)=$D12,0,DPR9+1))</f>
        <v>0</v>
      </c>
      <c r="DPT9" s="26">
        <f>IF(DPT7=0,0,IF(MAX($F9:DPS9)=$D12,0,DPS9+1))</f>
        <v>0</v>
      </c>
      <c r="DPU9" s="26">
        <f>IF(DPU7=0,0,IF(MAX($F9:DPT9)=$D12,0,DPT9+1))</f>
        <v>0</v>
      </c>
      <c r="DPV9" s="26">
        <f>IF(DPV7=0,0,IF(MAX($F9:DPU9)=$D12,0,DPU9+1))</f>
        <v>0</v>
      </c>
      <c r="DPW9" s="26">
        <f>IF(DPW7=0,0,IF(MAX($F9:DPV9)=$D12,0,DPV9+1))</f>
        <v>0</v>
      </c>
      <c r="DPX9" s="26">
        <f>IF(DPX7=0,0,IF(MAX($F9:DPW9)=$D12,0,DPW9+1))</f>
        <v>0</v>
      </c>
      <c r="DPY9" s="26">
        <f>IF(DPY7=0,0,IF(MAX($F9:DPX9)=$D12,0,DPX9+1))</f>
        <v>0</v>
      </c>
      <c r="DPZ9" s="26">
        <f>IF(DPZ7=0,0,IF(MAX($F9:DPY9)=$D12,0,DPY9+1))</f>
        <v>0</v>
      </c>
      <c r="DQA9" s="26">
        <f>IF(DQA7=0,0,IF(MAX($F9:DPZ9)=$D12,0,DPZ9+1))</f>
        <v>0</v>
      </c>
      <c r="DQB9" s="26">
        <f>IF(DQB7=0,0,IF(MAX($F9:DQA9)=$D12,0,DQA9+1))</f>
        <v>0</v>
      </c>
      <c r="DQC9" s="26">
        <f>IF(DQC7=0,0,IF(MAX($F9:DQB9)=$D12,0,DQB9+1))</f>
        <v>0</v>
      </c>
      <c r="DQD9" s="26">
        <f>IF(DQD7=0,0,IF(MAX($F9:DQC9)=$D12,0,DQC9+1))</f>
        <v>0</v>
      </c>
      <c r="DQE9" s="26">
        <f>IF(DQE7=0,0,IF(MAX($F9:DQD9)=$D12,0,DQD9+1))</f>
        <v>0</v>
      </c>
      <c r="DQF9" s="26">
        <f>IF(DQF7=0,0,IF(MAX($F9:DQE9)=$D12,0,DQE9+1))</f>
        <v>0</v>
      </c>
      <c r="DQG9" s="26">
        <f>IF(DQG7=0,0,IF(MAX($F9:DQF9)=$D12,0,DQF9+1))</f>
        <v>0</v>
      </c>
      <c r="DQH9" s="26">
        <f>IF(DQH7=0,0,IF(MAX($F9:DQG9)=$D12,0,DQG9+1))</f>
        <v>0</v>
      </c>
      <c r="DQI9" s="26">
        <f>IF(DQI7=0,0,IF(MAX($F9:DQH9)=$D12,0,DQH9+1))</f>
        <v>0</v>
      </c>
      <c r="DQJ9" s="26">
        <f>IF(DQJ7=0,0,IF(MAX($F9:DQI9)=$D12,0,DQI9+1))</f>
        <v>0</v>
      </c>
      <c r="DQK9" s="26">
        <f>IF(DQK7=0,0,IF(MAX($F9:DQJ9)=$D12,0,DQJ9+1))</f>
        <v>0</v>
      </c>
      <c r="DQL9" s="26">
        <f>IF(DQL7=0,0,IF(MAX($F9:DQK9)=$D12,0,DQK9+1))</f>
        <v>0</v>
      </c>
      <c r="DQM9" s="26">
        <f>IF(DQM7=0,0,IF(MAX($F9:DQL9)=$D12,0,DQL9+1))</f>
        <v>0</v>
      </c>
      <c r="DQN9" s="26">
        <f>IF(DQN7=0,0,IF(MAX($F9:DQM9)=$D12,0,DQM9+1))</f>
        <v>0</v>
      </c>
      <c r="DQO9" s="26">
        <f>IF(DQO7=0,0,IF(MAX($F9:DQN9)=$D12,0,DQN9+1))</f>
        <v>0</v>
      </c>
      <c r="DQP9" s="26">
        <f>IF(DQP7=0,0,IF(MAX($F9:DQO9)=$D12,0,DQO9+1))</f>
        <v>0</v>
      </c>
      <c r="DQQ9" s="26">
        <f>IF(DQQ7=0,0,IF(MAX($F9:DQP9)=$D12,0,DQP9+1))</f>
        <v>0</v>
      </c>
      <c r="DQR9" s="26">
        <f>IF(DQR7=0,0,IF(MAX($F9:DQQ9)=$D12,0,DQQ9+1))</f>
        <v>0</v>
      </c>
      <c r="DQS9" s="26">
        <f>IF(DQS7=0,0,IF(MAX($F9:DQR9)=$D12,0,DQR9+1))</f>
        <v>0</v>
      </c>
      <c r="DQT9" s="26">
        <f>IF(DQT7=0,0,IF(MAX($F9:DQS9)=$D12,0,DQS9+1))</f>
        <v>0</v>
      </c>
      <c r="DQU9" s="26">
        <f>IF(DQU7=0,0,IF(MAX($F9:DQT9)=$D12,0,DQT9+1))</f>
        <v>0</v>
      </c>
      <c r="DQV9" s="26">
        <f>IF(DQV7=0,0,IF(MAX($F9:DQU9)=$D12,0,DQU9+1))</f>
        <v>0</v>
      </c>
      <c r="DQW9" s="26">
        <f>IF(DQW7=0,0,IF(MAX($F9:DQV9)=$D12,0,DQV9+1))</f>
        <v>0</v>
      </c>
      <c r="DQX9" s="26">
        <f>IF(DQX7=0,0,IF(MAX($F9:DQW9)=$D12,0,DQW9+1))</f>
        <v>0</v>
      </c>
      <c r="DQY9" s="26">
        <f>IF(DQY7=0,0,IF(MAX($F9:DQX9)=$D12,0,DQX9+1))</f>
        <v>0</v>
      </c>
      <c r="DQZ9" s="26">
        <f>IF(DQZ7=0,0,IF(MAX($F9:DQY9)=$D12,0,DQY9+1))</f>
        <v>0</v>
      </c>
      <c r="DRA9" s="26">
        <f>IF(DRA7=0,0,IF(MAX($F9:DQZ9)=$D12,0,DQZ9+1))</f>
        <v>0</v>
      </c>
      <c r="DRB9" s="26">
        <f>IF(DRB7=0,0,IF(MAX($F9:DRA9)=$D12,0,DRA9+1))</f>
        <v>0</v>
      </c>
      <c r="DRC9" s="26">
        <f>IF(DRC7=0,0,IF(MAX($F9:DRB9)=$D12,0,DRB9+1))</f>
        <v>0</v>
      </c>
      <c r="DRD9" s="26">
        <f>IF(DRD7=0,0,IF(MAX($F9:DRC9)=$D12,0,DRC9+1))</f>
        <v>0</v>
      </c>
      <c r="DRE9" s="26">
        <f>IF(DRE7=0,0,IF(MAX($F9:DRD9)=$D12,0,DRD9+1))</f>
        <v>0</v>
      </c>
      <c r="DRF9" s="26">
        <f>IF(DRF7=0,0,IF(MAX($F9:DRE9)=$D12,0,DRE9+1))</f>
        <v>0</v>
      </c>
      <c r="DRG9" s="26">
        <f>IF(DRG7=0,0,IF(MAX($F9:DRF9)=$D12,0,DRF9+1))</f>
        <v>0</v>
      </c>
      <c r="DRH9" s="26">
        <f>IF(DRH7=0,0,IF(MAX($F9:DRG9)=$D12,0,DRG9+1))</f>
        <v>0</v>
      </c>
      <c r="DRI9" s="26">
        <f>IF(DRI7=0,0,IF(MAX($F9:DRH9)=$D12,0,DRH9+1))</f>
        <v>0</v>
      </c>
      <c r="DRJ9" s="26">
        <f>IF(DRJ7=0,0,IF(MAX($F9:DRI9)=$D12,0,DRI9+1))</f>
        <v>0</v>
      </c>
      <c r="DRK9" s="26">
        <f>IF(DRK7=0,0,IF(MAX($F9:DRJ9)=$D12,0,DRJ9+1))</f>
        <v>0</v>
      </c>
      <c r="DRL9" s="26">
        <f>IF(DRL7=0,0,IF(MAX($F9:DRK9)=$D12,0,DRK9+1))</f>
        <v>0</v>
      </c>
      <c r="DRM9" s="26">
        <f>IF(DRM7=0,0,IF(MAX($F9:DRL9)=$D12,0,DRL9+1))</f>
        <v>0</v>
      </c>
      <c r="DRN9" s="26">
        <f>IF(DRN7=0,0,IF(MAX($F9:DRM9)=$D12,0,DRM9+1))</f>
        <v>0</v>
      </c>
      <c r="DRO9" s="26">
        <f>IF(DRO7=0,0,IF(MAX($F9:DRN9)=$D12,0,DRN9+1))</f>
        <v>0</v>
      </c>
      <c r="DRP9" s="26">
        <f>IF(DRP7=0,0,IF(MAX($F9:DRO9)=$D12,0,DRO9+1))</f>
        <v>0</v>
      </c>
      <c r="DRQ9" s="26">
        <f>IF(DRQ7=0,0,IF(MAX($F9:DRP9)=$D12,0,DRP9+1))</f>
        <v>0</v>
      </c>
      <c r="DRR9" s="26">
        <f>IF(DRR7=0,0,IF(MAX($F9:DRQ9)=$D12,0,DRQ9+1))</f>
        <v>0</v>
      </c>
      <c r="DRS9" s="26">
        <f>IF(DRS7=0,0,IF(MAX($F9:DRR9)=$D12,0,DRR9+1))</f>
        <v>0</v>
      </c>
      <c r="DRT9" s="26">
        <f>IF(DRT7=0,0,IF(MAX($F9:DRS9)=$D12,0,DRS9+1))</f>
        <v>0</v>
      </c>
      <c r="DRU9" s="26">
        <f>IF(DRU7=0,0,IF(MAX($F9:DRT9)=$D12,0,DRT9+1))</f>
        <v>0</v>
      </c>
      <c r="DRV9" s="26">
        <f>IF(DRV7=0,0,IF(MAX($F9:DRU9)=$D12,0,DRU9+1))</f>
        <v>0</v>
      </c>
      <c r="DRW9" s="26">
        <f>IF(DRW7=0,0,IF(MAX($F9:DRV9)=$D12,0,DRV9+1))</f>
        <v>0</v>
      </c>
      <c r="DRX9" s="26">
        <f>IF(DRX7=0,0,IF(MAX($F9:DRW9)=$D12,0,DRW9+1))</f>
        <v>0</v>
      </c>
      <c r="DRY9" s="26">
        <f>IF(DRY7=0,0,IF(MAX($F9:DRX9)=$D12,0,DRX9+1))</f>
        <v>0</v>
      </c>
      <c r="DRZ9" s="26">
        <f>IF(DRZ7=0,0,IF(MAX($F9:DRY9)=$D12,0,DRY9+1))</f>
        <v>0</v>
      </c>
      <c r="DSA9" s="26">
        <f>IF(DSA7=0,0,IF(MAX($F9:DRZ9)=$D12,0,DRZ9+1))</f>
        <v>0</v>
      </c>
      <c r="DSB9" s="26">
        <f>IF(DSB7=0,0,IF(MAX($F9:DSA9)=$D12,0,DSA9+1))</f>
        <v>0</v>
      </c>
      <c r="DSC9" s="26">
        <f>IF(DSC7=0,0,IF(MAX($F9:DSB9)=$D12,0,DSB9+1))</f>
        <v>0</v>
      </c>
      <c r="DSD9" s="26">
        <f>IF(DSD7=0,0,IF(MAX($F9:DSC9)=$D12,0,DSC9+1))</f>
        <v>0</v>
      </c>
      <c r="DSE9" s="26">
        <f>IF(DSE7=0,0,IF(MAX($F9:DSD9)=$D12,0,DSD9+1))</f>
        <v>0</v>
      </c>
      <c r="DSF9" s="26">
        <f>IF(DSF7=0,0,IF(MAX($F9:DSE9)=$D12,0,DSE9+1))</f>
        <v>0</v>
      </c>
      <c r="DSG9" s="26">
        <f>IF(DSG7=0,0,IF(MAX($F9:DSF9)=$D12,0,DSF9+1))</f>
        <v>0</v>
      </c>
      <c r="DSH9" s="26">
        <f>IF(DSH7=0,0,IF(MAX($F9:DSG9)=$D12,0,DSG9+1))</f>
        <v>0</v>
      </c>
      <c r="DSI9" s="26">
        <f>IF(DSI7=0,0,IF(MAX($F9:DSH9)=$D12,0,DSH9+1))</f>
        <v>0</v>
      </c>
      <c r="DSJ9" s="26">
        <f>IF(DSJ7=0,0,IF(MAX($F9:DSI9)=$D12,0,DSI9+1))</f>
        <v>0</v>
      </c>
      <c r="DSK9" s="26">
        <f>IF(DSK7=0,0,IF(MAX($F9:DSJ9)=$D12,0,DSJ9+1))</f>
        <v>0</v>
      </c>
      <c r="DSL9" s="26">
        <f>IF(DSL7=0,0,IF(MAX($F9:DSK9)=$D12,0,DSK9+1))</f>
        <v>0</v>
      </c>
      <c r="DSM9" s="26">
        <f>IF(DSM7=0,0,IF(MAX($F9:DSL9)=$D12,0,DSL9+1))</f>
        <v>0</v>
      </c>
      <c r="DSN9" s="26">
        <f>IF(DSN7=0,0,IF(MAX($F9:DSM9)=$D12,0,DSM9+1))</f>
        <v>0</v>
      </c>
      <c r="DSO9" s="26">
        <f>IF(DSO7=0,0,IF(MAX($F9:DSN9)=$D12,0,DSN9+1))</f>
        <v>0</v>
      </c>
      <c r="DSP9" s="26">
        <f>IF(DSP7=0,0,IF(MAX($F9:DSO9)=$D12,0,DSO9+1))</f>
        <v>0</v>
      </c>
      <c r="DSQ9" s="26">
        <f>IF(DSQ7=0,0,IF(MAX($F9:DSP9)=$D12,0,DSP9+1))</f>
        <v>0</v>
      </c>
      <c r="DSR9" s="26">
        <f>IF(DSR7=0,0,IF(MAX($F9:DSQ9)=$D12,0,DSQ9+1))</f>
        <v>0</v>
      </c>
      <c r="DSS9" s="26">
        <f>IF(DSS7=0,0,IF(MAX($F9:DSR9)=$D12,0,DSR9+1))</f>
        <v>0</v>
      </c>
      <c r="DST9" s="26">
        <f>IF(DST7=0,0,IF(MAX($F9:DSS9)=$D12,0,DSS9+1))</f>
        <v>0</v>
      </c>
      <c r="DSU9" s="26">
        <f>IF(DSU7=0,0,IF(MAX($F9:DST9)=$D12,0,DST9+1))</f>
        <v>0</v>
      </c>
      <c r="DSV9" s="26">
        <f>IF(DSV7=0,0,IF(MAX($F9:DSU9)=$D12,0,DSU9+1))</f>
        <v>0</v>
      </c>
      <c r="DSW9" s="26">
        <f>IF(DSW7=0,0,IF(MAX($F9:DSV9)=$D12,0,DSV9+1))</f>
        <v>0</v>
      </c>
      <c r="DSX9" s="26">
        <f>IF(DSX7=0,0,IF(MAX($F9:DSW9)=$D12,0,DSW9+1))</f>
        <v>0</v>
      </c>
      <c r="DSY9" s="26">
        <f>IF(DSY7=0,0,IF(MAX($F9:DSX9)=$D12,0,DSX9+1))</f>
        <v>0</v>
      </c>
      <c r="DSZ9" s="26">
        <f>IF(DSZ7=0,0,IF(MAX($F9:DSY9)=$D12,0,DSY9+1))</f>
        <v>0</v>
      </c>
      <c r="DTA9" s="26">
        <f>IF(DTA7=0,0,IF(MAX($F9:DSZ9)=$D12,0,DSZ9+1))</f>
        <v>0</v>
      </c>
      <c r="DTB9" s="26">
        <f>IF(DTB7=0,0,IF(MAX($F9:DTA9)=$D12,0,DTA9+1))</f>
        <v>0</v>
      </c>
      <c r="DTC9" s="26">
        <f>IF(DTC7=0,0,IF(MAX($F9:DTB9)=$D12,0,DTB9+1))</f>
        <v>0</v>
      </c>
      <c r="DTD9" s="26">
        <f>IF(DTD7=0,0,IF(MAX($F9:DTC9)=$D12,0,DTC9+1))</f>
        <v>0</v>
      </c>
      <c r="DTE9" s="26">
        <f>IF(DTE7=0,0,IF(MAX($F9:DTD9)=$D12,0,DTD9+1))</f>
        <v>0</v>
      </c>
      <c r="DTF9" s="26">
        <f>IF(DTF7=0,0,IF(MAX($F9:DTE9)=$D12,0,DTE9+1))</f>
        <v>0</v>
      </c>
      <c r="DTG9" s="26">
        <f>IF(DTG7=0,0,IF(MAX($F9:DTF9)=$D12,0,DTF9+1))</f>
        <v>0</v>
      </c>
      <c r="DTH9" s="26">
        <f>IF(DTH7=0,0,IF(MAX($F9:DTG9)=$D12,0,DTG9+1))</f>
        <v>0</v>
      </c>
      <c r="DTI9" s="26">
        <f>IF(DTI7=0,0,IF(MAX($F9:DTH9)=$D12,0,DTH9+1))</f>
        <v>0</v>
      </c>
      <c r="DTJ9" s="26">
        <f>IF(DTJ7=0,0,IF(MAX($F9:DTI9)=$D12,0,DTI9+1))</f>
        <v>0</v>
      </c>
      <c r="DTK9" s="26">
        <f>IF(DTK7=0,0,IF(MAX($F9:DTJ9)=$D12,0,DTJ9+1))</f>
        <v>0</v>
      </c>
      <c r="DTL9" s="26">
        <f>IF(DTL7=0,0,IF(MAX($F9:DTK9)=$D12,0,DTK9+1))</f>
        <v>0</v>
      </c>
      <c r="DTM9" s="26">
        <f>IF(DTM7=0,0,IF(MAX($F9:DTL9)=$D12,0,DTL9+1))</f>
        <v>0</v>
      </c>
      <c r="DTN9" s="26">
        <f>IF(DTN7=0,0,IF(MAX($F9:DTM9)=$D12,0,DTM9+1))</f>
        <v>0</v>
      </c>
      <c r="DTO9" s="26">
        <f>IF(DTO7=0,0,IF(MAX($F9:DTN9)=$D12,0,DTN9+1))</f>
        <v>0</v>
      </c>
      <c r="DTP9" s="26">
        <f>IF(DTP7=0,0,IF(MAX($F9:DTO9)=$D12,0,DTO9+1))</f>
        <v>0</v>
      </c>
      <c r="DTQ9" s="26">
        <f>IF(DTQ7=0,0,IF(MAX($F9:DTP9)=$D12,0,DTP9+1))</f>
        <v>0</v>
      </c>
      <c r="DTR9" s="26">
        <f>IF(DTR7=0,0,IF(MAX($F9:DTQ9)=$D12,0,DTQ9+1))</f>
        <v>0</v>
      </c>
      <c r="DTS9" s="26">
        <f>IF(DTS7=0,0,IF(MAX($F9:DTR9)=$D12,0,DTR9+1))</f>
        <v>0</v>
      </c>
      <c r="DTT9" s="26">
        <f>IF(DTT7=0,0,IF(MAX($F9:DTS9)=$D12,0,DTS9+1))</f>
        <v>0</v>
      </c>
      <c r="DTU9" s="26">
        <f>IF(DTU7=0,0,IF(MAX($F9:DTT9)=$D12,0,DTT9+1))</f>
        <v>0</v>
      </c>
      <c r="DTV9" s="26">
        <f>IF(DTV7=0,0,IF(MAX($F9:DTU9)=$D12,0,DTU9+1))</f>
        <v>0</v>
      </c>
      <c r="DTW9" s="26">
        <f>IF(DTW7=0,0,IF(MAX($F9:DTV9)=$D12,0,DTV9+1))</f>
        <v>0</v>
      </c>
      <c r="DTX9" s="26">
        <f>IF(DTX7=0,0,IF(MAX($F9:DTW9)=$D12,0,DTW9+1))</f>
        <v>0</v>
      </c>
      <c r="DTY9" s="26">
        <f>IF(DTY7=0,0,IF(MAX($F9:DTX9)=$D12,0,DTX9+1))</f>
        <v>0</v>
      </c>
      <c r="DTZ9" s="26">
        <f>IF(DTZ7=0,0,IF(MAX($F9:DTY9)=$D12,0,DTY9+1))</f>
        <v>0</v>
      </c>
      <c r="DUA9" s="26">
        <f>IF(DUA7=0,0,IF(MAX($F9:DTZ9)=$D12,0,DTZ9+1))</f>
        <v>0</v>
      </c>
      <c r="DUB9" s="26">
        <f>IF(DUB7=0,0,IF(MAX($F9:DUA9)=$D12,0,DUA9+1))</f>
        <v>0</v>
      </c>
      <c r="DUC9" s="26">
        <f>IF(DUC7=0,0,IF(MAX($F9:DUB9)=$D12,0,DUB9+1))</f>
        <v>0</v>
      </c>
      <c r="DUD9" s="26">
        <f>IF(DUD7=0,0,IF(MAX($F9:DUC9)=$D12,0,DUC9+1))</f>
        <v>0</v>
      </c>
      <c r="DUE9" s="26">
        <f>IF(DUE7=0,0,IF(MAX($F9:DUD9)=$D12,0,DUD9+1))</f>
        <v>0</v>
      </c>
      <c r="DUF9" s="26">
        <f>IF(DUF7=0,0,IF(MAX($F9:DUE9)=$D12,0,DUE9+1))</f>
        <v>0</v>
      </c>
      <c r="DUG9" s="26">
        <f>IF(DUG7=0,0,IF(MAX($F9:DUF9)=$D12,0,DUF9+1))</f>
        <v>0</v>
      </c>
      <c r="DUH9" s="26">
        <f>IF(DUH7=0,0,IF(MAX($F9:DUG9)=$D12,0,DUG9+1))</f>
        <v>0</v>
      </c>
      <c r="DUI9" s="26">
        <f>IF(DUI7=0,0,IF(MAX($F9:DUH9)=$D12,0,DUH9+1))</f>
        <v>0</v>
      </c>
      <c r="DUJ9" s="26">
        <f>IF(DUJ7=0,0,IF(MAX($F9:DUI9)=$D12,0,DUI9+1))</f>
        <v>0</v>
      </c>
      <c r="DUK9" s="26">
        <f>IF(DUK7=0,0,IF(MAX($F9:DUJ9)=$D12,0,DUJ9+1))</f>
        <v>0</v>
      </c>
      <c r="DUL9" s="26">
        <f>IF(DUL7=0,0,IF(MAX($F9:DUK9)=$D12,0,DUK9+1))</f>
        <v>0</v>
      </c>
      <c r="DUM9" s="26">
        <f>IF(DUM7=0,0,IF(MAX($F9:DUL9)=$D12,0,DUL9+1))</f>
        <v>0</v>
      </c>
      <c r="DUN9" s="26">
        <f>IF(DUN7=0,0,IF(MAX($F9:DUM9)=$D12,0,DUM9+1))</f>
        <v>0</v>
      </c>
      <c r="DUO9" s="26">
        <f>IF(DUO7=0,0,IF(MAX($F9:DUN9)=$D12,0,DUN9+1))</f>
        <v>0</v>
      </c>
      <c r="DUP9" s="26">
        <f>IF(DUP7=0,0,IF(MAX($F9:DUO9)=$D12,0,DUO9+1))</f>
        <v>0</v>
      </c>
      <c r="DUQ9" s="26">
        <f>IF(DUQ7=0,0,IF(MAX($F9:DUP9)=$D12,0,DUP9+1))</f>
        <v>0</v>
      </c>
      <c r="DUR9" s="26">
        <f>IF(DUR7=0,0,IF(MAX($F9:DUQ9)=$D12,0,DUQ9+1))</f>
        <v>0</v>
      </c>
      <c r="DUS9" s="26">
        <f>IF(DUS7=0,0,IF(MAX($F9:DUR9)=$D12,0,DUR9+1))</f>
        <v>0</v>
      </c>
      <c r="DUT9" s="26">
        <f>IF(DUT7=0,0,IF(MAX($F9:DUS9)=$D12,0,DUS9+1))</f>
        <v>0</v>
      </c>
      <c r="DUU9" s="26">
        <f>IF(DUU7=0,0,IF(MAX($F9:DUT9)=$D12,0,DUT9+1))</f>
        <v>0</v>
      </c>
      <c r="DUV9" s="26">
        <f>IF(DUV7=0,0,IF(MAX($F9:DUU9)=$D12,0,DUU9+1))</f>
        <v>0</v>
      </c>
      <c r="DUW9" s="26">
        <f>IF(DUW7=0,0,IF(MAX($F9:DUV9)=$D12,0,DUV9+1))</f>
        <v>0</v>
      </c>
      <c r="DUX9" s="26">
        <f>IF(DUX7=0,0,IF(MAX($F9:DUW9)=$D12,0,DUW9+1))</f>
        <v>0</v>
      </c>
      <c r="DUY9" s="26">
        <f>IF(DUY7=0,0,IF(MAX($F9:DUX9)=$D12,0,DUX9+1))</f>
        <v>0</v>
      </c>
      <c r="DUZ9" s="26">
        <f>IF(DUZ7=0,0,IF(MAX($F9:DUY9)=$D12,0,DUY9+1))</f>
        <v>0</v>
      </c>
      <c r="DVA9" s="26">
        <f>IF(DVA7=0,0,IF(MAX($F9:DUZ9)=$D12,0,DUZ9+1))</f>
        <v>0</v>
      </c>
      <c r="DVB9" s="26">
        <f>IF(DVB7=0,0,IF(MAX($F9:DVA9)=$D12,0,DVA9+1))</f>
        <v>0</v>
      </c>
      <c r="DVC9" s="26">
        <f>IF(DVC7=0,0,IF(MAX($F9:DVB9)=$D12,0,DVB9+1))</f>
        <v>0</v>
      </c>
      <c r="DVD9" s="26">
        <f>IF(DVD7=0,0,IF(MAX($F9:DVC9)=$D12,0,DVC9+1))</f>
        <v>0</v>
      </c>
      <c r="DVE9" s="26">
        <f>IF(DVE7=0,0,IF(MAX($F9:DVD9)=$D12,0,DVD9+1))</f>
        <v>0</v>
      </c>
      <c r="DVF9" s="26">
        <f>IF(DVF7=0,0,IF(MAX($F9:DVE9)=$D12,0,DVE9+1))</f>
        <v>0</v>
      </c>
      <c r="DVG9" s="26">
        <f>IF(DVG7=0,0,IF(MAX($F9:DVF9)=$D12,0,DVF9+1))</f>
        <v>0</v>
      </c>
      <c r="DVH9" s="26">
        <f>IF(DVH7=0,0,IF(MAX($F9:DVG9)=$D12,0,DVG9+1))</f>
        <v>0</v>
      </c>
      <c r="DVI9" s="26">
        <f>IF(DVI7=0,0,IF(MAX($F9:DVH9)=$D12,0,DVH9+1))</f>
        <v>0</v>
      </c>
      <c r="DVJ9" s="26">
        <f>IF(DVJ7=0,0,IF(MAX($F9:DVI9)=$D12,0,DVI9+1))</f>
        <v>0</v>
      </c>
      <c r="DVK9" s="26">
        <f>IF(DVK7=0,0,IF(MAX($F9:DVJ9)=$D12,0,DVJ9+1))</f>
        <v>0</v>
      </c>
      <c r="DVL9" s="26">
        <f>IF(DVL7=0,0,IF(MAX($F9:DVK9)=$D12,0,DVK9+1))</f>
        <v>0</v>
      </c>
      <c r="DVM9" s="26">
        <f>IF(DVM7=0,0,IF(MAX($F9:DVL9)=$D12,0,DVL9+1))</f>
        <v>0</v>
      </c>
      <c r="DVN9" s="26">
        <f>IF(DVN7=0,0,IF(MAX($F9:DVM9)=$D12,0,DVM9+1))</f>
        <v>0</v>
      </c>
      <c r="DVO9" s="26">
        <f>IF(DVO7=0,0,IF(MAX($F9:DVN9)=$D12,0,DVN9+1))</f>
        <v>0</v>
      </c>
      <c r="DVP9" s="26">
        <f>IF(DVP7=0,0,IF(MAX($F9:DVO9)=$D12,0,DVO9+1))</f>
        <v>0</v>
      </c>
      <c r="DVQ9" s="26">
        <f>IF(DVQ7=0,0,IF(MAX($F9:DVP9)=$D12,0,DVP9+1))</f>
        <v>0</v>
      </c>
      <c r="DVR9" s="26">
        <f>IF(DVR7=0,0,IF(MAX($F9:DVQ9)=$D12,0,DVQ9+1))</f>
        <v>0</v>
      </c>
      <c r="DVS9" s="26">
        <f>IF(DVS7=0,0,IF(MAX($F9:DVR9)=$D12,0,DVR9+1))</f>
        <v>0</v>
      </c>
      <c r="DVT9" s="26">
        <f>IF(DVT7=0,0,IF(MAX($F9:DVS9)=$D12,0,DVS9+1))</f>
        <v>0</v>
      </c>
      <c r="DVU9" s="26">
        <f>IF(DVU7=0,0,IF(MAX($F9:DVT9)=$D12,0,DVT9+1))</f>
        <v>0</v>
      </c>
      <c r="DVV9" s="26">
        <f>IF(DVV7=0,0,IF(MAX($F9:DVU9)=$D12,0,DVU9+1))</f>
        <v>0</v>
      </c>
      <c r="DVW9" s="26">
        <f>IF(DVW7=0,0,IF(MAX($F9:DVV9)=$D12,0,DVV9+1))</f>
        <v>0</v>
      </c>
      <c r="DVX9" s="26">
        <f>IF(DVX7=0,0,IF(MAX($F9:DVW9)=$D12,0,DVW9+1))</f>
        <v>0</v>
      </c>
      <c r="DVY9" s="26">
        <f>IF(DVY7=0,0,IF(MAX($F9:DVX9)=$D12,0,DVX9+1))</f>
        <v>0</v>
      </c>
      <c r="DVZ9" s="26">
        <f>IF(DVZ7=0,0,IF(MAX($F9:DVY9)=$D12,0,DVY9+1))</f>
        <v>0</v>
      </c>
      <c r="DWA9" s="26">
        <f>IF(DWA7=0,0,IF(MAX($F9:DVZ9)=$D12,0,DVZ9+1))</f>
        <v>0</v>
      </c>
      <c r="DWB9" s="26">
        <f>IF(DWB7=0,0,IF(MAX($F9:DWA9)=$D12,0,DWA9+1))</f>
        <v>0</v>
      </c>
      <c r="DWC9" s="26">
        <f>IF(DWC7=0,0,IF(MAX($F9:DWB9)=$D12,0,DWB9+1))</f>
        <v>0</v>
      </c>
      <c r="DWD9" s="26">
        <f>IF(DWD7=0,0,IF(MAX($F9:DWC9)=$D12,0,DWC9+1))</f>
        <v>0</v>
      </c>
      <c r="DWE9" s="26">
        <f>IF(DWE7=0,0,IF(MAX($F9:DWD9)=$D12,0,DWD9+1))</f>
        <v>0</v>
      </c>
      <c r="DWF9" s="26">
        <f>IF(DWF7=0,0,IF(MAX($F9:DWE9)=$D12,0,DWE9+1))</f>
        <v>0</v>
      </c>
      <c r="DWG9" s="26">
        <f>IF(DWG7=0,0,IF(MAX($F9:DWF9)=$D12,0,DWF9+1))</f>
        <v>0</v>
      </c>
      <c r="DWH9" s="26">
        <f>IF(DWH7=0,0,IF(MAX($F9:DWG9)=$D12,0,DWG9+1))</f>
        <v>0</v>
      </c>
      <c r="DWI9" s="26">
        <f>IF(DWI7=0,0,IF(MAX($F9:DWH9)=$D12,0,DWH9+1))</f>
        <v>0</v>
      </c>
      <c r="DWJ9" s="26">
        <f>IF(DWJ7=0,0,IF(MAX($F9:DWI9)=$D12,0,DWI9+1))</f>
        <v>0</v>
      </c>
      <c r="DWK9" s="26">
        <f>IF(DWK7=0,0,IF(MAX($F9:DWJ9)=$D12,0,DWJ9+1))</f>
        <v>0</v>
      </c>
      <c r="DWL9" s="26">
        <f>IF(DWL7=0,0,IF(MAX($F9:DWK9)=$D12,0,DWK9+1))</f>
        <v>0</v>
      </c>
      <c r="DWM9" s="26">
        <f>IF(DWM7=0,0,IF(MAX($F9:DWL9)=$D12,0,DWL9+1))</f>
        <v>0</v>
      </c>
      <c r="DWN9" s="26">
        <f>IF(DWN7=0,0,IF(MAX($F9:DWM9)=$D12,0,DWM9+1))</f>
        <v>0</v>
      </c>
      <c r="DWO9" s="26">
        <f>IF(DWO7=0,0,IF(MAX($F9:DWN9)=$D12,0,DWN9+1))</f>
        <v>0</v>
      </c>
      <c r="DWP9" s="26">
        <f>IF(DWP7=0,0,IF(MAX($F9:DWO9)=$D12,0,DWO9+1))</f>
        <v>0</v>
      </c>
      <c r="DWQ9" s="26">
        <f>IF(DWQ7=0,0,IF(MAX($F9:DWP9)=$D12,0,DWP9+1))</f>
        <v>0</v>
      </c>
      <c r="DWR9" s="26">
        <f>IF(DWR7=0,0,IF(MAX($F9:DWQ9)=$D12,0,DWQ9+1))</f>
        <v>0</v>
      </c>
      <c r="DWS9" s="26">
        <f>IF(DWS7=0,0,IF(MAX($F9:DWR9)=$D12,0,DWR9+1))</f>
        <v>0</v>
      </c>
      <c r="DWT9" s="26">
        <f>IF(DWT7=0,0,IF(MAX($F9:DWS9)=$D12,0,DWS9+1))</f>
        <v>0</v>
      </c>
      <c r="DWU9" s="26">
        <f>IF(DWU7=0,0,IF(MAX($F9:DWT9)=$D12,0,DWT9+1))</f>
        <v>0</v>
      </c>
      <c r="DWV9" s="26">
        <f>IF(DWV7=0,0,IF(MAX($F9:DWU9)=$D12,0,DWU9+1))</f>
        <v>0</v>
      </c>
      <c r="DWW9" s="26">
        <f>IF(DWW7=0,0,IF(MAX($F9:DWV9)=$D12,0,DWV9+1))</f>
        <v>0</v>
      </c>
      <c r="DWX9" s="26">
        <f>IF(DWX7=0,0,IF(MAX($F9:DWW9)=$D12,0,DWW9+1))</f>
        <v>0</v>
      </c>
      <c r="DWY9" s="26">
        <f>IF(DWY7=0,0,IF(MAX($F9:DWX9)=$D12,0,DWX9+1))</f>
        <v>0</v>
      </c>
      <c r="DWZ9" s="26">
        <f>IF(DWZ7=0,0,IF(MAX($F9:DWY9)=$D12,0,DWY9+1))</f>
        <v>0</v>
      </c>
      <c r="DXA9" s="26">
        <f>IF(DXA7=0,0,IF(MAX($F9:DWZ9)=$D12,0,DWZ9+1))</f>
        <v>0</v>
      </c>
      <c r="DXB9" s="26">
        <f>IF(DXB7=0,0,IF(MAX($F9:DXA9)=$D12,0,DXA9+1))</f>
        <v>0</v>
      </c>
      <c r="DXC9" s="26">
        <f>IF(DXC7=0,0,IF(MAX($F9:DXB9)=$D12,0,DXB9+1))</f>
        <v>0</v>
      </c>
      <c r="DXD9" s="26">
        <f>IF(DXD7=0,0,IF(MAX($F9:DXC9)=$D12,0,DXC9+1))</f>
        <v>0</v>
      </c>
      <c r="DXE9" s="26">
        <f>IF(DXE7=0,0,IF(MAX($F9:DXD9)=$D12,0,DXD9+1))</f>
        <v>0</v>
      </c>
      <c r="DXF9" s="26">
        <f>IF(DXF7=0,0,IF(MAX($F9:DXE9)=$D12,0,DXE9+1))</f>
        <v>0</v>
      </c>
      <c r="DXG9" s="26">
        <f>IF(DXG7=0,0,IF(MAX($F9:DXF9)=$D12,0,DXF9+1))</f>
        <v>0</v>
      </c>
      <c r="DXH9" s="26">
        <f>IF(DXH7=0,0,IF(MAX($F9:DXG9)=$D12,0,DXG9+1))</f>
        <v>0</v>
      </c>
      <c r="DXI9" s="26">
        <f>IF(DXI7=0,0,IF(MAX($F9:DXH9)=$D12,0,DXH9+1))</f>
        <v>0</v>
      </c>
      <c r="DXJ9" s="26">
        <f>IF(DXJ7=0,0,IF(MAX($F9:DXI9)=$D12,0,DXI9+1))</f>
        <v>0</v>
      </c>
      <c r="DXK9" s="26">
        <f>IF(DXK7=0,0,IF(MAX($F9:DXJ9)=$D12,0,DXJ9+1))</f>
        <v>0</v>
      </c>
      <c r="DXL9" s="26">
        <f>IF(DXL7=0,0,IF(MAX($F9:DXK9)=$D12,0,DXK9+1))</f>
        <v>0</v>
      </c>
      <c r="DXM9" s="26">
        <f>IF(DXM7=0,0,IF(MAX($F9:DXL9)=$D12,0,DXL9+1))</f>
        <v>0</v>
      </c>
      <c r="DXN9" s="26">
        <f>IF(DXN7=0,0,IF(MAX($F9:DXM9)=$D12,0,DXM9+1))</f>
        <v>0</v>
      </c>
      <c r="DXO9" s="26">
        <f>IF(DXO7=0,0,IF(MAX($F9:DXN9)=$D12,0,DXN9+1))</f>
        <v>0</v>
      </c>
      <c r="DXP9" s="26">
        <f>IF(DXP7=0,0,IF(MAX($F9:DXO9)=$D12,0,DXO9+1))</f>
        <v>0</v>
      </c>
      <c r="DXQ9" s="26">
        <f>IF(DXQ7=0,0,IF(MAX($F9:DXP9)=$D12,0,DXP9+1))</f>
        <v>0</v>
      </c>
      <c r="DXR9" s="26">
        <f>IF(DXR7=0,0,IF(MAX($F9:DXQ9)=$D12,0,DXQ9+1))</f>
        <v>0</v>
      </c>
      <c r="DXS9" s="26">
        <f>IF(DXS7=0,0,IF(MAX($F9:DXR9)=$D12,0,DXR9+1))</f>
        <v>0</v>
      </c>
      <c r="DXT9" s="26">
        <f>IF(DXT7=0,0,IF(MAX($F9:DXS9)=$D12,0,DXS9+1))</f>
        <v>0</v>
      </c>
      <c r="DXU9" s="26">
        <f>IF(DXU7=0,0,IF(MAX($F9:DXT9)=$D12,0,DXT9+1))</f>
        <v>0</v>
      </c>
      <c r="DXV9" s="26">
        <f>IF(DXV7=0,0,IF(MAX($F9:DXU9)=$D12,0,DXU9+1))</f>
        <v>0</v>
      </c>
      <c r="DXW9" s="26">
        <f>IF(DXW7=0,0,IF(MAX($F9:DXV9)=$D12,0,DXV9+1))</f>
        <v>0</v>
      </c>
      <c r="DXX9" s="26">
        <f>IF(DXX7=0,0,IF(MAX($F9:DXW9)=$D12,0,DXW9+1))</f>
        <v>0</v>
      </c>
      <c r="DXY9" s="26">
        <f>IF(DXY7=0,0,IF(MAX($F9:DXX9)=$D12,0,DXX9+1))</f>
        <v>0</v>
      </c>
      <c r="DXZ9" s="26">
        <f>IF(DXZ7=0,0,IF(MAX($F9:DXY9)=$D12,0,DXY9+1))</f>
        <v>0</v>
      </c>
      <c r="DYA9" s="26">
        <f>IF(DYA7=0,0,IF(MAX($F9:DXZ9)=$D12,0,DXZ9+1))</f>
        <v>0</v>
      </c>
      <c r="DYB9" s="26">
        <f>IF(DYB7=0,0,IF(MAX($F9:DYA9)=$D12,0,DYA9+1))</f>
        <v>0</v>
      </c>
      <c r="DYC9" s="26">
        <f>IF(DYC7=0,0,IF(MAX($F9:DYB9)=$D12,0,DYB9+1))</f>
        <v>0</v>
      </c>
      <c r="DYD9" s="26">
        <f>IF(DYD7=0,0,IF(MAX($F9:DYC9)=$D12,0,DYC9+1))</f>
        <v>0</v>
      </c>
      <c r="DYE9" s="26">
        <f>IF(DYE7=0,0,IF(MAX($F9:DYD9)=$D12,0,DYD9+1))</f>
        <v>0</v>
      </c>
      <c r="DYF9" s="26">
        <f>IF(DYF7=0,0,IF(MAX($F9:DYE9)=$D12,0,DYE9+1))</f>
        <v>0</v>
      </c>
      <c r="DYG9" s="26">
        <f>IF(DYG7=0,0,IF(MAX($F9:DYF9)=$D12,0,DYF9+1))</f>
        <v>0</v>
      </c>
      <c r="DYH9" s="26">
        <f>IF(DYH7=0,0,IF(MAX($F9:DYG9)=$D12,0,DYG9+1))</f>
        <v>0</v>
      </c>
      <c r="DYI9" s="26">
        <f>IF(DYI7=0,0,IF(MAX($F9:DYH9)=$D12,0,DYH9+1))</f>
        <v>0</v>
      </c>
      <c r="DYJ9" s="26">
        <f>IF(DYJ7=0,0,IF(MAX($F9:DYI9)=$D12,0,DYI9+1))</f>
        <v>0</v>
      </c>
      <c r="DYK9" s="26">
        <f>IF(DYK7=0,0,IF(MAX($F9:DYJ9)=$D12,0,DYJ9+1))</f>
        <v>0</v>
      </c>
      <c r="DYL9" s="26">
        <f>IF(DYL7=0,0,IF(MAX($F9:DYK9)=$D12,0,DYK9+1))</f>
        <v>0</v>
      </c>
      <c r="DYM9" s="26">
        <f>IF(DYM7=0,0,IF(MAX($F9:DYL9)=$D12,0,DYL9+1))</f>
        <v>0</v>
      </c>
      <c r="DYN9" s="26">
        <f>IF(DYN7=0,0,IF(MAX($F9:DYM9)=$D12,0,DYM9+1))</f>
        <v>0</v>
      </c>
      <c r="DYO9" s="26">
        <f>IF(DYO7=0,0,IF(MAX($F9:DYN9)=$D12,0,DYN9+1))</f>
        <v>0</v>
      </c>
      <c r="DYP9" s="26">
        <f>IF(DYP7=0,0,IF(MAX($F9:DYO9)=$D12,0,DYO9+1))</f>
        <v>0</v>
      </c>
      <c r="DYQ9" s="26">
        <f>IF(DYQ7=0,0,IF(MAX($F9:DYP9)=$D12,0,DYP9+1))</f>
        <v>0</v>
      </c>
      <c r="DYR9" s="26">
        <f>IF(DYR7=0,0,IF(MAX($F9:DYQ9)=$D12,0,DYQ9+1))</f>
        <v>0</v>
      </c>
      <c r="DYS9" s="26">
        <f>IF(DYS7=0,0,IF(MAX($F9:DYR9)=$D12,0,DYR9+1))</f>
        <v>0</v>
      </c>
      <c r="DYT9" s="26">
        <f>IF(DYT7=0,0,IF(MAX($F9:DYS9)=$D12,0,DYS9+1))</f>
        <v>0</v>
      </c>
      <c r="DYU9" s="26">
        <f>IF(DYU7=0,0,IF(MAX($F9:DYT9)=$D12,0,DYT9+1))</f>
        <v>0</v>
      </c>
      <c r="DYV9" s="26">
        <f>IF(DYV7=0,0,IF(MAX($F9:DYU9)=$D12,0,DYU9+1))</f>
        <v>0</v>
      </c>
      <c r="DYW9" s="26">
        <f>IF(DYW7=0,0,IF(MAX($F9:DYV9)=$D12,0,DYV9+1))</f>
        <v>0</v>
      </c>
      <c r="DYX9" s="26">
        <f>IF(DYX7=0,0,IF(MAX($F9:DYW9)=$D12,0,DYW9+1))</f>
        <v>0</v>
      </c>
      <c r="DYY9" s="26">
        <f>IF(DYY7=0,0,IF(MAX($F9:DYX9)=$D12,0,DYX9+1))</f>
        <v>0</v>
      </c>
      <c r="DYZ9" s="26">
        <f>IF(DYZ7=0,0,IF(MAX($F9:DYY9)=$D12,0,DYY9+1))</f>
        <v>0</v>
      </c>
      <c r="DZA9" s="26">
        <f>IF(DZA7=0,0,IF(MAX($F9:DYZ9)=$D12,0,DYZ9+1))</f>
        <v>0</v>
      </c>
      <c r="DZB9" s="26">
        <f>IF(DZB7=0,0,IF(MAX($F9:DZA9)=$D12,0,DZA9+1))</f>
        <v>0</v>
      </c>
      <c r="DZC9" s="26">
        <f>IF(DZC7=0,0,IF(MAX($F9:DZB9)=$D12,0,DZB9+1))</f>
        <v>0</v>
      </c>
      <c r="DZD9" s="26">
        <f>IF(DZD7=0,0,IF(MAX($F9:DZC9)=$D12,0,DZC9+1))</f>
        <v>0</v>
      </c>
      <c r="DZE9" s="26">
        <f>IF(DZE7=0,0,IF(MAX($F9:DZD9)=$D12,0,DZD9+1))</f>
        <v>0</v>
      </c>
      <c r="DZF9" s="26">
        <f>IF(DZF7=0,0,IF(MAX($F9:DZE9)=$D12,0,DZE9+1))</f>
        <v>0</v>
      </c>
      <c r="DZG9" s="26">
        <f>IF(DZG7=0,0,IF(MAX($F9:DZF9)=$D12,0,DZF9+1))</f>
        <v>0</v>
      </c>
      <c r="DZH9" s="26">
        <f>IF(DZH7=0,0,IF(MAX($F9:DZG9)=$D12,0,DZG9+1))</f>
        <v>0</v>
      </c>
      <c r="DZI9" s="26">
        <f>IF(DZI7=0,0,IF(MAX($F9:DZH9)=$D12,0,DZH9+1))</f>
        <v>0</v>
      </c>
      <c r="DZJ9" s="26">
        <f>IF(DZJ7=0,0,IF(MAX($F9:DZI9)=$D12,0,DZI9+1))</f>
        <v>0</v>
      </c>
      <c r="DZK9" s="26">
        <f>IF(DZK7=0,0,IF(MAX($F9:DZJ9)=$D12,0,DZJ9+1))</f>
        <v>0</v>
      </c>
      <c r="DZL9" s="26">
        <f>IF(DZL7=0,0,IF(MAX($F9:DZK9)=$D12,0,DZK9+1))</f>
        <v>0</v>
      </c>
      <c r="DZM9" s="26">
        <f>IF(DZM7=0,0,IF(MAX($F9:DZL9)=$D12,0,DZL9+1))</f>
        <v>0</v>
      </c>
      <c r="DZN9" s="26">
        <f>IF(DZN7=0,0,IF(MAX($F9:DZM9)=$D12,0,DZM9+1))</f>
        <v>0</v>
      </c>
      <c r="DZO9" s="26">
        <f>IF(DZO7=0,0,IF(MAX($F9:DZN9)=$D12,0,DZN9+1))</f>
        <v>0</v>
      </c>
      <c r="DZP9" s="26">
        <f>IF(DZP7=0,0,IF(MAX($F9:DZO9)=$D12,0,DZO9+1))</f>
        <v>0</v>
      </c>
      <c r="DZQ9" s="26">
        <f>IF(DZQ7=0,0,IF(MAX($F9:DZP9)=$D12,0,DZP9+1))</f>
        <v>0</v>
      </c>
      <c r="DZR9" s="26">
        <f>IF(DZR7=0,0,IF(MAX($F9:DZQ9)=$D12,0,DZQ9+1))</f>
        <v>0</v>
      </c>
      <c r="DZS9" s="26">
        <f>IF(DZS7=0,0,IF(MAX($F9:DZR9)=$D12,0,DZR9+1))</f>
        <v>0</v>
      </c>
      <c r="DZT9" s="26">
        <f>IF(DZT7=0,0,IF(MAX($F9:DZS9)=$D12,0,DZS9+1))</f>
        <v>0</v>
      </c>
      <c r="DZU9" s="26">
        <f>IF(DZU7=0,0,IF(MAX($F9:DZT9)=$D12,0,DZT9+1))</f>
        <v>0</v>
      </c>
      <c r="DZV9" s="26">
        <f>IF(DZV7=0,0,IF(MAX($F9:DZU9)=$D12,0,DZU9+1))</f>
        <v>0</v>
      </c>
      <c r="DZW9" s="26">
        <f>IF(DZW7=0,0,IF(MAX($F9:DZV9)=$D12,0,DZV9+1))</f>
        <v>0</v>
      </c>
      <c r="DZX9" s="26">
        <f>IF(DZX7=0,0,IF(MAX($F9:DZW9)=$D12,0,DZW9+1))</f>
        <v>0</v>
      </c>
      <c r="DZY9" s="26">
        <f>IF(DZY7=0,0,IF(MAX($F9:DZX9)=$D12,0,DZX9+1))</f>
        <v>0</v>
      </c>
      <c r="DZZ9" s="26">
        <f>IF(DZZ7=0,0,IF(MAX($F9:DZY9)=$D12,0,DZY9+1))</f>
        <v>0</v>
      </c>
      <c r="EAA9" s="26">
        <f>IF(EAA7=0,0,IF(MAX($F9:DZZ9)=$D12,0,DZZ9+1))</f>
        <v>0</v>
      </c>
      <c r="EAB9" s="26">
        <f>IF(EAB7=0,0,IF(MAX($F9:EAA9)=$D12,0,EAA9+1))</f>
        <v>0</v>
      </c>
      <c r="EAC9" s="26">
        <f>IF(EAC7=0,0,IF(MAX($F9:EAB9)=$D12,0,EAB9+1))</f>
        <v>0</v>
      </c>
      <c r="EAD9" s="26">
        <f>IF(EAD7=0,0,IF(MAX($F9:EAC9)=$D12,0,EAC9+1))</f>
        <v>0</v>
      </c>
      <c r="EAE9" s="26">
        <f>IF(EAE7=0,0,IF(MAX($F9:EAD9)=$D12,0,EAD9+1))</f>
        <v>0</v>
      </c>
      <c r="EAF9" s="26">
        <f>IF(EAF7=0,0,IF(MAX($F9:EAE9)=$D12,0,EAE9+1))</f>
        <v>0</v>
      </c>
      <c r="EAG9" s="26">
        <f>IF(EAG7=0,0,IF(MAX($F9:EAF9)=$D12,0,EAF9+1))</f>
        <v>0</v>
      </c>
      <c r="EAH9" s="26">
        <f>IF(EAH7=0,0,IF(MAX($F9:EAG9)=$D12,0,EAG9+1))</f>
        <v>0</v>
      </c>
      <c r="EAI9" s="26">
        <f>IF(EAI7=0,0,IF(MAX($F9:EAH9)=$D12,0,EAH9+1))</f>
        <v>0</v>
      </c>
      <c r="EAJ9" s="26">
        <f>IF(EAJ7=0,0,IF(MAX($F9:EAI9)=$D12,0,EAI9+1))</f>
        <v>0</v>
      </c>
      <c r="EAK9" s="26">
        <f>IF(EAK7=0,0,IF(MAX($F9:EAJ9)=$D12,0,EAJ9+1))</f>
        <v>0</v>
      </c>
      <c r="EAL9" s="26">
        <f>IF(EAL7=0,0,IF(MAX($F9:EAK9)=$D12,0,EAK9+1))</f>
        <v>0</v>
      </c>
      <c r="EAM9" s="26">
        <f>IF(EAM7=0,0,IF(MAX($F9:EAL9)=$D12,0,EAL9+1))</f>
        <v>0</v>
      </c>
      <c r="EAN9" s="26">
        <f>IF(EAN7=0,0,IF(MAX($F9:EAM9)=$D12,0,EAM9+1))</f>
        <v>0</v>
      </c>
      <c r="EAO9" s="26">
        <f>IF(EAO7=0,0,IF(MAX($F9:EAN9)=$D12,0,EAN9+1))</f>
        <v>0</v>
      </c>
      <c r="EAP9" s="26">
        <f>IF(EAP7=0,0,IF(MAX($F9:EAO9)=$D12,0,EAO9+1))</f>
        <v>0</v>
      </c>
      <c r="EAQ9" s="26">
        <f>IF(EAQ7=0,0,IF(MAX($F9:EAP9)=$D12,0,EAP9+1))</f>
        <v>0</v>
      </c>
      <c r="EAR9" s="26">
        <f>IF(EAR7=0,0,IF(MAX($F9:EAQ9)=$D12,0,EAQ9+1))</f>
        <v>0</v>
      </c>
      <c r="EAS9" s="26">
        <f>IF(EAS7=0,0,IF(MAX($F9:EAR9)=$D12,0,EAR9+1))</f>
        <v>0</v>
      </c>
      <c r="EAT9" s="26">
        <f>IF(EAT7=0,0,IF(MAX($F9:EAS9)=$D12,0,EAS9+1))</f>
        <v>0</v>
      </c>
      <c r="EAU9" s="26">
        <f>IF(EAU7=0,0,IF(MAX($F9:EAT9)=$D12,0,EAT9+1))</f>
        <v>0</v>
      </c>
      <c r="EAV9" s="26">
        <f>IF(EAV7=0,0,IF(MAX($F9:EAU9)=$D12,0,EAU9+1))</f>
        <v>0</v>
      </c>
      <c r="EAW9" s="26">
        <f>IF(EAW7=0,0,IF(MAX($F9:EAV9)=$D12,0,EAV9+1))</f>
        <v>0</v>
      </c>
      <c r="EAX9" s="26">
        <f>IF(EAX7=0,0,IF(MAX($F9:EAW9)=$D12,0,EAW9+1))</f>
        <v>0</v>
      </c>
      <c r="EAY9" s="26">
        <f>IF(EAY7=0,0,IF(MAX($F9:EAX9)=$D12,0,EAX9+1))</f>
        <v>0</v>
      </c>
      <c r="EAZ9" s="26">
        <f>IF(EAZ7=0,0,IF(MAX($F9:EAY9)=$D12,0,EAY9+1))</f>
        <v>0</v>
      </c>
      <c r="EBA9" s="26">
        <f>IF(EBA7=0,0,IF(MAX($F9:EAZ9)=$D12,0,EAZ9+1))</f>
        <v>0</v>
      </c>
      <c r="EBB9" s="26">
        <f>IF(EBB7=0,0,IF(MAX($F9:EBA9)=$D12,0,EBA9+1))</f>
        <v>0</v>
      </c>
      <c r="EBC9" s="26">
        <f>IF(EBC7=0,0,IF(MAX($F9:EBB9)=$D12,0,EBB9+1))</f>
        <v>0</v>
      </c>
      <c r="EBD9" s="26">
        <f>IF(EBD7=0,0,IF(MAX($F9:EBC9)=$D12,0,EBC9+1))</f>
        <v>0</v>
      </c>
      <c r="EBE9" s="26">
        <f>IF(EBE7=0,0,IF(MAX($F9:EBD9)=$D12,0,EBD9+1))</f>
        <v>0</v>
      </c>
      <c r="EBF9" s="26">
        <f>IF(EBF7=0,0,IF(MAX($F9:EBE9)=$D12,0,EBE9+1))</f>
        <v>0</v>
      </c>
      <c r="EBG9" s="26">
        <f>IF(EBG7=0,0,IF(MAX($F9:EBF9)=$D12,0,EBF9+1))</f>
        <v>0</v>
      </c>
      <c r="EBH9" s="26">
        <f>IF(EBH7=0,0,IF(MAX($F9:EBG9)=$D12,0,EBG9+1))</f>
        <v>0</v>
      </c>
      <c r="EBI9" s="26">
        <f>IF(EBI7=0,0,IF(MAX($F9:EBH9)=$D12,0,EBH9+1))</f>
        <v>0</v>
      </c>
      <c r="EBJ9" s="26">
        <f>IF(EBJ7=0,0,IF(MAX($F9:EBI9)=$D12,0,EBI9+1))</f>
        <v>0</v>
      </c>
      <c r="EBK9" s="26">
        <f>IF(EBK7=0,0,IF(MAX($F9:EBJ9)=$D12,0,EBJ9+1))</f>
        <v>0</v>
      </c>
      <c r="EBL9" s="26">
        <f>IF(EBL7=0,0,IF(MAX($F9:EBK9)=$D12,0,EBK9+1))</f>
        <v>0</v>
      </c>
      <c r="EBM9" s="26">
        <f>IF(EBM7=0,0,IF(MAX($F9:EBL9)=$D12,0,EBL9+1))</f>
        <v>0</v>
      </c>
      <c r="EBN9" s="26">
        <f>IF(EBN7=0,0,IF(MAX($F9:EBM9)=$D12,0,EBM9+1))</f>
        <v>0</v>
      </c>
      <c r="EBO9" s="26">
        <f>IF(EBO7=0,0,IF(MAX($F9:EBN9)=$D12,0,EBN9+1))</f>
        <v>0</v>
      </c>
      <c r="EBP9" s="26">
        <f>IF(EBP7=0,0,IF(MAX($F9:EBO9)=$D12,0,EBO9+1))</f>
        <v>0</v>
      </c>
      <c r="EBQ9" s="26">
        <f>IF(EBQ7=0,0,IF(MAX($F9:EBP9)=$D12,0,EBP9+1))</f>
        <v>0</v>
      </c>
      <c r="EBR9" s="26">
        <f>IF(EBR7=0,0,IF(MAX($F9:EBQ9)=$D12,0,EBQ9+1))</f>
        <v>0</v>
      </c>
      <c r="EBS9" s="26">
        <f>IF(EBS7=0,0,IF(MAX($F9:EBR9)=$D12,0,EBR9+1))</f>
        <v>0</v>
      </c>
      <c r="EBT9" s="26">
        <f>IF(EBT7=0,0,IF(MAX($F9:EBS9)=$D12,0,EBS9+1))</f>
        <v>0</v>
      </c>
      <c r="EBU9" s="26">
        <f>IF(EBU7=0,0,IF(MAX($F9:EBT9)=$D12,0,EBT9+1))</f>
        <v>0</v>
      </c>
      <c r="EBV9" s="26">
        <f>IF(EBV7=0,0,IF(MAX($F9:EBU9)=$D12,0,EBU9+1))</f>
        <v>0</v>
      </c>
      <c r="EBW9" s="26">
        <f>IF(EBW7=0,0,IF(MAX($F9:EBV9)=$D12,0,EBV9+1))</f>
        <v>0</v>
      </c>
      <c r="EBX9" s="26">
        <f>IF(EBX7=0,0,IF(MAX($F9:EBW9)=$D12,0,EBW9+1))</f>
        <v>0</v>
      </c>
      <c r="EBY9" s="26">
        <f>IF(EBY7=0,0,IF(MAX($F9:EBX9)=$D12,0,EBX9+1))</f>
        <v>0</v>
      </c>
      <c r="EBZ9" s="26">
        <f>IF(EBZ7=0,0,IF(MAX($F9:EBY9)=$D12,0,EBY9+1))</f>
        <v>0</v>
      </c>
      <c r="ECA9" s="26">
        <f>IF(ECA7=0,0,IF(MAX($F9:EBZ9)=$D12,0,EBZ9+1))</f>
        <v>0</v>
      </c>
      <c r="ECB9" s="26">
        <f>IF(ECB7=0,0,IF(MAX($F9:ECA9)=$D12,0,ECA9+1))</f>
        <v>0</v>
      </c>
      <c r="ECC9" s="26">
        <f>IF(ECC7=0,0,IF(MAX($F9:ECB9)=$D12,0,ECB9+1))</f>
        <v>0</v>
      </c>
      <c r="ECD9" s="26">
        <f>IF(ECD7=0,0,IF(MAX($F9:ECC9)=$D12,0,ECC9+1))</f>
        <v>0</v>
      </c>
      <c r="ECE9" s="26">
        <f>IF(ECE7=0,0,IF(MAX($F9:ECD9)=$D12,0,ECD9+1))</f>
        <v>0</v>
      </c>
      <c r="ECF9" s="26">
        <f>IF(ECF7=0,0,IF(MAX($F9:ECE9)=$D12,0,ECE9+1))</f>
        <v>0</v>
      </c>
      <c r="ECG9" s="26">
        <f>IF(ECG7=0,0,IF(MAX($F9:ECF9)=$D12,0,ECF9+1))</f>
        <v>0</v>
      </c>
      <c r="ECH9" s="26">
        <f>IF(ECH7=0,0,IF(MAX($F9:ECG9)=$D12,0,ECG9+1))</f>
        <v>0</v>
      </c>
      <c r="ECI9" s="26">
        <f>IF(ECI7=0,0,IF(MAX($F9:ECH9)=$D12,0,ECH9+1))</f>
        <v>0</v>
      </c>
      <c r="ECJ9" s="26">
        <f>IF(ECJ7=0,0,IF(MAX($F9:ECI9)=$D12,0,ECI9+1))</f>
        <v>0</v>
      </c>
      <c r="ECK9" s="26">
        <f>IF(ECK7=0,0,IF(MAX($F9:ECJ9)=$D12,0,ECJ9+1))</f>
        <v>0</v>
      </c>
      <c r="ECL9" s="26">
        <f>IF(ECL7=0,0,IF(MAX($F9:ECK9)=$D12,0,ECK9+1))</f>
        <v>0</v>
      </c>
      <c r="ECM9" s="26">
        <f>IF(ECM7=0,0,IF(MAX($F9:ECL9)=$D12,0,ECL9+1))</f>
        <v>0</v>
      </c>
      <c r="ECN9" s="26">
        <f>IF(ECN7=0,0,IF(MAX($F9:ECM9)=$D12,0,ECM9+1))</f>
        <v>0</v>
      </c>
      <c r="ECO9" s="26">
        <f>IF(ECO7=0,0,IF(MAX($F9:ECN9)=$D12,0,ECN9+1))</f>
        <v>0</v>
      </c>
      <c r="ECP9" s="26">
        <f>IF(ECP7=0,0,IF(MAX($F9:ECO9)=$D12,0,ECO9+1))</f>
        <v>0</v>
      </c>
      <c r="ECQ9" s="26">
        <f>IF(ECQ7=0,0,IF(MAX($F9:ECP9)=$D12,0,ECP9+1))</f>
        <v>0</v>
      </c>
      <c r="ECR9" s="26">
        <f>IF(ECR7=0,0,IF(MAX($F9:ECQ9)=$D12,0,ECQ9+1))</f>
        <v>0</v>
      </c>
      <c r="ECS9" s="26">
        <f>IF(ECS7=0,0,IF(MAX($F9:ECR9)=$D12,0,ECR9+1))</f>
        <v>0</v>
      </c>
      <c r="ECT9" s="26">
        <f>IF(ECT7=0,0,IF(MAX($F9:ECS9)=$D12,0,ECS9+1))</f>
        <v>0</v>
      </c>
      <c r="ECU9" s="26">
        <f>IF(ECU7=0,0,IF(MAX($F9:ECT9)=$D12,0,ECT9+1))</f>
        <v>0</v>
      </c>
      <c r="ECV9" s="26">
        <f>IF(ECV7=0,0,IF(MAX($F9:ECU9)=$D12,0,ECU9+1))</f>
        <v>0</v>
      </c>
      <c r="ECW9" s="26">
        <f>IF(ECW7=0,0,IF(MAX($F9:ECV9)=$D12,0,ECV9+1))</f>
        <v>0</v>
      </c>
      <c r="ECX9" s="26">
        <f>IF(ECX7=0,0,IF(MAX($F9:ECW9)=$D12,0,ECW9+1))</f>
        <v>0</v>
      </c>
      <c r="ECY9" s="26">
        <f>IF(ECY7=0,0,IF(MAX($F9:ECX9)=$D12,0,ECX9+1))</f>
        <v>0</v>
      </c>
      <c r="ECZ9" s="26">
        <f>IF(ECZ7=0,0,IF(MAX($F9:ECY9)=$D12,0,ECY9+1))</f>
        <v>0</v>
      </c>
      <c r="EDA9" s="26">
        <f>IF(EDA7=0,0,IF(MAX($F9:ECZ9)=$D12,0,ECZ9+1))</f>
        <v>0</v>
      </c>
      <c r="EDB9" s="26">
        <f>IF(EDB7=0,0,IF(MAX($F9:EDA9)=$D12,0,EDA9+1))</f>
        <v>0</v>
      </c>
      <c r="EDC9" s="26">
        <f>IF(EDC7=0,0,IF(MAX($F9:EDB9)=$D12,0,EDB9+1))</f>
        <v>0</v>
      </c>
      <c r="EDD9" s="26">
        <f>IF(EDD7=0,0,IF(MAX($F9:EDC9)=$D12,0,EDC9+1))</f>
        <v>0</v>
      </c>
      <c r="EDE9" s="26">
        <f>IF(EDE7=0,0,IF(MAX($F9:EDD9)=$D12,0,EDD9+1))</f>
        <v>0</v>
      </c>
      <c r="EDF9" s="26">
        <f>IF(EDF7=0,0,IF(MAX($F9:EDE9)=$D12,0,EDE9+1))</f>
        <v>0</v>
      </c>
      <c r="EDG9" s="26">
        <f>IF(EDG7=0,0,IF(MAX($F9:EDF9)=$D12,0,EDF9+1))</f>
        <v>0</v>
      </c>
      <c r="EDH9" s="26">
        <f>IF(EDH7=0,0,IF(MAX($F9:EDG9)=$D12,0,EDG9+1))</f>
        <v>0</v>
      </c>
      <c r="EDI9" s="26">
        <f>IF(EDI7=0,0,IF(MAX($F9:EDH9)=$D12,0,EDH9+1))</f>
        <v>0</v>
      </c>
      <c r="EDJ9" s="26">
        <f>IF(EDJ7=0,0,IF(MAX($F9:EDI9)=$D12,0,EDI9+1))</f>
        <v>0</v>
      </c>
      <c r="EDK9" s="26">
        <f>IF(EDK7=0,0,IF(MAX($F9:EDJ9)=$D12,0,EDJ9+1))</f>
        <v>0</v>
      </c>
      <c r="EDL9" s="26">
        <f>IF(EDL7=0,0,IF(MAX($F9:EDK9)=$D12,0,EDK9+1))</f>
        <v>0</v>
      </c>
      <c r="EDM9" s="26">
        <f>IF(EDM7=0,0,IF(MAX($F9:EDL9)=$D12,0,EDL9+1))</f>
        <v>0</v>
      </c>
      <c r="EDN9" s="26">
        <f>IF(EDN7=0,0,IF(MAX($F9:EDM9)=$D12,0,EDM9+1))</f>
        <v>0</v>
      </c>
      <c r="EDO9" s="26">
        <f>IF(EDO7=0,0,IF(MAX($F9:EDN9)=$D12,0,EDN9+1))</f>
        <v>0</v>
      </c>
      <c r="EDP9" s="26">
        <f>IF(EDP7=0,0,IF(MAX($F9:EDO9)=$D12,0,EDO9+1))</f>
        <v>0</v>
      </c>
      <c r="EDQ9" s="26">
        <f>IF(EDQ7=0,0,IF(MAX($F9:EDP9)=$D12,0,EDP9+1))</f>
        <v>0</v>
      </c>
      <c r="EDR9" s="26">
        <f>IF(EDR7=0,0,IF(MAX($F9:EDQ9)=$D12,0,EDQ9+1))</f>
        <v>0</v>
      </c>
      <c r="EDS9" s="26">
        <f>IF(EDS7=0,0,IF(MAX($F9:EDR9)=$D12,0,EDR9+1))</f>
        <v>0</v>
      </c>
      <c r="EDT9" s="26">
        <f>IF(EDT7=0,0,IF(MAX($F9:EDS9)=$D12,0,EDS9+1))</f>
        <v>0</v>
      </c>
      <c r="EDU9" s="26">
        <f>IF(EDU7=0,0,IF(MAX($F9:EDT9)=$D12,0,EDT9+1))</f>
        <v>0</v>
      </c>
      <c r="EDV9" s="26">
        <f>IF(EDV7=0,0,IF(MAX($F9:EDU9)=$D12,0,EDU9+1))</f>
        <v>0</v>
      </c>
      <c r="EDW9" s="26">
        <f>IF(EDW7=0,0,IF(MAX($F9:EDV9)=$D12,0,EDV9+1))</f>
        <v>0</v>
      </c>
      <c r="EDX9" s="26">
        <f>IF(EDX7=0,0,IF(MAX($F9:EDW9)=$D12,0,EDW9+1))</f>
        <v>0</v>
      </c>
      <c r="EDY9" s="26">
        <f>IF(EDY7=0,0,IF(MAX($F9:EDX9)=$D12,0,EDX9+1))</f>
        <v>0</v>
      </c>
      <c r="EDZ9" s="26">
        <f>IF(EDZ7=0,0,IF(MAX($F9:EDY9)=$D12,0,EDY9+1))</f>
        <v>0</v>
      </c>
      <c r="EEA9" s="26">
        <f>IF(EEA7=0,0,IF(MAX($F9:EDZ9)=$D12,0,EDZ9+1))</f>
        <v>0</v>
      </c>
      <c r="EEB9" s="26">
        <f>IF(EEB7=0,0,IF(MAX($F9:EEA9)=$D12,0,EEA9+1))</f>
        <v>0</v>
      </c>
      <c r="EEC9" s="26">
        <f>IF(EEC7=0,0,IF(MAX($F9:EEB9)=$D12,0,EEB9+1))</f>
        <v>0</v>
      </c>
      <c r="EED9" s="26">
        <f>IF(EED7=0,0,IF(MAX($F9:EEC9)=$D12,0,EEC9+1))</f>
        <v>0</v>
      </c>
      <c r="EEE9" s="26">
        <f>IF(EEE7=0,0,IF(MAX($F9:EED9)=$D12,0,EED9+1))</f>
        <v>0</v>
      </c>
      <c r="EEF9" s="26">
        <f>IF(EEF7=0,0,IF(MAX($F9:EEE9)=$D12,0,EEE9+1))</f>
        <v>0</v>
      </c>
      <c r="EEG9" s="26">
        <f>IF(EEG7=0,0,IF(MAX($F9:EEF9)=$D12,0,EEF9+1))</f>
        <v>0</v>
      </c>
      <c r="EEH9" s="26">
        <f>IF(EEH7=0,0,IF(MAX($F9:EEG9)=$D12,0,EEG9+1))</f>
        <v>0</v>
      </c>
      <c r="EEI9" s="26">
        <f>IF(EEI7=0,0,IF(MAX($F9:EEH9)=$D12,0,EEH9+1))</f>
        <v>0</v>
      </c>
      <c r="EEJ9" s="26">
        <f>IF(EEJ7=0,0,IF(MAX($F9:EEI9)=$D12,0,EEI9+1))</f>
        <v>0</v>
      </c>
      <c r="EEK9" s="26">
        <f>IF(EEK7=0,0,IF(MAX($F9:EEJ9)=$D12,0,EEJ9+1))</f>
        <v>0</v>
      </c>
      <c r="EEL9" s="26">
        <f>IF(EEL7=0,0,IF(MAX($F9:EEK9)=$D12,0,EEK9+1))</f>
        <v>0</v>
      </c>
      <c r="EEM9" s="26">
        <f>IF(EEM7=0,0,IF(MAX($F9:EEL9)=$D12,0,EEL9+1))</f>
        <v>0</v>
      </c>
      <c r="EEN9" s="26">
        <f>IF(EEN7=0,0,IF(MAX($F9:EEM9)=$D12,0,EEM9+1))</f>
        <v>0</v>
      </c>
      <c r="EEO9" s="26">
        <f>IF(EEO7=0,0,IF(MAX($F9:EEN9)=$D12,0,EEN9+1))</f>
        <v>0</v>
      </c>
      <c r="EEP9" s="26">
        <f>IF(EEP7=0,0,IF(MAX($F9:EEO9)=$D12,0,EEO9+1))</f>
        <v>0</v>
      </c>
      <c r="EEQ9" s="26">
        <f>IF(EEQ7=0,0,IF(MAX($F9:EEP9)=$D12,0,EEP9+1))</f>
        <v>0</v>
      </c>
      <c r="EER9" s="26">
        <f>IF(EER7=0,0,IF(MAX($F9:EEQ9)=$D12,0,EEQ9+1))</f>
        <v>0</v>
      </c>
      <c r="EES9" s="26">
        <f>IF(EES7=0,0,IF(MAX($F9:EER9)=$D12,0,EER9+1))</f>
        <v>0</v>
      </c>
      <c r="EET9" s="26">
        <f>IF(EET7=0,0,IF(MAX($F9:EES9)=$D12,0,EES9+1))</f>
        <v>0</v>
      </c>
      <c r="EEU9" s="26">
        <f>IF(EEU7=0,0,IF(MAX($F9:EET9)=$D12,0,EET9+1))</f>
        <v>0</v>
      </c>
      <c r="EEV9" s="26">
        <f>IF(EEV7=0,0,IF(MAX($F9:EEU9)=$D12,0,EEU9+1))</f>
        <v>0</v>
      </c>
      <c r="EEW9" s="26">
        <f>IF(EEW7=0,0,IF(MAX($F9:EEV9)=$D12,0,EEV9+1))</f>
        <v>0</v>
      </c>
      <c r="EEX9" s="26">
        <f>IF(EEX7=0,0,IF(MAX($F9:EEW9)=$D12,0,EEW9+1))</f>
        <v>0</v>
      </c>
      <c r="EEY9" s="26">
        <f>IF(EEY7=0,0,IF(MAX($F9:EEX9)=$D12,0,EEX9+1))</f>
        <v>0</v>
      </c>
      <c r="EEZ9" s="26">
        <f>IF(EEZ7=0,0,IF(MAX($F9:EEY9)=$D12,0,EEY9+1))</f>
        <v>0</v>
      </c>
      <c r="EFA9" s="26">
        <f>IF(EFA7=0,0,IF(MAX($F9:EEZ9)=$D12,0,EEZ9+1))</f>
        <v>0</v>
      </c>
      <c r="EFB9" s="26">
        <f>IF(EFB7=0,0,IF(MAX($F9:EFA9)=$D12,0,EFA9+1))</f>
        <v>0</v>
      </c>
      <c r="EFC9" s="26">
        <f>IF(EFC7=0,0,IF(MAX($F9:EFB9)=$D12,0,EFB9+1))</f>
        <v>0</v>
      </c>
      <c r="EFD9" s="26">
        <f>IF(EFD7=0,0,IF(MAX($F9:EFC9)=$D12,0,EFC9+1))</f>
        <v>0</v>
      </c>
      <c r="EFE9" s="26">
        <f>IF(EFE7=0,0,IF(MAX($F9:EFD9)=$D12,0,EFD9+1))</f>
        <v>0</v>
      </c>
      <c r="EFF9" s="26">
        <f>IF(EFF7=0,0,IF(MAX($F9:EFE9)=$D12,0,EFE9+1))</f>
        <v>0</v>
      </c>
      <c r="EFG9" s="26">
        <f>IF(EFG7=0,0,IF(MAX($F9:EFF9)=$D12,0,EFF9+1))</f>
        <v>0</v>
      </c>
      <c r="EFH9" s="26">
        <f>IF(EFH7=0,0,IF(MAX($F9:EFG9)=$D12,0,EFG9+1))</f>
        <v>0</v>
      </c>
      <c r="EFI9" s="26">
        <f>IF(EFI7=0,0,IF(MAX($F9:EFH9)=$D12,0,EFH9+1))</f>
        <v>0</v>
      </c>
      <c r="EFJ9" s="26">
        <f>IF(EFJ7=0,0,IF(MAX($F9:EFI9)=$D12,0,EFI9+1))</f>
        <v>0</v>
      </c>
      <c r="EFK9" s="26">
        <f>IF(EFK7=0,0,IF(MAX($F9:EFJ9)=$D12,0,EFJ9+1))</f>
        <v>0</v>
      </c>
      <c r="EFL9" s="26">
        <f>IF(EFL7=0,0,IF(MAX($F9:EFK9)=$D12,0,EFK9+1))</f>
        <v>0</v>
      </c>
      <c r="EFM9" s="26">
        <f>IF(EFM7=0,0,IF(MAX($F9:EFL9)=$D12,0,EFL9+1))</f>
        <v>0</v>
      </c>
      <c r="EFN9" s="26">
        <f>IF(EFN7=0,0,IF(MAX($F9:EFM9)=$D12,0,EFM9+1))</f>
        <v>0</v>
      </c>
      <c r="EFO9" s="26">
        <f>IF(EFO7=0,0,IF(MAX($F9:EFN9)=$D12,0,EFN9+1))</f>
        <v>0</v>
      </c>
      <c r="EFP9" s="26">
        <f>IF(EFP7=0,0,IF(MAX($F9:EFO9)=$D12,0,EFO9+1))</f>
        <v>0</v>
      </c>
      <c r="EFQ9" s="26">
        <f>IF(EFQ7=0,0,IF(MAX($F9:EFP9)=$D12,0,EFP9+1))</f>
        <v>0</v>
      </c>
      <c r="EFR9" s="26">
        <f>IF(EFR7=0,0,IF(MAX($F9:EFQ9)=$D12,0,EFQ9+1))</f>
        <v>0</v>
      </c>
      <c r="EFS9" s="26">
        <f>IF(EFS7=0,0,IF(MAX($F9:EFR9)=$D12,0,EFR9+1))</f>
        <v>0</v>
      </c>
      <c r="EFT9" s="26">
        <f>IF(EFT7=0,0,IF(MAX($F9:EFS9)=$D12,0,EFS9+1))</f>
        <v>0</v>
      </c>
      <c r="EFU9" s="26">
        <f>IF(EFU7=0,0,IF(MAX($F9:EFT9)=$D12,0,EFT9+1))</f>
        <v>0</v>
      </c>
      <c r="EFV9" s="26">
        <f>IF(EFV7=0,0,IF(MAX($F9:EFU9)=$D12,0,EFU9+1))</f>
        <v>0</v>
      </c>
      <c r="EFW9" s="26">
        <f>IF(EFW7=0,0,IF(MAX($F9:EFV9)=$D12,0,EFV9+1))</f>
        <v>0</v>
      </c>
      <c r="EFX9" s="26">
        <f>IF(EFX7=0,0,IF(MAX($F9:EFW9)=$D12,0,EFW9+1))</f>
        <v>0</v>
      </c>
      <c r="EFY9" s="26">
        <f>IF(EFY7=0,0,IF(MAX($F9:EFX9)=$D12,0,EFX9+1))</f>
        <v>0</v>
      </c>
      <c r="EFZ9" s="26">
        <f>IF(EFZ7=0,0,IF(MAX($F9:EFY9)=$D12,0,EFY9+1))</f>
        <v>0</v>
      </c>
      <c r="EGA9" s="26">
        <f>IF(EGA7=0,0,IF(MAX($F9:EFZ9)=$D12,0,EFZ9+1))</f>
        <v>0</v>
      </c>
      <c r="EGB9" s="26">
        <f>IF(EGB7=0,0,IF(MAX($F9:EGA9)=$D12,0,EGA9+1))</f>
        <v>0</v>
      </c>
      <c r="EGC9" s="26">
        <f>IF(EGC7=0,0,IF(MAX($F9:EGB9)=$D12,0,EGB9+1))</f>
        <v>0</v>
      </c>
      <c r="EGD9" s="26">
        <f>IF(EGD7=0,0,IF(MAX($F9:EGC9)=$D12,0,EGC9+1))</f>
        <v>0</v>
      </c>
      <c r="EGE9" s="26">
        <f>IF(EGE7=0,0,IF(MAX($F9:EGD9)=$D12,0,EGD9+1))</f>
        <v>0</v>
      </c>
      <c r="EGF9" s="26">
        <f>IF(EGF7=0,0,IF(MAX($F9:EGE9)=$D12,0,EGE9+1))</f>
        <v>0</v>
      </c>
      <c r="EGG9" s="26">
        <f>IF(EGG7=0,0,IF(MAX($F9:EGF9)=$D12,0,EGF9+1))</f>
        <v>0</v>
      </c>
      <c r="EGH9" s="26">
        <f>IF(EGH7=0,0,IF(MAX($F9:EGG9)=$D12,0,EGG9+1))</f>
        <v>0</v>
      </c>
      <c r="EGI9" s="26">
        <f>IF(EGI7=0,0,IF(MAX($F9:EGH9)=$D12,0,EGH9+1))</f>
        <v>0</v>
      </c>
      <c r="EGJ9" s="26">
        <f>IF(EGJ7=0,0,IF(MAX($F9:EGI9)=$D12,0,EGI9+1))</f>
        <v>0</v>
      </c>
      <c r="EGK9" s="26">
        <f>IF(EGK7=0,0,IF(MAX($F9:EGJ9)=$D12,0,EGJ9+1))</f>
        <v>0</v>
      </c>
      <c r="EGL9" s="26">
        <f>IF(EGL7=0,0,IF(MAX($F9:EGK9)=$D12,0,EGK9+1))</f>
        <v>0</v>
      </c>
      <c r="EGM9" s="26">
        <f>IF(EGM7=0,0,IF(MAX($F9:EGL9)=$D12,0,EGL9+1))</f>
        <v>0</v>
      </c>
      <c r="EGN9" s="26">
        <f>IF(EGN7=0,0,IF(MAX($F9:EGM9)=$D12,0,EGM9+1))</f>
        <v>0</v>
      </c>
      <c r="EGO9" s="26">
        <f>IF(EGO7=0,0,IF(MAX($F9:EGN9)=$D12,0,EGN9+1))</f>
        <v>0</v>
      </c>
      <c r="EGP9" s="26">
        <f>IF(EGP7=0,0,IF(MAX($F9:EGO9)=$D12,0,EGO9+1))</f>
        <v>0</v>
      </c>
      <c r="EGQ9" s="26">
        <f>IF(EGQ7=0,0,IF(MAX($F9:EGP9)=$D12,0,EGP9+1))</f>
        <v>0</v>
      </c>
      <c r="EGR9" s="26">
        <f>IF(EGR7=0,0,IF(MAX($F9:EGQ9)=$D12,0,EGQ9+1))</f>
        <v>0</v>
      </c>
      <c r="EGS9" s="26">
        <f>IF(EGS7=0,0,IF(MAX($F9:EGR9)=$D12,0,EGR9+1))</f>
        <v>0</v>
      </c>
      <c r="EGT9" s="26">
        <f>IF(EGT7=0,0,IF(MAX($F9:EGS9)=$D12,0,EGS9+1))</f>
        <v>0</v>
      </c>
      <c r="EGU9" s="26">
        <f>IF(EGU7=0,0,IF(MAX($F9:EGT9)=$D12,0,EGT9+1))</f>
        <v>0</v>
      </c>
      <c r="EGV9" s="26">
        <f>IF(EGV7=0,0,IF(MAX($F9:EGU9)=$D12,0,EGU9+1))</f>
        <v>0</v>
      </c>
      <c r="EGW9" s="26">
        <f>IF(EGW7=0,0,IF(MAX($F9:EGV9)=$D12,0,EGV9+1))</f>
        <v>0</v>
      </c>
      <c r="EGX9" s="26">
        <f>IF(EGX7=0,0,IF(MAX($F9:EGW9)=$D12,0,EGW9+1))</f>
        <v>0</v>
      </c>
      <c r="EGY9" s="26">
        <f>IF(EGY7=0,0,IF(MAX($F9:EGX9)=$D12,0,EGX9+1))</f>
        <v>0</v>
      </c>
      <c r="EGZ9" s="26">
        <f>IF(EGZ7=0,0,IF(MAX($F9:EGY9)=$D12,0,EGY9+1))</f>
        <v>0</v>
      </c>
      <c r="EHA9" s="26">
        <f>IF(EHA7=0,0,IF(MAX($F9:EGZ9)=$D12,0,EGZ9+1))</f>
        <v>0</v>
      </c>
      <c r="EHB9" s="26">
        <f>IF(EHB7=0,0,IF(MAX($F9:EHA9)=$D12,0,EHA9+1))</f>
        <v>0</v>
      </c>
      <c r="EHC9" s="26">
        <f>IF(EHC7=0,0,IF(MAX($F9:EHB9)=$D12,0,EHB9+1))</f>
        <v>0</v>
      </c>
      <c r="EHD9" s="26">
        <f>IF(EHD7=0,0,IF(MAX($F9:EHC9)=$D12,0,EHC9+1))</f>
        <v>0</v>
      </c>
      <c r="EHE9" s="26">
        <f>IF(EHE7=0,0,IF(MAX($F9:EHD9)=$D12,0,EHD9+1))</f>
        <v>0</v>
      </c>
      <c r="EHF9" s="26">
        <f>IF(EHF7=0,0,IF(MAX($F9:EHE9)=$D12,0,EHE9+1))</f>
        <v>0</v>
      </c>
      <c r="EHG9" s="26">
        <f>IF(EHG7=0,0,IF(MAX($F9:EHF9)=$D12,0,EHF9+1))</f>
        <v>0</v>
      </c>
      <c r="EHH9" s="26">
        <f>IF(EHH7=0,0,IF(MAX($F9:EHG9)=$D12,0,EHG9+1))</f>
        <v>0</v>
      </c>
      <c r="EHI9" s="26">
        <f>IF(EHI7=0,0,IF(MAX($F9:EHH9)=$D12,0,EHH9+1))</f>
        <v>0</v>
      </c>
      <c r="EHJ9" s="26">
        <f>IF(EHJ7=0,0,IF(MAX($F9:EHI9)=$D12,0,EHI9+1))</f>
        <v>0</v>
      </c>
      <c r="EHK9" s="26">
        <f>IF(EHK7=0,0,IF(MAX($F9:EHJ9)=$D12,0,EHJ9+1))</f>
        <v>0</v>
      </c>
      <c r="EHL9" s="26">
        <f>IF(EHL7=0,0,IF(MAX($F9:EHK9)=$D12,0,EHK9+1))</f>
        <v>0</v>
      </c>
      <c r="EHM9" s="26">
        <f>IF(EHM7=0,0,IF(MAX($F9:EHL9)=$D12,0,EHL9+1))</f>
        <v>0</v>
      </c>
      <c r="EHN9" s="26">
        <f>IF(EHN7=0,0,IF(MAX($F9:EHM9)=$D12,0,EHM9+1))</f>
        <v>0</v>
      </c>
      <c r="EHO9" s="26">
        <f>IF(EHO7=0,0,IF(MAX($F9:EHN9)=$D12,0,EHN9+1))</f>
        <v>0</v>
      </c>
      <c r="EHP9" s="26">
        <f>IF(EHP7=0,0,IF(MAX($F9:EHO9)=$D12,0,EHO9+1))</f>
        <v>0</v>
      </c>
      <c r="EHQ9" s="26">
        <f>IF(EHQ7=0,0,IF(MAX($F9:EHP9)=$D12,0,EHP9+1))</f>
        <v>0</v>
      </c>
      <c r="EHR9" s="26">
        <f>IF(EHR7=0,0,IF(MAX($F9:EHQ9)=$D12,0,EHQ9+1))</f>
        <v>0</v>
      </c>
      <c r="EHS9" s="26">
        <f>IF(EHS7=0,0,IF(MAX($F9:EHR9)=$D12,0,EHR9+1))</f>
        <v>0</v>
      </c>
      <c r="EHT9" s="26">
        <f>IF(EHT7=0,0,IF(MAX($F9:EHS9)=$D12,0,EHS9+1))</f>
        <v>0</v>
      </c>
      <c r="EHU9" s="26">
        <f>IF(EHU7=0,0,IF(MAX($F9:EHT9)=$D12,0,EHT9+1))</f>
        <v>0</v>
      </c>
      <c r="EHV9" s="26">
        <f>IF(EHV7=0,0,IF(MAX($F9:EHU9)=$D12,0,EHU9+1))</f>
        <v>0</v>
      </c>
      <c r="EHW9" s="26">
        <f>IF(EHW7=0,0,IF(MAX($F9:EHV9)=$D12,0,EHV9+1))</f>
        <v>0</v>
      </c>
      <c r="EHX9" s="26">
        <f>IF(EHX7=0,0,IF(MAX($F9:EHW9)=$D12,0,EHW9+1))</f>
        <v>0</v>
      </c>
      <c r="EHY9" s="26">
        <f>IF(EHY7=0,0,IF(MAX($F9:EHX9)=$D12,0,EHX9+1))</f>
        <v>0</v>
      </c>
      <c r="EHZ9" s="26">
        <f>IF(EHZ7=0,0,IF(MAX($F9:EHY9)=$D12,0,EHY9+1))</f>
        <v>0</v>
      </c>
      <c r="EIA9" s="26">
        <f>IF(EIA7=0,0,IF(MAX($F9:EHZ9)=$D12,0,EHZ9+1))</f>
        <v>0</v>
      </c>
      <c r="EIB9" s="26">
        <f>IF(EIB7=0,0,IF(MAX($F9:EIA9)=$D12,0,EIA9+1))</f>
        <v>0</v>
      </c>
      <c r="EIC9" s="26">
        <f>IF(EIC7=0,0,IF(MAX($F9:EIB9)=$D12,0,EIB9+1))</f>
        <v>0</v>
      </c>
      <c r="EID9" s="26">
        <f>IF(EID7=0,0,IF(MAX($F9:EIC9)=$D12,0,EIC9+1))</f>
        <v>0</v>
      </c>
      <c r="EIE9" s="26">
        <f>IF(EIE7=0,0,IF(MAX($F9:EID9)=$D12,0,EID9+1))</f>
        <v>0</v>
      </c>
      <c r="EIF9" s="26">
        <f>IF(EIF7=0,0,IF(MAX($F9:EIE9)=$D12,0,EIE9+1))</f>
        <v>0</v>
      </c>
      <c r="EIG9" s="26">
        <f>IF(EIG7=0,0,IF(MAX($F9:EIF9)=$D12,0,EIF9+1))</f>
        <v>0</v>
      </c>
      <c r="EIH9" s="26">
        <f>IF(EIH7=0,0,IF(MAX($F9:EIG9)=$D12,0,EIG9+1))</f>
        <v>0</v>
      </c>
      <c r="EII9" s="26">
        <f>IF(EII7=0,0,IF(MAX($F9:EIH9)=$D12,0,EIH9+1))</f>
        <v>0</v>
      </c>
      <c r="EIJ9" s="26">
        <f>IF(EIJ7=0,0,IF(MAX($F9:EII9)=$D12,0,EII9+1))</f>
        <v>0</v>
      </c>
      <c r="EIK9" s="26">
        <f>IF(EIK7=0,0,IF(MAX($F9:EIJ9)=$D12,0,EIJ9+1))</f>
        <v>0</v>
      </c>
      <c r="EIL9" s="26">
        <f>IF(EIL7=0,0,IF(MAX($F9:EIK9)=$D12,0,EIK9+1))</f>
        <v>0</v>
      </c>
      <c r="EIM9" s="26">
        <f>IF(EIM7=0,0,IF(MAX($F9:EIL9)=$D12,0,EIL9+1))</f>
        <v>0</v>
      </c>
      <c r="EIN9" s="26">
        <f>IF(EIN7=0,0,IF(MAX($F9:EIM9)=$D12,0,EIM9+1))</f>
        <v>0</v>
      </c>
      <c r="EIO9" s="26">
        <f>IF(EIO7=0,0,IF(MAX($F9:EIN9)=$D12,0,EIN9+1))</f>
        <v>0</v>
      </c>
      <c r="EIP9" s="26">
        <f>IF(EIP7=0,0,IF(MAX($F9:EIO9)=$D12,0,EIO9+1))</f>
        <v>0</v>
      </c>
      <c r="EIQ9" s="26">
        <f>IF(EIQ7=0,0,IF(MAX($F9:EIP9)=$D12,0,EIP9+1))</f>
        <v>0</v>
      </c>
      <c r="EIR9" s="26">
        <f>IF(EIR7=0,0,IF(MAX($F9:EIQ9)=$D12,0,EIQ9+1))</f>
        <v>0</v>
      </c>
      <c r="EIS9" s="26">
        <f>IF(EIS7=0,0,IF(MAX($F9:EIR9)=$D12,0,EIR9+1))</f>
        <v>0</v>
      </c>
      <c r="EIT9" s="26">
        <f>IF(EIT7=0,0,IF(MAX($F9:EIS9)=$D12,0,EIS9+1))</f>
        <v>0</v>
      </c>
      <c r="EIU9" s="26">
        <f>IF(EIU7=0,0,IF(MAX($F9:EIT9)=$D12,0,EIT9+1))</f>
        <v>0</v>
      </c>
      <c r="EIV9" s="26">
        <f>IF(EIV7=0,0,IF(MAX($F9:EIU9)=$D12,0,EIU9+1))</f>
        <v>0</v>
      </c>
      <c r="EIW9" s="26">
        <f>IF(EIW7=0,0,IF(MAX($F9:EIV9)=$D12,0,EIV9+1))</f>
        <v>0</v>
      </c>
      <c r="EIX9" s="26">
        <f>IF(EIX7=0,0,IF(MAX($F9:EIW9)=$D12,0,EIW9+1))</f>
        <v>0</v>
      </c>
      <c r="EIY9" s="26">
        <f>IF(EIY7=0,0,IF(MAX($F9:EIX9)=$D12,0,EIX9+1))</f>
        <v>0</v>
      </c>
      <c r="EIZ9" s="26">
        <f>IF(EIZ7=0,0,IF(MAX($F9:EIY9)=$D12,0,EIY9+1))</f>
        <v>0</v>
      </c>
      <c r="EJA9" s="26">
        <f>IF(EJA7=0,0,IF(MAX($F9:EIZ9)=$D12,0,EIZ9+1))</f>
        <v>0</v>
      </c>
      <c r="EJB9" s="26">
        <f>IF(EJB7=0,0,IF(MAX($F9:EJA9)=$D12,0,EJA9+1))</f>
        <v>0</v>
      </c>
      <c r="EJC9" s="26">
        <f>IF(EJC7=0,0,IF(MAX($F9:EJB9)=$D12,0,EJB9+1))</f>
        <v>0</v>
      </c>
      <c r="EJD9" s="26">
        <f>IF(EJD7=0,0,IF(MAX($F9:EJC9)=$D12,0,EJC9+1))</f>
        <v>0</v>
      </c>
      <c r="EJE9" s="26">
        <f>IF(EJE7=0,0,IF(MAX($F9:EJD9)=$D12,0,EJD9+1))</f>
        <v>0</v>
      </c>
      <c r="EJF9" s="26">
        <f>IF(EJF7=0,0,IF(MAX($F9:EJE9)=$D12,0,EJE9+1))</f>
        <v>0</v>
      </c>
      <c r="EJG9" s="26">
        <f>IF(EJG7=0,0,IF(MAX($F9:EJF9)=$D12,0,EJF9+1))</f>
        <v>0</v>
      </c>
      <c r="EJH9" s="26">
        <f>IF(EJH7=0,0,IF(MAX($F9:EJG9)=$D12,0,EJG9+1))</f>
        <v>0</v>
      </c>
      <c r="EJI9" s="26">
        <f>IF(EJI7=0,0,IF(MAX($F9:EJH9)=$D12,0,EJH9+1))</f>
        <v>0</v>
      </c>
      <c r="EJJ9" s="26">
        <f>IF(EJJ7=0,0,IF(MAX($F9:EJI9)=$D12,0,EJI9+1))</f>
        <v>0</v>
      </c>
      <c r="EJK9" s="26">
        <f>IF(EJK7=0,0,IF(MAX($F9:EJJ9)=$D12,0,EJJ9+1))</f>
        <v>0</v>
      </c>
      <c r="EJL9" s="26">
        <f>IF(EJL7=0,0,IF(MAX($F9:EJK9)=$D12,0,EJK9+1))</f>
        <v>0</v>
      </c>
      <c r="EJM9" s="26">
        <f>IF(EJM7=0,0,IF(MAX($F9:EJL9)=$D12,0,EJL9+1))</f>
        <v>0</v>
      </c>
      <c r="EJN9" s="26">
        <f>IF(EJN7=0,0,IF(MAX($F9:EJM9)=$D12,0,EJM9+1))</f>
        <v>0</v>
      </c>
      <c r="EJO9" s="26">
        <f>IF(EJO7=0,0,IF(MAX($F9:EJN9)=$D12,0,EJN9+1))</f>
        <v>0</v>
      </c>
      <c r="EJP9" s="26">
        <f>IF(EJP7=0,0,IF(MAX($F9:EJO9)=$D12,0,EJO9+1))</f>
        <v>0</v>
      </c>
      <c r="EJQ9" s="26">
        <f>IF(EJQ7=0,0,IF(MAX($F9:EJP9)=$D12,0,EJP9+1))</f>
        <v>0</v>
      </c>
      <c r="EJR9" s="26">
        <f>IF(EJR7=0,0,IF(MAX($F9:EJQ9)=$D12,0,EJQ9+1))</f>
        <v>0</v>
      </c>
      <c r="EJS9" s="26">
        <f>IF(EJS7=0,0,IF(MAX($F9:EJR9)=$D12,0,EJR9+1))</f>
        <v>0</v>
      </c>
      <c r="EJT9" s="26">
        <f>IF(EJT7=0,0,IF(MAX($F9:EJS9)=$D12,0,EJS9+1))</f>
        <v>0</v>
      </c>
      <c r="EJU9" s="26">
        <f>IF(EJU7=0,0,IF(MAX($F9:EJT9)=$D12,0,EJT9+1))</f>
        <v>0</v>
      </c>
      <c r="EJV9" s="26">
        <f>IF(EJV7=0,0,IF(MAX($F9:EJU9)=$D12,0,EJU9+1))</f>
        <v>0</v>
      </c>
      <c r="EJW9" s="26">
        <f>IF(EJW7=0,0,IF(MAX($F9:EJV9)=$D12,0,EJV9+1))</f>
        <v>0</v>
      </c>
      <c r="EJX9" s="26">
        <f>IF(EJX7=0,0,IF(MAX($F9:EJW9)=$D12,0,EJW9+1))</f>
        <v>0</v>
      </c>
      <c r="EJY9" s="26">
        <f>IF(EJY7=0,0,IF(MAX($F9:EJX9)=$D12,0,EJX9+1))</f>
        <v>0</v>
      </c>
      <c r="EJZ9" s="26">
        <f>IF(EJZ7=0,0,IF(MAX($F9:EJY9)=$D12,0,EJY9+1))</f>
        <v>0</v>
      </c>
      <c r="EKA9" s="26">
        <f>IF(EKA7=0,0,IF(MAX($F9:EJZ9)=$D12,0,EJZ9+1))</f>
        <v>0</v>
      </c>
      <c r="EKB9" s="26">
        <f>IF(EKB7=0,0,IF(MAX($F9:EKA9)=$D12,0,EKA9+1))</f>
        <v>0</v>
      </c>
      <c r="EKC9" s="26">
        <f>IF(EKC7=0,0,IF(MAX($F9:EKB9)=$D12,0,EKB9+1))</f>
        <v>0</v>
      </c>
      <c r="EKD9" s="26">
        <f>IF(EKD7=0,0,IF(MAX($F9:EKC9)=$D12,0,EKC9+1))</f>
        <v>0</v>
      </c>
      <c r="EKE9" s="26">
        <f>IF(EKE7=0,0,IF(MAX($F9:EKD9)=$D12,0,EKD9+1))</f>
        <v>0</v>
      </c>
      <c r="EKF9" s="26">
        <f>IF(EKF7=0,0,IF(MAX($F9:EKE9)=$D12,0,EKE9+1))</f>
        <v>0</v>
      </c>
      <c r="EKG9" s="26">
        <f>IF(EKG7=0,0,IF(MAX($F9:EKF9)=$D12,0,EKF9+1))</f>
        <v>0</v>
      </c>
      <c r="EKH9" s="26">
        <f>IF(EKH7=0,0,IF(MAX($F9:EKG9)=$D12,0,EKG9+1))</f>
        <v>0</v>
      </c>
      <c r="EKI9" s="26">
        <f>IF(EKI7=0,0,IF(MAX($F9:EKH9)=$D12,0,EKH9+1))</f>
        <v>0</v>
      </c>
      <c r="EKJ9" s="26">
        <f>IF(EKJ7=0,0,IF(MAX($F9:EKI9)=$D12,0,EKI9+1))</f>
        <v>0</v>
      </c>
      <c r="EKK9" s="26">
        <f>IF(EKK7=0,0,IF(MAX($F9:EKJ9)=$D12,0,EKJ9+1))</f>
        <v>0</v>
      </c>
      <c r="EKL9" s="26">
        <f>IF(EKL7=0,0,IF(MAX($F9:EKK9)=$D12,0,EKK9+1))</f>
        <v>0</v>
      </c>
      <c r="EKM9" s="26">
        <f>IF(EKM7=0,0,IF(MAX($F9:EKL9)=$D12,0,EKL9+1))</f>
        <v>0</v>
      </c>
      <c r="EKN9" s="26">
        <f>IF(EKN7=0,0,IF(MAX($F9:EKM9)=$D12,0,EKM9+1))</f>
        <v>0</v>
      </c>
      <c r="EKO9" s="26">
        <f>IF(EKO7=0,0,IF(MAX($F9:EKN9)=$D12,0,EKN9+1))</f>
        <v>0</v>
      </c>
      <c r="EKP9" s="26">
        <f>IF(EKP7=0,0,IF(MAX($F9:EKO9)=$D12,0,EKO9+1))</f>
        <v>0</v>
      </c>
      <c r="EKQ9" s="26">
        <f>IF(EKQ7=0,0,IF(MAX($F9:EKP9)=$D12,0,EKP9+1))</f>
        <v>0</v>
      </c>
      <c r="EKR9" s="26">
        <f>IF(EKR7=0,0,IF(MAX($F9:EKQ9)=$D12,0,EKQ9+1))</f>
        <v>0</v>
      </c>
      <c r="EKS9" s="26">
        <f>IF(EKS7=0,0,IF(MAX($F9:EKR9)=$D12,0,EKR9+1))</f>
        <v>0</v>
      </c>
      <c r="EKT9" s="26">
        <f>IF(EKT7=0,0,IF(MAX($F9:EKS9)=$D12,0,EKS9+1))</f>
        <v>0</v>
      </c>
      <c r="EKU9" s="26">
        <f>IF(EKU7=0,0,IF(MAX($F9:EKT9)=$D12,0,EKT9+1))</f>
        <v>0</v>
      </c>
      <c r="EKV9" s="26">
        <f>IF(EKV7=0,0,IF(MAX($F9:EKU9)=$D12,0,EKU9+1))</f>
        <v>0</v>
      </c>
      <c r="EKW9" s="26">
        <f>IF(EKW7=0,0,IF(MAX($F9:EKV9)=$D12,0,EKV9+1))</f>
        <v>0</v>
      </c>
      <c r="EKX9" s="26">
        <f>IF(EKX7=0,0,IF(MAX($F9:EKW9)=$D12,0,EKW9+1))</f>
        <v>0</v>
      </c>
      <c r="EKY9" s="26">
        <f>IF(EKY7=0,0,IF(MAX($F9:EKX9)=$D12,0,EKX9+1))</f>
        <v>0</v>
      </c>
      <c r="EKZ9" s="26">
        <f>IF(EKZ7=0,0,IF(MAX($F9:EKY9)=$D12,0,EKY9+1))</f>
        <v>0</v>
      </c>
      <c r="ELA9" s="26">
        <f>IF(ELA7=0,0,IF(MAX($F9:EKZ9)=$D12,0,EKZ9+1))</f>
        <v>0</v>
      </c>
      <c r="ELB9" s="26">
        <f>IF(ELB7=0,0,IF(MAX($F9:ELA9)=$D12,0,ELA9+1))</f>
        <v>0</v>
      </c>
      <c r="ELC9" s="26">
        <f>IF(ELC7=0,0,IF(MAX($F9:ELB9)=$D12,0,ELB9+1))</f>
        <v>0</v>
      </c>
      <c r="ELD9" s="26">
        <f>IF(ELD7=0,0,IF(MAX($F9:ELC9)=$D12,0,ELC9+1))</f>
        <v>0</v>
      </c>
      <c r="ELE9" s="26">
        <f>IF(ELE7=0,0,IF(MAX($F9:ELD9)=$D12,0,ELD9+1))</f>
        <v>0</v>
      </c>
      <c r="ELF9" s="26">
        <f>IF(ELF7=0,0,IF(MAX($F9:ELE9)=$D12,0,ELE9+1))</f>
        <v>0</v>
      </c>
      <c r="ELG9" s="26">
        <f>IF(ELG7=0,0,IF(MAX($F9:ELF9)=$D12,0,ELF9+1))</f>
        <v>0</v>
      </c>
      <c r="ELH9" s="26">
        <f>IF(ELH7=0,0,IF(MAX($F9:ELG9)=$D12,0,ELG9+1))</f>
        <v>0</v>
      </c>
      <c r="ELI9" s="26">
        <f>IF(ELI7=0,0,IF(MAX($F9:ELH9)=$D12,0,ELH9+1))</f>
        <v>0</v>
      </c>
      <c r="ELJ9" s="26">
        <f>IF(ELJ7=0,0,IF(MAX($F9:ELI9)=$D12,0,ELI9+1))</f>
        <v>0</v>
      </c>
      <c r="ELK9" s="26">
        <f>IF(ELK7=0,0,IF(MAX($F9:ELJ9)=$D12,0,ELJ9+1))</f>
        <v>0</v>
      </c>
      <c r="ELL9" s="26">
        <f>IF(ELL7=0,0,IF(MAX($F9:ELK9)=$D12,0,ELK9+1))</f>
        <v>0</v>
      </c>
      <c r="ELM9" s="26">
        <f>IF(ELM7=0,0,IF(MAX($F9:ELL9)=$D12,0,ELL9+1))</f>
        <v>0</v>
      </c>
      <c r="ELN9" s="26">
        <f>IF(ELN7=0,0,IF(MAX($F9:ELM9)=$D12,0,ELM9+1))</f>
        <v>0</v>
      </c>
      <c r="ELO9" s="26">
        <f>IF(ELO7=0,0,IF(MAX($F9:ELN9)=$D12,0,ELN9+1))</f>
        <v>0</v>
      </c>
      <c r="ELP9" s="26">
        <f>IF(ELP7=0,0,IF(MAX($F9:ELO9)=$D12,0,ELO9+1))</f>
        <v>0</v>
      </c>
      <c r="ELQ9" s="26">
        <f>IF(ELQ7=0,0,IF(MAX($F9:ELP9)=$D12,0,ELP9+1))</f>
        <v>0</v>
      </c>
      <c r="ELR9" s="26">
        <f>IF(ELR7=0,0,IF(MAX($F9:ELQ9)=$D12,0,ELQ9+1))</f>
        <v>0</v>
      </c>
      <c r="ELS9" s="26">
        <f>IF(ELS7=0,0,IF(MAX($F9:ELR9)=$D12,0,ELR9+1))</f>
        <v>0</v>
      </c>
      <c r="ELT9" s="26">
        <f>IF(ELT7=0,0,IF(MAX($F9:ELS9)=$D12,0,ELS9+1))</f>
        <v>0</v>
      </c>
      <c r="ELU9" s="26">
        <f>IF(ELU7=0,0,IF(MAX($F9:ELT9)=$D12,0,ELT9+1))</f>
        <v>0</v>
      </c>
      <c r="ELV9" s="26">
        <f>IF(ELV7=0,0,IF(MAX($F9:ELU9)=$D12,0,ELU9+1))</f>
        <v>0</v>
      </c>
      <c r="ELW9" s="26">
        <f>IF(ELW7=0,0,IF(MAX($F9:ELV9)=$D12,0,ELV9+1))</f>
        <v>0</v>
      </c>
      <c r="ELX9" s="26">
        <f>IF(ELX7=0,0,IF(MAX($F9:ELW9)=$D12,0,ELW9+1))</f>
        <v>0</v>
      </c>
      <c r="ELY9" s="26">
        <f>IF(ELY7=0,0,IF(MAX($F9:ELX9)=$D12,0,ELX9+1))</f>
        <v>0</v>
      </c>
      <c r="ELZ9" s="26">
        <f>IF(ELZ7=0,0,IF(MAX($F9:ELY9)=$D12,0,ELY9+1))</f>
        <v>0</v>
      </c>
      <c r="EMA9" s="26">
        <f>IF(EMA7=0,0,IF(MAX($F9:ELZ9)=$D12,0,ELZ9+1))</f>
        <v>0</v>
      </c>
      <c r="EMB9" s="26">
        <f>IF(EMB7=0,0,IF(MAX($F9:EMA9)=$D12,0,EMA9+1))</f>
        <v>0</v>
      </c>
      <c r="EMC9" s="26">
        <f>IF(EMC7=0,0,IF(MAX($F9:EMB9)=$D12,0,EMB9+1))</f>
        <v>0</v>
      </c>
      <c r="EMD9" s="26">
        <f>IF(EMD7=0,0,IF(MAX($F9:EMC9)=$D12,0,EMC9+1))</f>
        <v>0</v>
      </c>
      <c r="EME9" s="26">
        <f>IF(EME7=0,0,IF(MAX($F9:EMD9)=$D12,0,EMD9+1))</f>
        <v>0</v>
      </c>
      <c r="EMF9" s="26">
        <f>IF(EMF7=0,0,IF(MAX($F9:EME9)=$D12,0,EME9+1))</f>
        <v>0</v>
      </c>
      <c r="EMG9" s="26">
        <f>IF(EMG7=0,0,IF(MAX($F9:EMF9)=$D12,0,EMF9+1))</f>
        <v>0</v>
      </c>
      <c r="EMH9" s="26">
        <f>IF(EMH7=0,0,IF(MAX($F9:EMG9)=$D12,0,EMG9+1))</f>
        <v>0</v>
      </c>
      <c r="EMI9" s="26">
        <f>IF(EMI7=0,0,IF(MAX($F9:EMH9)=$D12,0,EMH9+1))</f>
        <v>0</v>
      </c>
      <c r="EMJ9" s="26">
        <f>IF(EMJ7=0,0,IF(MAX($F9:EMI9)=$D12,0,EMI9+1))</f>
        <v>0</v>
      </c>
      <c r="EMK9" s="26">
        <f>IF(EMK7=0,0,IF(MAX($F9:EMJ9)=$D12,0,EMJ9+1))</f>
        <v>0</v>
      </c>
      <c r="EML9" s="26">
        <f>IF(EML7=0,0,IF(MAX($F9:EMK9)=$D12,0,EMK9+1))</f>
        <v>0</v>
      </c>
      <c r="EMM9" s="26">
        <f>IF(EMM7=0,0,IF(MAX($F9:EML9)=$D12,0,EML9+1))</f>
        <v>0</v>
      </c>
      <c r="EMN9" s="26">
        <f>IF(EMN7=0,0,IF(MAX($F9:EMM9)=$D12,0,EMM9+1))</f>
        <v>0</v>
      </c>
      <c r="EMO9" s="26">
        <f>IF(EMO7=0,0,IF(MAX($F9:EMN9)=$D12,0,EMN9+1))</f>
        <v>0</v>
      </c>
      <c r="EMP9" s="26">
        <f>IF(EMP7=0,0,IF(MAX($F9:EMO9)=$D12,0,EMO9+1))</f>
        <v>0</v>
      </c>
      <c r="EMQ9" s="26">
        <f>IF(EMQ7=0,0,IF(MAX($F9:EMP9)=$D12,0,EMP9+1))</f>
        <v>0</v>
      </c>
      <c r="EMR9" s="26">
        <f>IF(EMR7=0,0,IF(MAX($F9:EMQ9)=$D12,0,EMQ9+1))</f>
        <v>0</v>
      </c>
      <c r="EMS9" s="26">
        <f>IF(EMS7=0,0,IF(MAX($F9:EMR9)=$D12,0,EMR9+1))</f>
        <v>0</v>
      </c>
      <c r="EMT9" s="26">
        <f>IF(EMT7=0,0,IF(MAX($F9:EMS9)=$D12,0,EMS9+1))</f>
        <v>0</v>
      </c>
      <c r="EMU9" s="26">
        <f>IF(EMU7=0,0,IF(MAX($F9:EMT9)=$D12,0,EMT9+1))</f>
        <v>0</v>
      </c>
      <c r="EMV9" s="26">
        <f>IF(EMV7=0,0,IF(MAX($F9:EMU9)=$D12,0,EMU9+1))</f>
        <v>0</v>
      </c>
      <c r="EMW9" s="26">
        <f>IF(EMW7=0,0,IF(MAX($F9:EMV9)=$D12,0,EMV9+1))</f>
        <v>0</v>
      </c>
      <c r="EMX9" s="26">
        <f>IF(EMX7=0,0,IF(MAX($F9:EMW9)=$D12,0,EMW9+1))</f>
        <v>0</v>
      </c>
      <c r="EMY9" s="26">
        <f>IF(EMY7=0,0,IF(MAX($F9:EMX9)=$D12,0,EMX9+1))</f>
        <v>0</v>
      </c>
      <c r="EMZ9" s="26">
        <f>IF(EMZ7=0,0,IF(MAX($F9:EMY9)=$D12,0,EMY9+1))</f>
        <v>0</v>
      </c>
      <c r="ENA9" s="26">
        <f>IF(ENA7=0,0,IF(MAX($F9:EMZ9)=$D12,0,EMZ9+1))</f>
        <v>0</v>
      </c>
      <c r="ENB9" s="26">
        <f>IF(ENB7=0,0,IF(MAX($F9:ENA9)=$D12,0,ENA9+1))</f>
        <v>0</v>
      </c>
      <c r="ENC9" s="26">
        <f>IF(ENC7=0,0,IF(MAX($F9:ENB9)=$D12,0,ENB9+1))</f>
        <v>0</v>
      </c>
      <c r="END9" s="26">
        <f>IF(END7=0,0,IF(MAX($F9:ENC9)=$D12,0,ENC9+1))</f>
        <v>0</v>
      </c>
      <c r="ENE9" s="26">
        <f>IF(ENE7=0,0,IF(MAX($F9:END9)=$D12,0,END9+1))</f>
        <v>0</v>
      </c>
      <c r="ENF9" s="26">
        <f>IF(ENF7=0,0,IF(MAX($F9:ENE9)=$D12,0,ENE9+1))</f>
        <v>0</v>
      </c>
      <c r="ENG9" s="26">
        <f>IF(ENG7=0,0,IF(MAX($F9:ENF9)=$D12,0,ENF9+1))</f>
        <v>0</v>
      </c>
      <c r="ENH9" s="26">
        <f>IF(ENH7=0,0,IF(MAX($F9:ENG9)=$D12,0,ENG9+1))</f>
        <v>0</v>
      </c>
      <c r="ENI9" s="26">
        <f>IF(ENI7=0,0,IF(MAX($F9:ENH9)=$D12,0,ENH9+1))</f>
        <v>0</v>
      </c>
      <c r="ENJ9" s="26">
        <f>IF(ENJ7=0,0,IF(MAX($F9:ENI9)=$D12,0,ENI9+1))</f>
        <v>0</v>
      </c>
      <c r="ENK9" s="26">
        <f>IF(ENK7=0,0,IF(MAX($F9:ENJ9)=$D12,0,ENJ9+1))</f>
        <v>0</v>
      </c>
      <c r="ENL9" s="26">
        <f>IF(ENL7=0,0,IF(MAX($F9:ENK9)=$D12,0,ENK9+1))</f>
        <v>0</v>
      </c>
      <c r="ENM9" s="26">
        <f>IF(ENM7=0,0,IF(MAX($F9:ENL9)=$D12,0,ENL9+1))</f>
        <v>0</v>
      </c>
      <c r="ENN9" s="26">
        <f>IF(ENN7=0,0,IF(MAX($F9:ENM9)=$D12,0,ENM9+1))</f>
        <v>0</v>
      </c>
      <c r="ENO9" s="26">
        <f>IF(ENO7=0,0,IF(MAX($F9:ENN9)=$D12,0,ENN9+1))</f>
        <v>0</v>
      </c>
      <c r="ENP9" s="26">
        <f>IF(ENP7=0,0,IF(MAX($F9:ENO9)=$D12,0,ENO9+1))</f>
        <v>0</v>
      </c>
      <c r="ENQ9" s="26">
        <f>IF(ENQ7=0,0,IF(MAX($F9:ENP9)=$D12,0,ENP9+1))</f>
        <v>0</v>
      </c>
      <c r="ENR9" s="26">
        <f>IF(ENR7=0,0,IF(MAX($F9:ENQ9)=$D12,0,ENQ9+1))</f>
        <v>0</v>
      </c>
      <c r="ENS9" s="26">
        <f>IF(ENS7=0,0,IF(MAX($F9:ENR9)=$D12,0,ENR9+1))</f>
        <v>0</v>
      </c>
      <c r="ENT9" s="26">
        <f>IF(ENT7=0,0,IF(MAX($F9:ENS9)=$D12,0,ENS9+1))</f>
        <v>0</v>
      </c>
      <c r="ENU9" s="26">
        <f>IF(ENU7=0,0,IF(MAX($F9:ENT9)=$D12,0,ENT9+1))</f>
        <v>0</v>
      </c>
      <c r="ENV9" s="26">
        <f>IF(ENV7=0,0,IF(MAX($F9:ENU9)=$D12,0,ENU9+1))</f>
        <v>0</v>
      </c>
      <c r="ENW9" s="26">
        <f>IF(ENW7=0,0,IF(MAX($F9:ENV9)=$D12,0,ENV9+1))</f>
        <v>0</v>
      </c>
      <c r="ENX9" s="26">
        <f>IF(ENX7=0,0,IF(MAX($F9:ENW9)=$D12,0,ENW9+1))</f>
        <v>0</v>
      </c>
      <c r="ENY9" s="26">
        <f>IF(ENY7=0,0,IF(MAX($F9:ENX9)=$D12,0,ENX9+1))</f>
        <v>0</v>
      </c>
      <c r="ENZ9" s="26">
        <f>IF(ENZ7=0,0,IF(MAX($F9:ENY9)=$D12,0,ENY9+1))</f>
        <v>0</v>
      </c>
      <c r="EOA9" s="26">
        <f>IF(EOA7=0,0,IF(MAX($F9:ENZ9)=$D12,0,ENZ9+1))</f>
        <v>0</v>
      </c>
      <c r="EOB9" s="26">
        <f>IF(EOB7=0,0,IF(MAX($F9:EOA9)=$D12,0,EOA9+1))</f>
        <v>0</v>
      </c>
      <c r="EOC9" s="26">
        <f>IF(EOC7=0,0,IF(MAX($F9:EOB9)=$D12,0,EOB9+1))</f>
        <v>0</v>
      </c>
      <c r="EOD9" s="26">
        <f>IF(EOD7=0,0,IF(MAX($F9:EOC9)=$D12,0,EOC9+1))</f>
        <v>0</v>
      </c>
      <c r="EOE9" s="26">
        <f>IF(EOE7=0,0,IF(MAX($F9:EOD9)=$D12,0,EOD9+1))</f>
        <v>0</v>
      </c>
      <c r="EOF9" s="26">
        <f>IF(EOF7=0,0,IF(MAX($F9:EOE9)=$D12,0,EOE9+1))</f>
        <v>0</v>
      </c>
      <c r="EOG9" s="26">
        <f>IF(EOG7=0,0,IF(MAX($F9:EOF9)=$D12,0,EOF9+1))</f>
        <v>0</v>
      </c>
      <c r="EOH9" s="26">
        <f>IF(EOH7=0,0,IF(MAX($F9:EOG9)=$D12,0,EOG9+1))</f>
        <v>0</v>
      </c>
      <c r="EOI9" s="26">
        <f>IF(EOI7=0,0,IF(MAX($F9:EOH9)=$D12,0,EOH9+1))</f>
        <v>0</v>
      </c>
      <c r="EOJ9" s="26">
        <f>IF(EOJ7=0,0,IF(MAX($F9:EOI9)=$D12,0,EOI9+1))</f>
        <v>0</v>
      </c>
      <c r="EOK9" s="26">
        <f>IF(EOK7=0,0,IF(MAX($F9:EOJ9)=$D12,0,EOJ9+1))</f>
        <v>0</v>
      </c>
      <c r="EOL9" s="26">
        <f>IF(EOL7=0,0,IF(MAX($F9:EOK9)=$D12,0,EOK9+1))</f>
        <v>0</v>
      </c>
      <c r="EOM9" s="26">
        <f>IF(EOM7=0,0,IF(MAX($F9:EOL9)=$D12,0,EOL9+1))</f>
        <v>0</v>
      </c>
      <c r="EON9" s="26">
        <f>IF(EON7=0,0,IF(MAX($F9:EOM9)=$D12,0,EOM9+1))</f>
        <v>0</v>
      </c>
      <c r="EOO9" s="26">
        <f>IF(EOO7=0,0,IF(MAX($F9:EON9)=$D12,0,EON9+1))</f>
        <v>0</v>
      </c>
      <c r="EOP9" s="26">
        <f>IF(EOP7=0,0,IF(MAX($F9:EOO9)=$D12,0,EOO9+1))</f>
        <v>0</v>
      </c>
      <c r="EOQ9" s="26">
        <f>IF(EOQ7=0,0,IF(MAX($F9:EOP9)=$D12,0,EOP9+1))</f>
        <v>0</v>
      </c>
      <c r="EOR9" s="26">
        <f>IF(EOR7=0,0,IF(MAX($F9:EOQ9)=$D12,0,EOQ9+1))</f>
        <v>0</v>
      </c>
      <c r="EOS9" s="26">
        <f>IF(EOS7=0,0,IF(MAX($F9:EOR9)=$D12,0,EOR9+1))</f>
        <v>0</v>
      </c>
      <c r="EOT9" s="26">
        <f>IF(EOT7=0,0,IF(MAX($F9:EOS9)=$D12,0,EOS9+1))</f>
        <v>0</v>
      </c>
      <c r="EOU9" s="26">
        <f>IF(EOU7=0,0,IF(MAX($F9:EOT9)=$D12,0,EOT9+1))</f>
        <v>0</v>
      </c>
      <c r="EOV9" s="26">
        <f>IF(EOV7=0,0,IF(MAX($F9:EOU9)=$D12,0,EOU9+1))</f>
        <v>0</v>
      </c>
      <c r="EOW9" s="26">
        <f>IF(EOW7=0,0,IF(MAX($F9:EOV9)=$D12,0,EOV9+1))</f>
        <v>0</v>
      </c>
      <c r="EOX9" s="26">
        <f>IF(EOX7=0,0,IF(MAX($F9:EOW9)=$D12,0,EOW9+1))</f>
        <v>0</v>
      </c>
      <c r="EOY9" s="26">
        <f>IF(EOY7=0,0,IF(MAX($F9:EOX9)=$D12,0,EOX9+1))</f>
        <v>0</v>
      </c>
      <c r="EOZ9" s="26">
        <f>IF(EOZ7=0,0,IF(MAX($F9:EOY9)=$D12,0,EOY9+1))</f>
        <v>0</v>
      </c>
      <c r="EPA9" s="26">
        <f>IF(EPA7=0,0,IF(MAX($F9:EOZ9)=$D12,0,EOZ9+1))</f>
        <v>0</v>
      </c>
      <c r="EPB9" s="26">
        <f>IF(EPB7=0,0,IF(MAX($F9:EPA9)=$D12,0,EPA9+1))</f>
        <v>0</v>
      </c>
      <c r="EPC9" s="26">
        <f>IF(EPC7=0,0,IF(MAX($F9:EPB9)=$D12,0,EPB9+1))</f>
        <v>0</v>
      </c>
      <c r="EPD9" s="26">
        <f>IF(EPD7=0,0,IF(MAX($F9:EPC9)=$D12,0,EPC9+1))</f>
        <v>0</v>
      </c>
      <c r="EPE9" s="26">
        <f>IF(EPE7=0,0,IF(MAX($F9:EPD9)=$D12,0,EPD9+1))</f>
        <v>0</v>
      </c>
      <c r="EPF9" s="26">
        <f>IF(EPF7=0,0,IF(MAX($F9:EPE9)=$D12,0,EPE9+1))</f>
        <v>0</v>
      </c>
      <c r="EPG9" s="26">
        <f>IF(EPG7=0,0,IF(MAX($F9:EPF9)=$D12,0,EPF9+1))</f>
        <v>0</v>
      </c>
      <c r="EPH9" s="26">
        <f>IF(EPH7=0,0,IF(MAX($F9:EPG9)=$D12,0,EPG9+1))</f>
        <v>0</v>
      </c>
      <c r="EPI9" s="26">
        <f>IF(EPI7=0,0,IF(MAX($F9:EPH9)=$D12,0,EPH9+1))</f>
        <v>0</v>
      </c>
      <c r="EPJ9" s="26">
        <f>IF(EPJ7=0,0,IF(MAX($F9:EPI9)=$D12,0,EPI9+1))</f>
        <v>0</v>
      </c>
      <c r="EPK9" s="26">
        <f>IF(EPK7=0,0,IF(MAX($F9:EPJ9)=$D12,0,EPJ9+1))</f>
        <v>0</v>
      </c>
      <c r="EPL9" s="26">
        <f>IF(EPL7=0,0,IF(MAX($F9:EPK9)=$D12,0,EPK9+1))</f>
        <v>0</v>
      </c>
      <c r="EPM9" s="26">
        <f>IF(EPM7=0,0,IF(MAX($F9:EPL9)=$D12,0,EPL9+1))</f>
        <v>0</v>
      </c>
      <c r="EPN9" s="26">
        <f>IF(EPN7=0,0,IF(MAX($F9:EPM9)=$D12,0,EPM9+1))</f>
        <v>0</v>
      </c>
      <c r="EPO9" s="26">
        <f>IF(EPO7=0,0,IF(MAX($F9:EPN9)=$D12,0,EPN9+1))</f>
        <v>0</v>
      </c>
      <c r="EPP9" s="26">
        <f>IF(EPP7=0,0,IF(MAX($F9:EPO9)=$D12,0,EPO9+1))</f>
        <v>0</v>
      </c>
      <c r="EPQ9" s="26">
        <f>IF(EPQ7=0,0,IF(MAX($F9:EPP9)=$D12,0,EPP9+1))</f>
        <v>0</v>
      </c>
      <c r="EPR9" s="26">
        <f>IF(EPR7=0,0,IF(MAX($F9:EPQ9)=$D12,0,EPQ9+1))</f>
        <v>0</v>
      </c>
      <c r="EPS9" s="26">
        <f>IF(EPS7=0,0,IF(MAX($F9:EPR9)=$D12,0,EPR9+1))</f>
        <v>0</v>
      </c>
      <c r="EPT9" s="26">
        <f>IF(EPT7=0,0,IF(MAX($F9:EPS9)=$D12,0,EPS9+1))</f>
        <v>0</v>
      </c>
      <c r="EPU9" s="26">
        <f>IF(EPU7=0,0,IF(MAX($F9:EPT9)=$D12,0,EPT9+1))</f>
        <v>0</v>
      </c>
      <c r="EPV9" s="26">
        <f>IF(EPV7=0,0,IF(MAX($F9:EPU9)=$D12,0,EPU9+1))</f>
        <v>0</v>
      </c>
      <c r="EPW9" s="26">
        <f>IF(EPW7=0,0,IF(MAX($F9:EPV9)=$D12,0,EPV9+1))</f>
        <v>0</v>
      </c>
      <c r="EPX9" s="26">
        <f>IF(EPX7=0,0,IF(MAX($F9:EPW9)=$D12,0,EPW9+1))</f>
        <v>0</v>
      </c>
      <c r="EPY9" s="26">
        <f>IF(EPY7=0,0,IF(MAX($F9:EPX9)=$D12,0,EPX9+1))</f>
        <v>0</v>
      </c>
      <c r="EPZ9" s="26">
        <f>IF(EPZ7=0,0,IF(MAX($F9:EPY9)=$D12,0,EPY9+1))</f>
        <v>0</v>
      </c>
      <c r="EQA9" s="26">
        <f>IF(EQA7=0,0,IF(MAX($F9:EPZ9)=$D12,0,EPZ9+1))</f>
        <v>0</v>
      </c>
      <c r="EQB9" s="26">
        <f>IF(EQB7=0,0,IF(MAX($F9:EQA9)=$D12,0,EQA9+1))</f>
        <v>0</v>
      </c>
      <c r="EQC9" s="26">
        <f>IF(EQC7=0,0,IF(MAX($F9:EQB9)=$D12,0,EQB9+1))</f>
        <v>0</v>
      </c>
      <c r="EQD9" s="26">
        <f>IF(EQD7=0,0,IF(MAX($F9:EQC9)=$D12,0,EQC9+1))</f>
        <v>0</v>
      </c>
      <c r="EQE9" s="26">
        <f>IF(EQE7=0,0,IF(MAX($F9:EQD9)=$D12,0,EQD9+1))</f>
        <v>0</v>
      </c>
      <c r="EQF9" s="26">
        <f>IF(EQF7=0,0,IF(MAX($F9:EQE9)=$D12,0,EQE9+1))</f>
        <v>0</v>
      </c>
      <c r="EQG9" s="26">
        <f>IF(EQG7=0,0,IF(MAX($F9:EQF9)=$D12,0,EQF9+1))</f>
        <v>0</v>
      </c>
      <c r="EQH9" s="26">
        <f>IF(EQH7=0,0,IF(MAX($F9:EQG9)=$D12,0,EQG9+1))</f>
        <v>0</v>
      </c>
      <c r="EQI9" s="26">
        <f>IF(EQI7=0,0,IF(MAX($F9:EQH9)=$D12,0,EQH9+1))</f>
        <v>0</v>
      </c>
      <c r="EQJ9" s="26">
        <f>IF(EQJ7=0,0,IF(MAX($F9:EQI9)=$D12,0,EQI9+1))</f>
        <v>0</v>
      </c>
      <c r="EQK9" s="26">
        <f>IF(EQK7=0,0,IF(MAX($F9:EQJ9)=$D12,0,EQJ9+1))</f>
        <v>0</v>
      </c>
      <c r="EQL9" s="26">
        <f>IF(EQL7=0,0,IF(MAX($F9:EQK9)=$D12,0,EQK9+1))</f>
        <v>0</v>
      </c>
      <c r="EQM9" s="26">
        <f>IF(EQM7=0,0,IF(MAX($F9:EQL9)=$D12,0,EQL9+1))</f>
        <v>0</v>
      </c>
      <c r="EQN9" s="26">
        <f>IF(EQN7=0,0,IF(MAX($F9:EQM9)=$D12,0,EQM9+1))</f>
        <v>0</v>
      </c>
      <c r="EQO9" s="26">
        <f>IF(EQO7=0,0,IF(MAX($F9:EQN9)=$D12,0,EQN9+1))</f>
        <v>0</v>
      </c>
      <c r="EQP9" s="26">
        <f>IF(EQP7=0,0,IF(MAX($F9:EQO9)=$D12,0,EQO9+1))</f>
        <v>0</v>
      </c>
      <c r="EQQ9" s="26">
        <f>IF(EQQ7=0,0,IF(MAX($F9:EQP9)=$D12,0,EQP9+1))</f>
        <v>0</v>
      </c>
      <c r="EQR9" s="26">
        <f>IF(EQR7=0,0,IF(MAX($F9:EQQ9)=$D12,0,EQQ9+1))</f>
        <v>0</v>
      </c>
      <c r="EQS9" s="26">
        <f>IF(EQS7=0,0,IF(MAX($F9:EQR9)=$D12,0,EQR9+1))</f>
        <v>0</v>
      </c>
      <c r="EQT9" s="26">
        <f>IF(EQT7=0,0,IF(MAX($F9:EQS9)=$D12,0,EQS9+1))</f>
        <v>0</v>
      </c>
      <c r="EQU9" s="26">
        <f>IF(EQU7=0,0,IF(MAX($F9:EQT9)=$D12,0,EQT9+1))</f>
        <v>0</v>
      </c>
      <c r="EQV9" s="26">
        <f>IF(EQV7=0,0,IF(MAX($F9:EQU9)=$D12,0,EQU9+1))</f>
        <v>0</v>
      </c>
      <c r="EQW9" s="26">
        <f>IF(EQW7=0,0,IF(MAX($F9:EQV9)=$D12,0,EQV9+1))</f>
        <v>0</v>
      </c>
      <c r="EQX9" s="26">
        <f>IF(EQX7=0,0,IF(MAX($F9:EQW9)=$D12,0,EQW9+1))</f>
        <v>0</v>
      </c>
      <c r="EQY9" s="26">
        <f>IF(EQY7=0,0,IF(MAX($F9:EQX9)=$D12,0,EQX9+1))</f>
        <v>0</v>
      </c>
      <c r="EQZ9" s="26">
        <f>IF(EQZ7=0,0,IF(MAX($F9:EQY9)=$D12,0,EQY9+1))</f>
        <v>0</v>
      </c>
      <c r="ERA9" s="26">
        <f>IF(ERA7=0,0,IF(MAX($F9:EQZ9)=$D12,0,EQZ9+1))</f>
        <v>0</v>
      </c>
      <c r="ERB9" s="26">
        <f>IF(ERB7=0,0,IF(MAX($F9:ERA9)=$D12,0,ERA9+1))</f>
        <v>0</v>
      </c>
      <c r="ERC9" s="26">
        <f>IF(ERC7=0,0,IF(MAX($F9:ERB9)=$D12,0,ERB9+1))</f>
        <v>0</v>
      </c>
      <c r="ERD9" s="26">
        <f>IF(ERD7=0,0,IF(MAX($F9:ERC9)=$D12,0,ERC9+1))</f>
        <v>0</v>
      </c>
      <c r="ERE9" s="26">
        <f>IF(ERE7=0,0,IF(MAX($F9:ERD9)=$D12,0,ERD9+1))</f>
        <v>0</v>
      </c>
      <c r="ERF9" s="26">
        <f>IF(ERF7=0,0,IF(MAX($F9:ERE9)=$D12,0,ERE9+1))</f>
        <v>0</v>
      </c>
      <c r="ERG9" s="26">
        <f>IF(ERG7=0,0,IF(MAX($F9:ERF9)=$D12,0,ERF9+1))</f>
        <v>0</v>
      </c>
      <c r="ERH9" s="26">
        <f>IF(ERH7=0,0,IF(MAX($F9:ERG9)=$D12,0,ERG9+1))</f>
        <v>0</v>
      </c>
      <c r="ERI9" s="26">
        <f>IF(ERI7=0,0,IF(MAX($F9:ERH9)=$D12,0,ERH9+1))</f>
        <v>0</v>
      </c>
      <c r="ERJ9" s="26">
        <f>IF(ERJ7=0,0,IF(MAX($F9:ERI9)=$D12,0,ERI9+1))</f>
        <v>0</v>
      </c>
      <c r="ERK9" s="26">
        <f>IF(ERK7=0,0,IF(MAX($F9:ERJ9)=$D12,0,ERJ9+1))</f>
        <v>0</v>
      </c>
      <c r="ERL9" s="26">
        <f>IF(ERL7=0,0,IF(MAX($F9:ERK9)=$D12,0,ERK9+1))</f>
        <v>0</v>
      </c>
      <c r="ERM9" s="26">
        <f>IF(ERM7=0,0,IF(MAX($F9:ERL9)=$D12,0,ERL9+1))</f>
        <v>0</v>
      </c>
      <c r="ERN9" s="26">
        <f>IF(ERN7=0,0,IF(MAX($F9:ERM9)=$D12,0,ERM9+1))</f>
        <v>0</v>
      </c>
      <c r="ERO9" s="26">
        <f>IF(ERO7=0,0,IF(MAX($F9:ERN9)=$D12,0,ERN9+1))</f>
        <v>0</v>
      </c>
      <c r="ERP9" s="26">
        <f>IF(ERP7=0,0,IF(MAX($F9:ERO9)=$D12,0,ERO9+1))</f>
        <v>0</v>
      </c>
      <c r="ERQ9" s="26">
        <f>IF(ERQ7=0,0,IF(MAX($F9:ERP9)=$D12,0,ERP9+1))</f>
        <v>0</v>
      </c>
      <c r="ERR9" s="26">
        <f>IF(ERR7=0,0,IF(MAX($F9:ERQ9)=$D12,0,ERQ9+1))</f>
        <v>0</v>
      </c>
      <c r="ERS9" s="26">
        <f>IF(ERS7=0,0,IF(MAX($F9:ERR9)=$D12,0,ERR9+1))</f>
        <v>0</v>
      </c>
      <c r="ERT9" s="26">
        <f>IF(ERT7=0,0,IF(MAX($F9:ERS9)=$D12,0,ERS9+1))</f>
        <v>0</v>
      </c>
      <c r="ERU9" s="26">
        <f>IF(ERU7=0,0,IF(MAX($F9:ERT9)=$D12,0,ERT9+1))</f>
        <v>0</v>
      </c>
      <c r="ERV9" s="26">
        <f>IF(ERV7=0,0,IF(MAX($F9:ERU9)=$D12,0,ERU9+1))</f>
        <v>0</v>
      </c>
      <c r="ERW9" s="26">
        <f>IF(ERW7=0,0,IF(MAX($F9:ERV9)=$D12,0,ERV9+1))</f>
        <v>0</v>
      </c>
      <c r="ERX9" s="26">
        <f>IF(ERX7=0,0,IF(MAX($F9:ERW9)=$D12,0,ERW9+1))</f>
        <v>0</v>
      </c>
      <c r="ERY9" s="26">
        <f>IF(ERY7=0,0,IF(MAX($F9:ERX9)=$D12,0,ERX9+1))</f>
        <v>0</v>
      </c>
      <c r="ERZ9" s="26">
        <f>IF(ERZ7=0,0,IF(MAX($F9:ERY9)=$D12,0,ERY9+1))</f>
        <v>0</v>
      </c>
      <c r="ESA9" s="26">
        <f>IF(ESA7=0,0,IF(MAX($F9:ERZ9)=$D12,0,ERZ9+1))</f>
        <v>0</v>
      </c>
      <c r="ESB9" s="26">
        <f>IF(ESB7=0,0,IF(MAX($F9:ESA9)=$D12,0,ESA9+1))</f>
        <v>0</v>
      </c>
      <c r="ESC9" s="26">
        <f>IF(ESC7=0,0,IF(MAX($F9:ESB9)=$D12,0,ESB9+1))</f>
        <v>0</v>
      </c>
      <c r="ESD9" s="26">
        <f>IF(ESD7=0,0,IF(MAX($F9:ESC9)=$D12,0,ESC9+1))</f>
        <v>0</v>
      </c>
      <c r="ESE9" s="26">
        <f>IF(ESE7=0,0,IF(MAX($F9:ESD9)=$D12,0,ESD9+1))</f>
        <v>0</v>
      </c>
      <c r="ESF9" s="26">
        <f>IF(ESF7=0,0,IF(MAX($F9:ESE9)=$D12,0,ESE9+1))</f>
        <v>0</v>
      </c>
      <c r="ESG9" s="26">
        <f>IF(ESG7=0,0,IF(MAX($F9:ESF9)=$D12,0,ESF9+1))</f>
        <v>0</v>
      </c>
      <c r="ESH9" s="26">
        <f>IF(ESH7=0,0,IF(MAX($F9:ESG9)=$D12,0,ESG9+1))</f>
        <v>0</v>
      </c>
      <c r="ESI9" s="26">
        <f>IF(ESI7=0,0,IF(MAX($F9:ESH9)=$D12,0,ESH9+1))</f>
        <v>0</v>
      </c>
      <c r="ESJ9" s="26">
        <f>IF(ESJ7=0,0,IF(MAX($F9:ESI9)=$D12,0,ESI9+1))</f>
        <v>0</v>
      </c>
      <c r="ESK9" s="26">
        <f>IF(ESK7=0,0,IF(MAX($F9:ESJ9)=$D12,0,ESJ9+1))</f>
        <v>0</v>
      </c>
      <c r="ESL9" s="26">
        <f>IF(ESL7=0,0,IF(MAX($F9:ESK9)=$D12,0,ESK9+1))</f>
        <v>0</v>
      </c>
      <c r="ESM9" s="26">
        <f>IF(ESM7=0,0,IF(MAX($F9:ESL9)=$D12,0,ESL9+1))</f>
        <v>0</v>
      </c>
      <c r="ESN9" s="26">
        <f>IF(ESN7=0,0,IF(MAX($F9:ESM9)=$D12,0,ESM9+1))</f>
        <v>0</v>
      </c>
      <c r="ESO9" s="26">
        <f>IF(ESO7=0,0,IF(MAX($F9:ESN9)=$D12,0,ESN9+1))</f>
        <v>0</v>
      </c>
      <c r="ESP9" s="26">
        <f>IF(ESP7=0,0,IF(MAX($F9:ESO9)=$D12,0,ESO9+1))</f>
        <v>0</v>
      </c>
      <c r="ESQ9" s="26">
        <f>IF(ESQ7=0,0,IF(MAX($F9:ESP9)=$D12,0,ESP9+1))</f>
        <v>0</v>
      </c>
      <c r="ESR9" s="26">
        <f>IF(ESR7=0,0,IF(MAX($F9:ESQ9)=$D12,0,ESQ9+1))</f>
        <v>0</v>
      </c>
      <c r="ESS9" s="26">
        <f>IF(ESS7=0,0,IF(MAX($F9:ESR9)=$D12,0,ESR9+1))</f>
        <v>0</v>
      </c>
      <c r="EST9" s="26">
        <f>IF(EST7=0,0,IF(MAX($F9:ESS9)=$D12,0,ESS9+1))</f>
        <v>0</v>
      </c>
      <c r="ESU9" s="26">
        <f>IF(ESU7=0,0,IF(MAX($F9:EST9)=$D12,0,EST9+1))</f>
        <v>0</v>
      </c>
      <c r="ESV9" s="26">
        <f>IF(ESV7=0,0,IF(MAX($F9:ESU9)=$D12,0,ESU9+1))</f>
        <v>0</v>
      </c>
      <c r="ESW9" s="26">
        <f>IF(ESW7=0,0,IF(MAX($F9:ESV9)=$D12,0,ESV9+1))</f>
        <v>0</v>
      </c>
      <c r="ESX9" s="26">
        <f>IF(ESX7=0,0,IF(MAX($F9:ESW9)=$D12,0,ESW9+1))</f>
        <v>0</v>
      </c>
      <c r="ESY9" s="26">
        <f>IF(ESY7=0,0,IF(MAX($F9:ESX9)=$D12,0,ESX9+1))</f>
        <v>0</v>
      </c>
      <c r="ESZ9" s="26">
        <f>IF(ESZ7=0,0,IF(MAX($F9:ESY9)=$D12,0,ESY9+1))</f>
        <v>0</v>
      </c>
      <c r="ETA9" s="26">
        <f>IF(ETA7=0,0,IF(MAX($F9:ESZ9)=$D12,0,ESZ9+1))</f>
        <v>0</v>
      </c>
      <c r="ETB9" s="26">
        <f>IF(ETB7=0,0,IF(MAX($F9:ETA9)=$D12,0,ETA9+1))</f>
        <v>0</v>
      </c>
      <c r="ETC9" s="26">
        <f>IF(ETC7=0,0,IF(MAX($F9:ETB9)=$D12,0,ETB9+1))</f>
        <v>0</v>
      </c>
      <c r="ETD9" s="26">
        <f>IF(ETD7=0,0,IF(MAX($F9:ETC9)=$D12,0,ETC9+1))</f>
        <v>0</v>
      </c>
      <c r="ETE9" s="26">
        <f>IF(ETE7=0,0,IF(MAX($F9:ETD9)=$D12,0,ETD9+1))</f>
        <v>0</v>
      </c>
      <c r="ETF9" s="26">
        <f>IF(ETF7=0,0,IF(MAX($F9:ETE9)=$D12,0,ETE9+1))</f>
        <v>0</v>
      </c>
      <c r="ETG9" s="26">
        <f>IF(ETG7=0,0,IF(MAX($F9:ETF9)=$D12,0,ETF9+1))</f>
        <v>0</v>
      </c>
      <c r="ETH9" s="26">
        <f>IF(ETH7=0,0,IF(MAX($F9:ETG9)=$D12,0,ETG9+1))</f>
        <v>0</v>
      </c>
      <c r="ETI9" s="26">
        <f>IF(ETI7=0,0,IF(MAX($F9:ETH9)=$D12,0,ETH9+1))</f>
        <v>0</v>
      </c>
      <c r="ETJ9" s="26">
        <f>IF(ETJ7=0,0,IF(MAX($F9:ETI9)=$D12,0,ETI9+1))</f>
        <v>0</v>
      </c>
      <c r="ETK9" s="26">
        <f>IF(ETK7=0,0,IF(MAX($F9:ETJ9)=$D12,0,ETJ9+1))</f>
        <v>0</v>
      </c>
      <c r="ETL9" s="26">
        <f>IF(ETL7=0,0,IF(MAX($F9:ETK9)=$D12,0,ETK9+1))</f>
        <v>0</v>
      </c>
      <c r="ETM9" s="26">
        <f>IF(ETM7=0,0,IF(MAX($F9:ETL9)=$D12,0,ETL9+1))</f>
        <v>0</v>
      </c>
      <c r="ETN9" s="26">
        <f>IF(ETN7=0,0,IF(MAX($F9:ETM9)=$D12,0,ETM9+1))</f>
        <v>0</v>
      </c>
      <c r="ETO9" s="26">
        <f>IF(ETO7=0,0,IF(MAX($F9:ETN9)=$D12,0,ETN9+1))</f>
        <v>0</v>
      </c>
      <c r="ETP9" s="26">
        <f>IF(ETP7=0,0,IF(MAX($F9:ETO9)=$D12,0,ETO9+1))</f>
        <v>0</v>
      </c>
      <c r="ETQ9" s="26">
        <f>IF(ETQ7=0,0,IF(MAX($F9:ETP9)=$D12,0,ETP9+1))</f>
        <v>0</v>
      </c>
      <c r="ETR9" s="26">
        <f>IF(ETR7=0,0,IF(MAX($F9:ETQ9)=$D12,0,ETQ9+1))</f>
        <v>0</v>
      </c>
      <c r="ETS9" s="26">
        <f>IF(ETS7=0,0,IF(MAX($F9:ETR9)=$D12,0,ETR9+1))</f>
        <v>0</v>
      </c>
      <c r="ETT9" s="26">
        <f>IF(ETT7=0,0,IF(MAX($F9:ETS9)=$D12,0,ETS9+1))</f>
        <v>0</v>
      </c>
      <c r="ETU9" s="26">
        <f>IF(ETU7=0,0,IF(MAX($F9:ETT9)=$D12,0,ETT9+1))</f>
        <v>0</v>
      </c>
      <c r="ETV9" s="26">
        <f>IF(ETV7=0,0,IF(MAX($F9:ETU9)=$D12,0,ETU9+1))</f>
        <v>0</v>
      </c>
      <c r="ETW9" s="26">
        <f>IF(ETW7=0,0,IF(MAX($F9:ETV9)=$D12,0,ETV9+1))</f>
        <v>0</v>
      </c>
      <c r="ETX9" s="26">
        <f>IF(ETX7=0,0,IF(MAX($F9:ETW9)=$D12,0,ETW9+1))</f>
        <v>0</v>
      </c>
      <c r="ETY9" s="26">
        <f>IF(ETY7=0,0,IF(MAX($F9:ETX9)=$D12,0,ETX9+1))</f>
        <v>0</v>
      </c>
      <c r="ETZ9" s="26">
        <f>IF(ETZ7=0,0,IF(MAX($F9:ETY9)=$D12,0,ETY9+1))</f>
        <v>0</v>
      </c>
      <c r="EUA9" s="26">
        <f>IF(EUA7=0,0,IF(MAX($F9:ETZ9)=$D12,0,ETZ9+1))</f>
        <v>0</v>
      </c>
      <c r="EUB9" s="26">
        <f>IF(EUB7=0,0,IF(MAX($F9:EUA9)=$D12,0,EUA9+1))</f>
        <v>0</v>
      </c>
      <c r="EUC9" s="26">
        <f>IF(EUC7=0,0,IF(MAX($F9:EUB9)=$D12,0,EUB9+1))</f>
        <v>0</v>
      </c>
      <c r="EUD9" s="26">
        <f>IF(EUD7=0,0,IF(MAX($F9:EUC9)=$D12,0,EUC9+1))</f>
        <v>0</v>
      </c>
      <c r="EUE9" s="26">
        <f>IF(EUE7=0,0,IF(MAX($F9:EUD9)=$D12,0,EUD9+1))</f>
        <v>0</v>
      </c>
      <c r="EUF9" s="26">
        <f>IF(EUF7=0,0,IF(MAX($F9:EUE9)=$D12,0,EUE9+1))</f>
        <v>0</v>
      </c>
      <c r="EUG9" s="26">
        <f>IF(EUG7=0,0,IF(MAX($F9:EUF9)=$D12,0,EUF9+1))</f>
        <v>0</v>
      </c>
      <c r="EUH9" s="26">
        <f>IF(EUH7=0,0,IF(MAX($F9:EUG9)=$D12,0,EUG9+1))</f>
        <v>0</v>
      </c>
      <c r="EUI9" s="26">
        <f>IF(EUI7=0,0,IF(MAX($F9:EUH9)=$D12,0,EUH9+1))</f>
        <v>0</v>
      </c>
      <c r="EUJ9" s="26">
        <f>IF(EUJ7=0,0,IF(MAX($F9:EUI9)=$D12,0,EUI9+1))</f>
        <v>0</v>
      </c>
      <c r="EUK9" s="26">
        <f>IF(EUK7=0,0,IF(MAX($F9:EUJ9)=$D12,0,EUJ9+1))</f>
        <v>0</v>
      </c>
      <c r="EUL9" s="26">
        <f>IF(EUL7=0,0,IF(MAX($F9:EUK9)=$D12,0,EUK9+1))</f>
        <v>0</v>
      </c>
      <c r="EUM9" s="26">
        <f>IF(EUM7=0,0,IF(MAX($F9:EUL9)=$D12,0,EUL9+1))</f>
        <v>0</v>
      </c>
      <c r="EUN9" s="26">
        <f>IF(EUN7=0,0,IF(MAX($F9:EUM9)=$D12,0,EUM9+1))</f>
        <v>0</v>
      </c>
      <c r="EUO9" s="26">
        <f>IF(EUO7=0,0,IF(MAX($F9:EUN9)=$D12,0,EUN9+1))</f>
        <v>0</v>
      </c>
      <c r="EUP9" s="26">
        <f>IF(EUP7=0,0,IF(MAX($F9:EUO9)=$D12,0,EUO9+1))</f>
        <v>0</v>
      </c>
      <c r="EUQ9" s="26">
        <f>IF(EUQ7=0,0,IF(MAX($F9:EUP9)=$D12,0,EUP9+1))</f>
        <v>0</v>
      </c>
      <c r="EUR9" s="26">
        <f>IF(EUR7=0,0,IF(MAX($F9:EUQ9)=$D12,0,EUQ9+1))</f>
        <v>0</v>
      </c>
      <c r="EUS9" s="26">
        <f>IF(EUS7=0,0,IF(MAX($F9:EUR9)=$D12,0,EUR9+1))</f>
        <v>0</v>
      </c>
      <c r="EUT9" s="26">
        <f>IF(EUT7=0,0,IF(MAX($F9:EUS9)=$D12,0,EUS9+1))</f>
        <v>0</v>
      </c>
      <c r="EUU9" s="26">
        <f>IF(EUU7=0,0,IF(MAX($F9:EUT9)=$D12,0,EUT9+1))</f>
        <v>0</v>
      </c>
      <c r="EUV9" s="26">
        <f>IF(EUV7=0,0,IF(MAX($F9:EUU9)=$D12,0,EUU9+1))</f>
        <v>0</v>
      </c>
      <c r="EUW9" s="26">
        <f>IF(EUW7=0,0,IF(MAX($F9:EUV9)=$D12,0,EUV9+1))</f>
        <v>0</v>
      </c>
      <c r="EUX9" s="26">
        <f>IF(EUX7=0,0,IF(MAX($F9:EUW9)=$D12,0,EUW9+1))</f>
        <v>0</v>
      </c>
      <c r="EUY9" s="26">
        <f>IF(EUY7=0,0,IF(MAX($F9:EUX9)=$D12,0,EUX9+1))</f>
        <v>0</v>
      </c>
      <c r="EUZ9" s="26">
        <f>IF(EUZ7=0,0,IF(MAX($F9:EUY9)=$D12,0,EUY9+1))</f>
        <v>0</v>
      </c>
      <c r="EVA9" s="26">
        <f>IF(EVA7=0,0,IF(MAX($F9:EUZ9)=$D12,0,EUZ9+1))</f>
        <v>0</v>
      </c>
      <c r="EVB9" s="26">
        <f>IF(EVB7=0,0,IF(MAX($F9:EVA9)=$D12,0,EVA9+1))</f>
        <v>0</v>
      </c>
      <c r="EVC9" s="26">
        <f>IF(EVC7=0,0,IF(MAX($F9:EVB9)=$D12,0,EVB9+1))</f>
        <v>0</v>
      </c>
      <c r="EVD9" s="26">
        <f>IF(EVD7=0,0,IF(MAX($F9:EVC9)=$D12,0,EVC9+1))</f>
        <v>0</v>
      </c>
      <c r="EVE9" s="26">
        <f>IF(EVE7=0,0,IF(MAX($F9:EVD9)=$D12,0,EVD9+1))</f>
        <v>0</v>
      </c>
      <c r="EVF9" s="26">
        <f>IF(EVF7=0,0,IF(MAX($F9:EVE9)=$D12,0,EVE9+1))</f>
        <v>0</v>
      </c>
      <c r="EVG9" s="26">
        <f>IF(EVG7=0,0,IF(MAX($F9:EVF9)=$D12,0,EVF9+1))</f>
        <v>0</v>
      </c>
      <c r="EVH9" s="26">
        <f>IF(EVH7=0,0,IF(MAX($F9:EVG9)=$D12,0,EVG9+1))</f>
        <v>0</v>
      </c>
      <c r="EVI9" s="26">
        <f>IF(EVI7=0,0,IF(MAX($F9:EVH9)=$D12,0,EVH9+1))</f>
        <v>0</v>
      </c>
      <c r="EVJ9" s="26">
        <f>IF(EVJ7=0,0,IF(MAX($F9:EVI9)=$D12,0,EVI9+1))</f>
        <v>0</v>
      </c>
      <c r="EVK9" s="26">
        <f>IF(EVK7=0,0,IF(MAX($F9:EVJ9)=$D12,0,EVJ9+1))</f>
        <v>0</v>
      </c>
      <c r="EVL9" s="26">
        <f>IF(EVL7=0,0,IF(MAX($F9:EVK9)=$D12,0,EVK9+1))</f>
        <v>0</v>
      </c>
      <c r="EVM9" s="26">
        <f>IF(EVM7=0,0,IF(MAX($F9:EVL9)=$D12,0,EVL9+1))</f>
        <v>0</v>
      </c>
      <c r="EVN9" s="26">
        <f>IF(EVN7=0,0,IF(MAX($F9:EVM9)=$D12,0,EVM9+1))</f>
        <v>0</v>
      </c>
      <c r="EVO9" s="26">
        <f>IF(EVO7=0,0,IF(MAX($F9:EVN9)=$D12,0,EVN9+1))</f>
        <v>0</v>
      </c>
      <c r="EVP9" s="26">
        <f>IF(EVP7=0,0,IF(MAX($F9:EVO9)=$D12,0,EVO9+1))</f>
        <v>0</v>
      </c>
      <c r="EVQ9" s="26">
        <f>IF(EVQ7=0,0,IF(MAX($F9:EVP9)=$D12,0,EVP9+1))</f>
        <v>0</v>
      </c>
      <c r="EVR9" s="26">
        <f>IF(EVR7=0,0,IF(MAX($F9:EVQ9)=$D12,0,EVQ9+1))</f>
        <v>0</v>
      </c>
      <c r="EVS9" s="26">
        <f>IF(EVS7=0,0,IF(MAX($F9:EVR9)=$D12,0,EVR9+1))</f>
        <v>0</v>
      </c>
      <c r="EVT9" s="26">
        <f>IF(EVT7=0,0,IF(MAX($F9:EVS9)=$D12,0,EVS9+1))</f>
        <v>0</v>
      </c>
      <c r="EVU9" s="26">
        <f>IF(EVU7=0,0,IF(MAX($F9:EVT9)=$D12,0,EVT9+1))</f>
        <v>0</v>
      </c>
      <c r="EVV9" s="26">
        <f>IF(EVV7=0,0,IF(MAX($F9:EVU9)=$D12,0,EVU9+1))</f>
        <v>0</v>
      </c>
      <c r="EVW9" s="26">
        <f>IF(EVW7=0,0,IF(MAX($F9:EVV9)=$D12,0,EVV9+1))</f>
        <v>0</v>
      </c>
      <c r="EVX9" s="26">
        <f>IF(EVX7=0,0,IF(MAX($F9:EVW9)=$D12,0,EVW9+1))</f>
        <v>0</v>
      </c>
      <c r="EVY9" s="26">
        <f>IF(EVY7=0,0,IF(MAX($F9:EVX9)=$D12,0,EVX9+1))</f>
        <v>0</v>
      </c>
      <c r="EVZ9" s="26">
        <f>IF(EVZ7=0,0,IF(MAX($F9:EVY9)=$D12,0,EVY9+1))</f>
        <v>0</v>
      </c>
      <c r="EWA9" s="26">
        <f>IF(EWA7=0,0,IF(MAX($F9:EVZ9)=$D12,0,EVZ9+1))</f>
        <v>0</v>
      </c>
      <c r="EWB9" s="26">
        <f>IF(EWB7=0,0,IF(MAX($F9:EWA9)=$D12,0,EWA9+1))</f>
        <v>0</v>
      </c>
      <c r="EWC9" s="26">
        <f>IF(EWC7=0,0,IF(MAX($F9:EWB9)=$D12,0,EWB9+1))</f>
        <v>0</v>
      </c>
      <c r="EWD9" s="26">
        <f>IF(EWD7=0,0,IF(MAX($F9:EWC9)=$D12,0,EWC9+1))</f>
        <v>0</v>
      </c>
      <c r="EWE9" s="26">
        <f>IF(EWE7=0,0,IF(MAX($F9:EWD9)=$D12,0,EWD9+1))</f>
        <v>0</v>
      </c>
      <c r="EWF9" s="26">
        <f>IF(EWF7=0,0,IF(MAX($F9:EWE9)=$D12,0,EWE9+1))</f>
        <v>0</v>
      </c>
      <c r="EWG9" s="26">
        <f>IF(EWG7=0,0,IF(MAX($F9:EWF9)=$D12,0,EWF9+1))</f>
        <v>0</v>
      </c>
      <c r="EWH9" s="26">
        <f>IF(EWH7=0,0,IF(MAX($F9:EWG9)=$D12,0,EWG9+1))</f>
        <v>0</v>
      </c>
      <c r="EWI9" s="26">
        <f>IF(EWI7=0,0,IF(MAX($F9:EWH9)=$D12,0,EWH9+1))</f>
        <v>0</v>
      </c>
      <c r="EWJ9" s="26">
        <f>IF(EWJ7=0,0,IF(MAX($F9:EWI9)=$D12,0,EWI9+1))</f>
        <v>0</v>
      </c>
      <c r="EWK9" s="26">
        <f>IF(EWK7=0,0,IF(MAX($F9:EWJ9)=$D12,0,EWJ9+1))</f>
        <v>0</v>
      </c>
      <c r="EWL9" s="26">
        <f>IF(EWL7=0,0,IF(MAX($F9:EWK9)=$D12,0,EWK9+1))</f>
        <v>0</v>
      </c>
      <c r="EWM9" s="26">
        <f>IF(EWM7=0,0,IF(MAX($F9:EWL9)=$D12,0,EWL9+1))</f>
        <v>0</v>
      </c>
      <c r="EWN9" s="26">
        <f>IF(EWN7=0,0,IF(MAX($F9:EWM9)=$D12,0,EWM9+1))</f>
        <v>0</v>
      </c>
      <c r="EWO9" s="26">
        <f>IF(EWO7=0,0,IF(MAX($F9:EWN9)=$D12,0,EWN9+1))</f>
        <v>0</v>
      </c>
      <c r="EWP9" s="26">
        <f>IF(EWP7=0,0,IF(MAX($F9:EWO9)=$D12,0,EWO9+1))</f>
        <v>0</v>
      </c>
      <c r="EWQ9" s="26">
        <f>IF(EWQ7=0,0,IF(MAX($F9:EWP9)=$D12,0,EWP9+1))</f>
        <v>0</v>
      </c>
      <c r="EWR9" s="26">
        <f>IF(EWR7=0,0,IF(MAX($F9:EWQ9)=$D12,0,EWQ9+1))</f>
        <v>0</v>
      </c>
      <c r="EWS9" s="26">
        <f>IF(EWS7=0,0,IF(MAX($F9:EWR9)=$D12,0,EWR9+1))</f>
        <v>0</v>
      </c>
      <c r="EWT9" s="26">
        <f>IF(EWT7=0,0,IF(MAX($F9:EWS9)=$D12,0,EWS9+1))</f>
        <v>0</v>
      </c>
      <c r="EWU9" s="26">
        <f>IF(EWU7=0,0,IF(MAX($F9:EWT9)=$D12,0,EWT9+1))</f>
        <v>0</v>
      </c>
      <c r="EWV9" s="26">
        <f>IF(EWV7=0,0,IF(MAX($F9:EWU9)=$D12,0,EWU9+1))</f>
        <v>0</v>
      </c>
      <c r="EWW9" s="26">
        <f>IF(EWW7=0,0,IF(MAX($F9:EWV9)=$D12,0,EWV9+1))</f>
        <v>0</v>
      </c>
      <c r="EWX9" s="26">
        <f>IF(EWX7=0,0,IF(MAX($F9:EWW9)=$D12,0,EWW9+1))</f>
        <v>0</v>
      </c>
      <c r="EWY9" s="26">
        <f>IF(EWY7=0,0,IF(MAX($F9:EWX9)=$D12,0,EWX9+1))</f>
        <v>0</v>
      </c>
      <c r="EWZ9" s="26">
        <f>IF(EWZ7=0,0,IF(MAX($F9:EWY9)=$D12,0,EWY9+1))</f>
        <v>0</v>
      </c>
      <c r="EXA9" s="26">
        <f>IF(EXA7=0,0,IF(MAX($F9:EWZ9)=$D12,0,EWZ9+1))</f>
        <v>0</v>
      </c>
      <c r="EXB9" s="26">
        <f>IF(EXB7=0,0,IF(MAX($F9:EXA9)=$D12,0,EXA9+1))</f>
        <v>0</v>
      </c>
      <c r="EXC9" s="26">
        <f>IF(EXC7=0,0,IF(MAX($F9:EXB9)=$D12,0,EXB9+1))</f>
        <v>0</v>
      </c>
      <c r="EXD9" s="26">
        <f>IF(EXD7=0,0,IF(MAX($F9:EXC9)=$D12,0,EXC9+1))</f>
        <v>0</v>
      </c>
      <c r="EXE9" s="26">
        <f>IF(EXE7=0,0,IF(MAX($F9:EXD9)=$D12,0,EXD9+1))</f>
        <v>0</v>
      </c>
      <c r="EXF9" s="26">
        <f>IF(EXF7=0,0,IF(MAX($F9:EXE9)=$D12,0,EXE9+1))</f>
        <v>0</v>
      </c>
      <c r="EXG9" s="26">
        <f>IF(EXG7=0,0,IF(MAX($F9:EXF9)=$D12,0,EXF9+1))</f>
        <v>0</v>
      </c>
      <c r="EXH9" s="26">
        <f>IF(EXH7=0,0,IF(MAX($F9:EXG9)=$D12,0,EXG9+1))</f>
        <v>0</v>
      </c>
      <c r="EXI9" s="26">
        <f>IF(EXI7=0,0,IF(MAX($F9:EXH9)=$D12,0,EXH9+1))</f>
        <v>0</v>
      </c>
      <c r="EXJ9" s="26">
        <f>IF(EXJ7=0,0,IF(MAX($F9:EXI9)=$D12,0,EXI9+1))</f>
        <v>0</v>
      </c>
      <c r="EXK9" s="26">
        <f>IF(EXK7=0,0,IF(MAX($F9:EXJ9)=$D12,0,EXJ9+1))</f>
        <v>0</v>
      </c>
      <c r="EXL9" s="26">
        <f>IF(EXL7=0,0,IF(MAX($F9:EXK9)=$D12,0,EXK9+1))</f>
        <v>0</v>
      </c>
      <c r="EXM9" s="26">
        <f>IF(EXM7=0,0,IF(MAX($F9:EXL9)=$D12,0,EXL9+1))</f>
        <v>0</v>
      </c>
      <c r="EXN9" s="26">
        <f>IF(EXN7=0,0,IF(MAX($F9:EXM9)=$D12,0,EXM9+1))</f>
        <v>0</v>
      </c>
      <c r="EXO9" s="26">
        <f>IF(EXO7=0,0,IF(MAX($F9:EXN9)=$D12,0,EXN9+1))</f>
        <v>0</v>
      </c>
      <c r="EXP9" s="26">
        <f>IF(EXP7=0,0,IF(MAX($F9:EXO9)=$D12,0,EXO9+1))</f>
        <v>0</v>
      </c>
      <c r="EXQ9" s="26">
        <f>IF(EXQ7=0,0,IF(MAX($F9:EXP9)=$D12,0,EXP9+1))</f>
        <v>0</v>
      </c>
      <c r="EXR9" s="26">
        <f>IF(EXR7=0,0,IF(MAX($F9:EXQ9)=$D12,0,EXQ9+1))</f>
        <v>0</v>
      </c>
      <c r="EXS9" s="26">
        <f>IF(EXS7=0,0,IF(MAX($F9:EXR9)=$D12,0,EXR9+1))</f>
        <v>0</v>
      </c>
      <c r="EXT9" s="26">
        <f>IF(EXT7=0,0,IF(MAX($F9:EXS9)=$D12,0,EXS9+1))</f>
        <v>0</v>
      </c>
      <c r="EXU9" s="26">
        <f>IF(EXU7=0,0,IF(MAX($F9:EXT9)=$D12,0,EXT9+1))</f>
        <v>0</v>
      </c>
      <c r="EXV9" s="26">
        <f>IF(EXV7=0,0,IF(MAX($F9:EXU9)=$D12,0,EXU9+1))</f>
        <v>0</v>
      </c>
      <c r="EXW9" s="26">
        <f>IF(EXW7=0,0,IF(MAX($F9:EXV9)=$D12,0,EXV9+1))</f>
        <v>0</v>
      </c>
      <c r="EXX9" s="26">
        <f>IF(EXX7=0,0,IF(MAX($F9:EXW9)=$D12,0,EXW9+1))</f>
        <v>0</v>
      </c>
      <c r="EXY9" s="26">
        <f>IF(EXY7=0,0,IF(MAX($F9:EXX9)=$D12,0,EXX9+1))</f>
        <v>0</v>
      </c>
      <c r="EXZ9" s="26">
        <f>IF(EXZ7=0,0,IF(MAX($F9:EXY9)=$D12,0,EXY9+1))</f>
        <v>0</v>
      </c>
      <c r="EYA9" s="26">
        <f>IF(EYA7=0,0,IF(MAX($F9:EXZ9)=$D12,0,EXZ9+1))</f>
        <v>0</v>
      </c>
      <c r="EYB9" s="26">
        <f>IF(EYB7=0,0,IF(MAX($F9:EYA9)=$D12,0,EYA9+1))</f>
        <v>0</v>
      </c>
      <c r="EYC9" s="26">
        <f>IF(EYC7=0,0,IF(MAX($F9:EYB9)=$D12,0,EYB9+1))</f>
        <v>0</v>
      </c>
      <c r="EYD9" s="26">
        <f>IF(EYD7=0,0,IF(MAX($F9:EYC9)=$D12,0,EYC9+1))</f>
        <v>0</v>
      </c>
      <c r="EYE9" s="26">
        <f>IF(EYE7=0,0,IF(MAX($F9:EYD9)=$D12,0,EYD9+1))</f>
        <v>0</v>
      </c>
      <c r="EYF9" s="26">
        <f>IF(EYF7=0,0,IF(MAX($F9:EYE9)=$D12,0,EYE9+1))</f>
        <v>0</v>
      </c>
      <c r="EYG9" s="26">
        <f>IF(EYG7=0,0,IF(MAX($F9:EYF9)=$D12,0,EYF9+1))</f>
        <v>0</v>
      </c>
      <c r="EYH9" s="26">
        <f>IF(EYH7=0,0,IF(MAX($F9:EYG9)=$D12,0,EYG9+1))</f>
        <v>0</v>
      </c>
      <c r="EYI9" s="26">
        <f>IF(EYI7=0,0,IF(MAX($F9:EYH9)=$D12,0,EYH9+1))</f>
        <v>0</v>
      </c>
      <c r="EYJ9" s="26">
        <f>IF(EYJ7=0,0,IF(MAX($F9:EYI9)=$D12,0,EYI9+1))</f>
        <v>0</v>
      </c>
      <c r="EYK9" s="26">
        <f>IF(EYK7=0,0,IF(MAX($F9:EYJ9)=$D12,0,EYJ9+1))</f>
        <v>0</v>
      </c>
      <c r="EYL9" s="26">
        <f>IF(EYL7=0,0,IF(MAX($F9:EYK9)=$D12,0,EYK9+1))</f>
        <v>0</v>
      </c>
      <c r="EYM9" s="26">
        <f>IF(EYM7=0,0,IF(MAX($F9:EYL9)=$D12,0,EYL9+1))</f>
        <v>0</v>
      </c>
      <c r="EYN9" s="26">
        <f>IF(EYN7=0,0,IF(MAX($F9:EYM9)=$D12,0,EYM9+1))</f>
        <v>0</v>
      </c>
      <c r="EYO9" s="26">
        <f>IF(EYO7=0,0,IF(MAX($F9:EYN9)=$D12,0,EYN9+1))</f>
        <v>0</v>
      </c>
      <c r="EYP9" s="26">
        <f>IF(EYP7=0,0,IF(MAX($F9:EYO9)=$D12,0,EYO9+1))</f>
        <v>0</v>
      </c>
      <c r="EYQ9" s="26">
        <f>IF(EYQ7=0,0,IF(MAX($F9:EYP9)=$D12,0,EYP9+1))</f>
        <v>0</v>
      </c>
      <c r="EYR9" s="26">
        <f>IF(EYR7=0,0,IF(MAX($F9:EYQ9)=$D12,0,EYQ9+1))</f>
        <v>0</v>
      </c>
      <c r="EYS9" s="26">
        <f>IF(EYS7=0,0,IF(MAX($F9:EYR9)=$D12,0,EYR9+1))</f>
        <v>0</v>
      </c>
      <c r="EYT9" s="26">
        <f>IF(EYT7=0,0,IF(MAX($F9:EYS9)=$D12,0,EYS9+1))</f>
        <v>0</v>
      </c>
      <c r="EYU9" s="26">
        <f>IF(EYU7=0,0,IF(MAX($F9:EYT9)=$D12,0,EYT9+1))</f>
        <v>0</v>
      </c>
      <c r="EYV9" s="26">
        <f>IF(EYV7=0,0,IF(MAX($F9:EYU9)=$D12,0,EYU9+1))</f>
        <v>0</v>
      </c>
      <c r="EYW9" s="26">
        <f>IF(EYW7=0,0,IF(MAX($F9:EYV9)=$D12,0,EYV9+1))</f>
        <v>0</v>
      </c>
      <c r="EYX9" s="26">
        <f>IF(EYX7=0,0,IF(MAX($F9:EYW9)=$D12,0,EYW9+1))</f>
        <v>0</v>
      </c>
      <c r="EYY9" s="26">
        <f>IF(EYY7=0,0,IF(MAX($F9:EYX9)=$D12,0,EYX9+1))</f>
        <v>0</v>
      </c>
      <c r="EYZ9" s="26">
        <f>IF(EYZ7=0,0,IF(MAX($F9:EYY9)=$D12,0,EYY9+1))</f>
        <v>0</v>
      </c>
      <c r="EZA9" s="26">
        <f>IF(EZA7=0,0,IF(MAX($F9:EYZ9)=$D12,0,EYZ9+1))</f>
        <v>0</v>
      </c>
      <c r="EZB9" s="26">
        <f>IF(EZB7=0,0,IF(MAX($F9:EZA9)=$D12,0,EZA9+1))</f>
        <v>0</v>
      </c>
      <c r="EZC9" s="26">
        <f>IF(EZC7=0,0,IF(MAX($F9:EZB9)=$D12,0,EZB9+1))</f>
        <v>0</v>
      </c>
      <c r="EZD9" s="26">
        <f>IF(EZD7=0,0,IF(MAX($F9:EZC9)=$D12,0,EZC9+1))</f>
        <v>0</v>
      </c>
      <c r="EZE9" s="26">
        <f>IF(EZE7=0,0,IF(MAX($F9:EZD9)=$D12,0,EZD9+1))</f>
        <v>0</v>
      </c>
      <c r="EZF9" s="26">
        <f>IF(EZF7=0,0,IF(MAX($F9:EZE9)=$D12,0,EZE9+1))</f>
        <v>0</v>
      </c>
      <c r="EZG9" s="26">
        <f>IF(EZG7=0,0,IF(MAX($F9:EZF9)=$D12,0,EZF9+1))</f>
        <v>0</v>
      </c>
      <c r="EZH9" s="26">
        <f>IF(EZH7=0,0,IF(MAX($F9:EZG9)=$D12,0,EZG9+1))</f>
        <v>0</v>
      </c>
      <c r="EZI9" s="26">
        <f>IF(EZI7=0,0,IF(MAX($F9:EZH9)=$D12,0,EZH9+1))</f>
        <v>0</v>
      </c>
      <c r="EZJ9" s="26">
        <f>IF(EZJ7=0,0,IF(MAX($F9:EZI9)=$D12,0,EZI9+1))</f>
        <v>0</v>
      </c>
      <c r="EZK9" s="26">
        <f>IF(EZK7=0,0,IF(MAX($F9:EZJ9)=$D12,0,EZJ9+1))</f>
        <v>0</v>
      </c>
      <c r="EZL9" s="26">
        <f>IF(EZL7=0,0,IF(MAX($F9:EZK9)=$D12,0,EZK9+1))</f>
        <v>0</v>
      </c>
      <c r="EZM9" s="26">
        <f>IF(EZM7=0,0,IF(MAX($F9:EZL9)=$D12,0,EZL9+1))</f>
        <v>0</v>
      </c>
      <c r="EZN9" s="26">
        <f>IF(EZN7=0,0,IF(MAX($F9:EZM9)=$D12,0,EZM9+1))</f>
        <v>0</v>
      </c>
      <c r="EZO9" s="26">
        <f>IF(EZO7=0,0,IF(MAX($F9:EZN9)=$D12,0,EZN9+1))</f>
        <v>0</v>
      </c>
      <c r="EZP9" s="26">
        <f>IF(EZP7=0,0,IF(MAX($F9:EZO9)=$D12,0,EZO9+1))</f>
        <v>0</v>
      </c>
      <c r="EZQ9" s="26">
        <f>IF(EZQ7=0,0,IF(MAX($F9:EZP9)=$D12,0,EZP9+1))</f>
        <v>0</v>
      </c>
      <c r="EZR9" s="26">
        <f>IF(EZR7=0,0,IF(MAX($F9:EZQ9)=$D12,0,EZQ9+1))</f>
        <v>0</v>
      </c>
      <c r="EZS9" s="26">
        <f>IF(EZS7=0,0,IF(MAX($F9:EZR9)=$D12,0,EZR9+1))</f>
        <v>0</v>
      </c>
      <c r="EZT9" s="26">
        <f>IF(EZT7=0,0,IF(MAX($F9:EZS9)=$D12,0,EZS9+1))</f>
        <v>0</v>
      </c>
      <c r="EZU9" s="26">
        <f>IF(EZU7=0,0,IF(MAX($F9:EZT9)=$D12,0,EZT9+1))</f>
        <v>0</v>
      </c>
      <c r="EZV9" s="26">
        <f>IF(EZV7=0,0,IF(MAX($F9:EZU9)=$D12,0,EZU9+1))</f>
        <v>0</v>
      </c>
      <c r="EZW9" s="26">
        <f>IF(EZW7=0,0,IF(MAX($F9:EZV9)=$D12,0,EZV9+1))</f>
        <v>0</v>
      </c>
      <c r="EZX9" s="26">
        <f>IF(EZX7=0,0,IF(MAX($F9:EZW9)=$D12,0,EZW9+1))</f>
        <v>0</v>
      </c>
      <c r="EZY9" s="26">
        <f>IF(EZY7=0,0,IF(MAX($F9:EZX9)=$D12,0,EZX9+1))</f>
        <v>0</v>
      </c>
      <c r="EZZ9" s="26">
        <f>IF(EZZ7=0,0,IF(MAX($F9:EZY9)=$D12,0,EZY9+1))</f>
        <v>0</v>
      </c>
      <c r="FAA9" s="26">
        <f>IF(FAA7=0,0,IF(MAX($F9:EZZ9)=$D12,0,EZZ9+1))</f>
        <v>0</v>
      </c>
      <c r="FAB9" s="26">
        <f>IF(FAB7=0,0,IF(MAX($F9:FAA9)=$D12,0,FAA9+1))</f>
        <v>0</v>
      </c>
      <c r="FAC9" s="26">
        <f>IF(FAC7=0,0,IF(MAX($F9:FAB9)=$D12,0,FAB9+1))</f>
        <v>0</v>
      </c>
      <c r="FAD9" s="26">
        <f>IF(FAD7=0,0,IF(MAX($F9:FAC9)=$D12,0,FAC9+1))</f>
        <v>0</v>
      </c>
      <c r="FAE9" s="26">
        <f>IF(FAE7=0,0,IF(MAX($F9:FAD9)=$D12,0,FAD9+1))</f>
        <v>0</v>
      </c>
      <c r="FAF9" s="26">
        <f>IF(FAF7=0,0,IF(MAX($F9:FAE9)=$D12,0,FAE9+1))</f>
        <v>0</v>
      </c>
      <c r="FAG9" s="26">
        <f>IF(FAG7=0,0,IF(MAX($F9:FAF9)=$D12,0,FAF9+1))</f>
        <v>0</v>
      </c>
      <c r="FAH9" s="26">
        <f>IF(FAH7=0,0,IF(MAX($F9:FAG9)=$D12,0,FAG9+1))</f>
        <v>0</v>
      </c>
      <c r="FAI9" s="26">
        <f>IF(FAI7=0,0,IF(MAX($F9:FAH9)=$D12,0,FAH9+1))</f>
        <v>0</v>
      </c>
      <c r="FAJ9" s="26">
        <f>IF(FAJ7=0,0,IF(MAX($F9:FAI9)=$D12,0,FAI9+1))</f>
        <v>0</v>
      </c>
      <c r="FAK9" s="26">
        <f>IF(FAK7=0,0,IF(MAX($F9:FAJ9)=$D12,0,FAJ9+1))</f>
        <v>0</v>
      </c>
      <c r="FAL9" s="26">
        <f>IF(FAL7=0,0,IF(MAX($F9:FAK9)=$D12,0,FAK9+1))</f>
        <v>0</v>
      </c>
      <c r="FAM9" s="26">
        <f>IF(FAM7=0,0,IF(MAX($F9:FAL9)=$D12,0,FAL9+1))</f>
        <v>0</v>
      </c>
      <c r="FAN9" s="26">
        <f>IF(FAN7=0,0,IF(MAX($F9:FAM9)=$D12,0,FAM9+1))</f>
        <v>0</v>
      </c>
      <c r="FAO9" s="26">
        <f>IF(FAO7=0,0,IF(MAX($F9:FAN9)=$D12,0,FAN9+1))</f>
        <v>0</v>
      </c>
      <c r="FAP9" s="26">
        <f>IF(FAP7=0,0,IF(MAX($F9:FAO9)=$D12,0,FAO9+1))</f>
        <v>0</v>
      </c>
      <c r="FAQ9" s="26">
        <f>IF(FAQ7=0,0,IF(MAX($F9:FAP9)=$D12,0,FAP9+1))</f>
        <v>0</v>
      </c>
      <c r="FAR9" s="26">
        <f>IF(FAR7=0,0,IF(MAX($F9:FAQ9)=$D12,0,FAQ9+1))</f>
        <v>0</v>
      </c>
      <c r="FAS9" s="26">
        <f>IF(FAS7=0,0,IF(MAX($F9:FAR9)=$D12,0,FAR9+1))</f>
        <v>0</v>
      </c>
      <c r="FAT9" s="26">
        <f>IF(FAT7=0,0,IF(MAX($F9:FAS9)=$D12,0,FAS9+1))</f>
        <v>0</v>
      </c>
      <c r="FAU9" s="26">
        <f>IF(FAU7=0,0,IF(MAX($F9:FAT9)=$D12,0,FAT9+1))</f>
        <v>0</v>
      </c>
      <c r="FAV9" s="26">
        <f>IF(FAV7=0,0,IF(MAX($F9:FAU9)=$D12,0,FAU9+1))</f>
        <v>0</v>
      </c>
      <c r="FAW9" s="26">
        <f>IF(FAW7=0,0,IF(MAX($F9:FAV9)=$D12,0,FAV9+1))</f>
        <v>0</v>
      </c>
      <c r="FAX9" s="26">
        <f>IF(FAX7=0,0,IF(MAX($F9:FAW9)=$D12,0,FAW9+1))</f>
        <v>0</v>
      </c>
      <c r="FAY9" s="26">
        <f>IF(FAY7=0,0,IF(MAX($F9:FAX9)=$D12,0,FAX9+1))</f>
        <v>0</v>
      </c>
      <c r="FAZ9" s="26">
        <f>IF(FAZ7=0,0,IF(MAX($F9:FAY9)=$D12,0,FAY9+1))</f>
        <v>0</v>
      </c>
      <c r="FBA9" s="26">
        <f>IF(FBA7=0,0,IF(MAX($F9:FAZ9)=$D12,0,FAZ9+1))</f>
        <v>0</v>
      </c>
      <c r="FBB9" s="26">
        <f>IF(FBB7=0,0,IF(MAX($F9:FBA9)=$D12,0,FBA9+1))</f>
        <v>0</v>
      </c>
      <c r="FBC9" s="26">
        <f>IF(FBC7=0,0,IF(MAX($F9:FBB9)=$D12,0,FBB9+1))</f>
        <v>0</v>
      </c>
      <c r="FBD9" s="26">
        <f>IF(FBD7=0,0,IF(MAX($F9:FBC9)=$D12,0,FBC9+1))</f>
        <v>0</v>
      </c>
      <c r="FBE9" s="26">
        <f>IF(FBE7=0,0,IF(MAX($F9:FBD9)=$D12,0,FBD9+1))</f>
        <v>0</v>
      </c>
      <c r="FBF9" s="26">
        <f>IF(FBF7=0,0,IF(MAX($F9:FBE9)=$D12,0,FBE9+1))</f>
        <v>0</v>
      </c>
      <c r="FBG9" s="26">
        <f>IF(FBG7=0,0,IF(MAX($F9:FBF9)=$D12,0,FBF9+1))</f>
        <v>0</v>
      </c>
      <c r="FBH9" s="26">
        <f>IF(FBH7=0,0,IF(MAX($F9:FBG9)=$D12,0,FBG9+1))</f>
        <v>0</v>
      </c>
      <c r="FBI9" s="26">
        <f>IF(FBI7=0,0,IF(MAX($F9:FBH9)=$D12,0,FBH9+1))</f>
        <v>0</v>
      </c>
      <c r="FBJ9" s="26">
        <f>IF(FBJ7=0,0,IF(MAX($F9:FBI9)=$D12,0,FBI9+1))</f>
        <v>0</v>
      </c>
      <c r="FBK9" s="26">
        <f>IF(FBK7=0,0,IF(MAX($F9:FBJ9)=$D12,0,FBJ9+1))</f>
        <v>0</v>
      </c>
      <c r="FBL9" s="26">
        <f>IF(FBL7=0,0,IF(MAX($F9:FBK9)=$D12,0,FBK9+1))</f>
        <v>0</v>
      </c>
      <c r="FBM9" s="26">
        <f>IF(FBM7=0,0,IF(MAX($F9:FBL9)=$D12,0,FBL9+1))</f>
        <v>0</v>
      </c>
      <c r="FBN9" s="26">
        <f>IF(FBN7=0,0,IF(MAX($F9:FBM9)=$D12,0,FBM9+1))</f>
        <v>0</v>
      </c>
      <c r="FBO9" s="26">
        <f>IF(FBO7=0,0,IF(MAX($F9:FBN9)=$D12,0,FBN9+1))</f>
        <v>0</v>
      </c>
      <c r="FBP9" s="26">
        <f>IF(FBP7=0,0,IF(MAX($F9:FBO9)=$D12,0,FBO9+1))</f>
        <v>0</v>
      </c>
      <c r="FBQ9" s="26">
        <f>IF(FBQ7=0,0,IF(MAX($F9:FBP9)=$D12,0,FBP9+1))</f>
        <v>0</v>
      </c>
      <c r="FBR9" s="26">
        <f>IF(FBR7=0,0,IF(MAX($F9:FBQ9)=$D12,0,FBQ9+1))</f>
        <v>0</v>
      </c>
      <c r="FBS9" s="26">
        <f>IF(FBS7=0,0,IF(MAX($F9:FBR9)=$D12,0,FBR9+1))</f>
        <v>0</v>
      </c>
      <c r="FBT9" s="26">
        <f>IF(FBT7=0,0,IF(MAX($F9:FBS9)=$D12,0,FBS9+1))</f>
        <v>0</v>
      </c>
      <c r="FBU9" s="26">
        <f>IF(FBU7=0,0,IF(MAX($F9:FBT9)=$D12,0,FBT9+1))</f>
        <v>0</v>
      </c>
      <c r="FBV9" s="26">
        <f>IF(FBV7=0,0,IF(MAX($F9:FBU9)=$D12,0,FBU9+1))</f>
        <v>0</v>
      </c>
      <c r="FBW9" s="26">
        <f>IF(FBW7=0,0,IF(MAX($F9:FBV9)=$D12,0,FBV9+1))</f>
        <v>0</v>
      </c>
      <c r="FBX9" s="26">
        <f>IF(FBX7=0,0,IF(MAX($F9:FBW9)=$D12,0,FBW9+1))</f>
        <v>0</v>
      </c>
      <c r="FBY9" s="26">
        <f>IF(FBY7=0,0,IF(MAX($F9:FBX9)=$D12,0,FBX9+1))</f>
        <v>0</v>
      </c>
      <c r="FBZ9" s="26">
        <f>IF(FBZ7=0,0,IF(MAX($F9:FBY9)=$D12,0,FBY9+1))</f>
        <v>0</v>
      </c>
      <c r="FCA9" s="26">
        <f>IF(FCA7=0,0,IF(MAX($F9:FBZ9)=$D12,0,FBZ9+1))</f>
        <v>0</v>
      </c>
      <c r="FCB9" s="26">
        <f>IF(FCB7=0,0,IF(MAX($F9:FCA9)=$D12,0,FCA9+1))</f>
        <v>0</v>
      </c>
      <c r="FCC9" s="26">
        <f>IF(FCC7=0,0,IF(MAX($F9:FCB9)=$D12,0,FCB9+1))</f>
        <v>0</v>
      </c>
      <c r="FCD9" s="26">
        <f>IF(FCD7=0,0,IF(MAX($F9:FCC9)=$D12,0,FCC9+1))</f>
        <v>0</v>
      </c>
      <c r="FCE9" s="26">
        <f>IF(FCE7=0,0,IF(MAX($F9:FCD9)=$D12,0,FCD9+1))</f>
        <v>0</v>
      </c>
      <c r="FCF9" s="26">
        <f>IF(FCF7=0,0,IF(MAX($F9:FCE9)=$D12,0,FCE9+1))</f>
        <v>0</v>
      </c>
      <c r="FCG9" s="26">
        <f>IF(FCG7=0,0,IF(MAX($F9:FCF9)=$D12,0,FCF9+1))</f>
        <v>0</v>
      </c>
      <c r="FCH9" s="26">
        <f>IF(FCH7=0,0,IF(MAX($F9:FCG9)=$D12,0,FCG9+1))</f>
        <v>0</v>
      </c>
      <c r="FCI9" s="26">
        <f>IF(FCI7=0,0,IF(MAX($F9:FCH9)=$D12,0,FCH9+1))</f>
        <v>0</v>
      </c>
      <c r="FCJ9" s="26">
        <f>IF(FCJ7=0,0,IF(MAX($F9:FCI9)=$D12,0,FCI9+1))</f>
        <v>0</v>
      </c>
      <c r="FCK9" s="26">
        <f>IF(FCK7=0,0,IF(MAX($F9:FCJ9)=$D12,0,FCJ9+1))</f>
        <v>0</v>
      </c>
      <c r="FCL9" s="26">
        <f>IF(FCL7=0,0,IF(MAX($F9:FCK9)=$D12,0,FCK9+1))</f>
        <v>0</v>
      </c>
      <c r="FCM9" s="26">
        <f>IF(FCM7=0,0,IF(MAX($F9:FCL9)=$D12,0,FCL9+1))</f>
        <v>0</v>
      </c>
      <c r="FCN9" s="26">
        <f>IF(FCN7=0,0,IF(MAX($F9:FCM9)=$D12,0,FCM9+1))</f>
        <v>0</v>
      </c>
      <c r="FCO9" s="26">
        <f>IF(FCO7=0,0,IF(MAX($F9:FCN9)=$D12,0,FCN9+1))</f>
        <v>0</v>
      </c>
      <c r="FCP9" s="26">
        <f>IF(FCP7=0,0,IF(MAX($F9:FCO9)=$D12,0,FCO9+1))</f>
        <v>0</v>
      </c>
      <c r="FCQ9" s="26">
        <f>IF(FCQ7=0,0,IF(MAX($F9:FCP9)=$D12,0,FCP9+1))</f>
        <v>0</v>
      </c>
      <c r="FCR9" s="26">
        <f>IF(FCR7=0,0,IF(MAX($F9:FCQ9)=$D12,0,FCQ9+1))</f>
        <v>0</v>
      </c>
      <c r="FCS9" s="26">
        <f>IF(FCS7=0,0,IF(MAX($F9:FCR9)=$D12,0,FCR9+1))</f>
        <v>0</v>
      </c>
      <c r="FCT9" s="26">
        <f>IF(FCT7=0,0,IF(MAX($F9:FCS9)=$D12,0,FCS9+1))</f>
        <v>0</v>
      </c>
      <c r="FCU9" s="26">
        <f>IF(FCU7=0,0,IF(MAX($F9:FCT9)=$D12,0,FCT9+1))</f>
        <v>0</v>
      </c>
      <c r="FCV9" s="26">
        <f>IF(FCV7=0,0,IF(MAX($F9:FCU9)=$D12,0,FCU9+1))</f>
        <v>0</v>
      </c>
      <c r="FCW9" s="26">
        <f>IF(FCW7=0,0,IF(MAX($F9:FCV9)=$D12,0,FCV9+1))</f>
        <v>0</v>
      </c>
      <c r="FCX9" s="26">
        <f>IF(FCX7=0,0,IF(MAX($F9:FCW9)=$D12,0,FCW9+1))</f>
        <v>0</v>
      </c>
      <c r="FCY9" s="26">
        <f>IF(FCY7=0,0,IF(MAX($F9:FCX9)=$D12,0,FCX9+1))</f>
        <v>0</v>
      </c>
      <c r="FCZ9" s="26">
        <f>IF(FCZ7=0,0,IF(MAX($F9:FCY9)=$D12,0,FCY9+1))</f>
        <v>0</v>
      </c>
      <c r="FDA9" s="26">
        <f>IF(FDA7=0,0,IF(MAX($F9:FCZ9)=$D12,0,FCZ9+1))</f>
        <v>0</v>
      </c>
      <c r="FDB9" s="26">
        <f>IF(FDB7=0,0,IF(MAX($F9:FDA9)=$D12,0,FDA9+1))</f>
        <v>0</v>
      </c>
      <c r="FDC9" s="26">
        <f>IF(FDC7=0,0,IF(MAX($F9:FDB9)=$D12,0,FDB9+1))</f>
        <v>0</v>
      </c>
      <c r="FDD9" s="26">
        <f>IF(FDD7=0,0,IF(MAX($F9:FDC9)=$D12,0,FDC9+1))</f>
        <v>0</v>
      </c>
      <c r="FDE9" s="26">
        <f>IF(FDE7=0,0,IF(MAX($F9:FDD9)=$D12,0,FDD9+1))</f>
        <v>0</v>
      </c>
      <c r="FDF9" s="26">
        <f>IF(FDF7=0,0,IF(MAX($F9:FDE9)=$D12,0,FDE9+1))</f>
        <v>0</v>
      </c>
      <c r="FDG9" s="26">
        <f>IF(FDG7=0,0,IF(MAX($F9:FDF9)=$D12,0,FDF9+1))</f>
        <v>0</v>
      </c>
      <c r="FDH9" s="26">
        <f>IF(FDH7=0,0,IF(MAX($F9:FDG9)=$D12,0,FDG9+1))</f>
        <v>0</v>
      </c>
      <c r="FDI9" s="26">
        <f>IF(FDI7=0,0,IF(MAX($F9:FDH9)=$D12,0,FDH9+1))</f>
        <v>0</v>
      </c>
      <c r="FDJ9" s="26">
        <f>IF(FDJ7=0,0,IF(MAX($F9:FDI9)=$D12,0,FDI9+1))</f>
        <v>0</v>
      </c>
      <c r="FDK9" s="26">
        <f>IF(FDK7=0,0,IF(MAX($F9:FDJ9)=$D12,0,FDJ9+1))</f>
        <v>0</v>
      </c>
      <c r="FDL9" s="26">
        <f>IF(FDL7=0,0,IF(MAX($F9:FDK9)=$D12,0,FDK9+1))</f>
        <v>0</v>
      </c>
      <c r="FDM9" s="26">
        <f>IF(FDM7=0,0,IF(MAX($F9:FDL9)=$D12,0,FDL9+1))</f>
        <v>0</v>
      </c>
      <c r="FDN9" s="26">
        <f>IF(FDN7=0,0,IF(MAX($F9:FDM9)=$D12,0,FDM9+1))</f>
        <v>0</v>
      </c>
      <c r="FDO9" s="26">
        <f>IF(FDO7=0,0,IF(MAX($F9:FDN9)=$D12,0,FDN9+1))</f>
        <v>0</v>
      </c>
      <c r="FDP9" s="26">
        <f>IF(FDP7=0,0,IF(MAX($F9:FDO9)=$D12,0,FDO9+1))</f>
        <v>0</v>
      </c>
      <c r="FDQ9" s="26">
        <f>IF(FDQ7=0,0,IF(MAX($F9:FDP9)=$D12,0,FDP9+1))</f>
        <v>0</v>
      </c>
      <c r="FDR9" s="26">
        <f>IF(FDR7=0,0,IF(MAX($F9:FDQ9)=$D12,0,FDQ9+1))</f>
        <v>0</v>
      </c>
      <c r="FDS9" s="26">
        <f>IF(FDS7=0,0,IF(MAX($F9:FDR9)=$D12,0,FDR9+1))</f>
        <v>0</v>
      </c>
      <c r="FDT9" s="26">
        <f>IF(FDT7=0,0,IF(MAX($F9:FDS9)=$D12,0,FDS9+1))</f>
        <v>0</v>
      </c>
      <c r="FDU9" s="26">
        <f>IF(FDU7=0,0,IF(MAX($F9:FDT9)=$D12,0,FDT9+1))</f>
        <v>0</v>
      </c>
      <c r="FDV9" s="26">
        <f>IF(FDV7=0,0,IF(MAX($F9:FDU9)=$D12,0,FDU9+1))</f>
        <v>0</v>
      </c>
      <c r="FDW9" s="26">
        <f>IF(FDW7=0,0,IF(MAX($F9:FDV9)=$D12,0,FDV9+1))</f>
        <v>0</v>
      </c>
      <c r="FDX9" s="26">
        <f>IF(FDX7=0,0,IF(MAX($F9:FDW9)=$D12,0,FDW9+1))</f>
        <v>0</v>
      </c>
      <c r="FDY9" s="26">
        <f>IF(FDY7=0,0,IF(MAX($F9:FDX9)=$D12,0,FDX9+1))</f>
        <v>0</v>
      </c>
      <c r="FDZ9" s="26">
        <f>IF(FDZ7=0,0,IF(MAX($F9:FDY9)=$D12,0,FDY9+1))</f>
        <v>0</v>
      </c>
      <c r="FEA9" s="26">
        <f>IF(FEA7=0,0,IF(MAX($F9:FDZ9)=$D12,0,FDZ9+1))</f>
        <v>0</v>
      </c>
      <c r="FEB9" s="26">
        <f>IF(FEB7=0,0,IF(MAX($F9:FEA9)=$D12,0,FEA9+1))</f>
        <v>0</v>
      </c>
      <c r="FEC9" s="26">
        <f>IF(FEC7=0,0,IF(MAX($F9:FEB9)=$D12,0,FEB9+1))</f>
        <v>0</v>
      </c>
      <c r="FED9" s="26">
        <f>IF(FED7=0,0,IF(MAX($F9:FEC9)=$D12,0,FEC9+1))</f>
        <v>0</v>
      </c>
      <c r="FEE9" s="26">
        <f>IF(FEE7=0,0,IF(MAX($F9:FED9)=$D12,0,FED9+1))</f>
        <v>0</v>
      </c>
      <c r="FEF9" s="26">
        <f>IF(FEF7=0,0,IF(MAX($F9:FEE9)=$D12,0,FEE9+1))</f>
        <v>0</v>
      </c>
      <c r="FEG9" s="26">
        <f>IF(FEG7=0,0,IF(MAX($F9:FEF9)=$D12,0,FEF9+1))</f>
        <v>0</v>
      </c>
      <c r="FEH9" s="26">
        <f>IF(FEH7=0,0,IF(MAX($F9:FEG9)=$D12,0,FEG9+1))</f>
        <v>0</v>
      </c>
      <c r="FEI9" s="26">
        <f>IF(FEI7=0,0,IF(MAX($F9:FEH9)=$D12,0,FEH9+1))</f>
        <v>0</v>
      </c>
      <c r="FEJ9" s="26">
        <f>IF(FEJ7=0,0,IF(MAX($F9:FEI9)=$D12,0,FEI9+1))</f>
        <v>0</v>
      </c>
      <c r="FEK9" s="26">
        <f>IF(FEK7=0,0,IF(MAX($F9:FEJ9)=$D12,0,FEJ9+1))</f>
        <v>0</v>
      </c>
      <c r="FEL9" s="26">
        <f>IF(FEL7=0,0,IF(MAX($F9:FEK9)=$D12,0,FEK9+1))</f>
        <v>0</v>
      </c>
      <c r="FEM9" s="26">
        <f>IF(FEM7=0,0,IF(MAX($F9:FEL9)=$D12,0,FEL9+1))</f>
        <v>0</v>
      </c>
      <c r="FEN9" s="26">
        <f>IF(FEN7=0,0,IF(MAX($F9:FEM9)=$D12,0,FEM9+1))</f>
        <v>0</v>
      </c>
      <c r="FEO9" s="26">
        <f>IF(FEO7=0,0,IF(MAX($F9:FEN9)=$D12,0,FEN9+1))</f>
        <v>0</v>
      </c>
      <c r="FEP9" s="26">
        <f>IF(FEP7=0,0,IF(MAX($F9:FEO9)=$D12,0,FEO9+1))</f>
        <v>0</v>
      </c>
      <c r="FEQ9" s="26">
        <f>IF(FEQ7=0,0,IF(MAX($F9:FEP9)=$D12,0,FEP9+1))</f>
        <v>0</v>
      </c>
      <c r="FER9" s="26">
        <f>IF(FER7=0,0,IF(MAX($F9:FEQ9)=$D12,0,FEQ9+1))</f>
        <v>0</v>
      </c>
      <c r="FES9" s="26">
        <f>IF(FES7=0,0,IF(MAX($F9:FER9)=$D12,0,FER9+1))</f>
        <v>0</v>
      </c>
      <c r="FET9" s="26">
        <f>IF(FET7=0,0,IF(MAX($F9:FES9)=$D12,0,FES9+1))</f>
        <v>0</v>
      </c>
      <c r="FEU9" s="26">
        <f>IF(FEU7=0,0,IF(MAX($F9:FET9)=$D12,0,FET9+1))</f>
        <v>0</v>
      </c>
      <c r="FEV9" s="26">
        <f>IF(FEV7=0,0,IF(MAX($F9:FEU9)=$D12,0,FEU9+1))</f>
        <v>0</v>
      </c>
      <c r="FEW9" s="26">
        <f>IF(FEW7=0,0,IF(MAX($F9:FEV9)=$D12,0,FEV9+1))</f>
        <v>0</v>
      </c>
      <c r="FEX9" s="26">
        <f>IF(FEX7=0,0,IF(MAX($F9:FEW9)=$D12,0,FEW9+1))</f>
        <v>0</v>
      </c>
      <c r="FEY9" s="26">
        <f>IF(FEY7=0,0,IF(MAX($F9:FEX9)=$D12,0,FEX9+1))</f>
        <v>0</v>
      </c>
      <c r="FEZ9" s="26">
        <f>IF(FEZ7=0,0,IF(MAX($F9:FEY9)=$D12,0,FEY9+1))</f>
        <v>0</v>
      </c>
      <c r="FFA9" s="26">
        <f>IF(FFA7=0,0,IF(MAX($F9:FEZ9)=$D12,0,FEZ9+1))</f>
        <v>0</v>
      </c>
      <c r="FFB9" s="26">
        <f>IF(FFB7=0,0,IF(MAX($F9:FFA9)=$D12,0,FFA9+1))</f>
        <v>0</v>
      </c>
      <c r="FFC9" s="26">
        <f>IF(FFC7=0,0,IF(MAX($F9:FFB9)=$D12,0,FFB9+1))</f>
        <v>0</v>
      </c>
      <c r="FFD9" s="26">
        <f>IF(FFD7=0,0,IF(MAX($F9:FFC9)=$D12,0,FFC9+1))</f>
        <v>0</v>
      </c>
      <c r="FFE9" s="26">
        <f>IF(FFE7=0,0,IF(MAX($F9:FFD9)=$D12,0,FFD9+1))</f>
        <v>0</v>
      </c>
      <c r="FFF9" s="26">
        <f>IF(FFF7=0,0,IF(MAX($F9:FFE9)=$D12,0,FFE9+1))</f>
        <v>0</v>
      </c>
      <c r="FFG9" s="26">
        <f>IF(FFG7=0,0,IF(MAX($F9:FFF9)=$D12,0,FFF9+1))</f>
        <v>0</v>
      </c>
      <c r="FFH9" s="26">
        <f>IF(FFH7=0,0,IF(MAX($F9:FFG9)=$D12,0,FFG9+1))</f>
        <v>0</v>
      </c>
      <c r="FFI9" s="26">
        <f>IF(FFI7=0,0,IF(MAX($F9:FFH9)=$D12,0,FFH9+1))</f>
        <v>0</v>
      </c>
      <c r="FFJ9" s="26">
        <f>IF(FFJ7=0,0,IF(MAX($F9:FFI9)=$D12,0,FFI9+1))</f>
        <v>0</v>
      </c>
      <c r="FFK9" s="26">
        <f>IF(FFK7=0,0,IF(MAX($F9:FFJ9)=$D12,0,FFJ9+1))</f>
        <v>0</v>
      </c>
      <c r="FFL9" s="26">
        <f>IF(FFL7=0,0,IF(MAX($F9:FFK9)=$D12,0,FFK9+1))</f>
        <v>0</v>
      </c>
      <c r="FFM9" s="26">
        <f>IF(FFM7=0,0,IF(MAX($F9:FFL9)=$D12,0,FFL9+1))</f>
        <v>0</v>
      </c>
      <c r="FFN9" s="26">
        <f>IF(FFN7=0,0,IF(MAX($F9:FFM9)=$D12,0,FFM9+1))</f>
        <v>0</v>
      </c>
      <c r="FFO9" s="26">
        <f>IF(FFO7=0,0,IF(MAX($F9:FFN9)=$D12,0,FFN9+1))</f>
        <v>0</v>
      </c>
      <c r="FFP9" s="26">
        <f>IF(FFP7=0,0,IF(MAX($F9:FFO9)=$D12,0,FFO9+1))</f>
        <v>0</v>
      </c>
      <c r="FFQ9" s="26">
        <f>IF(FFQ7=0,0,IF(MAX($F9:FFP9)=$D12,0,FFP9+1))</f>
        <v>0</v>
      </c>
      <c r="FFR9" s="26">
        <f>IF(FFR7=0,0,IF(MAX($F9:FFQ9)=$D12,0,FFQ9+1))</f>
        <v>0</v>
      </c>
      <c r="FFS9" s="26">
        <f>IF(FFS7=0,0,IF(MAX($F9:FFR9)=$D12,0,FFR9+1))</f>
        <v>0</v>
      </c>
      <c r="FFT9" s="26">
        <f>IF(FFT7=0,0,IF(MAX($F9:FFS9)=$D12,0,FFS9+1))</f>
        <v>0</v>
      </c>
      <c r="FFU9" s="26">
        <f>IF(FFU7=0,0,IF(MAX($F9:FFT9)=$D12,0,FFT9+1))</f>
        <v>0</v>
      </c>
      <c r="FFV9" s="26">
        <f>IF(FFV7=0,0,IF(MAX($F9:FFU9)=$D12,0,FFU9+1))</f>
        <v>0</v>
      </c>
      <c r="FFW9" s="26">
        <f>IF(FFW7=0,0,IF(MAX($F9:FFV9)=$D12,0,FFV9+1))</f>
        <v>0</v>
      </c>
      <c r="FFX9" s="26">
        <f>IF(FFX7=0,0,IF(MAX($F9:FFW9)=$D12,0,FFW9+1))</f>
        <v>0</v>
      </c>
      <c r="FFY9" s="26">
        <f>IF(FFY7=0,0,IF(MAX($F9:FFX9)=$D12,0,FFX9+1))</f>
        <v>0</v>
      </c>
      <c r="FFZ9" s="26">
        <f>IF(FFZ7=0,0,IF(MAX($F9:FFY9)=$D12,0,FFY9+1))</f>
        <v>0</v>
      </c>
      <c r="FGA9" s="26">
        <f>IF(FGA7=0,0,IF(MAX($F9:FFZ9)=$D12,0,FFZ9+1))</f>
        <v>0</v>
      </c>
      <c r="FGB9" s="26">
        <f>IF(FGB7=0,0,IF(MAX($F9:FGA9)=$D12,0,FGA9+1))</f>
        <v>0</v>
      </c>
      <c r="FGC9" s="26">
        <f>IF(FGC7=0,0,IF(MAX($F9:FGB9)=$D12,0,FGB9+1))</f>
        <v>0</v>
      </c>
      <c r="FGD9" s="26">
        <f>IF(FGD7=0,0,IF(MAX($F9:FGC9)=$D12,0,FGC9+1))</f>
        <v>0</v>
      </c>
      <c r="FGE9" s="26">
        <f>IF(FGE7=0,0,IF(MAX($F9:FGD9)=$D12,0,FGD9+1))</f>
        <v>0</v>
      </c>
      <c r="FGF9" s="26">
        <f>IF(FGF7=0,0,IF(MAX($F9:FGE9)=$D12,0,FGE9+1))</f>
        <v>0</v>
      </c>
      <c r="FGG9" s="26">
        <f>IF(FGG7=0,0,IF(MAX($F9:FGF9)=$D12,0,FGF9+1))</f>
        <v>0</v>
      </c>
      <c r="FGH9" s="26">
        <f>IF(FGH7=0,0,IF(MAX($F9:FGG9)=$D12,0,FGG9+1))</f>
        <v>0</v>
      </c>
      <c r="FGI9" s="26">
        <f>IF(FGI7=0,0,IF(MAX($F9:FGH9)=$D12,0,FGH9+1))</f>
        <v>0</v>
      </c>
      <c r="FGJ9" s="26">
        <f>IF(FGJ7=0,0,IF(MAX($F9:FGI9)=$D12,0,FGI9+1))</f>
        <v>0</v>
      </c>
      <c r="FGK9" s="26">
        <f>IF(FGK7=0,0,IF(MAX($F9:FGJ9)=$D12,0,FGJ9+1))</f>
        <v>0</v>
      </c>
      <c r="FGL9" s="26">
        <f>IF(FGL7=0,0,IF(MAX($F9:FGK9)=$D12,0,FGK9+1))</f>
        <v>0</v>
      </c>
      <c r="FGM9" s="26">
        <f>IF(FGM7=0,0,IF(MAX($F9:FGL9)=$D12,0,FGL9+1))</f>
        <v>0</v>
      </c>
      <c r="FGN9" s="26">
        <f>IF(FGN7=0,0,IF(MAX($F9:FGM9)=$D12,0,FGM9+1))</f>
        <v>0</v>
      </c>
      <c r="FGO9" s="26">
        <f>IF(FGO7=0,0,IF(MAX($F9:FGN9)=$D12,0,FGN9+1))</f>
        <v>0</v>
      </c>
      <c r="FGP9" s="26">
        <f>IF(FGP7=0,0,IF(MAX($F9:FGO9)=$D12,0,FGO9+1))</f>
        <v>0</v>
      </c>
      <c r="FGQ9" s="26">
        <f>IF(FGQ7=0,0,IF(MAX($F9:FGP9)=$D12,0,FGP9+1))</f>
        <v>0</v>
      </c>
      <c r="FGR9" s="26">
        <f>IF(FGR7=0,0,IF(MAX($F9:FGQ9)=$D12,0,FGQ9+1))</f>
        <v>0</v>
      </c>
      <c r="FGS9" s="26">
        <f>IF(FGS7=0,0,IF(MAX($F9:FGR9)=$D12,0,FGR9+1))</f>
        <v>0</v>
      </c>
      <c r="FGT9" s="26">
        <f>IF(FGT7=0,0,IF(MAX($F9:FGS9)=$D12,0,FGS9+1))</f>
        <v>0</v>
      </c>
      <c r="FGU9" s="26">
        <f>IF(FGU7=0,0,IF(MAX($F9:FGT9)=$D12,0,FGT9+1))</f>
        <v>0</v>
      </c>
      <c r="FGV9" s="26">
        <f>IF(FGV7=0,0,IF(MAX($F9:FGU9)=$D12,0,FGU9+1))</f>
        <v>0</v>
      </c>
      <c r="FGW9" s="26">
        <f>IF(FGW7=0,0,IF(MAX($F9:FGV9)=$D12,0,FGV9+1))</f>
        <v>0</v>
      </c>
      <c r="FGX9" s="26">
        <f>IF(FGX7=0,0,IF(MAX($F9:FGW9)=$D12,0,FGW9+1))</f>
        <v>0</v>
      </c>
      <c r="FGY9" s="26">
        <f>IF(FGY7=0,0,IF(MAX($F9:FGX9)=$D12,0,FGX9+1))</f>
        <v>0</v>
      </c>
      <c r="FGZ9" s="26">
        <f>IF(FGZ7=0,0,IF(MAX($F9:FGY9)=$D12,0,FGY9+1))</f>
        <v>0</v>
      </c>
      <c r="FHA9" s="26">
        <f>IF(FHA7=0,0,IF(MAX($F9:FGZ9)=$D12,0,FGZ9+1))</f>
        <v>0</v>
      </c>
      <c r="FHB9" s="26">
        <f>IF(FHB7=0,0,IF(MAX($F9:FHA9)=$D12,0,FHA9+1))</f>
        <v>0</v>
      </c>
      <c r="FHC9" s="26">
        <f>IF(FHC7=0,0,IF(MAX($F9:FHB9)=$D12,0,FHB9+1))</f>
        <v>0</v>
      </c>
      <c r="FHD9" s="26">
        <f>IF(FHD7=0,0,IF(MAX($F9:FHC9)=$D12,0,FHC9+1))</f>
        <v>0</v>
      </c>
      <c r="FHE9" s="26">
        <f>IF(FHE7=0,0,IF(MAX($F9:FHD9)=$D12,0,FHD9+1))</f>
        <v>0</v>
      </c>
      <c r="FHF9" s="26">
        <f>IF(FHF7=0,0,IF(MAX($F9:FHE9)=$D12,0,FHE9+1))</f>
        <v>0</v>
      </c>
      <c r="FHG9" s="26">
        <f>IF(FHG7=0,0,IF(MAX($F9:FHF9)=$D12,0,FHF9+1))</f>
        <v>0</v>
      </c>
      <c r="FHH9" s="26">
        <f>IF(FHH7=0,0,IF(MAX($F9:FHG9)=$D12,0,FHG9+1))</f>
        <v>0</v>
      </c>
      <c r="FHI9" s="26">
        <f>IF(FHI7=0,0,IF(MAX($F9:FHH9)=$D12,0,FHH9+1))</f>
        <v>0</v>
      </c>
      <c r="FHJ9" s="26">
        <f>IF(FHJ7=0,0,IF(MAX($F9:FHI9)=$D12,0,FHI9+1))</f>
        <v>0</v>
      </c>
      <c r="FHK9" s="26">
        <f>IF(FHK7=0,0,IF(MAX($F9:FHJ9)=$D12,0,FHJ9+1))</f>
        <v>0</v>
      </c>
      <c r="FHL9" s="26">
        <f>IF(FHL7=0,0,IF(MAX($F9:FHK9)=$D12,0,FHK9+1))</f>
        <v>0</v>
      </c>
      <c r="FHM9" s="26">
        <f>IF(FHM7=0,0,IF(MAX($F9:FHL9)=$D12,0,FHL9+1))</f>
        <v>0</v>
      </c>
      <c r="FHN9" s="26">
        <f>IF(FHN7=0,0,IF(MAX($F9:FHM9)=$D12,0,FHM9+1))</f>
        <v>0</v>
      </c>
      <c r="FHO9" s="26">
        <f>IF(FHO7=0,0,IF(MAX($F9:FHN9)=$D12,0,FHN9+1))</f>
        <v>0</v>
      </c>
      <c r="FHP9" s="26">
        <f>IF(FHP7=0,0,IF(MAX($F9:FHO9)=$D12,0,FHO9+1))</f>
        <v>0</v>
      </c>
      <c r="FHQ9" s="26">
        <f>IF(FHQ7=0,0,IF(MAX($F9:FHP9)=$D12,0,FHP9+1))</f>
        <v>0</v>
      </c>
      <c r="FHR9" s="26">
        <f>IF(FHR7=0,0,IF(MAX($F9:FHQ9)=$D12,0,FHQ9+1))</f>
        <v>0</v>
      </c>
      <c r="FHS9" s="26">
        <f>IF(FHS7=0,0,IF(MAX($F9:FHR9)=$D12,0,FHR9+1))</f>
        <v>0</v>
      </c>
      <c r="FHT9" s="26">
        <f>IF(FHT7=0,0,IF(MAX($F9:FHS9)=$D12,0,FHS9+1))</f>
        <v>0</v>
      </c>
      <c r="FHU9" s="26">
        <f>IF(FHU7=0,0,IF(MAX($F9:FHT9)=$D12,0,FHT9+1))</f>
        <v>0</v>
      </c>
      <c r="FHV9" s="26">
        <f>IF(FHV7=0,0,IF(MAX($F9:FHU9)=$D12,0,FHU9+1))</f>
        <v>0</v>
      </c>
      <c r="FHW9" s="26">
        <f>IF(FHW7=0,0,IF(MAX($F9:FHV9)=$D12,0,FHV9+1))</f>
        <v>0</v>
      </c>
      <c r="FHX9" s="26">
        <f>IF(FHX7=0,0,IF(MAX($F9:FHW9)=$D12,0,FHW9+1))</f>
        <v>0</v>
      </c>
      <c r="FHY9" s="26">
        <f>IF(FHY7=0,0,IF(MAX($F9:FHX9)=$D12,0,FHX9+1))</f>
        <v>0</v>
      </c>
      <c r="FHZ9" s="26">
        <f>IF(FHZ7=0,0,IF(MAX($F9:FHY9)=$D12,0,FHY9+1))</f>
        <v>0</v>
      </c>
      <c r="FIA9" s="26">
        <f>IF(FIA7=0,0,IF(MAX($F9:FHZ9)=$D12,0,FHZ9+1))</f>
        <v>0</v>
      </c>
      <c r="FIB9" s="26">
        <f>IF(FIB7=0,0,IF(MAX($F9:FIA9)=$D12,0,FIA9+1))</f>
        <v>0</v>
      </c>
      <c r="FIC9" s="26">
        <f>IF(FIC7=0,0,IF(MAX($F9:FIB9)=$D12,0,FIB9+1))</f>
        <v>0</v>
      </c>
      <c r="FID9" s="26">
        <f>IF(FID7=0,0,IF(MAX($F9:FIC9)=$D12,0,FIC9+1))</f>
        <v>0</v>
      </c>
      <c r="FIE9" s="26">
        <f>IF(FIE7=0,0,IF(MAX($F9:FID9)=$D12,0,FID9+1))</f>
        <v>0</v>
      </c>
      <c r="FIF9" s="26">
        <f>IF(FIF7=0,0,IF(MAX($F9:FIE9)=$D12,0,FIE9+1))</f>
        <v>0</v>
      </c>
      <c r="FIG9" s="26">
        <f>IF(FIG7=0,0,IF(MAX($F9:FIF9)=$D12,0,FIF9+1))</f>
        <v>0</v>
      </c>
      <c r="FIH9" s="26">
        <f>IF(FIH7=0,0,IF(MAX($F9:FIG9)=$D12,0,FIG9+1))</f>
        <v>0</v>
      </c>
      <c r="FII9" s="26">
        <f>IF(FII7=0,0,IF(MAX($F9:FIH9)=$D12,0,FIH9+1))</f>
        <v>0</v>
      </c>
      <c r="FIJ9" s="26">
        <f>IF(FIJ7=0,0,IF(MAX($F9:FII9)=$D12,0,FII9+1))</f>
        <v>0</v>
      </c>
      <c r="FIK9" s="26">
        <f>IF(FIK7=0,0,IF(MAX($F9:FIJ9)=$D12,0,FIJ9+1))</f>
        <v>0</v>
      </c>
      <c r="FIL9" s="26">
        <f>IF(FIL7=0,0,IF(MAX($F9:FIK9)=$D12,0,FIK9+1))</f>
        <v>0</v>
      </c>
      <c r="FIM9" s="26">
        <f>IF(FIM7=0,0,IF(MAX($F9:FIL9)=$D12,0,FIL9+1))</f>
        <v>0</v>
      </c>
      <c r="FIN9" s="26">
        <f>IF(FIN7=0,0,IF(MAX($F9:FIM9)=$D12,0,FIM9+1))</f>
        <v>0</v>
      </c>
      <c r="FIO9" s="26">
        <f>IF(FIO7=0,0,IF(MAX($F9:FIN9)=$D12,0,FIN9+1))</f>
        <v>0</v>
      </c>
      <c r="FIP9" s="26">
        <f>IF(FIP7=0,0,IF(MAX($F9:FIO9)=$D12,0,FIO9+1))</f>
        <v>0</v>
      </c>
      <c r="FIQ9" s="26">
        <f>IF(FIQ7=0,0,IF(MAX($F9:FIP9)=$D12,0,FIP9+1))</f>
        <v>0</v>
      </c>
      <c r="FIR9" s="26">
        <f>IF(FIR7=0,0,IF(MAX($F9:FIQ9)=$D12,0,FIQ9+1))</f>
        <v>0</v>
      </c>
      <c r="FIS9" s="26">
        <f>IF(FIS7=0,0,IF(MAX($F9:FIR9)=$D12,0,FIR9+1))</f>
        <v>0</v>
      </c>
      <c r="FIT9" s="26">
        <f>IF(FIT7=0,0,IF(MAX($F9:FIS9)=$D12,0,FIS9+1))</f>
        <v>0</v>
      </c>
      <c r="FIU9" s="26">
        <f>IF(FIU7=0,0,IF(MAX($F9:FIT9)=$D12,0,FIT9+1))</f>
        <v>0</v>
      </c>
      <c r="FIV9" s="26">
        <f>IF(FIV7=0,0,IF(MAX($F9:FIU9)=$D12,0,FIU9+1))</f>
        <v>0</v>
      </c>
      <c r="FIW9" s="26">
        <f>IF(FIW7=0,0,IF(MAX($F9:FIV9)=$D12,0,FIV9+1))</f>
        <v>0</v>
      </c>
      <c r="FIX9" s="26">
        <f>IF(FIX7=0,0,IF(MAX($F9:FIW9)=$D12,0,FIW9+1))</f>
        <v>0</v>
      </c>
      <c r="FIY9" s="26">
        <f>IF(FIY7=0,0,IF(MAX($F9:FIX9)=$D12,0,FIX9+1))</f>
        <v>0</v>
      </c>
      <c r="FIZ9" s="26">
        <f>IF(FIZ7=0,0,IF(MAX($F9:FIY9)=$D12,0,FIY9+1))</f>
        <v>0</v>
      </c>
      <c r="FJA9" s="26">
        <f>IF(FJA7=0,0,IF(MAX($F9:FIZ9)=$D12,0,FIZ9+1))</f>
        <v>0</v>
      </c>
      <c r="FJB9" s="26">
        <f>IF(FJB7=0,0,IF(MAX($F9:FJA9)=$D12,0,FJA9+1))</f>
        <v>0</v>
      </c>
      <c r="FJC9" s="26">
        <f>IF(FJC7=0,0,IF(MAX($F9:FJB9)=$D12,0,FJB9+1))</f>
        <v>0</v>
      </c>
      <c r="FJD9" s="26">
        <f>IF(FJD7=0,0,IF(MAX($F9:FJC9)=$D12,0,FJC9+1))</f>
        <v>0</v>
      </c>
      <c r="FJE9" s="26">
        <f>IF(FJE7=0,0,IF(MAX($F9:FJD9)=$D12,0,FJD9+1))</f>
        <v>0</v>
      </c>
      <c r="FJF9" s="26">
        <f>IF(FJF7=0,0,IF(MAX($F9:FJE9)=$D12,0,FJE9+1))</f>
        <v>0</v>
      </c>
      <c r="FJG9" s="26">
        <f>IF(FJG7=0,0,IF(MAX($F9:FJF9)=$D12,0,FJF9+1))</f>
        <v>0</v>
      </c>
      <c r="FJH9" s="26">
        <f>IF(FJH7=0,0,IF(MAX($F9:FJG9)=$D12,0,FJG9+1))</f>
        <v>0</v>
      </c>
      <c r="FJI9" s="26">
        <f>IF(FJI7=0,0,IF(MAX($F9:FJH9)=$D12,0,FJH9+1))</f>
        <v>0</v>
      </c>
      <c r="FJJ9" s="26">
        <f>IF(FJJ7=0,0,IF(MAX($F9:FJI9)=$D12,0,FJI9+1))</f>
        <v>0</v>
      </c>
      <c r="FJK9" s="26">
        <f>IF(FJK7=0,0,IF(MAX($F9:FJJ9)=$D12,0,FJJ9+1))</f>
        <v>0</v>
      </c>
      <c r="FJL9" s="26">
        <f>IF(FJL7=0,0,IF(MAX($F9:FJK9)=$D12,0,FJK9+1))</f>
        <v>0</v>
      </c>
      <c r="FJM9" s="26">
        <f>IF(FJM7=0,0,IF(MAX($F9:FJL9)=$D12,0,FJL9+1))</f>
        <v>0</v>
      </c>
      <c r="FJN9" s="26">
        <f>IF(FJN7=0,0,IF(MAX($F9:FJM9)=$D12,0,FJM9+1))</f>
        <v>0</v>
      </c>
      <c r="FJO9" s="26">
        <f>IF(FJO7=0,0,IF(MAX($F9:FJN9)=$D12,0,FJN9+1))</f>
        <v>0</v>
      </c>
      <c r="FJP9" s="26">
        <f>IF(FJP7=0,0,IF(MAX($F9:FJO9)=$D12,0,FJO9+1))</f>
        <v>0</v>
      </c>
      <c r="FJQ9" s="26">
        <f>IF(FJQ7=0,0,IF(MAX($F9:FJP9)=$D12,0,FJP9+1))</f>
        <v>0</v>
      </c>
      <c r="FJR9" s="26">
        <f>IF(FJR7=0,0,IF(MAX($F9:FJQ9)=$D12,0,FJQ9+1))</f>
        <v>0</v>
      </c>
      <c r="FJS9" s="26">
        <f>IF(FJS7=0,0,IF(MAX($F9:FJR9)=$D12,0,FJR9+1))</f>
        <v>0</v>
      </c>
      <c r="FJT9" s="26">
        <f>IF(FJT7=0,0,IF(MAX($F9:FJS9)=$D12,0,FJS9+1))</f>
        <v>0</v>
      </c>
      <c r="FJU9" s="26">
        <f>IF(FJU7=0,0,IF(MAX($F9:FJT9)=$D12,0,FJT9+1))</f>
        <v>0</v>
      </c>
      <c r="FJV9" s="26">
        <f>IF(FJV7=0,0,IF(MAX($F9:FJU9)=$D12,0,FJU9+1))</f>
        <v>0</v>
      </c>
      <c r="FJW9" s="26">
        <f>IF(FJW7=0,0,IF(MAX($F9:FJV9)=$D12,0,FJV9+1))</f>
        <v>0</v>
      </c>
      <c r="FJX9" s="26">
        <f>IF(FJX7=0,0,IF(MAX($F9:FJW9)=$D12,0,FJW9+1))</f>
        <v>0</v>
      </c>
      <c r="FJY9" s="26">
        <f>IF(FJY7=0,0,IF(MAX($F9:FJX9)=$D12,0,FJX9+1))</f>
        <v>0</v>
      </c>
      <c r="FJZ9" s="26">
        <f>IF(FJZ7=0,0,IF(MAX($F9:FJY9)=$D12,0,FJY9+1))</f>
        <v>0</v>
      </c>
      <c r="FKA9" s="26">
        <f>IF(FKA7=0,0,IF(MAX($F9:FJZ9)=$D12,0,FJZ9+1))</f>
        <v>0</v>
      </c>
      <c r="FKB9" s="26">
        <f>IF(FKB7=0,0,IF(MAX($F9:FKA9)=$D12,0,FKA9+1))</f>
        <v>0</v>
      </c>
      <c r="FKC9" s="26">
        <f>IF(FKC7=0,0,IF(MAX($F9:FKB9)=$D12,0,FKB9+1))</f>
        <v>0</v>
      </c>
      <c r="FKD9" s="26">
        <f>IF(FKD7=0,0,IF(MAX($F9:FKC9)=$D12,0,FKC9+1))</f>
        <v>0</v>
      </c>
      <c r="FKE9" s="26">
        <f>IF(FKE7=0,0,IF(MAX($F9:FKD9)=$D12,0,FKD9+1))</f>
        <v>0</v>
      </c>
      <c r="FKF9" s="26">
        <f>IF(FKF7=0,0,IF(MAX($F9:FKE9)=$D12,0,FKE9+1))</f>
        <v>0</v>
      </c>
      <c r="FKG9" s="26">
        <f>IF(FKG7=0,0,IF(MAX($F9:FKF9)=$D12,0,FKF9+1))</f>
        <v>0</v>
      </c>
      <c r="FKH9" s="26">
        <f>IF(FKH7=0,0,IF(MAX($F9:FKG9)=$D12,0,FKG9+1))</f>
        <v>0</v>
      </c>
      <c r="FKI9" s="26">
        <f>IF(FKI7=0,0,IF(MAX($F9:FKH9)=$D12,0,FKH9+1))</f>
        <v>0</v>
      </c>
      <c r="FKJ9" s="26">
        <f>IF(FKJ7=0,0,IF(MAX($F9:FKI9)=$D12,0,FKI9+1))</f>
        <v>0</v>
      </c>
      <c r="FKK9" s="26">
        <f>IF(FKK7=0,0,IF(MAX($F9:FKJ9)=$D12,0,FKJ9+1))</f>
        <v>0</v>
      </c>
      <c r="FKL9" s="26">
        <f>IF(FKL7=0,0,IF(MAX($F9:FKK9)=$D12,0,FKK9+1))</f>
        <v>0</v>
      </c>
      <c r="FKM9" s="26">
        <f>IF(FKM7=0,0,IF(MAX($F9:FKL9)=$D12,0,FKL9+1))</f>
        <v>0</v>
      </c>
      <c r="FKN9" s="26">
        <f>IF(FKN7=0,0,IF(MAX($F9:FKM9)=$D12,0,FKM9+1))</f>
        <v>0</v>
      </c>
      <c r="FKO9" s="26">
        <f>IF(FKO7=0,0,IF(MAX($F9:FKN9)=$D12,0,FKN9+1))</f>
        <v>0</v>
      </c>
      <c r="FKP9" s="26">
        <f>IF(FKP7=0,0,IF(MAX($F9:FKO9)=$D12,0,FKO9+1))</f>
        <v>0</v>
      </c>
      <c r="FKQ9" s="26">
        <f>IF(FKQ7=0,0,IF(MAX($F9:FKP9)=$D12,0,FKP9+1))</f>
        <v>0</v>
      </c>
      <c r="FKR9" s="26">
        <f>IF(FKR7=0,0,IF(MAX($F9:FKQ9)=$D12,0,FKQ9+1))</f>
        <v>0</v>
      </c>
      <c r="FKS9" s="26">
        <f>IF(FKS7=0,0,IF(MAX($F9:FKR9)=$D12,0,FKR9+1))</f>
        <v>0</v>
      </c>
      <c r="FKT9" s="26">
        <f>IF(FKT7=0,0,IF(MAX($F9:FKS9)=$D12,0,FKS9+1))</f>
        <v>0</v>
      </c>
      <c r="FKU9" s="26">
        <f>IF(FKU7=0,0,IF(MAX($F9:FKT9)=$D12,0,FKT9+1))</f>
        <v>0</v>
      </c>
      <c r="FKV9" s="26">
        <f>IF(FKV7=0,0,IF(MAX($F9:FKU9)=$D12,0,FKU9+1))</f>
        <v>0</v>
      </c>
      <c r="FKW9" s="26">
        <f>IF(FKW7=0,0,IF(MAX($F9:FKV9)=$D12,0,FKV9+1))</f>
        <v>0</v>
      </c>
      <c r="FKX9" s="26">
        <f>IF(FKX7=0,0,IF(MAX($F9:FKW9)=$D12,0,FKW9+1))</f>
        <v>0</v>
      </c>
      <c r="FKY9" s="26">
        <f>IF(FKY7=0,0,IF(MAX($F9:FKX9)=$D12,0,FKX9+1))</f>
        <v>0</v>
      </c>
      <c r="FKZ9" s="26">
        <f>IF(FKZ7=0,0,IF(MAX($F9:FKY9)=$D12,0,FKY9+1))</f>
        <v>0</v>
      </c>
      <c r="FLA9" s="26">
        <f>IF(FLA7=0,0,IF(MAX($F9:FKZ9)=$D12,0,FKZ9+1))</f>
        <v>0</v>
      </c>
      <c r="FLB9" s="26">
        <f>IF(FLB7=0,0,IF(MAX($F9:FLA9)=$D12,0,FLA9+1))</f>
        <v>0</v>
      </c>
      <c r="FLC9" s="26">
        <f>IF(FLC7=0,0,IF(MAX($F9:FLB9)=$D12,0,FLB9+1))</f>
        <v>0</v>
      </c>
      <c r="FLD9" s="26">
        <f>IF(FLD7=0,0,IF(MAX($F9:FLC9)=$D12,0,FLC9+1))</f>
        <v>0</v>
      </c>
      <c r="FLE9" s="26">
        <f>IF(FLE7=0,0,IF(MAX($F9:FLD9)=$D12,0,FLD9+1))</f>
        <v>0</v>
      </c>
      <c r="FLF9" s="26">
        <f>IF(FLF7=0,0,IF(MAX($F9:FLE9)=$D12,0,FLE9+1))</f>
        <v>0</v>
      </c>
      <c r="FLG9" s="26">
        <f>IF(FLG7=0,0,IF(MAX($F9:FLF9)=$D12,0,FLF9+1))</f>
        <v>0</v>
      </c>
      <c r="FLH9" s="26">
        <f>IF(FLH7=0,0,IF(MAX($F9:FLG9)=$D12,0,FLG9+1))</f>
        <v>0</v>
      </c>
      <c r="FLI9" s="26">
        <f>IF(FLI7=0,0,IF(MAX($F9:FLH9)=$D12,0,FLH9+1))</f>
        <v>0</v>
      </c>
      <c r="FLJ9" s="26">
        <f>IF(FLJ7=0,0,IF(MAX($F9:FLI9)=$D12,0,FLI9+1))</f>
        <v>0</v>
      </c>
      <c r="FLK9" s="26">
        <f>IF(FLK7=0,0,IF(MAX($F9:FLJ9)=$D12,0,FLJ9+1))</f>
        <v>0</v>
      </c>
      <c r="FLL9" s="26">
        <f>IF(FLL7=0,0,IF(MAX($F9:FLK9)=$D12,0,FLK9+1))</f>
        <v>0</v>
      </c>
      <c r="FLM9" s="26">
        <f>IF(FLM7=0,0,IF(MAX($F9:FLL9)=$D12,0,FLL9+1))</f>
        <v>0</v>
      </c>
      <c r="FLN9" s="26">
        <f>IF(FLN7=0,0,IF(MAX($F9:FLM9)=$D12,0,FLM9+1))</f>
        <v>0</v>
      </c>
      <c r="FLO9" s="26">
        <f>IF(FLO7=0,0,IF(MAX($F9:FLN9)=$D12,0,FLN9+1))</f>
        <v>0</v>
      </c>
      <c r="FLP9" s="26">
        <f>IF(FLP7=0,0,IF(MAX($F9:FLO9)=$D12,0,FLO9+1))</f>
        <v>0</v>
      </c>
      <c r="FLQ9" s="26">
        <f>IF(FLQ7=0,0,IF(MAX($F9:FLP9)=$D12,0,FLP9+1))</f>
        <v>0</v>
      </c>
      <c r="FLR9" s="26">
        <f>IF(FLR7=0,0,IF(MAX($F9:FLQ9)=$D12,0,FLQ9+1))</f>
        <v>0</v>
      </c>
      <c r="FLS9" s="26">
        <f>IF(FLS7=0,0,IF(MAX($F9:FLR9)=$D12,0,FLR9+1))</f>
        <v>0</v>
      </c>
      <c r="FLT9" s="26">
        <f>IF(FLT7=0,0,IF(MAX($F9:FLS9)=$D12,0,FLS9+1))</f>
        <v>0</v>
      </c>
      <c r="FLU9" s="26">
        <f>IF(FLU7=0,0,IF(MAX($F9:FLT9)=$D12,0,FLT9+1))</f>
        <v>0</v>
      </c>
      <c r="FLV9" s="26">
        <f>IF(FLV7=0,0,IF(MAX($F9:FLU9)=$D12,0,FLU9+1))</f>
        <v>0</v>
      </c>
      <c r="FLW9" s="26">
        <f>IF(FLW7=0,0,IF(MAX($F9:FLV9)=$D12,0,FLV9+1))</f>
        <v>0</v>
      </c>
      <c r="FLX9" s="26">
        <f>IF(FLX7=0,0,IF(MAX($F9:FLW9)=$D12,0,FLW9+1))</f>
        <v>0</v>
      </c>
      <c r="FLY9" s="26">
        <f>IF(FLY7=0,0,IF(MAX($F9:FLX9)=$D12,0,FLX9+1))</f>
        <v>0</v>
      </c>
      <c r="FLZ9" s="26">
        <f>IF(FLZ7=0,0,IF(MAX($F9:FLY9)=$D12,0,FLY9+1))</f>
        <v>0</v>
      </c>
      <c r="FMA9" s="26">
        <f>IF(FMA7=0,0,IF(MAX($F9:FLZ9)=$D12,0,FLZ9+1))</f>
        <v>0</v>
      </c>
      <c r="FMB9" s="26">
        <f>IF(FMB7=0,0,IF(MAX($F9:FMA9)=$D12,0,FMA9+1))</f>
        <v>0</v>
      </c>
      <c r="FMC9" s="26">
        <f>IF(FMC7=0,0,IF(MAX($F9:FMB9)=$D12,0,FMB9+1))</f>
        <v>0</v>
      </c>
      <c r="FMD9" s="26">
        <f>IF(FMD7=0,0,IF(MAX($F9:FMC9)=$D12,0,FMC9+1))</f>
        <v>0</v>
      </c>
      <c r="FME9" s="26">
        <f>IF(FME7=0,0,IF(MAX($F9:FMD9)=$D12,0,FMD9+1))</f>
        <v>0</v>
      </c>
      <c r="FMF9" s="26">
        <f>IF(FMF7=0,0,IF(MAX($F9:FME9)=$D12,0,FME9+1))</f>
        <v>0</v>
      </c>
      <c r="FMG9" s="26">
        <f>IF(FMG7=0,0,IF(MAX($F9:FMF9)=$D12,0,FMF9+1))</f>
        <v>0</v>
      </c>
      <c r="FMH9" s="26">
        <f>IF(FMH7=0,0,IF(MAX($F9:FMG9)=$D12,0,FMG9+1))</f>
        <v>0</v>
      </c>
      <c r="FMI9" s="26">
        <f>IF(FMI7=0,0,IF(MAX($F9:FMH9)=$D12,0,FMH9+1))</f>
        <v>0</v>
      </c>
      <c r="FMJ9" s="26">
        <f>IF(FMJ7=0,0,IF(MAX($F9:FMI9)=$D12,0,FMI9+1))</f>
        <v>0</v>
      </c>
      <c r="FMK9" s="26">
        <f>IF(FMK7=0,0,IF(MAX($F9:FMJ9)=$D12,0,FMJ9+1))</f>
        <v>0</v>
      </c>
      <c r="FML9" s="26">
        <f>IF(FML7=0,0,IF(MAX($F9:FMK9)=$D12,0,FMK9+1))</f>
        <v>0</v>
      </c>
      <c r="FMM9" s="26">
        <f>IF(FMM7=0,0,IF(MAX($F9:FML9)=$D12,0,FML9+1))</f>
        <v>0</v>
      </c>
      <c r="FMN9" s="26">
        <f>IF(FMN7=0,0,IF(MAX($F9:FMM9)=$D12,0,FMM9+1))</f>
        <v>0</v>
      </c>
      <c r="FMO9" s="26">
        <f>IF(FMO7=0,0,IF(MAX($F9:FMN9)=$D12,0,FMN9+1))</f>
        <v>0</v>
      </c>
      <c r="FMP9" s="26">
        <f>IF(FMP7=0,0,IF(MAX($F9:FMO9)=$D12,0,FMO9+1))</f>
        <v>0</v>
      </c>
      <c r="FMQ9" s="26">
        <f>IF(FMQ7=0,0,IF(MAX($F9:FMP9)=$D12,0,FMP9+1))</f>
        <v>0</v>
      </c>
      <c r="FMR9" s="26">
        <f>IF(FMR7=0,0,IF(MAX($F9:FMQ9)=$D12,0,FMQ9+1))</f>
        <v>0</v>
      </c>
      <c r="FMS9" s="26">
        <f>IF(FMS7=0,0,IF(MAX($F9:FMR9)=$D12,0,FMR9+1))</f>
        <v>0</v>
      </c>
      <c r="FMT9" s="26">
        <f>IF(FMT7=0,0,IF(MAX($F9:FMS9)=$D12,0,FMS9+1))</f>
        <v>0</v>
      </c>
      <c r="FMU9" s="26">
        <f>IF(FMU7=0,0,IF(MAX($F9:FMT9)=$D12,0,FMT9+1))</f>
        <v>0</v>
      </c>
      <c r="FMV9" s="26">
        <f>IF(FMV7=0,0,IF(MAX($F9:FMU9)=$D12,0,FMU9+1))</f>
        <v>0</v>
      </c>
      <c r="FMW9" s="26">
        <f>IF(FMW7=0,0,IF(MAX($F9:FMV9)=$D12,0,FMV9+1))</f>
        <v>0</v>
      </c>
      <c r="FMX9" s="26">
        <f>IF(FMX7=0,0,IF(MAX($F9:FMW9)=$D12,0,FMW9+1))</f>
        <v>0</v>
      </c>
      <c r="FMY9" s="26">
        <f>IF(FMY7=0,0,IF(MAX($F9:FMX9)=$D12,0,FMX9+1))</f>
        <v>0</v>
      </c>
      <c r="FMZ9" s="26">
        <f>IF(FMZ7=0,0,IF(MAX($F9:FMY9)=$D12,0,FMY9+1))</f>
        <v>0</v>
      </c>
      <c r="FNA9" s="26">
        <f>IF(FNA7=0,0,IF(MAX($F9:FMZ9)=$D12,0,FMZ9+1))</f>
        <v>0</v>
      </c>
      <c r="FNB9" s="26">
        <f>IF(FNB7=0,0,IF(MAX($F9:FNA9)=$D12,0,FNA9+1))</f>
        <v>0</v>
      </c>
      <c r="FNC9" s="26">
        <f>IF(FNC7=0,0,IF(MAX($F9:FNB9)=$D12,0,FNB9+1))</f>
        <v>0</v>
      </c>
      <c r="FND9" s="26">
        <f>IF(FND7=0,0,IF(MAX($F9:FNC9)=$D12,0,FNC9+1))</f>
        <v>0</v>
      </c>
      <c r="FNE9" s="26">
        <f>IF(FNE7=0,0,IF(MAX($F9:FND9)=$D12,0,FND9+1))</f>
        <v>0</v>
      </c>
      <c r="FNF9" s="26">
        <f>IF(FNF7=0,0,IF(MAX($F9:FNE9)=$D12,0,FNE9+1))</f>
        <v>0</v>
      </c>
      <c r="FNG9" s="26">
        <f>IF(FNG7=0,0,IF(MAX($F9:FNF9)=$D12,0,FNF9+1))</f>
        <v>0</v>
      </c>
      <c r="FNH9" s="26">
        <f>IF(FNH7=0,0,IF(MAX($F9:FNG9)=$D12,0,FNG9+1))</f>
        <v>0</v>
      </c>
      <c r="FNI9" s="26">
        <f>IF(FNI7=0,0,IF(MAX($F9:FNH9)=$D12,0,FNH9+1))</f>
        <v>0</v>
      </c>
      <c r="FNJ9" s="26">
        <f>IF(FNJ7=0,0,IF(MAX($F9:FNI9)=$D12,0,FNI9+1))</f>
        <v>0</v>
      </c>
      <c r="FNK9" s="26">
        <f>IF(FNK7=0,0,IF(MAX($F9:FNJ9)=$D12,0,FNJ9+1))</f>
        <v>0</v>
      </c>
      <c r="FNL9" s="26">
        <f>IF(FNL7=0,0,IF(MAX($F9:FNK9)=$D12,0,FNK9+1))</f>
        <v>0</v>
      </c>
      <c r="FNM9" s="26">
        <f>IF(FNM7=0,0,IF(MAX($F9:FNL9)=$D12,0,FNL9+1))</f>
        <v>0</v>
      </c>
      <c r="FNN9" s="26">
        <f>IF(FNN7=0,0,IF(MAX($F9:FNM9)=$D12,0,FNM9+1))</f>
        <v>0</v>
      </c>
      <c r="FNO9" s="26">
        <f>IF(FNO7=0,0,IF(MAX($F9:FNN9)=$D12,0,FNN9+1))</f>
        <v>0</v>
      </c>
      <c r="FNP9" s="26">
        <f>IF(FNP7=0,0,IF(MAX($F9:FNO9)=$D12,0,FNO9+1))</f>
        <v>0</v>
      </c>
      <c r="FNQ9" s="26">
        <f>IF(FNQ7=0,0,IF(MAX($F9:FNP9)=$D12,0,FNP9+1))</f>
        <v>0</v>
      </c>
      <c r="FNR9" s="26">
        <f>IF(FNR7=0,0,IF(MAX($F9:FNQ9)=$D12,0,FNQ9+1))</f>
        <v>0</v>
      </c>
      <c r="FNS9" s="26">
        <f>IF(FNS7=0,0,IF(MAX($F9:FNR9)=$D12,0,FNR9+1))</f>
        <v>0</v>
      </c>
      <c r="FNT9" s="26">
        <f>IF(FNT7=0,0,IF(MAX($F9:FNS9)=$D12,0,FNS9+1))</f>
        <v>0</v>
      </c>
      <c r="FNU9" s="26">
        <f>IF(FNU7=0,0,IF(MAX($F9:FNT9)=$D12,0,FNT9+1))</f>
        <v>0</v>
      </c>
      <c r="FNV9" s="26">
        <f>IF(FNV7=0,0,IF(MAX($F9:FNU9)=$D12,0,FNU9+1))</f>
        <v>0</v>
      </c>
      <c r="FNW9" s="26">
        <f>IF(FNW7=0,0,IF(MAX($F9:FNV9)=$D12,0,FNV9+1))</f>
        <v>0</v>
      </c>
      <c r="FNX9" s="26">
        <f>IF(FNX7=0,0,IF(MAX($F9:FNW9)=$D12,0,FNW9+1))</f>
        <v>0</v>
      </c>
      <c r="FNY9" s="26">
        <f>IF(FNY7=0,0,IF(MAX($F9:FNX9)=$D12,0,FNX9+1))</f>
        <v>0</v>
      </c>
      <c r="FNZ9" s="26">
        <f>IF(FNZ7=0,0,IF(MAX($F9:FNY9)=$D12,0,FNY9+1))</f>
        <v>0</v>
      </c>
      <c r="FOA9" s="26">
        <f>IF(FOA7=0,0,IF(MAX($F9:FNZ9)=$D12,0,FNZ9+1))</f>
        <v>0</v>
      </c>
      <c r="FOB9" s="26">
        <f>IF(FOB7=0,0,IF(MAX($F9:FOA9)=$D12,0,FOA9+1))</f>
        <v>0</v>
      </c>
      <c r="FOC9" s="26">
        <f>IF(FOC7=0,0,IF(MAX($F9:FOB9)=$D12,0,FOB9+1))</f>
        <v>0</v>
      </c>
      <c r="FOD9" s="26">
        <f>IF(FOD7=0,0,IF(MAX($F9:FOC9)=$D12,0,FOC9+1))</f>
        <v>0</v>
      </c>
      <c r="FOE9" s="26">
        <f>IF(FOE7=0,0,IF(MAX($F9:FOD9)=$D12,0,FOD9+1))</f>
        <v>0</v>
      </c>
      <c r="FOF9" s="26">
        <f>IF(FOF7=0,0,IF(MAX($F9:FOE9)=$D12,0,FOE9+1))</f>
        <v>0</v>
      </c>
      <c r="FOG9" s="26">
        <f>IF(FOG7=0,0,IF(MAX($F9:FOF9)=$D12,0,FOF9+1))</f>
        <v>0</v>
      </c>
      <c r="FOH9" s="26">
        <f>IF(FOH7=0,0,IF(MAX($F9:FOG9)=$D12,0,FOG9+1))</f>
        <v>0</v>
      </c>
      <c r="FOI9" s="26">
        <f>IF(FOI7=0,0,IF(MAX($F9:FOH9)=$D12,0,FOH9+1))</f>
        <v>0</v>
      </c>
      <c r="FOJ9" s="26">
        <f>IF(FOJ7=0,0,IF(MAX($F9:FOI9)=$D12,0,FOI9+1))</f>
        <v>0</v>
      </c>
      <c r="FOK9" s="26">
        <f>IF(FOK7=0,0,IF(MAX($F9:FOJ9)=$D12,0,FOJ9+1))</f>
        <v>0</v>
      </c>
      <c r="FOL9" s="26">
        <f>IF(FOL7=0,0,IF(MAX($F9:FOK9)=$D12,0,FOK9+1))</f>
        <v>0</v>
      </c>
      <c r="FOM9" s="26">
        <f>IF(FOM7=0,0,IF(MAX($F9:FOL9)=$D12,0,FOL9+1))</f>
        <v>0</v>
      </c>
      <c r="FON9" s="26">
        <f>IF(FON7=0,0,IF(MAX($F9:FOM9)=$D12,0,FOM9+1))</f>
        <v>0</v>
      </c>
      <c r="FOO9" s="26">
        <f>IF(FOO7=0,0,IF(MAX($F9:FON9)=$D12,0,FON9+1))</f>
        <v>0</v>
      </c>
      <c r="FOP9" s="26">
        <f>IF(FOP7=0,0,IF(MAX($F9:FOO9)=$D12,0,FOO9+1))</f>
        <v>0</v>
      </c>
      <c r="FOQ9" s="26">
        <f>IF(FOQ7=0,0,IF(MAX($F9:FOP9)=$D12,0,FOP9+1))</f>
        <v>0</v>
      </c>
      <c r="FOR9" s="26">
        <f>IF(FOR7=0,0,IF(MAX($F9:FOQ9)=$D12,0,FOQ9+1))</f>
        <v>0</v>
      </c>
      <c r="FOS9" s="26">
        <f>IF(FOS7=0,0,IF(MAX($F9:FOR9)=$D12,0,FOR9+1))</f>
        <v>0</v>
      </c>
      <c r="FOT9" s="26">
        <f>IF(FOT7=0,0,IF(MAX($F9:FOS9)=$D12,0,FOS9+1))</f>
        <v>0</v>
      </c>
      <c r="FOU9" s="26">
        <f>IF(FOU7=0,0,IF(MAX($F9:FOT9)=$D12,0,FOT9+1))</f>
        <v>0</v>
      </c>
      <c r="FOV9" s="26">
        <f>IF(FOV7=0,0,IF(MAX($F9:FOU9)=$D12,0,FOU9+1))</f>
        <v>0</v>
      </c>
      <c r="FOW9" s="26">
        <f>IF(FOW7=0,0,IF(MAX($F9:FOV9)=$D12,0,FOV9+1))</f>
        <v>0</v>
      </c>
      <c r="FOX9" s="26">
        <f>IF(FOX7=0,0,IF(MAX($F9:FOW9)=$D12,0,FOW9+1))</f>
        <v>0</v>
      </c>
      <c r="FOY9" s="26">
        <f>IF(FOY7=0,0,IF(MAX($F9:FOX9)=$D12,0,FOX9+1))</f>
        <v>0</v>
      </c>
      <c r="FOZ9" s="26">
        <f>IF(FOZ7=0,0,IF(MAX($F9:FOY9)=$D12,0,FOY9+1))</f>
        <v>0</v>
      </c>
      <c r="FPA9" s="26">
        <f>IF(FPA7=0,0,IF(MAX($F9:FOZ9)=$D12,0,FOZ9+1))</f>
        <v>0</v>
      </c>
      <c r="FPB9" s="26">
        <f>IF(FPB7=0,0,IF(MAX($F9:FPA9)=$D12,0,FPA9+1))</f>
        <v>0</v>
      </c>
      <c r="FPC9" s="26">
        <f>IF(FPC7=0,0,IF(MAX($F9:FPB9)=$D12,0,FPB9+1))</f>
        <v>0</v>
      </c>
      <c r="FPD9" s="26">
        <f>IF(FPD7=0,0,IF(MAX($F9:FPC9)=$D12,0,FPC9+1))</f>
        <v>0</v>
      </c>
      <c r="FPE9" s="26">
        <f>IF(FPE7=0,0,IF(MAX($F9:FPD9)=$D12,0,FPD9+1))</f>
        <v>0</v>
      </c>
      <c r="FPF9" s="26">
        <f>IF(FPF7=0,0,IF(MAX($F9:FPE9)=$D12,0,FPE9+1))</f>
        <v>0</v>
      </c>
      <c r="FPG9" s="26">
        <f>IF(FPG7=0,0,IF(MAX($F9:FPF9)=$D12,0,FPF9+1))</f>
        <v>0</v>
      </c>
      <c r="FPH9" s="26">
        <f>IF(FPH7=0,0,IF(MAX($F9:FPG9)=$D12,0,FPG9+1))</f>
        <v>0</v>
      </c>
      <c r="FPI9" s="26">
        <f>IF(FPI7=0,0,IF(MAX($F9:FPH9)=$D12,0,FPH9+1))</f>
        <v>0</v>
      </c>
      <c r="FPJ9" s="26">
        <f>IF(FPJ7=0,0,IF(MAX($F9:FPI9)=$D12,0,FPI9+1))</f>
        <v>0</v>
      </c>
      <c r="FPK9" s="26">
        <f>IF(FPK7=0,0,IF(MAX($F9:FPJ9)=$D12,0,FPJ9+1))</f>
        <v>0</v>
      </c>
      <c r="FPL9" s="26">
        <f>IF(FPL7=0,0,IF(MAX($F9:FPK9)=$D12,0,FPK9+1))</f>
        <v>0</v>
      </c>
      <c r="FPM9" s="26">
        <f>IF(FPM7=0,0,IF(MAX($F9:FPL9)=$D12,0,FPL9+1))</f>
        <v>0</v>
      </c>
      <c r="FPN9" s="26">
        <f>IF(FPN7=0,0,IF(MAX($F9:FPM9)=$D12,0,FPM9+1))</f>
        <v>0</v>
      </c>
      <c r="FPO9" s="26">
        <f>IF(FPO7=0,0,IF(MAX($F9:FPN9)=$D12,0,FPN9+1))</f>
        <v>0</v>
      </c>
      <c r="FPP9" s="26">
        <f>IF(FPP7=0,0,IF(MAX($F9:FPO9)=$D12,0,FPO9+1))</f>
        <v>0</v>
      </c>
      <c r="FPQ9" s="26">
        <f>IF(FPQ7=0,0,IF(MAX($F9:FPP9)=$D12,0,FPP9+1))</f>
        <v>0</v>
      </c>
      <c r="FPR9" s="26">
        <f>IF(FPR7=0,0,IF(MAX($F9:FPQ9)=$D12,0,FPQ9+1))</f>
        <v>0</v>
      </c>
      <c r="FPS9" s="26">
        <f>IF(FPS7=0,0,IF(MAX($F9:FPR9)=$D12,0,FPR9+1))</f>
        <v>0</v>
      </c>
      <c r="FPT9" s="26">
        <f>IF(FPT7=0,0,IF(MAX($F9:FPS9)=$D12,0,FPS9+1))</f>
        <v>0</v>
      </c>
      <c r="FPU9" s="26">
        <f>IF(FPU7=0,0,IF(MAX($F9:FPT9)=$D12,0,FPT9+1))</f>
        <v>0</v>
      </c>
      <c r="FPV9" s="26">
        <f>IF(FPV7=0,0,IF(MAX($F9:FPU9)=$D12,0,FPU9+1))</f>
        <v>0</v>
      </c>
      <c r="FPW9" s="26">
        <f>IF(FPW7=0,0,IF(MAX($F9:FPV9)=$D12,0,FPV9+1))</f>
        <v>0</v>
      </c>
      <c r="FPX9" s="26">
        <f>IF(FPX7=0,0,IF(MAX($F9:FPW9)=$D12,0,FPW9+1))</f>
        <v>0</v>
      </c>
      <c r="FPY9" s="26">
        <f>IF(FPY7=0,0,IF(MAX($F9:FPX9)=$D12,0,FPX9+1))</f>
        <v>0</v>
      </c>
      <c r="FPZ9" s="26">
        <f>IF(FPZ7=0,0,IF(MAX($F9:FPY9)=$D12,0,FPY9+1))</f>
        <v>0</v>
      </c>
      <c r="FQA9" s="26">
        <f>IF(FQA7=0,0,IF(MAX($F9:FPZ9)=$D12,0,FPZ9+1))</f>
        <v>0</v>
      </c>
      <c r="FQB9" s="26">
        <f>IF(FQB7=0,0,IF(MAX($F9:FQA9)=$D12,0,FQA9+1))</f>
        <v>0</v>
      </c>
      <c r="FQC9" s="26">
        <f>IF(FQC7=0,0,IF(MAX($F9:FQB9)=$D12,0,FQB9+1))</f>
        <v>0</v>
      </c>
      <c r="FQD9" s="26">
        <f>IF(FQD7=0,0,IF(MAX($F9:FQC9)=$D12,0,FQC9+1))</f>
        <v>0</v>
      </c>
      <c r="FQE9" s="26">
        <f>IF(FQE7=0,0,IF(MAX($F9:FQD9)=$D12,0,FQD9+1))</f>
        <v>0</v>
      </c>
      <c r="FQF9" s="26">
        <f>IF(FQF7=0,0,IF(MAX($F9:FQE9)=$D12,0,FQE9+1))</f>
        <v>0</v>
      </c>
      <c r="FQG9" s="26">
        <f>IF(FQG7=0,0,IF(MAX($F9:FQF9)=$D12,0,FQF9+1))</f>
        <v>0</v>
      </c>
      <c r="FQH9" s="26">
        <f>IF(FQH7=0,0,IF(MAX($F9:FQG9)=$D12,0,FQG9+1))</f>
        <v>0</v>
      </c>
      <c r="FQI9" s="26">
        <f>IF(FQI7=0,0,IF(MAX($F9:FQH9)=$D12,0,FQH9+1))</f>
        <v>0</v>
      </c>
      <c r="FQJ9" s="26">
        <f>IF(FQJ7=0,0,IF(MAX($F9:FQI9)=$D12,0,FQI9+1))</f>
        <v>0</v>
      </c>
      <c r="FQK9" s="26">
        <f>IF(FQK7=0,0,IF(MAX($F9:FQJ9)=$D12,0,FQJ9+1))</f>
        <v>0</v>
      </c>
      <c r="FQL9" s="26">
        <f>IF(FQL7=0,0,IF(MAX($F9:FQK9)=$D12,0,FQK9+1))</f>
        <v>0</v>
      </c>
      <c r="FQM9" s="26">
        <f>IF(FQM7=0,0,IF(MAX($F9:FQL9)=$D12,0,FQL9+1))</f>
        <v>0</v>
      </c>
      <c r="FQN9" s="26">
        <f>IF(FQN7=0,0,IF(MAX($F9:FQM9)=$D12,0,FQM9+1))</f>
        <v>0</v>
      </c>
      <c r="FQO9" s="26">
        <f>IF(FQO7=0,0,IF(MAX($F9:FQN9)=$D12,0,FQN9+1))</f>
        <v>0</v>
      </c>
      <c r="FQP9" s="26">
        <f>IF(FQP7=0,0,IF(MAX($F9:FQO9)=$D12,0,FQO9+1))</f>
        <v>0</v>
      </c>
      <c r="FQQ9" s="26">
        <f>IF(FQQ7=0,0,IF(MAX($F9:FQP9)=$D12,0,FQP9+1))</f>
        <v>0</v>
      </c>
      <c r="FQR9" s="26">
        <f>IF(FQR7=0,0,IF(MAX($F9:FQQ9)=$D12,0,FQQ9+1))</f>
        <v>0</v>
      </c>
      <c r="FQS9" s="26">
        <f>IF(FQS7=0,0,IF(MAX($F9:FQR9)=$D12,0,FQR9+1))</f>
        <v>0</v>
      </c>
      <c r="FQT9" s="26">
        <f>IF(FQT7=0,0,IF(MAX($F9:FQS9)=$D12,0,FQS9+1))</f>
        <v>0</v>
      </c>
      <c r="FQU9" s="26">
        <f>IF(FQU7=0,0,IF(MAX($F9:FQT9)=$D12,0,FQT9+1))</f>
        <v>0</v>
      </c>
      <c r="FQV9" s="26">
        <f>IF(FQV7=0,0,IF(MAX($F9:FQU9)=$D12,0,FQU9+1))</f>
        <v>0</v>
      </c>
      <c r="FQW9" s="26">
        <f>IF(FQW7=0,0,IF(MAX($F9:FQV9)=$D12,0,FQV9+1))</f>
        <v>0</v>
      </c>
      <c r="FQX9" s="26">
        <f>IF(FQX7=0,0,IF(MAX($F9:FQW9)=$D12,0,FQW9+1))</f>
        <v>0</v>
      </c>
      <c r="FQY9" s="26">
        <f>IF(FQY7=0,0,IF(MAX($F9:FQX9)=$D12,0,FQX9+1))</f>
        <v>0</v>
      </c>
      <c r="FQZ9" s="26">
        <f>IF(FQZ7=0,0,IF(MAX($F9:FQY9)=$D12,0,FQY9+1))</f>
        <v>0</v>
      </c>
      <c r="FRA9" s="26">
        <f>IF(FRA7=0,0,IF(MAX($F9:FQZ9)=$D12,0,FQZ9+1))</f>
        <v>0</v>
      </c>
      <c r="FRB9" s="26">
        <f>IF(FRB7=0,0,IF(MAX($F9:FRA9)=$D12,0,FRA9+1))</f>
        <v>0</v>
      </c>
      <c r="FRC9" s="26">
        <f>IF(FRC7=0,0,IF(MAX($F9:FRB9)=$D12,0,FRB9+1))</f>
        <v>0</v>
      </c>
      <c r="FRD9" s="26">
        <f>IF(FRD7=0,0,IF(MAX($F9:FRC9)=$D12,0,FRC9+1))</f>
        <v>0</v>
      </c>
      <c r="FRE9" s="26">
        <f>IF(FRE7=0,0,IF(MAX($F9:FRD9)=$D12,0,FRD9+1))</f>
        <v>0</v>
      </c>
      <c r="FRF9" s="26">
        <f>IF(FRF7=0,0,IF(MAX($F9:FRE9)=$D12,0,FRE9+1))</f>
        <v>0</v>
      </c>
      <c r="FRG9" s="26">
        <f>IF(FRG7=0,0,IF(MAX($F9:FRF9)=$D12,0,FRF9+1))</f>
        <v>0</v>
      </c>
      <c r="FRH9" s="26">
        <f>IF(FRH7=0,0,IF(MAX($F9:FRG9)=$D12,0,FRG9+1))</f>
        <v>0</v>
      </c>
      <c r="FRI9" s="26">
        <f>IF(FRI7=0,0,IF(MAX($F9:FRH9)=$D12,0,FRH9+1))</f>
        <v>0</v>
      </c>
      <c r="FRJ9" s="26">
        <f>IF(FRJ7=0,0,IF(MAX($F9:FRI9)=$D12,0,FRI9+1))</f>
        <v>0</v>
      </c>
      <c r="FRK9" s="26">
        <f>IF(FRK7=0,0,IF(MAX($F9:FRJ9)=$D12,0,FRJ9+1))</f>
        <v>0</v>
      </c>
      <c r="FRL9" s="26">
        <f>IF(FRL7=0,0,IF(MAX($F9:FRK9)=$D12,0,FRK9+1))</f>
        <v>0</v>
      </c>
      <c r="FRM9" s="26">
        <f>IF(FRM7=0,0,IF(MAX($F9:FRL9)=$D12,0,FRL9+1))</f>
        <v>0</v>
      </c>
      <c r="FRN9" s="26">
        <f>IF(FRN7=0,0,IF(MAX($F9:FRM9)=$D12,0,FRM9+1))</f>
        <v>0</v>
      </c>
      <c r="FRO9" s="26">
        <f>IF(FRO7=0,0,IF(MAX($F9:FRN9)=$D12,0,FRN9+1))</f>
        <v>0</v>
      </c>
      <c r="FRP9" s="26">
        <f>IF(FRP7=0,0,IF(MAX($F9:FRO9)=$D12,0,FRO9+1))</f>
        <v>0</v>
      </c>
      <c r="FRQ9" s="26">
        <f>IF(FRQ7=0,0,IF(MAX($F9:FRP9)=$D12,0,FRP9+1))</f>
        <v>0</v>
      </c>
      <c r="FRR9" s="26">
        <f>IF(FRR7=0,0,IF(MAX($F9:FRQ9)=$D12,0,FRQ9+1))</f>
        <v>0</v>
      </c>
      <c r="FRS9" s="26">
        <f>IF(FRS7=0,0,IF(MAX($F9:FRR9)=$D12,0,FRR9+1))</f>
        <v>0</v>
      </c>
      <c r="FRT9" s="26">
        <f>IF(FRT7=0,0,IF(MAX($F9:FRS9)=$D12,0,FRS9+1))</f>
        <v>0</v>
      </c>
      <c r="FRU9" s="26">
        <f>IF(FRU7=0,0,IF(MAX($F9:FRT9)=$D12,0,FRT9+1))</f>
        <v>0</v>
      </c>
      <c r="FRV9" s="26">
        <f>IF(FRV7=0,0,IF(MAX($F9:FRU9)=$D12,0,FRU9+1))</f>
        <v>0</v>
      </c>
      <c r="FRW9" s="26">
        <f>IF(FRW7=0,0,IF(MAX($F9:FRV9)=$D12,0,FRV9+1))</f>
        <v>0</v>
      </c>
      <c r="FRX9" s="26">
        <f>IF(FRX7=0,0,IF(MAX($F9:FRW9)=$D12,0,FRW9+1))</f>
        <v>0</v>
      </c>
      <c r="FRY9" s="26">
        <f>IF(FRY7=0,0,IF(MAX($F9:FRX9)=$D12,0,FRX9+1))</f>
        <v>0</v>
      </c>
      <c r="FRZ9" s="26">
        <f>IF(FRZ7=0,0,IF(MAX($F9:FRY9)=$D12,0,FRY9+1))</f>
        <v>0</v>
      </c>
      <c r="FSA9" s="26">
        <f>IF(FSA7=0,0,IF(MAX($F9:FRZ9)=$D12,0,FRZ9+1))</f>
        <v>0</v>
      </c>
      <c r="FSB9" s="26">
        <f>IF(FSB7=0,0,IF(MAX($F9:FSA9)=$D12,0,FSA9+1))</f>
        <v>0</v>
      </c>
      <c r="FSC9" s="26">
        <f>IF(FSC7=0,0,IF(MAX($F9:FSB9)=$D12,0,FSB9+1))</f>
        <v>0</v>
      </c>
      <c r="FSD9" s="26">
        <f>IF(FSD7=0,0,IF(MAX($F9:FSC9)=$D12,0,FSC9+1))</f>
        <v>0</v>
      </c>
      <c r="FSE9" s="26">
        <f>IF(FSE7=0,0,IF(MAX($F9:FSD9)=$D12,0,FSD9+1))</f>
        <v>0</v>
      </c>
      <c r="FSF9" s="26">
        <f>IF(FSF7=0,0,IF(MAX($F9:FSE9)=$D12,0,FSE9+1))</f>
        <v>0</v>
      </c>
      <c r="FSG9" s="26">
        <f>IF(FSG7=0,0,IF(MAX($F9:FSF9)=$D12,0,FSF9+1))</f>
        <v>0</v>
      </c>
      <c r="FSH9" s="26">
        <f>IF(FSH7=0,0,IF(MAX($F9:FSG9)=$D12,0,FSG9+1))</f>
        <v>0</v>
      </c>
      <c r="FSI9" s="26">
        <f>IF(FSI7=0,0,IF(MAX($F9:FSH9)=$D12,0,FSH9+1))</f>
        <v>0</v>
      </c>
      <c r="FSJ9" s="26">
        <f>IF(FSJ7=0,0,IF(MAX($F9:FSI9)=$D12,0,FSI9+1))</f>
        <v>0</v>
      </c>
      <c r="FSK9" s="26">
        <f>IF(FSK7=0,0,IF(MAX($F9:FSJ9)=$D12,0,FSJ9+1))</f>
        <v>0</v>
      </c>
      <c r="FSL9" s="26">
        <f>IF(FSL7=0,0,IF(MAX($F9:FSK9)=$D12,0,FSK9+1))</f>
        <v>0</v>
      </c>
      <c r="FSM9" s="26">
        <f>IF(FSM7=0,0,IF(MAX($F9:FSL9)=$D12,0,FSL9+1))</f>
        <v>0</v>
      </c>
      <c r="FSN9" s="26">
        <f>IF(FSN7=0,0,IF(MAX($F9:FSM9)=$D12,0,FSM9+1))</f>
        <v>0</v>
      </c>
      <c r="FSO9" s="26">
        <f>IF(FSO7=0,0,IF(MAX($F9:FSN9)=$D12,0,FSN9+1))</f>
        <v>0</v>
      </c>
      <c r="FSP9" s="26">
        <f>IF(FSP7=0,0,IF(MAX($F9:FSO9)=$D12,0,FSO9+1))</f>
        <v>0</v>
      </c>
      <c r="FSQ9" s="26">
        <f>IF(FSQ7=0,0,IF(MAX($F9:FSP9)=$D12,0,FSP9+1))</f>
        <v>0</v>
      </c>
      <c r="FSR9" s="26">
        <f>IF(FSR7=0,0,IF(MAX($F9:FSQ9)=$D12,0,FSQ9+1))</f>
        <v>0</v>
      </c>
      <c r="FSS9" s="26">
        <f>IF(FSS7=0,0,IF(MAX($F9:FSR9)=$D12,0,FSR9+1))</f>
        <v>0</v>
      </c>
      <c r="FST9" s="26">
        <f>IF(FST7=0,0,IF(MAX($F9:FSS9)=$D12,0,FSS9+1))</f>
        <v>0</v>
      </c>
      <c r="FSU9" s="26">
        <f>IF(FSU7=0,0,IF(MAX($F9:FST9)=$D12,0,FST9+1))</f>
        <v>0</v>
      </c>
      <c r="FSV9" s="26">
        <f>IF(FSV7=0,0,IF(MAX($F9:FSU9)=$D12,0,FSU9+1))</f>
        <v>0</v>
      </c>
      <c r="FSW9" s="26">
        <f>IF(FSW7=0,0,IF(MAX($F9:FSV9)=$D12,0,FSV9+1))</f>
        <v>0</v>
      </c>
      <c r="FSX9" s="26">
        <f>IF(FSX7=0,0,IF(MAX($F9:FSW9)=$D12,0,FSW9+1))</f>
        <v>0</v>
      </c>
      <c r="FSY9" s="26">
        <f>IF(FSY7=0,0,IF(MAX($F9:FSX9)=$D12,0,FSX9+1))</f>
        <v>0</v>
      </c>
      <c r="FSZ9" s="26">
        <f>IF(FSZ7=0,0,IF(MAX($F9:FSY9)=$D12,0,FSY9+1))</f>
        <v>0</v>
      </c>
      <c r="FTA9" s="26">
        <f>IF(FTA7=0,0,IF(MAX($F9:FSZ9)=$D12,0,FSZ9+1))</f>
        <v>0</v>
      </c>
      <c r="FTB9" s="26">
        <f>IF(FTB7=0,0,IF(MAX($F9:FTA9)=$D12,0,FTA9+1))</f>
        <v>0</v>
      </c>
      <c r="FTC9" s="26">
        <f>IF(FTC7=0,0,IF(MAX($F9:FTB9)=$D12,0,FTB9+1))</f>
        <v>0</v>
      </c>
      <c r="FTD9" s="26">
        <f>IF(FTD7=0,0,IF(MAX($F9:FTC9)=$D12,0,FTC9+1))</f>
        <v>0</v>
      </c>
      <c r="FTE9" s="26">
        <f>IF(FTE7=0,0,IF(MAX($F9:FTD9)=$D12,0,FTD9+1))</f>
        <v>0</v>
      </c>
      <c r="FTF9" s="26">
        <f>IF(FTF7=0,0,IF(MAX($F9:FTE9)=$D12,0,FTE9+1))</f>
        <v>0</v>
      </c>
      <c r="FTG9" s="26">
        <f>IF(FTG7=0,0,IF(MAX($F9:FTF9)=$D12,0,FTF9+1))</f>
        <v>0</v>
      </c>
      <c r="FTH9" s="26">
        <f>IF(FTH7=0,0,IF(MAX($F9:FTG9)=$D12,0,FTG9+1))</f>
        <v>0</v>
      </c>
      <c r="FTI9" s="26">
        <f>IF(FTI7=0,0,IF(MAX($F9:FTH9)=$D12,0,FTH9+1))</f>
        <v>0</v>
      </c>
      <c r="FTJ9" s="26">
        <f>IF(FTJ7=0,0,IF(MAX($F9:FTI9)=$D12,0,FTI9+1))</f>
        <v>0</v>
      </c>
      <c r="FTK9" s="26">
        <f>IF(FTK7=0,0,IF(MAX($F9:FTJ9)=$D12,0,FTJ9+1))</f>
        <v>0</v>
      </c>
      <c r="FTL9" s="26">
        <f>IF(FTL7=0,0,IF(MAX($F9:FTK9)=$D12,0,FTK9+1))</f>
        <v>0</v>
      </c>
      <c r="FTM9" s="26">
        <f>IF(FTM7=0,0,IF(MAX($F9:FTL9)=$D12,0,FTL9+1))</f>
        <v>0</v>
      </c>
      <c r="FTN9" s="26">
        <f>IF(FTN7=0,0,IF(MAX($F9:FTM9)=$D12,0,FTM9+1))</f>
        <v>0</v>
      </c>
      <c r="FTO9" s="26">
        <f>IF(FTO7=0,0,IF(MAX($F9:FTN9)=$D12,0,FTN9+1))</f>
        <v>0</v>
      </c>
      <c r="FTP9" s="26">
        <f>IF(FTP7=0,0,IF(MAX($F9:FTO9)=$D12,0,FTO9+1))</f>
        <v>0</v>
      </c>
      <c r="FTQ9" s="26">
        <f>IF(FTQ7=0,0,IF(MAX($F9:FTP9)=$D12,0,FTP9+1))</f>
        <v>0</v>
      </c>
      <c r="FTR9" s="26">
        <f>IF(FTR7=0,0,IF(MAX($F9:FTQ9)=$D12,0,FTQ9+1))</f>
        <v>0</v>
      </c>
      <c r="FTS9" s="26">
        <f>IF(FTS7=0,0,IF(MAX($F9:FTR9)=$D12,0,FTR9+1))</f>
        <v>0</v>
      </c>
      <c r="FTT9" s="26">
        <f>IF(FTT7=0,0,IF(MAX($F9:FTS9)=$D12,0,FTS9+1))</f>
        <v>0</v>
      </c>
      <c r="FTU9" s="26">
        <f>IF(FTU7=0,0,IF(MAX($F9:FTT9)=$D12,0,FTT9+1))</f>
        <v>0</v>
      </c>
      <c r="FTV9" s="26">
        <f>IF(FTV7=0,0,IF(MAX($F9:FTU9)=$D12,0,FTU9+1))</f>
        <v>0</v>
      </c>
      <c r="FTW9" s="26">
        <f>IF(FTW7=0,0,IF(MAX($F9:FTV9)=$D12,0,FTV9+1))</f>
        <v>0</v>
      </c>
      <c r="FTX9" s="26">
        <f>IF(FTX7=0,0,IF(MAX($F9:FTW9)=$D12,0,FTW9+1))</f>
        <v>0</v>
      </c>
      <c r="FTY9" s="26">
        <f>IF(FTY7=0,0,IF(MAX($F9:FTX9)=$D12,0,FTX9+1))</f>
        <v>0</v>
      </c>
      <c r="FTZ9" s="26">
        <f>IF(FTZ7=0,0,IF(MAX($F9:FTY9)=$D12,0,FTY9+1))</f>
        <v>0</v>
      </c>
      <c r="FUA9" s="26">
        <f>IF(FUA7=0,0,IF(MAX($F9:FTZ9)=$D12,0,FTZ9+1))</f>
        <v>0</v>
      </c>
      <c r="FUB9" s="26">
        <f>IF(FUB7=0,0,IF(MAX($F9:FUA9)=$D12,0,FUA9+1))</f>
        <v>0</v>
      </c>
      <c r="FUC9" s="26">
        <f>IF(FUC7=0,0,IF(MAX($F9:FUB9)=$D12,0,FUB9+1))</f>
        <v>0</v>
      </c>
      <c r="FUD9" s="26">
        <f>IF(FUD7=0,0,IF(MAX($F9:FUC9)=$D12,0,FUC9+1))</f>
        <v>0</v>
      </c>
      <c r="FUE9" s="26">
        <f>IF(FUE7=0,0,IF(MAX($F9:FUD9)=$D12,0,FUD9+1))</f>
        <v>0</v>
      </c>
      <c r="FUF9" s="26">
        <f>IF(FUF7=0,0,IF(MAX($F9:FUE9)=$D12,0,FUE9+1))</f>
        <v>0</v>
      </c>
      <c r="FUG9" s="26">
        <f>IF(FUG7=0,0,IF(MAX($F9:FUF9)=$D12,0,FUF9+1))</f>
        <v>0</v>
      </c>
      <c r="FUH9" s="26">
        <f>IF(FUH7=0,0,IF(MAX($F9:FUG9)=$D12,0,FUG9+1))</f>
        <v>0</v>
      </c>
      <c r="FUI9" s="26">
        <f>IF(FUI7=0,0,IF(MAX($F9:FUH9)=$D12,0,FUH9+1))</f>
        <v>0</v>
      </c>
      <c r="FUJ9" s="26">
        <f>IF(FUJ7=0,0,IF(MAX($F9:FUI9)=$D12,0,FUI9+1))</f>
        <v>0</v>
      </c>
      <c r="FUK9" s="26">
        <f>IF(FUK7=0,0,IF(MAX($F9:FUJ9)=$D12,0,FUJ9+1))</f>
        <v>0</v>
      </c>
      <c r="FUL9" s="26">
        <f>IF(FUL7=0,0,IF(MAX($F9:FUK9)=$D12,0,FUK9+1))</f>
        <v>0</v>
      </c>
      <c r="FUM9" s="26">
        <f>IF(FUM7=0,0,IF(MAX($F9:FUL9)=$D12,0,FUL9+1))</f>
        <v>0</v>
      </c>
      <c r="FUN9" s="26">
        <f>IF(FUN7=0,0,IF(MAX($F9:FUM9)=$D12,0,FUM9+1))</f>
        <v>0</v>
      </c>
      <c r="FUO9" s="26">
        <f>IF(FUO7=0,0,IF(MAX($F9:FUN9)=$D12,0,FUN9+1))</f>
        <v>0</v>
      </c>
      <c r="FUP9" s="26">
        <f>IF(FUP7=0,0,IF(MAX($F9:FUO9)=$D12,0,FUO9+1))</f>
        <v>0</v>
      </c>
      <c r="FUQ9" s="26">
        <f>IF(FUQ7=0,0,IF(MAX($F9:FUP9)=$D12,0,FUP9+1))</f>
        <v>0</v>
      </c>
      <c r="FUR9" s="26">
        <f>IF(FUR7=0,0,IF(MAX($F9:FUQ9)=$D12,0,FUQ9+1))</f>
        <v>0</v>
      </c>
      <c r="FUS9" s="26">
        <f>IF(FUS7=0,0,IF(MAX($F9:FUR9)=$D12,0,FUR9+1))</f>
        <v>0</v>
      </c>
      <c r="FUT9" s="26">
        <f>IF(FUT7=0,0,IF(MAX($F9:FUS9)=$D12,0,FUS9+1))</f>
        <v>0</v>
      </c>
      <c r="FUU9" s="26">
        <f>IF(FUU7=0,0,IF(MAX($F9:FUT9)=$D12,0,FUT9+1))</f>
        <v>0</v>
      </c>
      <c r="FUV9" s="26">
        <f>IF(FUV7=0,0,IF(MAX($F9:FUU9)=$D12,0,FUU9+1))</f>
        <v>0</v>
      </c>
      <c r="FUW9" s="26">
        <f>IF(FUW7=0,0,IF(MAX($F9:FUV9)=$D12,0,FUV9+1))</f>
        <v>0</v>
      </c>
      <c r="FUX9" s="26">
        <f>IF(FUX7=0,0,IF(MAX($F9:FUW9)=$D12,0,FUW9+1))</f>
        <v>0</v>
      </c>
      <c r="FUY9" s="26">
        <f>IF(FUY7=0,0,IF(MAX($F9:FUX9)=$D12,0,FUX9+1))</f>
        <v>0</v>
      </c>
      <c r="FUZ9" s="26">
        <f>IF(FUZ7=0,0,IF(MAX($F9:FUY9)=$D12,0,FUY9+1))</f>
        <v>0</v>
      </c>
      <c r="FVA9" s="26">
        <f>IF(FVA7=0,0,IF(MAX($F9:FUZ9)=$D12,0,FUZ9+1))</f>
        <v>0</v>
      </c>
      <c r="FVB9" s="26">
        <f>IF(FVB7=0,0,IF(MAX($F9:FVA9)=$D12,0,FVA9+1))</f>
        <v>0</v>
      </c>
      <c r="FVC9" s="26">
        <f>IF(FVC7=0,0,IF(MAX($F9:FVB9)=$D12,0,FVB9+1))</f>
        <v>0</v>
      </c>
      <c r="FVD9" s="26">
        <f>IF(FVD7=0,0,IF(MAX($F9:FVC9)=$D12,0,FVC9+1))</f>
        <v>0</v>
      </c>
      <c r="FVE9" s="26">
        <f>IF(FVE7=0,0,IF(MAX($F9:FVD9)=$D12,0,FVD9+1))</f>
        <v>0</v>
      </c>
      <c r="FVF9" s="26">
        <f>IF(FVF7=0,0,IF(MAX($F9:FVE9)=$D12,0,FVE9+1))</f>
        <v>0</v>
      </c>
      <c r="FVG9" s="26">
        <f>IF(FVG7=0,0,IF(MAX($F9:FVF9)=$D12,0,FVF9+1))</f>
        <v>0</v>
      </c>
      <c r="FVH9" s="26">
        <f>IF(FVH7=0,0,IF(MAX($F9:FVG9)=$D12,0,FVG9+1))</f>
        <v>0</v>
      </c>
      <c r="FVI9" s="26">
        <f>IF(FVI7=0,0,IF(MAX($F9:FVH9)=$D12,0,FVH9+1))</f>
        <v>0</v>
      </c>
      <c r="FVJ9" s="26">
        <f>IF(FVJ7=0,0,IF(MAX($F9:FVI9)=$D12,0,FVI9+1))</f>
        <v>0</v>
      </c>
      <c r="FVK9" s="26">
        <f>IF(FVK7=0,0,IF(MAX($F9:FVJ9)=$D12,0,FVJ9+1))</f>
        <v>0</v>
      </c>
      <c r="FVL9" s="26">
        <f>IF(FVL7=0,0,IF(MAX($F9:FVK9)=$D12,0,FVK9+1))</f>
        <v>0</v>
      </c>
      <c r="FVM9" s="26">
        <f>IF(FVM7=0,0,IF(MAX($F9:FVL9)=$D12,0,FVL9+1))</f>
        <v>0</v>
      </c>
      <c r="FVN9" s="26">
        <f>IF(FVN7=0,0,IF(MAX($F9:FVM9)=$D12,0,FVM9+1))</f>
        <v>0</v>
      </c>
      <c r="FVO9" s="26">
        <f>IF(FVO7=0,0,IF(MAX($F9:FVN9)=$D12,0,FVN9+1))</f>
        <v>0</v>
      </c>
      <c r="FVP9" s="26">
        <f>IF(FVP7=0,0,IF(MAX($F9:FVO9)=$D12,0,FVO9+1))</f>
        <v>0</v>
      </c>
      <c r="FVQ9" s="26">
        <f>IF(FVQ7=0,0,IF(MAX($F9:FVP9)=$D12,0,FVP9+1))</f>
        <v>0</v>
      </c>
      <c r="FVR9" s="26">
        <f>IF(FVR7=0,0,IF(MAX($F9:FVQ9)=$D12,0,FVQ9+1))</f>
        <v>0</v>
      </c>
      <c r="FVS9" s="26">
        <f>IF(FVS7=0,0,IF(MAX($F9:FVR9)=$D12,0,FVR9+1))</f>
        <v>0</v>
      </c>
      <c r="FVT9" s="26">
        <f>IF(FVT7=0,0,IF(MAX($F9:FVS9)=$D12,0,FVS9+1))</f>
        <v>0</v>
      </c>
      <c r="FVU9" s="26">
        <f>IF(FVU7=0,0,IF(MAX($F9:FVT9)=$D12,0,FVT9+1))</f>
        <v>0</v>
      </c>
      <c r="FVV9" s="26">
        <f>IF(FVV7=0,0,IF(MAX($F9:FVU9)=$D12,0,FVU9+1))</f>
        <v>0</v>
      </c>
      <c r="FVW9" s="26">
        <f>IF(FVW7=0,0,IF(MAX($F9:FVV9)=$D12,0,FVV9+1))</f>
        <v>0</v>
      </c>
      <c r="FVX9" s="26">
        <f>IF(FVX7=0,0,IF(MAX($F9:FVW9)=$D12,0,FVW9+1))</f>
        <v>0</v>
      </c>
      <c r="FVY9" s="26">
        <f>IF(FVY7=0,0,IF(MAX($F9:FVX9)=$D12,0,FVX9+1))</f>
        <v>0</v>
      </c>
      <c r="FVZ9" s="26">
        <f>IF(FVZ7=0,0,IF(MAX($F9:FVY9)=$D12,0,FVY9+1))</f>
        <v>0</v>
      </c>
      <c r="FWA9" s="26">
        <f>IF(FWA7=0,0,IF(MAX($F9:FVZ9)=$D12,0,FVZ9+1))</f>
        <v>0</v>
      </c>
      <c r="FWB9" s="26">
        <f>IF(FWB7=0,0,IF(MAX($F9:FWA9)=$D12,0,FWA9+1))</f>
        <v>0</v>
      </c>
      <c r="FWC9" s="26">
        <f>IF(FWC7=0,0,IF(MAX($F9:FWB9)=$D12,0,FWB9+1))</f>
        <v>0</v>
      </c>
      <c r="FWD9" s="26">
        <f>IF(FWD7=0,0,IF(MAX($F9:FWC9)=$D12,0,FWC9+1))</f>
        <v>0</v>
      </c>
      <c r="FWE9" s="26">
        <f>IF(FWE7=0,0,IF(MAX($F9:FWD9)=$D12,0,FWD9+1))</f>
        <v>0</v>
      </c>
      <c r="FWF9" s="26">
        <f>IF(FWF7=0,0,IF(MAX($F9:FWE9)=$D12,0,FWE9+1))</f>
        <v>0</v>
      </c>
      <c r="FWG9" s="26">
        <f>IF(FWG7=0,0,IF(MAX($F9:FWF9)=$D12,0,FWF9+1))</f>
        <v>0</v>
      </c>
      <c r="FWH9" s="26">
        <f>IF(FWH7=0,0,IF(MAX($F9:FWG9)=$D12,0,FWG9+1))</f>
        <v>0</v>
      </c>
      <c r="FWI9" s="26">
        <f>IF(FWI7=0,0,IF(MAX($F9:FWH9)=$D12,0,FWH9+1))</f>
        <v>0</v>
      </c>
      <c r="FWJ9" s="26">
        <f>IF(FWJ7=0,0,IF(MAX($F9:FWI9)=$D12,0,FWI9+1))</f>
        <v>0</v>
      </c>
      <c r="FWK9" s="26">
        <f>IF(FWK7=0,0,IF(MAX($F9:FWJ9)=$D12,0,FWJ9+1))</f>
        <v>0</v>
      </c>
      <c r="FWL9" s="26">
        <f>IF(FWL7=0,0,IF(MAX($F9:FWK9)=$D12,0,FWK9+1))</f>
        <v>0</v>
      </c>
      <c r="FWM9" s="26">
        <f>IF(FWM7=0,0,IF(MAX($F9:FWL9)=$D12,0,FWL9+1))</f>
        <v>0</v>
      </c>
      <c r="FWN9" s="26">
        <f>IF(FWN7=0,0,IF(MAX($F9:FWM9)=$D12,0,FWM9+1))</f>
        <v>0</v>
      </c>
      <c r="FWO9" s="26">
        <f>IF(FWO7=0,0,IF(MAX($F9:FWN9)=$D12,0,FWN9+1))</f>
        <v>0</v>
      </c>
      <c r="FWP9" s="26">
        <f>IF(FWP7=0,0,IF(MAX($F9:FWO9)=$D12,0,FWO9+1))</f>
        <v>0</v>
      </c>
      <c r="FWQ9" s="26">
        <f>IF(FWQ7=0,0,IF(MAX($F9:FWP9)=$D12,0,FWP9+1))</f>
        <v>0</v>
      </c>
      <c r="FWR9" s="26">
        <f>IF(FWR7=0,0,IF(MAX($F9:FWQ9)=$D12,0,FWQ9+1))</f>
        <v>0</v>
      </c>
      <c r="FWS9" s="26">
        <f>IF(FWS7=0,0,IF(MAX($F9:FWR9)=$D12,0,FWR9+1))</f>
        <v>0</v>
      </c>
      <c r="FWT9" s="26">
        <f>IF(FWT7=0,0,IF(MAX($F9:FWS9)=$D12,0,FWS9+1))</f>
        <v>0</v>
      </c>
      <c r="FWU9" s="26">
        <f>IF(FWU7=0,0,IF(MAX($F9:FWT9)=$D12,0,FWT9+1))</f>
        <v>0</v>
      </c>
      <c r="FWV9" s="26">
        <f>IF(FWV7=0,0,IF(MAX($F9:FWU9)=$D12,0,FWU9+1))</f>
        <v>0</v>
      </c>
      <c r="FWW9" s="26">
        <f>IF(FWW7=0,0,IF(MAX($F9:FWV9)=$D12,0,FWV9+1))</f>
        <v>0</v>
      </c>
      <c r="FWX9" s="26">
        <f>IF(FWX7=0,0,IF(MAX($F9:FWW9)=$D12,0,FWW9+1))</f>
        <v>0</v>
      </c>
      <c r="FWY9" s="26">
        <f>IF(FWY7=0,0,IF(MAX($F9:FWX9)=$D12,0,FWX9+1))</f>
        <v>0</v>
      </c>
      <c r="FWZ9" s="26">
        <f>IF(FWZ7=0,0,IF(MAX($F9:FWY9)=$D12,0,FWY9+1))</f>
        <v>0</v>
      </c>
      <c r="FXA9" s="26">
        <f>IF(FXA7=0,0,IF(MAX($F9:FWZ9)=$D12,0,FWZ9+1))</f>
        <v>0</v>
      </c>
      <c r="FXB9" s="26">
        <f>IF(FXB7=0,0,IF(MAX($F9:FXA9)=$D12,0,FXA9+1))</f>
        <v>0</v>
      </c>
      <c r="FXC9" s="26">
        <f>IF(FXC7=0,0,IF(MAX($F9:FXB9)=$D12,0,FXB9+1))</f>
        <v>0</v>
      </c>
      <c r="FXD9" s="26">
        <f>IF(FXD7=0,0,IF(MAX($F9:FXC9)=$D12,0,FXC9+1))</f>
        <v>0</v>
      </c>
      <c r="FXE9" s="26">
        <f>IF(FXE7=0,0,IF(MAX($F9:FXD9)=$D12,0,FXD9+1))</f>
        <v>0</v>
      </c>
      <c r="FXF9" s="26">
        <f>IF(FXF7=0,0,IF(MAX($F9:FXE9)=$D12,0,FXE9+1))</f>
        <v>0</v>
      </c>
      <c r="FXG9" s="26">
        <f>IF(FXG7=0,0,IF(MAX($F9:FXF9)=$D12,0,FXF9+1))</f>
        <v>0</v>
      </c>
      <c r="FXH9" s="26">
        <f>IF(FXH7=0,0,IF(MAX($F9:FXG9)=$D12,0,FXG9+1))</f>
        <v>0</v>
      </c>
      <c r="FXI9" s="26">
        <f>IF(FXI7=0,0,IF(MAX($F9:FXH9)=$D12,0,FXH9+1))</f>
        <v>0</v>
      </c>
      <c r="FXJ9" s="26">
        <f>IF(FXJ7=0,0,IF(MAX($F9:FXI9)=$D12,0,FXI9+1))</f>
        <v>0</v>
      </c>
      <c r="FXK9" s="26">
        <f>IF(FXK7=0,0,IF(MAX($F9:FXJ9)=$D12,0,FXJ9+1))</f>
        <v>0</v>
      </c>
      <c r="FXL9" s="26">
        <f>IF(FXL7=0,0,IF(MAX($F9:FXK9)=$D12,0,FXK9+1))</f>
        <v>0</v>
      </c>
      <c r="FXM9" s="26">
        <f>IF(FXM7=0,0,IF(MAX($F9:FXL9)=$D12,0,FXL9+1))</f>
        <v>0</v>
      </c>
      <c r="FXN9" s="26">
        <f>IF(FXN7=0,0,IF(MAX($F9:FXM9)=$D12,0,FXM9+1))</f>
        <v>0</v>
      </c>
      <c r="FXO9" s="26">
        <f>IF(FXO7=0,0,IF(MAX($F9:FXN9)=$D12,0,FXN9+1))</f>
        <v>0</v>
      </c>
      <c r="FXP9" s="26">
        <f>IF(FXP7=0,0,IF(MAX($F9:FXO9)=$D12,0,FXO9+1))</f>
        <v>0</v>
      </c>
      <c r="FXQ9" s="26">
        <f>IF(FXQ7=0,0,IF(MAX($F9:FXP9)=$D12,0,FXP9+1))</f>
        <v>0</v>
      </c>
      <c r="FXR9" s="26">
        <f>IF(FXR7=0,0,IF(MAX($F9:FXQ9)=$D12,0,FXQ9+1))</f>
        <v>0</v>
      </c>
      <c r="FXS9" s="26">
        <f>IF(FXS7=0,0,IF(MAX($F9:FXR9)=$D12,0,FXR9+1))</f>
        <v>0</v>
      </c>
      <c r="FXT9" s="26">
        <f>IF(FXT7=0,0,IF(MAX($F9:FXS9)=$D12,0,FXS9+1))</f>
        <v>0</v>
      </c>
      <c r="FXU9" s="26">
        <f>IF(FXU7=0,0,IF(MAX($F9:FXT9)=$D12,0,FXT9+1))</f>
        <v>0</v>
      </c>
      <c r="FXV9" s="26">
        <f>IF(FXV7=0,0,IF(MAX($F9:FXU9)=$D12,0,FXU9+1))</f>
        <v>0</v>
      </c>
      <c r="FXW9" s="26">
        <f>IF(FXW7=0,0,IF(MAX($F9:FXV9)=$D12,0,FXV9+1))</f>
        <v>0</v>
      </c>
      <c r="FXX9" s="26">
        <f>IF(FXX7=0,0,IF(MAX($F9:FXW9)=$D12,0,FXW9+1))</f>
        <v>0</v>
      </c>
      <c r="FXY9" s="26">
        <f>IF(FXY7=0,0,IF(MAX($F9:FXX9)=$D12,0,FXX9+1))</f>
        <v>0</v>
      </c>
      <c r="FXZ9" s="26">
        <f>IF(FXZ7=0,0,IF(MAX($F9:FXY9)=$D12,0,FXY9+1))</f>
        <v>0</v>
      </c>
      <c r="FYA9" s="26">
        <f>IF(FYA7=0,0,IF(MAX($F9:FXZ9)=$D12,0,FXZ9+1))</f>
        <v>0</v>
      </c>
      <c r="FYB9" s="26">
        <f>IF(FYB7=0,0,IF(MAX($F9:FYA9)=$D12,0,FYA9+1))</f>
        <v>0</v>
      </c>
      <c r="FYC9" s="26">
        <f>IF(FYC7=0,0,IF(MAX($F9:FYB9)=$D12,0,FYB9+1))</f>
        <v>0</v>
      </c>
      <c r="FYD9" s="26">
        <f>IF(FYD7=0,0,IF(MAX($F9:FYC9)=$D12,0,FYC9+1))</f>
        <v>0</v>
      </c>
      <c r="FYE9" s="26">
        <f>IF(FYE7=0,0,IF(MAX($F9:FYD9)=$D12,0,FYD9+1))</f>
        <v>0</v>
      </c>
      <c r="FYF9" s="26">
        <f>IF(FYF7=0,0,IF(MAX($F9:FYE9)=$D12,0,FYE9+1))</f>
        <v>0</v>
      </c>
      <c r="FYG9" s="26">
        <f>IF(FYG7=0,0,IF(MAX($F9:FYF9)=$D12,0,FYF9+1))</f>
        <v>0</v>
      </c>
      <c r="FYH9" s="26">
        <f>IF(FYH7=0,0,IF(MAX($F9:FYG9)=$D12,0,FYG9+1))</f>
        <v>0</v>
      </c>
      <c r="FYI9" s="26">
        <f>IF(FYI7=0,0,IF(MAX($F9:FYH9)=$D12,0,FYH9+1))</f>
        <v>0</v>
      </c>
      <c r="FYJ9" s="26">
        <f>IF(FYJ7=0,0,IF(MAX($F9:FYI9)=$D12,0,FYI9+1))</f>
        <v>0</v>
      </c>
      <c r="FYK9" s="26">
        <f>IF(FYK7=0,0,IF(MAX($F9:FYJ9)=$D12,0,FYJ9+1))</f>
        <v>0</v>
      </c>
      <c r="FYL9" s="26">
        <f>IF(FYL7=0,0,IF(MAX($F9:FYK9)=$D12,0,FYK9+1))</f>
        <v>0</v>
      </c>
      <c r="FYM9" s="26">
        <f>IF(FYM7=0,0,IF(MAX($F9:FYL9)=$D12,0,FYL9+1))</f>
        <v>0</v>
      </c>
      <c r="FYN9" s="26">
        <f>IF(FYN7=0,0,IF(MAX($F9:FYM9)=$D12,0,FYM9+1))</f>
        <v>0</v>
      </c>
      <c r="FYO9" s="26">
        <f>IF(FYO7=0,0,IF(MAX($F9:FYN9)=$D12,0,FYN9+1))</f>
        <v>0</v>
      </c>
      <c r="FYP9" s="26">
        <f>IF(FYP7=0,0,IF(MAX($F9:FYO9)=$D12,0,FYO9+1))</f>
        <v>0</v>
      </c>
      <c r="FYQ9" s="26">
        <f>IF(FYQ7=0,0,IF(MAX($F9:FYP9)=$D12,0,FYP9+1))</f>
        <v>0</v>
      </c>
      <c r="FYR9" s="26">
        <f>IF(FYR7=0,0,IF(MAX($F9:FYQ9)=$D12,0,FYQ9+1))</f>
        <v>0</v>
      </c>
      <c r="FYS9" s="26">
        <f>IF(FYS7=0,0,IF(MAX($F9:FYR9)=$D12,0,FYR9+1))</f>
        <v>0</v>
      </c>
      <c r="FYT9" s="26">
        <f>IF(FYT7=0,0,IF(MAX($F9:FYS9)=$D12,0,FYS9+1))</f>
        <v>0</v>
      </c>
      <c r="FYU9" s="26">
        <f>IF(FYU7=0,0,IF(MAX($F9:FYT9)=$D12,0,FYT9+1))</f>
        <v>0</v>
      </c>
      <c r="FYV9" s="26">
        <f>IF(FYV7=0,0,IF(MAX($F9:FYU9)=$D12,0,FYU9+1))</f>
        <v>0</v>
      </c>
      <c r="FYW9" s="26">
        <f>IF(FYW7=0,0,IF(MAX($F9:FYV9)=$D12,0,FYV9+1))</f>
        <v>0</v>
      </c>
      <c r="FYX9" s="26">
        <f>IF(FYX7=0,0,IF(MAX($F9:FYW9)=$D12,0,FYW9+1))</f>
        <v>0</v>
      </c>
      <c r="FYY9" s="26">
        <f>IF(FYY7=0,0,IF(MAX($F9:FYX9)=$D12,0,FYX9+1))</f>
        <v>0</v>
      </c>
      <c r="FYZ9" s="26">
        <f>IF(FYZ7=0,0,IF(MAX($F9:FYY9)=$D12,0,FYY9+1))</f>
        <v>0</v>
      </c>
      <c r="FZA9" s="26">
        <f>IF(FZA7=0,0,IF(MAX($F9:FYZ9)=$D12,0,FYZ9+1))</f>
        <v>0</v>
      </c>
      <c r="FZB9" s="26">
        <f>IF(FZB7=0,0,IF(MAX($F9:FZA9)=$D12,0,FZA9+1))</f>
        <v>0</v>
      </c>
      <c r="FZC9" s="26">
        <f>IF(FZC7=0,0,IF(MAX($F9:FZB9)=$D12,0,FZB9+1))</f>
        <v>0</v>
      </c>
      <c r="FZD9" s="26">
        <f>IF(FZD7=0,0,IF(MAX($F9:FZC9)=$D12,0,FZC9+1))</f>
        <v>0</v>
      </c>
      <c r="FZE9" s="26">
        <f>IF(FZE7=0,0,IF(MAX($F9:FZD9)=$D12,0,FZD9+1))</f>
        <v>0</v>
      </c>
      <c r="FZF9" s="26">
        <f>IF(FZF7=0,0,IF(MAX($F9:FZE9)=$D12,0,FZE9+1))</f>
        <v>0</v>
      </c>
      <c r="FZG9" s="26">
        <f>IF(FZG7=0,0,IF(MAX($F9:FZF9)=$D12,0,FZF9+1))</f>
        <v>0</v>
      </c>
      <c r="FZH9" s="26">
        <f>IF(FZH7=0,0,IF(MAX($F9:FZG9)=$D12,0,FZG9+1))</f>
        <v>0</v>
      </c>
      <c r="FZI9" s="26">
        <f>IF(FZI7=0,0,IF(MAX($F9:FZH9)=$D12,0,FZH9+1))</f>
        <v>0</v>
      </c>
      <c r="FZJ9" s="26">
        <f>IF(FZJ7=0,0,IF(MAX($F9:FZI9)=$D12,0,FZI9+1))</f>
        <v>0</v>
      </c>
      <c r="FZK9" s="26">
        <f>IF(FZK7=0,0,IF(MAX($F9:FZJ9)=$D12,0,FZJ9+1))</f>
        <v>0</v>
      </c>
      <c r="FZL9" s="26">
        <f>IF(FZL7=0,0,IF(MAX($F9:FZK9)=$D12,0,FZK9+1))</f>
        <v>0</v>
      </c>
      <c r="FZM9" s="26">
        <f>IF(FZM7=0,0,IF(MAX($F9:FZL9)=$D12,0,FZL9+1))</f>
        <v>0</v>
      </c>
      <c r="FZN9" s="26">
        <f>IF(FZN7=0,0,IF(MAX($F9:FZM9)=$D12,0,FZM9+1))</f>
        <v>0</v>
      </c>
      <c r="FZO9" s="26">
        <f>IF(FZO7=0,0,IF(MAX($F9:FZN9)=$D12,0,FZN9+1))</f>
        <v>0</v>
      </c>
      <c r="FZP9" s="26">
        <f>IF(FZP7=0,0,IF(MAX($F9:FZO9)=$D12,0,FZO9+1))</f>
        <v>0</v>
      </c>
      <c r="FZQ9" s="26">
        <f>IF(FZQ7=0,0,IF(MAX($F9:FZP9)=$D12,0,FZP9+1))</f>
        <v>0</v>
      </c>
      <c r="FZR9" s="26">
        <f>IF(FZR7=0,0,IF(MAX($F9:FZQ9)=$D12,0,FZQ9+1))</f>
        <v>0</v>
      </c>
      <c r="FZS9" s="26">
        <f>IF(FZS7=0,0,IF(MAX($F9:FZR9)=$D12,0,FZR9+1))</f>
        <v>0</v>
      </c>
      <c r="FZT9" s="26">
        <f>IF(FZT7=0,0,IF(MAX($F9:FZS9)=$D12,0,FZS9+1))</f>
        <v>0</v>
      </c>
      <c r="FZU9" s="26">
        <f>IF(FZU7=0,0,IF(MAX($F9:FZT9)=$D12,0,FZT9+1))</f>
        <v>0</v>
      </c>
      <c r="FZV9" s="26">
        <f>IF(FZV7=0,0,IF(MAX($F9:FZU9)=$D12,0,FZU9+1))</f>
        <v>0</v>
      </c>
      <c r="FZW9" s="26">
        <f>IF(FZW7=0,0,IF(MAX($F9:FZV9)=$D12,0,FZV9+1))</f>
        <v>0</v>
      </c>
      <c r="FZX9" s="26">
        <f>IF(FZX7=0,0,IF(MAX($F9:FZW9)=$D12,0,FZW9+1))</f>
        <v>0</v>
      </c>
      <c r="FZY9" s="26">
        <f>IF(FZY7=0,0,IF(MAX($F9:FZX9)=$D12,0,FZX9+1))</f>
        <v>0</v>
      </c>
      <c r="FZZ9" s="26">
        <f>IF(FZZ7=0,0,IF(MAX($F9:FZY9)=$D12,0,FZY9+1))</f>
        <v>0</v>
      </c>
      <c r="GAA9" s="26">
        <f>IF(GAA7=0,0,IF(MAX($F9:FZZ9)=$D12,0,FZZ9+1))</f>
        <v>0</v>
      </c>
      <c r="GAB9" s="26">
        <f>IF(GAB7=0,0,IF(MAX($F9:GAA9)=$D12,0,GAA9+1))</f>
        <v>0</v>
      </c>
      <c r="GAC9" s="26">
        <f>IF(GAC7=0,0,IF(MAX($F9:GAB9)=$D12,0,GAB9+1))</f>
        <v>0</v>
      </c>
      <c r="GAD9" s="26">
        <f>IF(GAD7=0,0,IF(MAX($F9:GAC9)=$D12,0,GAC9+1))</f>
        <v>0</v>
      </c>
      <c r="GAE9" s="26">
        <f>IF(GAE7=0,0,IF(MAX($F9:GAD9)=$D12,0,GAD9+1))</f>
        <v>0</v>
      </c>
      <c r="GAF9" s="26">
        <f>IF(GAF7=0,0,IF(MAX($F9:GAE9)=$D12,0,GAE9+1))</f>
        <v>0</v>
      </c>
      <c r="GAG9" s="26">
        <f>IF(GAG7=0,0,IF(MAX($F9:GAF9)=$D12,0,GAF9+1))</f>
        <v>0</v>
      </c>
      <c r="GAH9" s="26">
        <f>IF(GAH7=0,0,IF(MAX($F9:GAG9)=$D12,0,GAG9+1))</f>
        <v>0</v>
      </c>
      <c r="GAI9" s="26">
        <f>IF(GAI7=0,0,IF(MAX($F9:GAH9)=$D12,0,GAH9+1))</f>
        <v>0</v>
      </c>
      <c r="GAJ9" s="26">
        <f>IF(GAJ7=0,0,IF(MAX($F9:GAI9)=$D12,0,GAI9+1))</f>
        <v>0</v>
      </c>
      <c r="GAK9" s="26">
        <f>IF(GAK7=0,0,IF(MAX($F9:GAJ9)=$D12,0,GAJ9+1))</f>
        <v>0</v>
      </c>
      <c r="GAL9" s="26">
        <f>IF(GAL7=0,0,IF(MAX($F9:GAK9)=$D12,0,GAK9+1))</f>
        <v>0</v>
      </c>
      <c r="GAM9" s="26">
        <f>IF(GAM7=0,0,IF(MAX($F9:GAL9)=$D12,0,GAL9+1))</f>
        <v>0</v>
      </c>
      <c r="GAN9" s="26">
        <f>IF(GAN7=0,0,IF(MAX($F9:GAM9)=$D12,0,GAM9+1))</f>
        <v>0</v>
      </c>
      <c r="GAO9" s="26">
        <f>IF(GAO7=0,0,IF(MAX($F9:GAN9)=$D12,0,GAN9+1))</f>
        <v>0</v>
      </c>
      <c r="GAP9" s="26">
        <f>IF(GAP7=0,0,IF(MAX($F9:GAO9)=$D12,0,GAO9+1))</f>
        <v>0</v>
      </c>
      <c r="GAQ9" s="26">
        <f>IF(GAQ7=0,0,IF(MAX($F9:GAP9)=$D12,0,GAP9+1))</f>
        <v>0</v>
      </c>
      <c r="GAR9" s="26">
        <f>IF(GAR7=0,0,IF(MAX($F9:GAQ9)=$D12,0,GAQ9+1))</f>
        <v>0</v>
      </c>
      <c r="GAS9" s="26">
        <f>IF(GAS7=0,0,IF(MAX($F9:GAR9)=$D12,0,GAR9+1))</f>
        <v>0</v>
      </c>
      <c r="GAT9" s="26">
        <f>IF(GAT7=0,0,IF(MAX($F9:GAS9)=$D12,0,GAS9+1))</f>
        <v>0</v>
      </c>
      <c r="GAU9" s="26">
        <f>IF(GAU7=0,0,IF(MAX($F9:GAT9)=$D12,0,GAT9+1))</f>
        <v>0</v>
      </c>
      <c r="GAV9" s="26">
        <f>IF(GAV7=0,0,IF(MAX($F9:GAU9)=$D12,0,GAU9+1))</f>
        <v>0</v>
      </c>
      <c r="GAW9" s="26">
        <f>IF(GAW7=0,0,IF(MAX($F9:GAV9)=$D12,0,GAV9+1))</f>
        <v>0</v>
      </c>
      <c r="GAX9" s="26">
        <f>IF(GAX7=0,0,IF(MAX($F9:GAW9)=$D12,0,GAW9+1))</f>
        <v>0</v>
      </c>
      <c r="GAY9" s="26">
        <f>IF(GAY7=0,0,IF(MAX($F9:GAX9)=$D12,0,GAX9+1))</f>
        <v>0</v>
      </c>
      <c r="GAZ9" s="26">
        <f>IF(GAZ7=0,0,IF(MAX($F9:GAY9)=$D12,0,GAY9+1))</f>
        <v>0</v>
      </c>
      <c r="GBA9" s="26">
        <f>IF(GBA7=0,0,IF(MAX($F9:GAZ9)=$D12,0,GAZ9+1))</f>
        <v>0</v>
      </c>
      <c r="GBB9" s="26">
        <f>IF(GBB7=0,0,IF(MAX($F9:GBA9)=$D12,0,GBA9+1))</f>
        <v>0</v>
      </c>
      <c r="GBC9" s="26">
        <f>IF(GBC7=0,0,IF(MAX($F9:GBB9)=$D12,0,GBB9+1))</f>
        <v>0</v>
      </c>
      <c r="GBD9" s="26">
        <f>IF(GBD7=0,0,IF(MAX($F9:GBC9)=$D12,0,GBC9+1))</f>
        <v>0</v>
      </c>
      <c r="GBE9" s="26">
        <f>IF(GBE7=0,0,IF(MAX($F9:GBD9)=$D12,0,GBD9+1))</f>
        <v>0</v>
      </c>
      <c r="GBF9" s="26">
        <f>IF(GBF7=0,0,IF(MAX($F9:GBE9)=$D12,0,GBE9+1))</f>
        <v>0</v>
      </c>
      <c r="GBG9" s="26">
        <f>IF(GBG7=0,0,IF(MAX($F9:GBF9)=$D12,0,GBF9+1))</f>
        <v>0</v>
      </c>
      <c r="GBH9" s="26">
        <f>IF(GBH7=0,0,IF(MAX($F9:GBG9)=$D12,0,GBG9+1))</f>
        <v>0</v>
      </c>
      <c r="GBI9" s="26">
        <f>IF(GBI7=0,0,IF(MAX($F9:GBH9)=$D12,0,GBH9+1))</f>
        <v>0</v>
      </c>
      <c r="GBJ9" s="26">
        <f>IF(GBJ7=0,0,IF(MAX($F9:GBI9)=$D12,0,GBI9+1))</f>
        <v>0</v>
      </c>
      <c r="GBK9" s="26">
        <f>IF(GBK7=0,0,IF(MAX($F9:GBJ9)=$D12,0,GBJ9+1))</f>
        <v>0</v>
      </c>
      <c r="GBL9" s="26">
        <f>IF(GBL7=0,0,IF(MAX($F9:GBK9)=$D12,0,GBK9+1))</f>
        <v>0</v>
      </c>
      <c r="GBM9" s="26">
        <f>IF(GBM7=0,0,IF(MAX($F9:GBL9)=$D12,0,GBL9+1))</f>
        <v>0</v>
      </c>
      <c r="GBN9" s="26">
        <f>IF(GBN7=0,0,IF(MAX($F9:GBM9)=$D12,0,GBM9+1))</f>
        <v>0</v>
      </c>
      <c r="GBO9" s="26">
        <f>IF(GBO7=0,0,IF(MAX($F9:GBN9)=$D12,0,GBN9+1))</f>
        <v>0</v>
      </c>
      <c r="GBP9" s="26">
        <f>IF(GBP7=0,0,IF(MAX($F9:GBO9)=$D12,0,GBO9+1))</f>
        <v>0</v>
      </c>
      <c r="GBQ9" s="26">
        <f>IF(GBQ7=0,0,IF(MAX($F9:GBP9)=$D12,0,GBP9+1))</f>
        <v>0</v>
      </c>
      <c r="GBR9" s="26">
        <f>IF(GBR7=0,0,IF(MAX($F9:GBQ9)=$D12,0,GBQ9+1))</f>
        <v>0</v>
      </c>
      <c r="GBS9" s="26">
        <f>IF(GBS7=0,0,IF(MAX($F9:GBR9)=$D12,0,GBR9+1))</f>
        <v>0</v>
      </c>
      <c r="GBT9" s="26">
        <f>IF(GBT7=0,0,IF(MAX($F9:GBS9)=$D12,0,GBS9+1))</f>
        <v>0</v>
      </c>
      <c r="GBU9" s="26">
        <f>IF(GBU7=0,0,IF(MAX($F9:GBT9)=$D12,0,GBT9+1))</f>
        <v>0</v>
      </c>
      <c r="GBV9" s="26">
        <f>IF(GBV7=0,0,IF(MAX($F9:GBU9)=$D12,0,GBU9+1))</f>
        <v>0</v>
      </c>
      <c r="GBW9" s="26">
        <f>IF(GBW7=0,0,IF(MAX($F9:GBV9)=$D12,0,GBV9+1))</f>
        <v>0</v>
      </c>
      <c r="GBX9" s="26">
        <f>IF(GBX7=0,0,IF(MAX($F9:GBW9)=$D12,0,GBW9+1))</f>
        <v>0</v>
      </c>
      <c r="GBY9" s="26">
        <f>IF(GBY7=0,0,IF(MAX($F9:GBX9)=$D12,0,GBX9+1))</f>
        <v>0</v>
      </c>
      <c r="GBZ9" s="26">
        <f>IF(GBZ7=0,0,IF(MAX($F9:GBY9)=$D12,0,GBY9+1))</f>
        <v>0</v>
      </c>
      <c r="GCA9" s="26">
        <f>IF(GCA7=0,0,IF(MAX($F9:GBZ9)=$D12,0,GBZ9+1))</f>
        <v>0</v>
      </c>
      <c r="GCB9" s="26">
        <f>IF(GCB7=0,0,IF(MAX($F9:GCA9)=$D12,0,GCA9+1))</f>
        <v>0</v>
      </c>
      <c r="GCC9" s="26">
        <f>IF(GCC7=0,0,IF(MAX($F9:GCB9)=$D12,0,GCB9+1))</f>
        <v>0</v>
      </c>
      <c r="GCD9" s="26">
        <f>IF(GCD7=0,0,IF(MAX($F9:GCC9)=$D12,0,GCC9+1))</f>
        <v>0</v>
      </c>
      <c r="GCE9" s="26">
        <f>IF(GCE7=0,0,IF(MAX($F9:GCD9)=$D12,0,GCD9+1))</f>
        <v>0</v>
      </c>
      <c r="GCF9" s="26">
        <f>IF(GCF7=0,0,IF(MAX($F9:GCE9)=$D12,0,GCE9+1))</f>
        <v>0</v>
      </c>
      <c r="GCG9" s="26">
        <f>IF(GCG7=0,0,IF(MAX($F9:GCF9)=$D12,0,GCF9+1))</f>
        <v>0</v>
      </c>
      <c r="GCH9" s="26">
        <f>IF(GCH7=0,0,IF(MAX($F9:GCG9)=$D12,0,GCG9+1))</f>
        <v>0</v>
      </c>
      <c r="GCI9" s="26">
        <f>IF(GCI7=0,0,IF(MAX($F9:GCH9)=$D12,0,GCH9+1))</f>
        <v>0</v>
      </c>
      <c r="GCJ9" s="26">
        <f>IF(GCJ7=0,0,IF(MAX($F9:GCI9)=$D12,0,GCI9+1))</f>
        <v>0</v>
      </c>
      <c r="GCK9" s="26">
        <f>IF(GCK7=0,0,IF(MAX($F9:GCJ9)=$D12,0,GCJ9+1))</f>
        <v>0</v>
      </c>
      <c r="GCL9" s="26">
        <f>IF(GCL7=0,0,IF(MAX($F9:GCK9)=$D12,0,GCK9+1))</f>
        <v>0</v>
      </c>
      <c r="GCM9" s="26">
        <f>IF(GCM7=0,0,IF(MAX($F9:GCL9)=$D12,0,GCL9+1))</f>
        <v>0</v>
      </c>
      <c r="GCN9" s="26">
        <f>IF(GCN7=0,0,IF(MAX($F9:GCM9)=$D12,0,GCM9+1))</f>
        <v>0</v>
      </c>
      <c r="GCO9" s="26">
        <f>IF(GCO7=0,0,IF(MAX($F9:GCN9)=$D12,0,GCN9+1))</f>
        <v>0</v>
      </c>
      <c r="GCP9" s="26">
        <f>IF(GCP7=0,0,IF(MAX($F9:GCO9)=$D12,0,GCO9+1))</f>
        <v>0</v>
      </c>
      <c r="GCQ9" s="26">
        <f>IF(GCQ7=0,0,IF(MAX($F9:GCP9)=$D12,0,GCP9+1))</f>
        <v>0</v>
      </c>
      <c r="GCR9" s="26">
        <f>IF(GCR7=0,0,IF(MAX($F9:GCQ9)=$D12,0,GCQ9+1))</f>
        <v>0</v>
      </c>
      <c r="GCS9" s="26">
        <f>IF(GCS7=0,0,IF(MAX($F9:GCR9)=$D12,0,GCR9+1))</f>
        <v>0</v>
      </c>
      <c r="GCT9" s="26">
        <f>IF(GCT7=0,0,IF(MAX($F9:GCS9)=$D12,0,GCS9+1))</f>
        <v>0</v>
      </c>
      <c r="GCU9" s="26">
        <f>IF(GCU7=0,0,IF(MAX($F9:GCT9)=$D12,0,GCT9+1))</f>
        <v>0</v>
      </c>
      <c r="GCV9" s="26">
        <f>IF(GCV7=0,0,IF(MAX($F9:GCU9)=$D12,0,GCU9+1))</f>
        <v>0</v>
      </c>
      <c r="GCW9" s="26">
        <f>IF(GCW7=0,0,IF(MAX($F9:GCV9)=$D12,0,GCV9+1))</f>
        <v>0</v>
      </c>
      <c r="GCX9" s="26">
        <f>IF(GCX7=0,0,IF(MAX($F9:GCW9)=$D12,0,GCW9+1))</f>
        <v>0</v>
      </c>
      <c r="GCY9" s="26">
        <f>IF(GCY7=0,0,IF(MAX($F9:GCX9)=$D12,0,GCX9+1))</f>
        <v>0</v>
      </c>
      <c r="GCZ9" s="26">
        <f>IF(GCZ7=0,0,IF(MAX($F9:GCY9)=$D12,0,GCY9+1))</f>
        <v>0</v>
      </c>
      <c r="GDA9" s="26">
        <f>IF(GDA7=0,0,IF(MAX($F9:GCZ9)=$D12,0,GCZ9+1))</f>
        <v>0</v>
      </c>
      <c r="GDB9" s="26">
        <f>IF(GDB7=0,0,IF(MAX($F9:GDA9)=$D12,0,GDA9+1))</f>
        <v>0</v>
      </c>
      <c r="GDC9" s="26">
        <f>IF(GDC7=0,0,IF(MAX($F9:GDB9)=$D12,0,GDB9+1))</f>
        <v>0</v>
      </c>
      <c r="GDD9" s="26">
        <f>IF(GDD7=0,0,IF(MAX($F9:GDC9)=$D12,0,GDC9+1))</f>
        <v>0</v>
      </c>
      <c r="GDE9" s="26">
        <f>IF(GDE7=0,0,IF(MAX($F9:GDD9)=$D12,0,GDD9+1))</f>
        <v>0</v>
      </c>
      <c r="GDF9" s="26">
        <f>IF(GDF7=0,0,IF(MAX($F9:GDE9)=$D12,0,GDE9+1))</f>
        <v>0</v>
      </c>
      <c r="GDG9" s="26">
        <f>IF(GDG7=0,0,IF(MAX($F9:GDF9)=$D12,0,GDF9+1))</f>
        <v>0</v>
      </c>
      <c r="GDH9" s="26">
        <f>IF(GDH7=0,0,IF(MAX($F9:GDG9)=$D12,0,GDG9+1))</f>
        <v>0</v>
      </c>
      <c r="GDI9" s="26">
        <f>IF(GDI7=0,0,IF(MAX($F9:GDH9)=$D12,0,GDH9+1))</f>
        <v>0</v>
      </c>
      <c r="GDJ9" s="26">
        <f>IF(GDJ7=0,0,IF(MAX($F9:GDI9)=$D12,0,GDI9+1))</f>
        <v>0</v>
      </c>
      <c r="GDK9" s="26">
        <f>IF(GDK7=0,0,IF(MAX($F9:GDJ9)=$D12,0,GDJ9+1))</f>
        <v>0</v>
      </c>
      <c r="GDL9" s="26">
        <f>IF(GDL7=0,0,IF(MAX($F9:GDK9)=$D12,0,GDK9+1))</f>
        <v>0</v>
      </c>
      <c r="GDM9" s="26">
        <f>IF(GDM7=0,0,IF(MAX($F9:GDL9)=$D12,0,GDL9+1))</f>
        <v>0</v>
      </c>
      <c r="GDN9" s="26">
        <f>IF(GDN7=0,0,IF(MAX($F9:GDM9)=$D12,0,GDM9+1))</f>
        <v>0</v>
      </c>
      <c r="GDO9" s="26">
        <f>IF(GDO7=0,0,IF(MAX($F9:GDN9)=$D12,0,GDN9+1))</f>
        <v>0</v>
      </c>
      <c r="GDP9" s="26">
        <f>IF(GDP7=0,0,IF(MAX($F9:GDO9)=$D12,0,GDO9+1))</f>
        <v>0</v>
      </c>
      <c r="GDQ9" s="26">
        <f>IF(GDQ7=0,0,IF(MAX($F9:GDP9)=$D12,0,GDP9+1))</f>
        <v>0</v>
      </c>
      <c r="GDR9" s="26">
        <f>IF(GDR7=0,0,IF(MAX($F9:GDQ9)=$D12,0,GDQ9+1))</f>
        <v>0</v>
      </c>
      <c r="GDS9" s="26">
        <f>IF(GDS7=0,0,IF(MAX($F9:GDR9)=$D12,0,GDR9+1))</f>
        <v>0</v>
      </c>
      <c r="GDT9" s="26">
        <f>IF(GDT7=0,0,IF(MAX($F9:GDS9)=$D12,0,GDS9+1))</f>
        <v>0</v>
      </c>
      <c r="GDU9" s="26">
        <f>IF(GDU7=0,0,IF(MAX($F9:GDT9)=$D12,0,GDT9+1))</f>
        <v>0</v>
      </c>
      <c r="GDV9" s="26">
        <f>IF(GDV7=0,0,IF(MAX($F9:GDU9)=$D12,0,GDU9+1))</f>
        <v>0</v>
      </c>
      <c r="GDW9" s="26">
        <f>IF(GDW7=0,0,IF(MAX($F9:GDV9)=$D12,0,GDV9+1))</f>
        <v>0</v>
      </c>
      <c r="GDX9" s="26">
        <f>IF(GDX7=0,0,IF(MAX($F9:GDW9)=$D12,0,GDW9+1))</f>
        <v>0</v>
      </c>
      <c r="GDY9" s="26">
        <f>IF(GDY7=0,0,IF(MAX($F9:GDX9)=$D12,0,GDX9+1))</f>
        <v>0</v>
      </c>
      <c r="GDZ9" s="26">
        <f>IF(GDZ7=0,0,IF(MAX($F9:GDY9)=$D12,0,GDY9+1))</f>
        <v>0</v>
      </c>
      <c r="GEA9" s="26">
        <f>IF(GEA7=0,0,IF(MAX($F9:GDZ9)=$D12,0,GDZ9+1))</f>
        <v>0</v>
      </c>
      <c r="GEB9" s="26">
        <f>IF(GEB7=0,0,IF(MAX($F9:GEA9)=$D12,0,GEA9+1))</f>
        <v>0</v>
      </c>
      <c r="GEC9" s="26">
        <f>IF(GEC7=0,0,IF(MAX($F9:GEB9)=$D12,0,GEB9+1))</f>
        <v>0</v>
      </c>
      <c r="GED9" s="26">
        <f>IF(GED7=0,0,IF(MAX($F9:GEC9)=$D12,0,GEC9+1))</f>
        <v>0</v>
      </c>
      <c r="GEE9" s="26">
        <f>IF(GEE7=0,0,IF(MAX($F9:GED9)=$D12,0,GED9+1))</f>
        <v>0</v>
      </c>
      <c r="GEF9" s="26">
        <f>IF(GEF7=0,0,IF(MAX($F9:GEE9)=$D12,0,GEE9+1))</f>
        <v>0</v>
      </c>
      <c r="GEG9" s="26">
        <f>IF(GEG7=0,0,IF(MAX($F9:GEF9)=$D12,0,GEF9+1))</f>
        <v>0</v>
      </c>
      <c r="GEH9" s="26">
        <f>IF(GEH7=0,0,IF(MAX($F9:GEG9)=$D12,0,GEG9+1))</f>
        <v>0</v>
      </c>
      <c r="GEI9" s="26">
        <f>IF(GEI7=0,0,IF(MAX($F9:GEH9)=$D12,0,GEH9+1))</f>
        <v>0</v>
      </c>
      <c r="GEJ9" s="26">
        <f>IF(GEJ7=0,0,IF(MAX($F9:GEI9)=$D12,0,GEI9+1))</f>
        <v>0</v>
      </c>
      <c r="GEK9" s="26">
        <f>IF(GEK7=0,0,IF(MAX($F9:GEJ9)=$D12,0,GEJ9+1))</f>
        <v>0</v>
      </c>
      <c r="GEL9" s="26">
        <f>IF(GEL7=0,0,IF(MAX($F9:GEK9)=$D12,0,GEK9+1))</f>
        <v>0</v>
      </c>
      <c r="GEM9" s="26">
        <f>IF(GEM7=0,0,IF(MAX($F9:GEL9)=$D12,0,GEL9+1))</f>
        <v>0</v>
      </c>
      <c r="GEN9" s="26">
        <f>IF(GEN7=0,0,IF(MAX($F9:GEM9)=$D12,0,GEM9+1))</f>
        <v>0</v>
      </c>
      <c r="GEO9" s="26">
        <f>IF(GEO7=0,0,IF(MAX($F9:GEN9)=$D12,0,GEN9+1))</f>
        <v>0</v>
      </c>
      <c r="GEP9" s="26">
        <f>IF(GEP7=0,0,IF(MAX($F9:GEO9)=$D12,0,GEO9+1))</f>
        <v>0</v>
      </c>
      <c r="GEQ9" s="26">
        <f>IF(GEQ7=0,0,IF(MAX($F9:GEP9)=$D12,0,GEP9+1))</f>
        <v>0</v>
      </c>
      <c r="GER9" s="26">
        <f>IF(GER7=0,0,IF(MAX($F9:GEQ9)=$D12,0,GEQ9+1))</f>
        <v>0</v>
      </c>
      <c r="GES9" s="26">
        <f>IF(GES7=0,0,IF(MAX($F9:GER9)=$D12,0,GER9+1))</f>
        <v>0</v>
      </c>
      <c r="GET9" s="26">
        <f>IF(GET7=0,0,IF(MAX($F9:GES9)=$D12,0,GES9+1))</f>
        <v>0</v>
      </c>
      <c r="GEU9" s="26">
        <f>IF(GEU7=0,0,IF(MAX($F9:GET9)=$D12,0,GET9+1))</f>
        <v>0</v>
      </c>
      <c r="GEV9" s="26">
        <f>IF(GEV7=0,0,IF(MAX($F9:GEU9)=$D12,0,GEU9+1))</f>
        <v>0</v>
      </c>
      <c r="GEW9" s="26">
        <f>IF(GEW7=0,0,IF(MAX($F9:GEV9)=$D12,0,GEV9+1))</f>
        <v>0</v>
      </c>
      <c r="GEX9" s="26">
        <f>IF(GEX7=0,0,IF(MAX($F9:GEW9)=$D12,0,GEW9+1))</f>
        <v>0</v>
      </c>
      <c r="GEY9" s="26">
        <f>IF(GEY7=0,0,IF(MAX($F9:GEX9)=$D12,0,GEX9+1))</f>
        <v>0</v>
      </c>
      <c r="GEZ9" s="26">
        <f>IF(GEZ7=0,0,IF(MAX($F9:GEY9)=$D12,0,GEY9+1))</f>
        <v>0</v>
      </c>
      <c r="GFA9" s="26">
        <f>IF(GFA7=0,0,IF(MAX($F9:GEZ9)=$D12,0,GEZ9+1))</f>
        <v>0</v>
      </c>
      <c r="GFB9" s="26">
        <f>IF(GFB7=0,0,IF(MAX($F9:GFA9)=$D12,0,GFA9+1))</f>
        <v>0</v>
      </c>
      <c r="GFC9" s="26">
        <f>IF(GFC7=0,0,IF(MAX($F9:GFB9)=$D12,0,GFB9+1))</f>
        <v>0</v>
      </c>
      <c r="GFD9" s="26">
        <f>IF(GFD7=0,0,IF(MAX($F9:GFC9)=$D12,0,GFC9+1))</f>
        <v>0</v>
      </c>
      <c r="GFE9" s="26">
        <f>IF(GFE7=0,0,IF(MAX($F9:GFD9)=$D12,0,GFD9+1))</f>
        <v>0</v>
      </c>
      <c r="GFF9" s="26">
        <f>IF(GFF7=0,0,IF(MAX($F9:GFE9)=$D12,0,GFE9+1))</f>
        <v>0</v>
      </c>
      <c r="GFG9" s="26">
        <f>IF(GFG7=0,0,IF(MAX($F9:GFF9)=$D12,0,GFF9+1))</f>
        <v>0</v>
      </c>
      <c r="GFH9" s="26">
        <f>IF(GFH7=0,0,IF(MAX($F9:GFG9)=$D12,0,GFG9+1))</f>
        <v>0</v>
      </c>
      <c r="GFI9" s="26">
        <f>IF(GFI7=0,0,IF(MAX($F9:GFH9)=$D12,0,GFH9+1))</f>
        <v>0</v>
      </c>
      <c r="GFJ9" s="26">
        <f>IF(GFJ7=0,0,IF(MAX($F9:GFI9)=$D12,0,GFI9+1))</f>
        <v>0</v>
      </c>
      <c r="GFK9" s="26">
        <f>IF(GFK7=0,0,IF(MAX($F9:GFJ9)=$D12,0,GFJ9+1))</f>
        <v>0</v>
      </c>
      <c r="GFL9" s="26">
        <f>IF(GFL7=0,0,IF(MAX($F9:GFK9)=$D12,0,GFK9+1))</f>
        <v>0</v>
      </c>
      <c r="GFM9" s="26">
        <f>IF(GFM7=0,0,IF(MAX($F9:GFL9)=$D12,0,GFL9+1))</f>
        <v>0</v>
      </c>
      <c r="GFN9" s="26">
        <f>IF(GFN7=0,0,IF(MAX($F9:GFM9)=$D12,0,GFM9+1))</f>
        <v>0</v>
      </c>
      <c r="GFO9" s="26">
        <f>IF(GFO7=0,0,IF(MAX($F9:GFN9)=$D12,0,GFN9+1))</f>
        <v>0</v>
      </c>
      <c r="GFP9" s="26">
        <f>IF(GFP7=0,0,IF(MAX($F9:GFO9)=$D12,0,GFO9+1))</f>
        <v>0</v>
      </c>
      <c r="GFQ9" s="26">
        <f>IF(GFQ7=0,0,IF(MAX($F9:GFP9)=$D12,0,GFP9+1))</f>
        <v>0</v>
      </c>
      <c r="GFR9" s="26">
        <f>IF(GFR7=0,0,IF(MAX($F9:GFQ9)=$D12,0,GFQ9+1))</f>
        <v>0</v>
      </c>
      <c r="GFS9" s="26">
        <f>IF(GFS7=0,0,IF(MAX($F9:GFR9)=$D12,0,GFR9+1))</f>
        <v>0</v>
      </c>
      <c r="GFT9" s="26">
        <f>IF(GFT7=0,0,IF(MAX($F9:GFS9)=$D12,0,GFS9+1))</f>
        <v>0</v>
      </c>
      <c r="GFU9" s="26">
        <f>IF(GFU7=0,0,IF(MAX($F9:GFT9)=$D12,0,GFT9+1))</f>
        <v>0</v>
      </c>
      <c r="GFV9" s="26">
        <f>IF(GFV7=0,0,IF(MAX($F9:GFU9)=$D12,0,GFU9+1))</f>
        <v>0</v>
      </c>
      <c r="GFW9" s="26">
        <f>IF(GFW7=0,0,IF(MAX($F9:GFV9)=$D12,0,GFV9+1))</f>
        <v>0</v>
      </c>
      <c r="GFX9" s="26">
        <f>IF(GFX7=0,0,IF(MAX($F9:GFW9)=$D12,0,GFW9+1))</f>
        <v>0</v>
      </c>
      <c r="GFY9" s="26">
        <f>IF(GFY7=0,0,IF(MAX($F9:GFX9)=$D12,0,GFX9+1))</f>
        <v>0</v>
      </c>
      <c r="GFZ9" s="26">
        <f>IF(GFZ7=0,0,IF(MAX($F9:GFY9)=$D12,0,GFY9+1))</f>
        <v>0</v>
      </c>
      <c r="GGA9" s="26">
        <f>IF(GGA7=0,0,IF(MAX($F9:GFZ9)=$D12,0,GFZ9+1))</f>
        <v>0</v>
      </c>
      <c r="GGB9" s="26">
        <f>IF(GGB7=0,0,IF(MAX($F9:GGA9)=$D12,0,GGA9+1))</f>
        <v>0</v>
      </c>
      <c r="GGC9" s="26">
        <f>IF(GGC7=0,0,IF(MAX($F9:GGB9)=$D12,0,GGB9+1))</f>
        <v>0</v>
      </c>
      <c r="GGD9" s="26">
        <f>IF(GGD7=0,0,IF(MAX($F9:GGC9)=$D12,0,GGC9+1))</f>
        <v>0</v>
      </c>
      <c r="GGE9" s="26">
        <f>IF(GGE7=0,0,IF(MAX($F9:GGD9)=$D12,0,GGD9+1))</f>
        <v>0</v>
      </c>
      <c r="GGF9" s="26">
        <f>IF(GGF7=0,0,IF(MAX($F9:GGE9)=$D12,0,GGE9+1))</f>
        <v>0</v>
      </c>
      <c r="GGG9" s="26">
        <f>IF(GGG7=0,0,IF(MAX($F9:GGF9)=$D12,0,GGF9+1))</f>
        <v>0</v>
      </c>
      <c r="GGH9" s="26">
        <f>IF(GGH7=0,0,IF(MAX($F9:GGG9)=$D12,0,GGG9+1))</f>
        <v>0</v>
      </c>
      <c r="GGI9" s="26">
        <f>IF(GGI7=0,0,IF(MAX($F9:GGH9)=$D12,0,GGH9+1))</f>
        <v>0</v>
      </c>
      <c r="GGJ9" s="26">
        <f>IF(GGJ7=0,0,IF(MAX($F9:GGI9)=$D12,0,GGI9+1))</f>
        <v>0</v>
      </c>
      <c r="GGK9" s="26">
        <f>IF(GGK7=0,0,IF(MAX($F9:GGJ9)=$D12,0,GGJ9+1))</f>
        <v>0</v>
      </c>
      <c r="GGL9" s="26">
        <f>IF(GGL7=0,0,IF(MAX($F9:GGK9)=$D12,0,GGK9+1))</f>
        <v>0</v>
      </c>
      <c r="GGM9" s="26">
        <f>IF(GGM7=0,0,IF(MAX($F9:GGL9)=$D12,0,GGL9+1))</f>
        <v>0</v>
      </c>
      <c r="GGN9" s="26">
        <f>IF(GGN7=0,0,IF(MAX($F9:GGM9)=$D12,0,GGM9+1))</f>
        <v>0</v>
      </c>
      <c r="GGO9" s="26">
        <f>IF(GGO7=0,0,IF(MAX($F9:GGN9)=$D12,0,GGN9+1))</f>
        <v>0</v>
      </c>
      <c r="GGP9" s="26">
        <f>IF(GGP7=0,0,IF(MAX($F9:GGO9)=$D12,0,GGO9+1))</f>
        <v>0</v>
      </c>
      <c r="GGQ9" s="26">
        <f>IF(GGQ7=0,0,IF(MAX($F9:GGP9)=$D12,0,GGP9+1))</f>
        <v>0</v>
      </c>
      <c r="GGR9" s="26">
        <f>IF(GGR7=0,0,IF(MAX($F9:GGQ9)=$D12,0,GGQ9+1))</f>
        <v>0</v>
      </c>
      <c r="GGS9" s="26">
        <f>IF(GGS7=0,0,IF(MAX($F9:GGR9)=$D12,0,GGR9+1))</f>
        <v>0</v>
      </c>
      <c r="GGT9" s="26">
        <f>IF(GGT7=0,0,IF(MAX($F9:GGS9)=$D12,0,GGS9+1))</f>
        <v>0</v>
      </c>
      <c r="GGU9" s="26">
        <f>IF(GGU7=0,0,IF(MAX($F9:GGT9)=$D12,0,GGT9+1))</f>
        <v>0</v>
      </c>
      <c r="GGV9" s="26">
        <f>IF(GGV7=0,0,IF(MAX($F9:GGU9)=$D12,0,GGU9+1))</f>
        <v>0</v>
      </c>
      <c r="GGW9" s="26">
        <f>IF(GGW7=0,0,IF(MAX($F9:GGV9)=$D12,0,GGV9+1))</f>
        <v>0</v>
      </c>
      <c r="GGX9" s="26">
        <f>IF(GGX7=0,0,IF(MAX($F9:GGW9)=$D12,0,GGW9+1))</f>
        <v>0</v>
      </c>
      <c r="GGY9" s="26">
        <f>IF(GGY7=0,0,IF(MAX($F9:GGX9)=$D12,0,GGX9+1))</f>
        <v>0</v>
      </c>
      <c r="GGZ9" s="26">
        <f>IF(GGZ7=0,0,IF(MAX($F9:GGY9)=$D12,0,GGY9+1))</f>
        <v>0</v>
      </c>
      <c r="GHA9" s="26">
        <f>IF(GHA7=0,0,IF(MAX($F9:GGZ9)=$D12,0,GGZ9+1))</f>
        <v>0</v>
      </c>
      <c r="GHB9" s="26">
        <f>IF(GHB7=0,0,IF(MAX($F9:GHA9)=$D12,0,GHA9+1))</f>
        <v>0</v>
      </c>
      <c r="GHC9" s="26">
        <f>IF(GHC7=0,0,IF(MAX($F9:GHB9)=$D12,0,GHB9+1))</f>
        <v>0</v>
      </c>
      <c r="GHD9" s="26">
        <f>IF(GHD7=0,0,IF(MAX($F9:GHC9)=$D12,0,GHC9+1))</f>
        <v>0</v>
      </c>
      <c r="GHE9" s="26">
        <f>IF(GHE7=0,0,IF(MAX($F9:GHD9)=$D12,0,GHD9+1))</f>
        <v>0</v>
      </c>
      <c r="GHF9" s="26">
        <f>IF(GHF7=0,0,IF(MAX($F9:GHE9)=$D12,0,GHE9+1))</f>
        <v>0</v>
      </c>
      <c r="GHG9" s="26">
        <f>IF(GHG7=0,0,IF(MAX($F9:GHF9)=$D12,0,GHF9+1))</f>
        <v>0</v>
      </c>
      <c r="GHH9" s="26">
        <f>IF(GHH7=0,0,IF(MAX($F9:GHG9)=$D12,0,GHG9+1))</f>
        <v>0</v>
      </c>
      <c r="GHI9" s="26">
        <f>IF(GHI7=0,0,IF(MAX($F9:GHH9)=$D12,0,GHH9+1))</f>
        <v>0</v>
      </c>
      <c r="GHJ9" s="26">
        <f>IF(GHJ7=0,0,IF(MAX($F9:GHI9)=$D12,0,GHI9+1))</f>
        <v>0</v>
      </c>
      <c r="GHK9" s="26">
        <f>IF(GHK7=0,0,IF(MAX($F9:GHJ9)=$D12,0,GHJ9+1))</f>
        <v>0</v>
      </c>
      <c r="GHL9" s="26">
        <f>IF(GHL7=0,0,IF(MAX($F9:GHK9)=$D12,0,GHK9+1))</f>
        <v>0</v>
      </c>
      <c r="GHM9" s="26">
        <f>IF(GHM7=0,0,IF(MAX($F9:GHL9)=$D12,0,GHL9+1))</f>
        <v>0</v>
      </c>
      <c r="GHN9" s="26">
        <f>IF(GHN7=0,0,IF(MAX($F9:GHM9)=$D12,0,GHM9+1))</f>
        <v>0</v>
      </c>
      <c r="GHO9" s="26">
        <f>IF(GHO7=0,0,IF(MAX($F9:GHN9)=$D12,0,GHN9+1))</f>
        <v>0</v>
      </c>
      <c r="GHP9" s="26">
        <f>IF(GHP7=0,0,IF(MAX($F9:GHO9)=$D12,0,GHO9+1))</f>
        <v>0</v>
      </c>
      <c r="GHQ9" s="26">
        <f>IF(GHQ7=0,0,IF(MAX($F9:GHP9)=$D12,0,GHP9+1))</f>
        <v>0</v>
      </c>
      <c r="GHR9" s="26">
        <f>IF(GHR7=0,0,IF(MAX($F9:GHQ9)=$D12,0,GHQ9+1))</f>
        <v>0</v>
      </c>
      <c r="GHS9" s="26">
        <f>IF(CLP7=0,0,IF(MAX($F9:GHR9)=$D12,0,GHR9+1))</f>
        <v>0</v>
      </c>
      <c r="GHT9" s="26">
        <f>IF(GHT7=0,0,IF(MAX($F9:CLP9)=$D12,0,CLP9+1))</f>
        <v>0</v>
      </c>
      <c r="GHU9" s="26">
        <f>IF(GHU7=0,0,IF(MAX($F9:GHT9)=$D12,0,GHT9+1))</f>
        <v>0</v>
      </c>
      <c r="GHV9" s="26">
        <f>IF(GHV7=0,0,IF(MAX($F9:GHU9)=$D12,0,GHU9+1))</f>
        <v>0</v>
      </c>
      <c r="GHW9" s="26">
        <f>IF(GHW7=0,0,IF(MAX($F9:GHV9)=$D12,0,GHV9+1))</f>
        <v>0</v>
      </c>
      <c r="GHX9" s="26">
        <f>IF(GHX7=0,0,IF(MAX($F9:GHW9)=$D12,0,GHW9+1))</f>
        <v>0</v>
      </c>
      <c r="GHY9" s="26">
        <f>IF(GHY7=0,0,IF(MAX($F9:GHX9)=$D12,0,GHX9+1))</f>
        <v>0</v>
      </c>
      <c r="GHZ9" s="26">
        <f>IF(GHZ7=0,0,IF(MAX($F9:GHY9)=$D12,0,GHY9+1))</f>
        <v>0</v>
      </c>
      <c r="GIA9" s="26">
        <f>IF(GIA7=0,0,IF(MAX($F9:GHZ9)=$D12,0,GHZ9+1))</f>
        <v>0</v>
      </c>
      <c r="GIB9" s="26">
        <f>IF(GIB7=0,0,IF(MAX($F9:GIA9)=$D12,0,GIA9+1))</f>
        <v>0</v>
      </c>
      <c r="GIC9" s="26">
        <f>IF(GIC7=0,0,IF(MAX($F9:GIB9)=$D12,0,GIB9+1))</f>
        <v>0</v>
      </c>
      <c r="GID9" s="26">
        <f>IF(GID7=0,0,IF(MAX($F9:GIC9)=$D12,0,GIC9+1))</f>
        <v>0</v>
      </c>
      <c r="GIE9" s="26">
        <f>IF(GIE7=0,0,IF(MAX($F9:GID9)=$D12,0,GID9+1))</f>
        <v>0</v>
      </c>
      <c r="GIF9" s="26">
        <f>IF(GIF7=0,0,IF(MAX($F9:GIE9)=$D12,0,GIE9+1))</f>
        <v>0</v>
      </c>
      <c r="GIG9" s="26">
        <f>IF(GIG7=0,0,IF(MAX($F9:GIF9)=$D12,0,GIF9+1))</f>
        <v>0</v>
      </c>
      <c r="GIH9" s="26">
        <f>IF(GIH7=0,0,IF(MAX($F9:GIG9)=$D12,0,GIG9+1))</f>
        <v>0</v>
      </c>
      <c r="GII9" s="26">
        <f>IF(GII7=0,0,IF(MAX($F9:GIH9)=$D12,0,GIH9+1))</f>
        <v>0</v>
      </c>
      <c r="GIJ9" s="26">
        <f>IF(GIJ7=0,0,IF(MAX($F9:GII9)=$D12,0,GII9+1))</f>
        <v>0</v>
      </c>
      <c r="GIK9" s="26">
        <f>IF(GIK7=0,0,IF(MAX($F9:GIJ9)=$D12,0,GIJ9+1))</f>
        <v>0</v>
      </c>
      <c r="GIL9" s="26">
        <f>IF(GIL7=0,0,IF(MAX($F9:GIK9)=$D12,0,GIK9+1))</f>
        <v>0</v>
      </c>
      <c r="GIM9" s="26">
        <f>IF(GIM7=0,0,IF(MAX($F9:GIL9)=$D12,0,GIL9+1))</f>
        <v>0</v>
      </c>
      <c r="GIN9" s="26">
        <f>IF(GIN7=0,0,IF(MAX($F9:GIM9)=$D12,0,GIM9+1))</f>
        <v>0</v>
      </c>
      <c r="GIO9" s="26">
        <f>IF(GIO7=0,0,IF(MAX($F9:GIN9)=$D12,0,GIN9+1))</f>
        <v>0</v>
      </c>
      <c r="GIP9" s="26">
        <f>IF(GIP7=0,0,IF(MAX($F9:GIO9)=$D12,0,GIO9+1))</f>
        <v>0</v>
      </c>
      <c r="GIQ9" s="26">
        <f>IF(GIQ7=0,0,IF(MAX($F9:GIP9)=$D12,0,GIP9+1))</f>
        <v>0</v>
      </c>
      <c r="GIR9" s="26">
        <f>IF(GIR7=0,0,IF(MAX($F9:GIQ9)=$D12,0,GIQ9+1))</f>
        <v>0</v>
      </c>
      <c r="GIS9" s="26">
        <f>IF(GIS7=0,0,IF(MAX($F9:GIR9)=$D12,0,GIR9+1))</f>
        <v>0</v>
      </c>
      <c r="GIT9" s="26">
        <f>IF(GIT7=0,0,IF(MAX($F9:GIS9)=$D12,0,GIS9+1))</f>
        <v>0</v>
      </c>
      <c r="GIU9" s="26">
        <f>IF(GIU7=0,0,IF(MAX($F9:GIT9)=$D12,0,GIT9+1))</f>
        <v>0</v>
      </c>
      <c r="GIV9" s="26">
        <f>IF(GIV7=0,0,IF(MAX($F9:GIU9)=$D12,0,GIU9+1))</f>
        <v>0</v>
      </c>
      <c r="GIW9" s="26">
        <f>IF(GIW7=0,0,IF(MAX($F9:GIV9)=$D12,0,GIV9+1))</f>
        <v>0</v>
      </c>
      <c r="GIX9" s="26">
        <f>IF(GIX7=0,0,IF(MAX($F9:GIW9)=$D12,0,GIW9+1))</f>
        <v>0</v>
      </c>
      <c r="GIY9" s="26">
        <f>IF(GIY7=0,0,IF(MAX($F9:GIX9)=$D12,0,GIX9+1))</f>
        <v>0</v>
      </c>
      <c r="GIZ9" s="26">
        <f>IF(GIZ7=0,0,IF(MAX($F9:GIY9)=$D12,0,GIY9+1))</f>
        <v>0</v>
      </c>
      <c r="GJA9" s="26">
        <f>IF(GJA7=0,0,IF(MAX($F9:GIZ9)=$D12,0,GIZ9+1))</f>
        <v>0</v>
      </c>
      <c r="GJB9" s="26">
        <f>IF(GJB7=0,0,IF(MAX($F9:GJA9)=$D12,0,GJA9+1))</f>
        <v>0</v>
      </c>
      <c r="GJC9" s="26">
        <f>IF(GJC7=0,0,IF(MAX($F9:GJB9)=$D12,0,GJB9+1))</f>
        <v>0</v>
      </c>
      <c r="GJD9" s="26">
        <f>IF(GJD7=0,0,IF(MAX($F9:GJC9)=$D12,0,GJC9+1))</f>
        <v>0</v>
      </c>
      <c r="GJE9" s="26">
        <f>IF(GJE7=0,0,IF(MAX($F9:GJD9)=$D12,0,GJD9+1))</f>
        <v>0</v>
      </c>
      <c r="GJF9" s="26">
        <f>IF(GJF7=0,0,IF(MAX($F9:GJE9)=$D12,0,GJE9+1))</f>
        <v>0</v>
      </c>
      <c r="GJG9" s="26">
        <f>IF(GJG7=0,0,IF(MAX($F9:GJF9)=$D12,0,GJF9+1))</f>
        <v>0</v>
      </c>
      <c r="GJH9" s="26">
        <f>IF(GJH7=0,0,IF(MAX($F9:GJG9)=$D12,0,GJG9+1))</f>
        <v>0</v>
      </c>
      <c r="GJI9" s="26">
        <f>IF(GJI7=0,0,IF(MAX($F9:GJH9)=$D12,0,GJH9+1))</f>
        <v>0</v>
      </c>
      <c r="GJJ9" s="26">
        <f>IF(GJJ7=0,0,IF(MAX($F9:GJI9)=$D12,0,GJI9+1))</f>
        <v>0</v>
      </c>
      <c r="GJK9" s="26">
        <f>IF(GJK7=0,0,IF(MAX($F9:GJJ9)=$D12,0,GJJ9+1))</f>
        <v>0</v>
      </c>
      <c r="GJL9" s="26">
        <f>IF(GJL7=0,0,IF(MAX($F9:GJK9)=$D12,0,GJK9+1))</f>
        <v>0</v>
      </c>
      <c r="GJM9" s="26">
        <f>IF(GJM7=0,0,IF(MAX($F9:GJL9)=$D12,0,GJL9+1))</f>
        <v>0</v>
      </c>
      <c r="GJN9" s="26">
        <f>IF(GJN7=0,0,IF(MAX($F9:GJM9)=$D12,0,GJM9+1))</f>
        <v>0</v>
      </c>
      <c r="GJO9" s="26">
        <f>IF(GJO7=0,0,IF(MAX($F9:GJN9)=$D12,0,GJN9+1))</f>
        <v>0</v>
      </c>
      <c r="GJP9" s="26">
        <f>IF(GJP7=0,0,IF(MAX($F9:GJO9)=$D12,0,GJO9+1))</f>
        <v>0</v>
      </c>
      <c r="GJQ9" s="26">
        <f>IF(GJQ7=0,0,IF(MAX($F9:GJP9)=$D12,0,GJP9+1))</f>
        <v>0</v>
      </c>
      <c r="GJR9" s="26">
        <f>IF(GJR7=0,0,IF(MAX($F9:GJQ9)=$D12,0,GJQ9+1))</f>
        <v>0</v>
      </c>
      <c r="GJS9" s="26">
        <f>IF(GJS7=0,0,IF(MAX($F9:GJR9)=$D12,0,GJR9+1))</f>
        <v>0</v>
      </c>
      <c r="GJT9" s="26">
        <f>IF(GJT7=0,0,IF(MAX($F9:GJS9)=$D12,0,GJS9+1))</f>
        <v>0</v>
      </c>
      <c r="GJU9" s="26">
        <f>IF(GJU7=0,0,IF(MAX($F9:GJT9)=$D12,0,GJT9+1))</f>
        <v>0</v>
      </c>
      <c r="GJV9" s="26">
        <f>IF(GJV7=0,0,IF(MAX($F9:GJU9)=$D12,0,GJU9+1))</f>
        <v>0</v>
      </c>
      <c r="GJW9" s="26">
        <f>IF(GJW7=0,0,IF(MAX($F9:GJV9)=$D12,0,GJV9+1))</f>
        <v>0</v>
      </c>
      <c r="GJX9" s="26">
        <f>IF(GJX7=0,0,IF(MAX($F9:GJW9)=$D12,0,GJW9+1))</f>
        <v>0</v>
      </c>
      <c r="GJY9" s="26">
        <f>IF(GJY7=0,0,IF(MAX($F9:GJX9)=$D12,0,GJX9+1))</f>
        <v>0</v>
      </c>
      <c r="GJZ9" s="26">
        <f>IF(GJZ7=0,0,IF(MAX($F9:GJY9)=$D12,0,GJY9+1))</f>
        <v>0</v>
      </c>
      <c r="GKA9" s="26">
        <f>IF(GKA7=0,0,IF(MAX($F9:GJZ9)=$D12,0,GJZ9+1))</f>
        <v>0</v>
      </c>
      <c r="GKB9" s="26">
        <f>IF(GKB7=0,0,IF(MAX($F9:GKA9)=$D12,0,GKA9+1))</f>
        <v>0</v>
      </c>
      <c r="GKC9" s="26">
        <f>IF(GKC7=0,0,IF(MAX($F9:GKB9)=$D12,0,GKB9+1))</f>
        <v>0</v>
      </c>
      <c r="GKD9" s="26">
        <f>IF(GKD7=0,0,IF(MAX($F9:GKC9)=$D12,0,GKC9+1))</f>
        <v>0</v>
      </c>
      <c r="GKE9" s="26">
        <f>IF(GKE7=0,0,IF(MAX($F9:GKD9)=$D12,0,GKD9+1))</f>
        <v>0</v>
      </c>
      <c r="GKF9" s="26">
        <f>IF(GKF7=0,0,IF(MAX($F9:GKE9)=$D12,0,GKE9+1))</f>
        <v>0</v>
      </c>
      <c r="GKG9" s="26">
        <f>IF(GKG7=0,0,IF(MAX($F9:GKF9)=$D12,0,GKF9+1))</f>
        <v>0</v>
      </c>
      <c r="GKH9" s="26">
        <f>IF(GKH7=0,0,IF(MAX($F9:GKG9)=$D12,0,GKG9+1))</f>
        <v>0</v>
      </c>
      <c r="GKI9" s="26">
        <f>IF(GKI7=0,0,IF(MAX($F9:GKH9)=$D12,0,GKH9+1))</f>
        <v>0</v>
      </c>
      <c r="GKJ9" s="26">
        <f>IF(GKJ7=0,0,IF(MAX($F9:GKI9)=$D12,0,GKI9+1))</f>
        <v>0</v>
      </c>
      <c r="GKK9" s="26">
        <f>IF(GKK7=0,0,IF(MAX($F9:GKJ9)=$D12,0,GKJ9+1))</f>
        <v>0</v>
      </c>
      <c r="GKL9" s="26">
        <f>IF(GKL7=0,0,IF(MAX($F9:GKK9)=$D12,0,GKK9+1))</f>
        <v>0</v>
      </c>
      <c r="GKM9" s="26">
        <f>IF(GKM7=0,0,IF(MAX($F9:GKL9)=$D12,0,GKL9+1))</f>
        <v>0</v>
      </c>
      <c r="GKN9" s="26">
        <f>IF(GKN7=0,0,IF(MAX($F9:GKM9)=$D12,0,GKM9+1))</f>
        <v>0</v>
      </c>
      <c r="GKO9" s="26">
        <f>IF(GKO7=0,0,IF(MAX($F9:GKN9)=$D12,0,GKN9+1))</f>
        <v>0</v>
      </c>
      <c r="GKP9" s="26">
        <f>IF(GKP7=0,0,IF(MAX($F9:GKO9)=$D12,0,GKO9+1))</f>
        <v>0</v>
      </c>
      <c r="GKQ9" s="26">
        <f>IF(GKQ7=0,0,IF(MAX($F9:GKP9)=$D12,0,GKP9+1))</f>
        <v>0</v>
      </c>
      <c r="GKR9" s="26">
        <f>IF(GKR7=0,0,IF(MAX($F9:GKQ9)=$D12,0,GKQ9+1))</f>
        <v>0</v>
      </c>
      <c r="GKS9" s="26">
        <f>IF(GKS7=0,0,IF(MAX($F9:GKR9)=$D12,0,GKR9+1))</f>
        <v>0</v>
      </c>
      <c r="GKT9" s="26">
        <f>IF(GKT7=0,0,IF(MAX($F9:GKS9)=$D12,0,GKS9+1))</f>
        <v>0</v>
      </c>
      <c r="GKU9" s="26">
        <f>IF(GKU7=0,0,IF(MAX($F9:GKT9)=$D12,0,GKT9+1))</f>
        <v>0</v>
      </c>
      <c r="GKV9" s="26">
        <f>IF(GKV7=0,0,IF(MAX($F9:GKU9)=$D12,0,GKU9+1))</f>
        <v>0</v>
      </c>
      <c r="GKW9" s="26">
        <f>IF(GKW7=0,0,IF(MAX($F9:GKV9)=$D12,0,GKV9+1))</f>
        <v>0</v>
      </c>
      <c r="GKX9" s="26">
        <f>IF(GKX7=0,0,IF(MAX($F9:GKW9)=$D12,0,GKW9+1))</f>
        <v>0</v>
      </c>
      <c r="GKY9" s="26">
        <f>IF(GKY7=0,0,IF(MAX($F9:GKX9)=$D12,0,GKX9+1))</f>
        <v>0</v>
      </c>
      <c r="GKZ9" s="26">
        <f>IF(GKZ7=0,0,IF(MAX($F9:GKY9)=$D12,0,GKY9+1))</f>
        <v>0</v>
      </c>
      <c r="GLA9" s="26">
        <f>IF(GLA7=0,0,IF(MAX($F9:GKZ9)=$D12,0,GKZ9+1))</f>
        <v>0</v>
      </c>
      <c r="GLB9" s="26">
        <f>IF(GLB7=0,0,IF(MAX($F9:GLA9)=$D12,0,GLA9+1))</f>
        <v>0</v>
      </c>
      <c r="GLC9" s="26">
        <f>IF(GLC7=0,0,IF(MAX($F9:GLB9)=$D12,0,GLB9+1))</f>
        <v>0</v>
      </c>
      <c r="GLD9" s="26">
        <f>IF(GLD7=0,0,IF(MAX($F9:GLC9)=$D12,0,GLC9+1))</f>
        <v>0</v>
      </c>
      <c r="GLE9" s="26">
        <f>IF(GLE7=0,0,IF(MAX($F9:GLD9)=$D12,0,GLD9+1))</f>
        <v>0</v>
      </c>
      <c r="GLF9" s="26">
        <f>IF(GLF7=0,0,IF(MAX($F9:GLE9)=$D12,0,GLE9+1))</f>
        <v>0</v>
      </c>
      <c r="GLG9" s="26">
        <f>IF(GLG7=0,0,IF(MAX($F9:GLF9)=$D12,0,GLF9+1))</f>
        <v>0</v>
      </c>
      <c r="GLH9" s="26">
        <f>IF(GLH7=0,0,IF(MAX($F9:GLG9)=$D12,0,GLG9+1))</f>
        <v>0</v>
      </c>
      <c r="GLI9" s="26">
        <f>IF(GLI7=0,0,IF(MAX($F9:GLH9)=$D12,0,GLH9+1))</f>
        <v>0</v>
      </c>
      <c r="GLJ9" s="26">
        <f>IF(GLJ7=0,0,IF(MAX($F9:GLI9)=$D12,0,GLI9+1))</f>
        <v>0</v>
      </c>
      <c r="GLK9" s="26">
        <f>IF(GLK7=0,0,IF(MAX($F9:GLJ9)=$D12,0,GLJ9+1))</f>
        <v>0</v>
      </c>
      <c r="GLL9" s="26">
        <f>IF(GLL7=0,0,IF(MAX($F9:GLK9)=$D12,0,GLK9+1))</f>
        <v>0</v>
      </c>
      <c r="GLM9" s="26">
        <f>IF(GLM7=0,0,IF(MAX($F9:GLL9)=$D12,0,GLL9+1))</f>
        <v>0</v>
      </c>
      <c r="GLN9" s="26">
        <f>IF(GLN7=0,0,IF(MAX($F9:GLM9)=$D12,0,GLM9+1))</f>
        <v>0</v>
      </c>
      <c r="GLO9" s="26">
        <f>IF(GLO7=0,0,IF(MAX($F9:GLN9)=$D12,0,GLN9+1))</f>
        <v>0</v>
      </c>
      <c r="GLP9" s="26">
        <f>IF(GLP7=0,0,IF(MAX($F9:GLO9)=$D12,0,GLO9+1))</f>
        <v>0</v>
      </c>
      <c r="GLQ9" s="26">
        <f>IF(GLQ7=0,0,IF(MAX($F9:GLP9)=$D12,0,GLP9+1))</f>
        <v>0</v>
      </c>
      <c r="GLR9" s="26">
        <f>IF(GLR7=0,0,IF(MAX($F9:GLQ9)=$D12,0,GLQ9+1))</f>
        <v>0</v>
      </c>
      <c r="GLS9" s="26">
        <f>IF(GLS7=0,0,IF(MAX($F9:GLR9)=$D12,0,GLR9+1))</f>
        <v>0</v>
      </c>
      <c r="GLT9" s="26">
        <f>IF(GLT7=0,0,IF(MAX($F9:GLS9)=$D12,0,GLS9+1))</f>
        <v>0</v>
      </c>
      <c r="GLU9" s="26">
        <f>IF(GLU7=0,0,IF(MAX($F9:GLT9)=$D12,0,GLT9+1))</f>
        <v>0</v>
      </c>
      <c r="GLV9" s="26">
        <f>IF(GLV7=0,0,IF(MAX($F9:GLU9)=$D12,0,GLU9+1))</f>
        <v>0</v>
      </c>
      <c r="GLW9" s="26">
        <f>IF(GLW7=0,0,IF(MAX($F9:GLV9)=$D12,0,GLV9+1))</f>
        <v>0</v>
      </c>
      <c r="GLX9" s="26">
        <f>IF(GLX7=0,0,IF(MAX($F9:GLW9)=$D12,0,GLW9+1))</f>
        <v>0</v>
      </c>
      <c r="GLY9" s="26">
        <f>IF(GLY7=0,0,IF(MAX($F9:GLX9)=$D12,0,GLX9+1))</f>
        <v>0</v>
      </c>
      <c r="GLZ9" s="26">
        <f>IF(GLZ7=0,0,IF(MAX($F9:GLY9)=$D12,0,GLY9+1))</f>
        <v>0</v>
      </c>
      <c r="GMA9" s="26">
        <f>IF(GMA7=0,0,IF(MAX($F9:GLZ9)=$D12,0,GLZ9+1))</f>
        <v>0</v>
      </c>
      <c r="GMB9" s="26">
        <f>IF(GMB7=0,0,IF(MAX($F9:GMA9)=$D12,0,GMA9+1))</f>
        <v>0</v>
      </c>
      <c r="GMC9" s="26">
        <f>IF(GMC7=0,0,IF(MAX($F9:GMB9)=$D12,0,GMB9+1))</f>
        <v>0</v>
      </c>
      <c r="GMD9" s="26">
        <f>IF(GMD7=0,0,IF(MAX($F9:GMC9)=$D12,0,GMC9+1))</f>
        <v>0</v>
      </c>
      <c r="GME9" s="26">
        <f>IF(GME7=0,0,IF(MAX($F9:GMD9)=$D12,0,GMD9+1))</f>
        <v>0</v>
      </c>
      <c r="GMF9" s="26">
        <f>IF(GMF7=0,0,IF(MAX($F9:GME9)=$D12,0,GME9+1))</f>
        <v>0</v>
      </c>
      <c r="GMG9" s="26">
        <f>IF(GMG7=0,0,IF(MAX($F9:GMF9)=$D12,0,GMF9+1))</f>
        <v>0</v>
      </c>
      <c r="GMH9" s="26">
        <f>IF(GMH7=0,0,IF(MAX($F9:GMG9)=$D12,0,GMG9+1))</f>
        <v>0</v>
      </c>
      <c r="GMI9" s="26">
        <f>IF(GMI7=0,0,IF(MAX($F9:GMH9)=$D12,0,GMH9+1))</f>
        <v>0</v>
      </c>
      <c r="GMJ9" s="26">
        <f>IF(GMJ7=0,0,IF(MAX($F9:GMI9)=$D12,0,GMI9+1))</f>
        <v>0</v>
      </c>
      <c r="GMK9" s="26">
        <f>IF(GMK7=0,0,IF(MAX($F9:GMJ9)=$D12,0,GMJ9+1))</f>
        <v>0</v>
      </c>
      <c r="GML9" s="26">
        <f>IF(GML7=0,0,IF(MAX($F9:GMK9)=$D12,0,GMK9+1))</f>
        <v>0</v>
      </c>
      <c r="GMM9" s="26">
        <f>IF(GMM7=0,0,IF(MAX($F9:GML9)=$D12,0,GML9+1))</f>
        <v>0</v>
      </c>
      <c r="GMN9" s="26">
        <f>IF(GMN7=0,0,IF(MAX($F9:GMM9)=$D12,0,GMM9+1))</f>
        <v>0</v>
      </c>
      <c r="GMO9" s="26">
        <f>IF(GMO7=0,0,IF(MAX($F9:GMN9)=$D12,0,GMN9+1))</f>
        <v>0</v>
      </c>
      <c r="GMP9" s="26">
        <f>IF(GMP7=0,0,IF(MAX($F9:GMO9)=$D12,0,GMO9+1))</f>
        <v>0</v>
      </c>
      <c r="GMQ9" s="26">
        <f>IF(GMQ7=0,0,IF(MAX($F9:GMP9)=$D12,0,GMP9+1))</f>
        <v>0</v>
      </c>
      <c r="GMR9" s="26">
        <f>IF(GMR7=0,0,IF(MAX($F9:GMQ9)=$D12,0,GMQ9+1))</f>
        <v>0</v>
      </c>
      <c r="GMS9" s="26">
        <f>IF(GMS7=0,0,IF(MAX($F9:GMR9)=$D12,0,GMR9+1))</f>
        <v>0</v>
      </c>
      <c r="GMT9" s="26">
        <f>IF(GMT7=0,0,IF(MAX($F9:GMS9)=$D12,0,GMS9+1))</f>
        <v>0</v>
      </c>
      <c r="GMU9" s="26">
        <f>IF(GMU7=0,0,IF(MAX($F9:GMT9)=$D12,0,GMT9+1))</f>
        <v>0</v>
      </c>
      <c r="GMV9" s="26">
        <f>IF(GMV7=0,0,IF(MAX($F9:GMU9)=$D12,0,GMU9+1))</f>
        <v>0</v>
      </c>
      <c r="GMW9" s="26">
        <f>IF(GMW7=0,0,IF(MAX($F9:GMV9)=$D12,0,GMV9+1))</f>
        <v>0</v>
      </c>
      <c r="GMX9" s="26">
        <f>IF(GMX7=0,0,IF(MAX($F9:GMW9)=$D12,0,GMW9+1))</f>
        <v>0</v>
      </c>
      <c r="GMY9" s="26">
        <f>IF(GMY7=0,0,IF(MAX($F9:GMX9)=$D12,0,GMX9+1))</f>
        <v>0</v>
      </c>
      <c r="GMZ9" s="26">
        <f>IF(GMZ7=0,0,IF(MAX($F9:GMY9)=$D12,0,GMY9+1))</f>
        <v>0</v>
      </c>
      <c r="GNA9" s="26">
        <f>IF(GNA7=0,0,IF(MAX($F9:GMZ9)=$D12,0,GMZ9+1))</f>
        <v>0</v>
      </c>
      <c r="GNB9" s="26">
        <f>IF(GNB7=0,0,IF(MAX($F9:GNA9)=$D12,0,GNA9+1))</f>
        <v>0</v>
      </c>
      <c r="GNC9" s="26">
        <f>IF(GNC7=0,0,IF(MAX($F9:GNB9)=$D12,0,GNB9+1))</f>
        <v>0</v>
      </c>
      <c r="GND9" s="26">
        <f>IF(GND7=0,0,IF(MAX($F9:GNC9)=$D12,0,GNC9+1))</f>
        <v>0</v>
      </c>
      <c r="GNE9" s="26">
        <f>IF(GNE7=0,0,IF(MAX($F9:GND9)=$D12,0,GND9+1))</f>
        <v>0</v>
      </c>
      <c r="GNF9" s="26">
        <f>IF(GNF7=0,0,IF(MAX($F9:GNE9)=$D12,0,GNE9+1))</f>
        <v>0</v>
      </c>
      <c r="GNG9" s="26">
        <f>IF(GNG7=0,0,IF(MAX($F9:GNF9)=$D12,0,GNF9+1))</f>
        <v>0</v>
      </c>
      <c r="GNH9" s="26">
        <f>IF(GNH7=0,0,IF(MAX($F9:GNG9)=$D12,0,GNG9+1))</f>
        <v>0</v>
      </c>
      <c r="GNI9" s="26">
        <f>IF(GNI7=0,0,IF(MAX($F9:GNH9)=$D12,0,GNH9+1))</f>
        <v>0</v>
      </c>
      <c r="GNJ9" s="26">
        <f>IF(GNJ7=0,0,IF(MAX($F9:GNI9)=$D12,0,GNI9+1))</f>
        <v>0</v>
      </c>
      <c r="GNK9" s="26">
        <f>IF(GNK7=0,0,IF(MAX($F9:GNJ9)=$D12,0,GNJ9+1))</f>
        <v>0</v>
      </c>
      <c r="GNL9" s="26">
        <f>IF(GNL7=0,0,IF(MAX($F9:GNK9)=$D12,0,GNK9+1))</f>
        <v>0</v>
      </c>
      <c r="GNM9" s="26">
        <f>IF(GNM7=0,0,IF(MAX($F9:GNL9)=$D12,0,GNL9+1))</f>
        <v>0</v>
      </c>
      <c r="GNN9" s="26">
        <f>IF(GNN7=0,0,IF(MAX($F9:GNM9)=$D12,0,GNM9+1))</f>
        <v>0</v>
      </c>
      <c r="GNO9" s="26">
        <f>IF(GNO7=0,0,IF(MAX($F9:GNN9)=$D12,0,GNN9+1))</f>
        <v>0</v>
      </c>
      <c r="GNP9" s="26">
        <f>IF(GNP7=0,0,IF(MAX($F9:GNO9)=$D12,0,GNO9+1))</f>
        <v>0</v>
      </c>
      <c r="GNQ9" s="26">
        <f>IF(GNQ7=0,0,IF(MAX($F9:GNP9)=$D12,0,GNP9+1))</f>
        <v>0</v>
      </c>
      <c r="GNR9" s="26">
        <f>IF(GNR7=0,0,IF(MAX($F9:GNQ9)=$D12,0,GNQ9+1))</f>
        <v>0</v>
      </c>
      <c r="GNS9" s="26">
        <f>IF(GNS7=0,0,IF(MAX($F9:GNR9)=$D12,0,GNR9+1))</f>
        <v>0</v>
      </c>
      <c r="GNT9" s="26">
        <f>IF(GNT7=0,0,IF(MAX($F9:GNS9)=$D12,0,GNS9+1))</f>
        <v>0</v>
      </c>
      <c r="GNU9" s="26">
        <f>IF(GNU7=0,0,IF(MAX($F9:GNT9)=$D12,0,GNT9+1))</f>
        <v>0</v>
      </c>
      <c r="GNV9" s="26">
        <f>IF(GNV7=0,0,IF(MAX($F9:GNU9)=$D12,0,GNU9+1))</f>
        <v>0</v>
      </c>
      <c r="GNW9" s="26">
        <f>IF(GNW7=0,0,IF(MAX($F9:GNV9)=$D12,0,GNV9+1))</f>
        <v>0</v>
      </c>
      <c r="GNX9" s="26">
        <f>IF(GNX7=0,0,IF(MAX($F9:GNW9)=$D12,0,GNW9+1))</f>
        <v>0</v>
      </c>
      <c r="GNY9" s="26">
        <f>IF(GNY7=0,0,IF(MAX($F9:GNX9)=$D12,0,GNX9+1))</f>
        <v>0</v>
      </c>
      <c r="GNZ9" s="26">
        <f>IF(GNZ7=0,0,IF(MAX($F9:GNY9)=$D12,0,GNY9+1))</f>
        <v>0</v>
      </c>
      <c r="GOA9" s="26">
        <f>IF(GOA7=0,0,IF(MAX($F9:GNZ9)=$D12,0,GNZ9+1))</f>
        <v>0</v>
      </c>
      <c r="GOB9" s="26">
        <f>IF(GOB7=0,0,IF(MAX($F9:GOA9)=$D12,0,GOA9+1))</f>
        <v>0</v>
      </c>
      <c r="GOC9" s="26">
        <f>IF(GOC7=0,0,IF(MAX($F9:GOB9)=$D12,0,GOB9+1))</f>
        <v>0</v>
      </c>
      <c r="GOD9" s="26">
        <f>IF(GOD7=0,0,IF(MAX($F9:GOC9)=$D12,0,GOC9+1))</f>
        <v>0</v>
      </c>
      <c r="GOE9" s="26">
        <f>IF(GOE7=0,0,IF(MAX($F9:GOD9)=$D12,0,GOD9+1))</f>
        <v>0</v>
      </c>
      <c r="GOF9" s="26">
        <f>IF(GOF7=0,0,IF(MAX($F9:GOE9)=$D12,0,GOE9+1))</f>
        <v>0</v>
      </c>
      <c r="GOG9" s="26">
        <f>IF(GOG7=0,0,IF(MAX($F9:GOF9)=$D12,0,GOF9+1))</f>
        <v>0</v>
      </c>
      <c r="GOH9" s="26">
        <f>IF(GOH7=0,0,IF(MAX($F9:GOG9)=$D12,0,GOG9+1))</f>
        <v>0</v>
      </c>
      <c r="GOI9" s="26">
        <f>IF(GOI7=0,0,IF(MAX($F9:GOH9)=$D12,0,GOH9+1))</f>
        <v>0</v>
      </c>
      <c r="GOJ9" s="26">
        <f>IF(GOJ7=0,0,IF(MAX($F9:GOI9)=$D12,0,GOI9+1))</f>
        <v>0</v>
      </c>
      <c r="GOK9" s="26">
        <f>IF(GOK7=0,0,IF(MAX($F9:GOJ9)=$D12,0,GOJ9+1))</f>
        <v>0</v>
      </c>
      <c r="GOL9" s="26">
        <f>IF(GOL7=0,0,IF(MAX($F9:GOK9)=$D12,0,GOK9+1))</f>
        <v>0</v>
      </c>
      <c r="GOM9" s="26">
        <f>IF(GOM7=0,0,IF(MAX($F9:GOL9)=$D12,0,GOL9+1))</f>
        <v>0</v>
      </c>
      <c r="GON9" s="26">
        <f>IF(GON7=0,0,IF(MAX($F9:GOM9)=$D12,0,GOM9+1))</f>
        <v>0</v>
      </c>
      <c r="GOO9" s="26">
        <f>IF(GOO7=0,0,IF(MAX($F9:GON9)=$D12,0,GON9+1))</f>
        <v>0</v>
      </c>
      <c r="GOP9" s="26">
        <f>IF(GOP7=0,0,IF(MAX($F9:GOO9)=$D12,0,GOO9+1))</f>
        <v>0</v>
      </c>
      <c r="GOQ9" s="26">
        <f>IF(GOQ7=0,0,IF(MAX($F9:GOP9)=$D12,0,GOP9+1))</f>
        <v>0</v>
      </c>
      <c r="GOR9" s="26">
        <f>IF(GOR7=0,0,IF(MAX($F9:GOQ9)=$D12,0,GOQ9+1))</f>
        <v>0</v>
      </c>
      <c r="GOS9" s="26">
        <f>IF(GOS7=0,0,IF(MAX($F9:GOR9)=$D12,0,GOR9+1))</f>
        <v>0</v>
      </c>
      <c r="GOT9" s="26">
        <f>IF(GOT7=0,0,IF(MAX($F9:GOS9)=$D12,0,GOS9+1))</f>
        <v>0</v>
      </c>
      <c r="GOU9" s="26">
        <f>IF(GOU7=0,0,IF(MAX($F9:GOT9)=$D12,0,GOT9+1))</f>
        <v>0</v>
      </c>
      <c r="GOV9" s="26">
        <f>IF(GOV7=0,0,IF(MAX($F9:GOU9)=$D12,0,GOU9+1))</f>
        <v>0</v>
      </c>
      <c r="GOW9" s="26">
        <f>IF(GOW7=0,0,IF(MAX($F9:GOV9)=$D12,0,GOV9+1))</f>
        <v>0</v>
      </c>
      <c r="GOX9" s="26">
        <f>IF(GOX7=0,0,IF(MAX($F9:GOW9)=$D12,0,GOW9+1))</f>
        <v>0</v>
      </c>
      <c r="GOY9" s="26">
        <f>IF(GOY7=0,0,IF(MAX($F9:GOX9)=$D12,0,GOX9+1))</f>
        <v>0</v>
      </c>
      <c r="GOZ9" s="26">
        <f>IF(GOZ7=0,0,IF(MAX($F9:GOY9)=$D12,0,GOY9+1))</f>
        <v>0</v>
      </c>
      <c r="GPA9" s="26">
        <f>IF(GPA7=0,0,IF(MAX($F9:GOZ9)=$D12,0,GOZ9+1))</f>
        <v>0</v>
      </c>
      <c r="GPB9" s="26">
        <f>IF(GPB7=0,0,IF(MAX($F9:GPA9)=$D12,0,GPA9+1))</f>
        <v>0</v>
      </c>
      <c r="GPC9" s="26">
        <f>IF(GPC7=0,0,IF(MAX($F9:GPB9)=$D12,0,GPB9+1))</f>
        <v>0</v>
      </c>
      <c r="GPD9" s="26">
        <f>IF(GPD7=0,0,IF(MAX($F9:GPC9)=$D12,0,GPC9+1))</f>
        <v>0</v>
      </c>
      <c r="GPE9" s="26">
        <f>IF(GPE7=0,0,IF(MAX($F9:GPD9)=$D12,0,GPD9+1))</f>
        <v>0</v>
      </c>
      <c r="GPF9" s="26">
        <f>IF(GPF7=0,0,IF(MAX($F9:GPE9)=$D12,0,GPE9+1))</f>
        <v>0</v>
      </c>
      <c r="GPG9" s="26">
        <f>IF(GPG7=0,0,IF(MAX($F9:GPF9)=$D12,0,GPF9+1))</f>
        <v>0</v>
      </c>
      <c r="GPH9" s="26">
        <f>IF(GPH7=0,0,IF(MAX($F9:GPG9)=$D12,0,GPG9+1))</f>
        <v>0</v>
      </c>
      <c r="GPI9" s="26">
        <f>IF(GPI7=0,0,IF(MAX($F9:GPH9)=$D12,0,GPH9+1))</f>
        <v>0</v>
      </c>
      <c r="GPJ9" s="26">
        <f>IF(GPJ7=0,0,IF(MAX($F9:GPI9)=$D12,0,GPI9+1))</f>
        <v>0</v>
      </c>
      <c r="GPK9" s="26">
        <f>IF(GPK7=0,0,IF(MAX($F9:GPJ9)=$D12,0,GPJ9+1))</f>
        <v>0</v>
      </c>
      <c r="GPL9" s="26">
        <f>IF(GPL7=0,0,IF(MAX($F9:GPK9)=$D12,0,GPK9+1))</f>
        <v>0</v>
      </c>
      <c r="GPM9" s="26">
        <f>IF(GPM7=0,0,IF(MAX($F9:GPL9)=$D12,0,GPL9+1))</f>
        <v>0</v>
      </c>
      <c r="GPN9" s="26">
        <f>IF(GPN7=0,0,IF(MAX($F9:GPM9)=$D12,0,GPM9+1))</f>
        <v>0</v>
      </c>
      <c r="GPO9" s="26">
        <f>IF(GPO7=0,0,IF(MAX($F9:GPN9)=$D12,0,GPN9+1))</f>
        <v>0</v>
      </c>
      <c r="GPP9" s="26">
        <f>IF(GPP7=0,0,IF(MAX($F9:GPO9)=$D12,0,GPO9+1))</f>
        <v>0</v>
      </c>
      <c r="GPQ9" s="26">
        <f>IF(GPQ7=0,0,IF(MAX($F9:GPP9)=$D12,0,GPP9+1))</f>
        <v>0</v>
      </c>
      <c r="GPR9" s="26">
        <f>IF(GPR7=0,0,IF(MAX($F9:GPQ9)=$D12,0,GPQ9+1))</f>
        <v>0</v>
      </c>
      <c r="GPS9" s="26">
        <f>IF(GPS7=0,0,IF(MAX($F9:GPR9)=$D12,0,GPR9+1))</f>
        <v>0</v>
      </c>
      <c r="GPT9" s="26">
        <f>IF(GPT7=0,0,IF(MAX($F9:GPS9)=$D12,0,GPS9+1))</f>
        <v>0</v>
      </c>
      <c r="GPU9" s="26">
        <f>IF(GPU7=0,0,IF(MAX($F9:GPT9)=$D12,0,GPT9+1))</f>
        <v>0</v>
      </c>
      <c r="GPV9" s="26">
        <f>IF(GPV7=0,0,IF(MAX($F9:GPU9)=$D12,0,GPU9+1))</f>
        <v>0</v>
      </c>
      <c r="GPW9" s="26">
        <f>IF(GPW7=0,0,IF(MAX($F9:GPV9)=$D12,0,GPV9+1))</f>
        <v>0</v>
      </c>
      <c r="GPX9" s="26">
        <f>IF(GPX7=0,0,IF(MAX($F9:GPW9)=$D12,0,GPW9+1))</f>
        <v>0</v>
      </c>
      <c r="GPY9" s="26">
        <f>IF(GPY7=0,0,IF(MAX($F9:GPX9)=$D12,0,GPX9+1))</f>
        <v>0</v>
      </c>
      <c r="GPZ9" s="26">
        <f>IF(GPZ7=0,0,IF(MAX($F9:GPY9)=$D12,0,GPY9+1))</f>
        <v>0</v>
      </c>
      <c r="GQA9" s="26">
        <f>IF(GQA7=0,0,IF(MAX($F9:GPZ9)=$D12,0,GPZ9+1))</f>
        <v>0</v>
      </c>
      <c r="GQB9" s="26">
        <f>IF(GQB7=0,0,IF(MAX($F9:GQA9)=$D12,0,GQA9+1))</f>
        <v>0</v>
      </c>
      <c r="GQC9" s="26">
        <f>IF(GQC7=0,0,IF(MAX($F9:GQB9)=$D12,0,GQB9+1))</f>
        <v>0</v>
      </c>
      <c r="GQD9" s="26">
        <f>IF(GQD7=0,0,IF(MAX($F9:GQC9)=$D12,0,GQC9+1))</f>
        <v>0</v>
      </c>
      <c r="GQE9" s="26">
        <f>IF(GQE7=0,0,IF(MAX($F9:GQD9)=$D12,0,GQD9+1))</f>
        <v>0</v>
      </c>
      <c r="GQF9" s="26">
        <f>IF(GQF7=0,0,IF(MAX($F9:GQE9)=$D12,0,GQE9+1))</f>
        <v>0</v>
      </c>
      <c r="GQG9" s="26">
        <f>IF(GQG7=0,0,IF(MAX($F9:GQF9)=$D12,0,GQF9+1))</f>
        <v>0</v>
      </c>
      <c r="GQH9" s="26">
        <f>IF(GQH7=0,0,IF(MAX($F9:GQG9)=$D12,0,GQG9+1))</f>
        <v>0</v>
      </c>
      <c r="GQI9" s="26">
        <f>IF(GQI7=0,0,IF(MAX($F9:GQH9)=$D12,0,GQH9+1))</f>
        <v>0</v>
      </c>
      <c r="GQJ9" s="26">
        <f>IF(GQJ7=0,0,IF(MAX($F9:GQI9)=$D12,0,GQI9+1))</f>
        <v>0</v>
      </c>
      <c r="GQK9" s="26">
        <f>IF(GQK7=0,0,IF(MAX($F9:GQJ9)=$D12,0,GQJ9+1))</f>
        <v>0</v>
      </c>
      <c r="GQL9" s="26">
        <f>IF(GQL7=0,0,IF(MAX($F9:GQK9)=$D12,0,GQK9+1))</f>
        <v>0</v>
      </c>
      <c r="GQM9" s="26">
        <f>IF(GQM7=0,0,IF(MAX($F9:GQL9)=$D12,0,GQL9+1))</f>
        <v>0</v>
      </c>
      <c r="GQN9" s="26">
        <f>IF(GQN7=0,0,IF(MAX($F9:GQM9)=$D12,0,GQM9+1))</f>
        <v>0</v>
      </c>
      <c r="GQO9" s="26">
        <f>IF(GQO7=0,0,IF(MAX($F9:GQN9)=$D12,0,GQN9+1))</f>
        <v>0</v>
      </c>
      <c r="GQP9" s="26">
        <f>IF(GQP7=0,0,IF(MAX($F9:GQO9)=$D12,0,GQO9+1))</f>
        <v>0</v>
      </c>
      <c r="GQQ9" s="26">
        <f>IF(GQQ7=0,0,IF(MAX($F9:GQP9)=$D12,0,GQP9+1))</f>
        <v>0</v>
      </c>
      <c r="GQR9" s="26">
        <f>IF(GQR7=0,0,IF(MAX($F9:GQQ9)=$D12,0,GQQ9+1))</f>
        <v>0</v>
      </c>
      <c r="GQS9" s="26">
        <f>IF(GQS7=0,0,IF(MAX($F9:GQR9)=$D12,0,GQR9+1))</f>
        <v>0</v>
      </c>
      <c r="GQT9" s="26">
        <f>IF(GQT7=0,0,IF(MAX($F9:GQS9)=$D12,0,GQS9+1))</f>
        <v>0</v>
      </c>
      <c r="GQU9" s="26">
        <f>IF(GQU7=0,0,IF(MAX($F9:GQT9)=$D12,0,GQT9+1))</f>
        <v>0</v>
      </c>
      <c r="GQV9" s="26">
        <f>IF(GQV7=0,0,IF(MAX($F9:GQU9)=$D12,0,GQU9+1))</f>
        <v>0</v>
      </c>
      <c r="GQW9" s="26">
        <f>IF(GQW7=0,0,IF(MAX($F9:GQV9)=$D12,0,GQV9+1))</f>
        <v>0</v>
      </c>
      <c r="GQX9" s="26">
        <f>IF(GQX7=0,0,IF(MAX($F9:GQW9)=$D12,0,GQW9+1))</f>
        <v>0</v>
      </c>
      <c r="GQY9" s="26">
        <f>IF(GQY7=0,0,IF(MAX($F9:GQX9)=$D12,0,GQX9+1))</f>
        <v>0</v>
      </c>
      <c r="GQZ9" s="26">
        <f>IF(GQZ7=0,0,IF(MAX($F9:GQY9)=$D12,0,GQY9+1))</f>
        <v>0</v>
      </c>
      <c r="GRA9" s="26">
        <f>IF(GRA7=0,0,IF(MAX($F9:GQZ9)=$D12,0,GQZ9+1))</f>
        <v>0</v>
      </c>
      <c r="GRB9" s="26">
        <f>IF(GRB7=0,0,IF(MAX($F9:GRA9)=$D12,0,GRA9+1))</f>
        <v>0</v>
      </c>
      <c r="GRC9" s="26">
        <f>IF(GRC7=0,0,IF(MAX($F9:GRB9)=$D12,0,GRB9+1))</f>
        <v>0</v>
      </c>
      <c r="GRD9" s="26">
        <f>IF(GRD7=0,0,IF(MAX($F9:GRC9)=$D12,0,GRC9+1))</f>
        <v>0</v>
      </c>
      <c r="GRE9" s="26">
        <f>IF(GRE7=0,0,IF(MAX($F9:GRD9)=$D12,0,GRD9+1))</f>
        <v>0</v>
      </c>
      <c r="GRF9" s="26">
        <f>IF(GRF7=0,0,IF(MAX($F9:GRE9)=$D12,0,GRE9+1))</f>
        <v>0</v>
      </c>
      <c r="GRG9" s="26">
        <f>IF(GRG7=0,0,IF(MAX($F9:GRF9)=$D12,0,GRF9+1))</f>
        <v>0</v>
      </c>
      <c r="GRH9" s="26">
        <f>IF(GRH7=0,0,IF(MAX($F9:GRG9)=$D12,0,GRG9+1))</f>
        <v>0</v>
      </c>
      <c r="GRI9" s="26">
        <f>IF(GRI7=0,0,IF(MAX($F9:GRH9)=$D12,0,GRH9+1))</f>
        <v>0</v>
      </c>
      <c r="GRJ9" s="26">
        <f>IF(GRJ7=0,0,IF(MAX($F9:GRI9)=$D12,0,GRI9+1))</f>
        <v>0</v>
      </c>
      <c r="GRK9" s="26">
        <f>IF(GRK7=0,0,IF(MAX($F9:GRJ9)=$D12,0,GRJ9+1))</f>
        <v>0</v>
      </c>
      <c r="GRL9" s="26">
        <f>IF(GRL7=0,0,IF(MAX($F9:GRK9)=$D12,0,GRK9+1))</f>
        <v>0</v>
      </c>
      <c r="GRM9" s="26">
        <f>IF(GRM7=0,0,IF(MAX($F9:GRL9)=$D12,0,GRL9+1))</f>
        <v>0</v>
      </c>
      <c r="GRN9" s="26">
        <f>IF(GRN7=0,0,IF(MAX($F9:GRM9)=$D12,0,GRM9+1))</f>
        <v>0</v>
      </c>
      <c r="GRO9" s="26">
        <f>IF(GRO7=0,0,IF(MAX($F9:GRN9)=$D12,0,GRN9+1))</f>
        <v>0</v>
      </c>
      <c r="GRP9" s="26">
        <f>IF(GRP7=0,0,IF(MAX($F9:GRO9)=$D12,0,GRO9+1))</f>
        <v>0</v>
      </c>
      <c r="GRQ9" s="26">
        <f>IF(GRQ7=0,0,IF(MAX($F9:GRP9)=$D12,0,GRP9+1))</f>
        <v>0</v>
      </c>
      <c r="GRR9" s="26">
        <f>IF(GRR7=0,0,IF(MAX($F9:GRQ9)=$D12,0,GRQ9+1))</f>
        <v>0</v>
      </c>
      <c r="GRS9" s="26">
        <f>IF(GRS7=0,0,IF(MAX($F9:GRR9)=$D12,0,GRR9+1))</f>
        <v>0</v>
      </c>
      <c r="GRT9" s="26">
        <f>IF(GRT7=0,0,IF(MAX($F9:GRS9)=$D12,0,GRS9+1))</f>
        <v>0</v>
      </c>
      <c r="GRU9" s="26">
        <f>IF(GRU7=0,0,IF(MAX($F9:GRT9)=$D12,0,GRT9+1))</f>
        <v>0</v>
      </c>
      <c r="GRV9" s="26">
        <f>IF(GRV7=0,0,IF(MAX($F9:GRU9)=$D12,0,GRU9+1))</f>
        <v>0</v>
      </c>
      <c r="GRW9" s="26">
        <f>IF(GRW7=0,0,IF(MAX($F9:GRV9)=$D12,0,GRV9+1))</f>
        <v>0</v>
      </c>
      <c r="GRX9" s="26">
        <f>IF(GRX7=0,0,IF(MAX($F9:GRW9)=$D12,0,GRW9+1))</f>
        <v>0</v>
      </c>
      <c r="GRY9" s="26">
        <f>IF(GRY7=0,0,IF(MAX($F9:GRX9)=$D12,0,GRX9+1))</f>
        <v>0</v>
      </c>
      <c r="GRZ9" s="26">
        <f>IF(GRZ7=0,0,IF(MAX($F9:GRY9)=$D12,0,GRY9+1))</f>
        <v>0</v>
      </c>
      <c r="GSA9" s="26">
        <f>IF(GSA7=0,0,IF(MAX($F9:GRZ9)=$D12,0,GRZ9+1))</f>
        <v>0</v>
      </c>
      <c r="GSB9" s="26">
        <f>IF(GSB7=0,0,IF(MAX($F9:GSA9)=$D12,0,GSA9+1))</f>
        <v>0</v>
      </c>
      <c r="GSC9" s="26">
        <f>IF(GSC7=0,0,IF(MAX($F9:GSB9)=$D12,0,GSB9+1))</f>
        <v>0</v>
      </c>
      <c r="GSD9" s="26">
        <f>IF(GSD7=0,0,IF(MAX($F9:GSC9)=$D12,0,GSC9+1))</f>
        <v>0</v>
      </c>
      <c r="GSE9" s="26">
        <f>IF(GSE7=0,0,IF(MAX($F9:GSD9)=$D12,0,GSD9+1))</f>
        <v>0</v>
      </c>
      <c r="GSF9" s="26">
        <f>IF(GSF7=0,0,IF(MAX($F9:GSE9)=$D12,0,GSE9+1))</f>
        <v>0</v>
      </c>
      <c r="GSG9" s="26">
        <f>IF(GSG7=0,0,IF(MAX($F9:GSF9)=$D12,0,GSF9+1))</f>
        <v>0</v>
      </c>
      <c r="GSH9" s="26">
        <f>IF(GSH7=0,0,IF(MAX($F9:GSG9)=$D12,0,GSG9+1))</f>
        <v>0</v>
      </c>
      <c r="GSI9" s="26">
        <f>IF(GSI7=0,0,IF(MAX($F9:GSH9)=$D12,0,GSH9+1))</f>
        <v>0</v>
      </c>
      <c r="GSJ9" s="26">
        <f>IF(GSJ7=0,0,IF(MAX($F9:GSI9)=$D12,0,GSI9+1))</f>
        <v>0</v>
      </c>
      <c r="GSK9" s="26">
        <f>IF(GSK7=0,0,IF(MAX($F9:GSJ9)=$D12,0,GSJ9+1))</f>
        <v>0</v>
      </c>
      <c r="GSL9" s="26">
        <f>IF(GSL7=0,0,IF(MAX($F9:GSK9)=$D12,0,GSK9+1))</f>
        <v>0</v>
      </c>
      <c r="GSM9" s="26">
        <f>IF(GSM7=0,0,IF(MAX($F9:GSL9)=$D12,0,GSL9+1))</f>
        <v>0</v>
      </c>
      <c r="GSN9" s="26">
        <f>IF(GSN7=0,0,IF(MAX($F9:GSM9)=$D12,0,GSM9+1))</f>
        <v>0</v>
      </c>
      <c r="GSO9" s="26">
        <f>IF(GSO7=0,0,IF(MAX($F9:GSN9)=$D12,0,GSN9+1))</f>
        <v>0</v>
      </c>
      <c r="GSP9" s="26">
        <f>IF(GSP7=0,0,IF(MAX($F9:GSO9)=$D12,0,GSO9+1))</f>
        <v>0</v>
      </c>
      <c r="GSQ9" s="26">
        <f>IF(GSQ7=0,0,IF(MAX($F9:GSP9)=$D12,0,GSP9+1))</f>
        <v>0</v>
      </c>
      <c r="GSR9" s="26">
        <f>IF(GSR7=0,0,IF(MAX($F9:GSQ9)=$D12,0,GSQ9+1))</f>
        <v>0</v>
      </c>
      <c r="GSS9" s="26">
        <f>IF(GSS7=0,0,IF(MAX($F9:GSR9)=$D12,0,GSR9+1))</f>
        <v>0</v>
      </c>
      <c r="GST9" s="26">
        <f>IF(GST7=0,0,IF(MAX($F9:GSS9)=$D12,0,GSS9+1))</f>
        <v>0</v>
      </c>
      <c r="GSU9" s="26">
        <f>IF(GSU7=0,0,IF(MAX($F9:GST9)=$D12,0,GST9+1))</f>
        <v>0</v>
      </c>
      <c r="GSV9" s="26">
        <f>IF(GSV7=0,0,IF(MAX($F9:GSU9)=$D12,0,GSU9+1))</f>
        <v>0</v>
      </c>
      <c r="GSW9" s="26">
        <f>IF(GSW7=0,0,IF(MAX($F9:GSV9)=$D12,0,GSV9+1))</f>
        <v>0</v>
      </c>
      <c r="GSX9" s="26">
        <f>IF(GSX7=0,0,IF(MAX($F9:GSW9)=$D12,0,GSW9+1))</f>
        <v>0</v>
      </c>
      <c r="GSY9" s="26">
        <f>IF(GSY7=0,0,IF(MAX($F9:GSX9)=$D12,0,GSX9+1))</f>
        <v>0</v>
      </c>
      <c r="GSZ9" s="26">
        <f>IF(GSZ7=0,0,IF(MAX($F9:GSY9)=$D12,0,GSY9+1))</f>
        <v>0</v>
      </c>
      <c r="GTA9" s="26">
        <f>IF(GTA7=0,0,IF(MAX($F9:GSZ9)=$D12,0,GSZ9+1))</f>
        <v>0</v>
      </c>
      <c r="GTB9" s="26">
        <f>IF(GTB7=0,0,IF(MAX($F9:GTA9)=$D12,0,GTA9+1))</f>
        <v>0</v>
      </c>
      <c r="GTC9" s="26">
        <f>IF(GTC7=0,0,IF(MAX($F9:GTB9)=$D12,0,GTB9+1))</f>
        <v>0</v>
      </c>
      <c r="GTD9" s="26">
        <f>IF(GTD7=0,0,IF(MAX($F9:GTC9)=$D12,0,GTC9+1))</f>
        <v>0</v>
      </c>
      <c r="GTE9" s="26">
        <f>IF(GTE7=0,0,IF(MAX($F9:GTD9)=$D12,0,GTD9+1))</f>
        <v>0</v>
      </c>
      <c r="GTF9" s="26">
        <f>IF(GTF7=0,0,IF(MAX($F9:GTE9)=$D12,0,GTE9+1))</f>
        <v>0</v>
      </c>
      <c r="GTG9" s="26">
        <f>IF(GTG7=0,0,IF(MAX($F9:GTF9)=$D12,0,GTF9+1))</f>
        <v>0</v>
      </c>
      <c r="GTH9" s="26">
        <f>IF(GTH7=0,0,IF(MAX($F9:GTG9)=$D12,0,GTG9+1))</f>
        <v>0</v>
      </c>
      <c r="GTI9" s="26">
        <f>IF(GTI7=0,0,IF(MAX($F9:GTH9)=$D12,0,GTH9+1))</f>
        <v>0</v>
      </c>
      <c r="GTJ9" s="26">
        <f>IF(GTJ7=0,0,IF(MAX($F9:GTI9)=$D12,0,GTI9+1))</f>
        <v>0</v>
      </c>
      <c r="GTK9" s="26">
        <f>IF(GTK7=0,0,IF(MAX($F9:GTJ9)=$D12,0,GTJ9+1))</f>
        <v>0</v>
      </c>
      <c r="GTL9" s="26">
        <f>IF(GTL7=0,0,IF(MAX($F9:GTK9)=$D12,0,GTK9+1))</f>
        <v>0</v>
      </c>
      <c r="GTM9" s="26">
        <f>IF(GTM7=0,0,IF(MAX($F9:GTL9)=$D12,0,GTL9+1))</f>
        <v>0</v>
      </c>
      <c r="GTN9" s="26">
        <f>IF(GTN7=0,0,IF(MAX($F9:GTM9)=$D12,0,GTM9+1))</f>
        <v>0</v>
      </c>
      <c r="GTO9" s="26">
        <f>IF(GTO7=0,0,IF(MAX($F9:GTN9)=$D12,0,GTN9+1))</f>
        <v>0</v>
      </c>
      <c r="GTP9" s="26">
        <f>IF(GTP7=0,0,IF(MAX($F9:GTO9)=$D12,0,GTO9+1))</f>
        <v>0</v>
      </c>
      <c r="GTQ9" s="26">
        <f>IF(GTQ7=0,0,IF(MAX($F9:GTP9)=$D12,0,GTP9+1))</f>
        <v>0</v>
      </c>
      <c r="GTR9" s="26">
        <f>IF(GTR7=0,0,IF(MAX($F9:GTQ9)=$D12,0,GTQ9+1))</f>
        <v>0</v>
      </c>
      <c r="GTS9" s="26">
        <f>IF(GTS7=0,0,IF(MAX($F9:GTR9)=$D12,0,GTR9+1))</f>
        <v>0</v>
      </c>
      <c r="GTT9" s="26">
        <f>IF(GTT7=0,0,IF(MAX($F9:GTS9)=$D12,0,GTS9+1))</f>
        <v>0</v>
      </c>
      <c r="GTU9" s="26">
        <f>IF(GTU7=0,0,IF(MAX($F9:GTT9)=$D12,0,GTT9+1))</f>
        <v>0</v>
      </c>
      <c r="GTV9" s="26">
        <f>IF(GTV7=0,0,IF(MAX($F9:GTU9)=$D12,0,GTU9+1))</f>
        <v>0</v>
      </c>
      <c r="GTW9" s="26">
        <f>IF(GTW7=0,0,IF(MAX($F9:GTV9)=$D12,0,GTV9+1))</f>
        <v>0</v>
      </c>
      <c r="GTX9" s="26">
        <f>IF(GTX7=0,0,IF(MAX($F9:GTW9)=$D12,0,GTW9+1))</f>
        <v>0</v>
      </c>
      <c r="GTY9" s="26">
        <f>IF(GTY7=0,0,IF(MAX($F9:GTX9)=$D12,0,GTX9+1))</f>
        <v>0</v>
      </c>
      <c r="GTZ9" s="26">
        <f>IF(GTZ7=0,0,IF(MAX($F9:GTY9)=$D12,0,GTY9+1))</f>
        <v>0</v>
      </c>
      <c r="GUA9" s="26">
        <f>IF(GUA7=0,0,IF(MAX($F9:GTZ9)=$D12,0,GTZ9+1))</f>
        <v>0</v>
      </c>
      <c r="GUB9" s="26">
        <f>IF(GUB7=0,0,IF(MAX($F9:GUA9)=$D12,0,GUA9+1))</f>
        <v>0</v>
      </c>
      <c r="GUC9" s="26">
        <f>IF(GUC7=0,0,IF(MAX($F9:GUB9)=$D12,0,GUB9+1))</f>
        <v>0</v>
      </c>
      <c r="GUD9" s="26">
        <f>IF(GUD7=0,0,IF(MAX($F9:GUC9)=$D12,0,GUC9+1))</f>
        <v>0</v>
      </c>
      <c r="GUE9" s="26">
        <f>IF(GUE7=0,0,IF(MAX($F9:GUD9)=$D12,0,GUD9+1))</f>
        <v>0</v>
      </c>
      <c r="GUF9" s="26">
        <f>IF(GUF7=0,0,IF(MAX($F9:GUE9)=$D12,0,GUE9+1))</f>
        <v>0</v>
      </c>
      <c r="GUG9" s="26">
        <f>IF(GUG7=0,0,IF(MAX($F9:GUF9)=$D12,0,GUF9+1))</f>
        <v>0</v>
      </c>
      <c r="GUH9" s="26">
        <f>IF(GUH7=0,0,IF(MAX($F9:GUG9)=$D12,0,GUG9+1))</f>
        <v>0</v>
      </c>
      <c r="GUI9" s="26">
        <f>IF(GUI7=0,0,IF(MAX($F9:GUH9)=$D12,0,GUH9+1))</f>
        <v>0</v>
      </c>
      <c r="GUJ9" s="26">
        <f>IF(GUJ7=0,0,IF(MAX($F9:GUI9)=$D12,0,GUI9+1))</f>
        <v>0</v>
      </c>
      <c r="GUK9" s="26">
        <f>IF(GUK7=0,0,IF(MAX($F9:GUJ9)=$D12,0,GUJ9+1))</f>
        <v>0</v>
      </c>
      <c r="GUL9" s="26">
        <f>IF(GUL7=0,0,IF(MAX($F9:GUK9)=$D12,0,GUK9+1))</f>
        <v>0</v>
      </c>
      <c r="GUM9" s="26">
        <f>IF(GUM7=0,0,IF(MAX($F9:GUL9)=$D12,0,GUL9+1))</f>
        <v>0</v>
      </c>
      <c r="GUN9" s="26">
        <f>IF(GUN7=0,0,IF(MAX($F9:GUM9)=$D12,0,GUM9+1))</f>
        <v>0</v>
      </c>
      <c r="GUO9" s="26">
        <f>IF(GUO7=0,0,IF(MAX($F9:GUN9)=$D12,0,GUN9+1))</f>
        <v>0</v>
      </c>
      <c r="GUP9" s="26">
        <f>IF(GUP7=0,0,IF(MAX($F9:GUO9)=$D12,0,GUO9+1))</f>
        <v>0</v>
      </c>
      <c r="GUQ9" s="26">
        <f>IF(GUQ7=0,0,IF(MAX($F9:GUP9)=$D12,0,GUP9+1))</f>
        <v>0</v>
      </c>
      <c r="GUR9" s="26">
        <f>IF(GUR7=0,0,IF(MAX($F9:GUQ9)=$D12,0,GUQ9+1))</f>
        <v>0</v>
      </c>
      <c r="GUS9" s="26">
        <f>IF(GUS7=0,0,IF(MAX($F9:GUR9)=$D12,0,GUR9+1))</f>
        <v>0</v>
      </c>
      <c r="GUT9" s="26">
        <f>IF(GUT7=0,0,IF(MAX($F9:GUS9)=$D12,0,GUS9+1))</f>
        <v>0</v>
      </c>
      <c r="GUU9" s="26">
        <f>IF(GUU7=0,0,IF(MAX($F9:GUT9)=$D12,0,GUT9+1))</f>
        <v>0</v>
      </c>
      <c r="GUV9" s="26">
        <f>IF(GUV7=0,0,IF(MAX($F9:GUU9)=$D12,0,GUU9+1))</f>
        <v>0</v>
      </c>
      <c r="GUW9" s="26">
        <f>IF(GUW7=0,0,IF(MAX($F9:GUV9)=$D12,0,GUV9+1))</f>
        <v>0</v>
      </c>
      <c r="GUX9" s="26">
        <f>IF(GUX7=0,0,IF(MAX($F9:GUW9)=$D12,0,GUW9+1))</f>
        <v>0</v>
      </c>
      <c r="GUY9" s="26">
        <f>IF(GUY7=0,0,IF(MAX($F9:GUX9)=$D12,0,GUX9+1))</f>
        <v>0</v>
      </c>
      <c r="GUZ9" s="26">
        <f>IF(GUZ7=0,0,IF(MAX($F9:GUY9)=$D12,0,GUY9+1))</f>
        <v>0</v>
      </c>
      <c r="GVA9" s="26">
        <f>IF(GVA7=0,0,IF(MAX($F9:GUZ9)=$D12,0,GUZ9+1))</f>
        <v>0</v>
      </c>
      <c r="GVB9" s="26">
        <f>IF(GVB7=0,0,IF(MAX($F9:GVA9)=$D12,0,GVA9+1))</f>
        <v>0</v>
      </c>
      <c r="GVC9" s="26">
        <f>IF(GVC7=0,0,IF(MAX($F9:GVB9)=$D12,0,GVB9+1))</f>
        <v>0</v>
      </c>
      <c r="GVD9" s="26">
        <f>IF(GVD7=0,0,IF(MAX($F9:GVC9)=$D12,0,GVC9+1))</f>
        <v>0</v>
      </c>
      <c r="GVE9" s="26">
        <f>IF(GVE7=0,0,IF(MAX($F9:GVD9)=$D12,0,GVD9+1))</f>
        <v>0</v>
      </c>
      <c r="GVF9" s="26">
        <f>IF(GVF7=0,0,IF(MAX($F9:GVE9)=$D12,0,GVE9+1))</f>
        <v>0</v>
      </c>
      <c r="GVG9" s="26">
        <f>IF(GVG7=0,0,IF(MAX($F9:GVF9)=$D12,0,GVF9+1))</f>
        <v>0</v>
      </c>
      <c r="GVH9" s="26">
        <f>IF(GVH7=0,0,IF(MAX($F9:GVG9)=$D12,0,GVG9+1))</f>
        <v>0</v>
      </c>
      <c r="GVI9" s="26">
        <f>IF(GVI7=0,0,IF(MAX($F9:GVH9)=$D12,0,GVH9+1))</f>
        <v>0</v>
      </c>
      <c r="GVJ9" s="26">
        <f>IF(GVJ7=0,0,IF(MAX($F9:GVI9)=$D12,0,GVI9+1))</f>
        <v>0</v>
      </c>
      <c r="GVK9" s="26">
        <f>IF(GVK7=0,0,IF(MAX($F9:GVJ9)=$D12,0,GVJ9+1))</f>
        <v>0</v>
      </c>
      <c r="GVL9" s="26">
        <f>IF(GVL7=0,0,IF(MAX($F9:GVK9)=$D12,0,GVK9+1))</f>
        <v>0</v>
      </c>
      <c r="GVM9" s="26">
        <f>IF(GVM7=0,0,IF(MAX($F9:GVL9)=$D12,0,GVL9+1))</f>
        <v>0</v>
      </c>
      <c r="GVN9" s="26">
        <f>IF(GVN7=0,0,IF(MAX($F9:GVM9)=$D12,0,GVM9+1))</f>
        <v>0</v>
      </c>
      <c r="GVO9" s="26">
        <f>IF(GVO7=0,0,IF(MAX($F9:GVN9)=$D12,0,GVN9+1))</f>
        <v>0</v>
      </c>
      <c r="GVP9" s="26">
        <f>IF(GVP7=0,0,IF(MAX($F9:GVO9)=$D12,0,GVO9+1))</f>
        <v>0</v>
      </c>
      <c r="GVQ9" s="26">
        <f>IF(GVQ7=0,0,IF(MAX($F9:GVP9)=$D12,0,GVP9+1))</f>
        <v>0</v>
      </c>
      <c r="GVR9" s="26">
        <f>IF(GVR7=0,0,IF(MAX($F9:GVQ9)=$D12,0,GVQ9+1))</f>
        <v>0</v>
      </c>
      <c r="GVS9" s="26">
        <f>IF(GVS7=0,0,IF(MAX($F9:GVR9)=$D12,0,GVR9+1))</f>
        <v>0</v>
      </c>
      <c r="GVT9" s="26">
        <f>IF(GVT7=0,0,IF(MAX($F9:GVS9)=$D12,0,GVS9+1))</f>
        <v>0</v>
      </c>
      <c r="GVU9" s="26">
        <f>IF(GVU7=0,0,IF(MAX($F9:GVT9)=$D12,0,GVT9+1))</f>
        <v>0</v>
      </c>
      <c r="GVV9" s="26">
        <f>IF(GVV7=0,0,IF(MAX($F9:GVU9)=$D12,0,GVU9+1))</f>
        <v>0</v>
      </c>
      <c r="GVW9" s="26">
        <f>IF(GVW7=0,0,IF(MAX($F9:GVV9)=$D12,0,GVV9+1))</f>
        <v>0</v>
      </c>
      <c r="GVX9" s="26">
        <f>IF(GVX7=0,0,IF(MAX($F9:GVW9)=$D12,0,GVW9+1))</f>
        <v>0</v>
      </c>
      <c r="GVY9" s="26">
        <f>IF(GVY7=0,0,IF(MAX($F9:GVX9)=$D12,0,GVX9+1))</f>
        <v>0</v>
      </c>
      <c r="GVZ9" s="26">
        <f>IF(GVZ7=0,0,IF(MAX($F9:GVY9)=$D12,0,GVY9+1))</f>
        <v>0</v>
      </c>
      <c r="GWA9" s="26">
        <f>IF(GWA7=0,0,IF(MAX($F9:GVZ9)=$D12,0,GVZ9+1))</f>
        <v>0</v>
      </c>
      <c r="GWB9" s="26">
        <f>IF(GWB7=0,0,IF(MAX($F9:GWA9)=$D12,0,GWA9+1))</f>
        <v>0</v>
      </c>
      <c r="GWC9" s="26">
        <f>IF(GWC7=0,0,IF(MAX($F9:GWB9)=$D12,0,GWB9+1))</f>
        <v>0</v>
      </c>
      <c r="GWD9" s="26">
        <f>IF(GWD7=0,0,IF(MAX($F9:GWC9)=$D12,0,GWC9+1))</f>
        <v>0</v>
      </c>
      <c r="GWE9" s="26">
        <f>IF(GWE7=0,0,IF(MAX($F9:GWD9)=$D12,0,GWD9+1))</f>
        <v>0</v>
      </c>
      <c r="GWF9" s="26">
        <f>IF(GWF7=0,0,IF(MAX($F9:GWE9)=$D12,0,GWE9+1))</f>
        <v>0</v>
      </c>
      <c r="GWG9" s="26">
        <f>IF(GWG7=0,0,IF(MAX($F9:GWF9)=$D12,0,GWF9+1))</f>
        <v>0</v>
      </c>
      <c r="GWH9" s="26">
        <f>IF(GWH7=0,0,IF(MAX($F9:GWG9)=$D12,0,GWG9+1))</f>
        <v>0</v>
      </c>
      <c r="GWI9" s="26">
        <f>IF(GWI7=0,0,IF(MAX($F9:GWH9)=$D12,0,GWH9+1))</f>
        <v>0</v>
      </c>
      <c r="GWJ9" s="26">
        <f>IF(GWJ7=0,0,IF(MAX($F9:GWI9)=$D12,0,GWI9+1))</f>
        <v>0</v>
      </c>
      <c r="GWK9" s="26">
        <f>IF(GWK7=0,0,IF(MAX($F9:GWJ9)=$D12,0,GWJ9+1))</f>
        <v>0</v>
      </c>
      <c r="GWL9" s="26">
        <f>IF(GWL7=0,0,IF(MAX($F9:GWK9)=$D12,0,GWK9+1))</f>
        <v>0</v>
      </c>
      <c r="GWM9" s="26">
        <f>IF(GWM7=0,0,IF(MAX($F9:GWL9)=$D12,0,GWL9+1))</f>
        <v>0</v>
      </c>
      <c r="GWN9" s="26">
        <f>IF(GWN7=0,0,IF(MAX($F9:GWM9)=$D12,0,GWM9+1))</f>
        <v>0</v>
      </c>
      <c r="GWO9" s="26">
        <f>IF(GWO7=0,0,IF(MAX($F9:GWN9)=$D12,0,GWN9+1))</f>
        <v>0</v>
      </c>
      <c r="GWP9" s="26">
        <f>IF(GWP7=0,0,IF(MAX($F9:GWO9)=$D12,0,GWO9+1))</f>
        <v>0</v>
      </c>
      <c r="GWQ9" s="26">
        <f>IF(GWQ7=0,0,IF(MAX($F9:GWP9)=$D12,0,GWP9+1))</f>
        <v>0</v>
      </c>
      <c r="GWR9" s="26">
        <f>IF(GWR7=0,0,IF(MAX($F9:GWQ9)=$D12,0,GWQ9+1))</f>
        <v>0</v>
      </c>
      <c r="GWS9" s="26">
        <f>IF(GWS7=0,0,IF(MAX($F9:GWR9)=$D12,0,GWR9+1))</f>
        <v>0</v>
      </c>
      <c r="GWT9" s="26">
        <f>IF(GWT7=0,0,IF(MAX($F9:GWS9)=$D12,0,GWS9+1))</f>
        <v>0</v>
      </c>
      <c r="GWU9" s="26">
        <f>IF(GWU7=0,0,IF(MAX($F9:GWT9)=$D12,0,GWT9+1))</f>
        <v>0</v>
      </c>
      <c r="GWV9" s="26">
        <f>IF(GWV7=0,0,IF(MAX($F9:GWU9)=$D12,0,GWU9+1))</f>
        <v>0</v>
      </c>
      <c r="GWW9" s="26">
        <f>IF(GWW7=0,0,IF(MAX($F9:GWV9)=$D12,0,GWV9+1))</f>
        <v>0</v>
      </c>
      <c r="GWX9" s="26">
        <f>IF(GWX7=0,0,IF(MAX($F9:GWW9)=$D12,0,GWW9+1))</f>
        <v>0</v>
      </c>
      <c r="GWY9" s="26">
        <f>IF(GWY7=0,0,IF(MAX($F9:GWX9)=$D12,0,GWX9+1))</f>
        <v>0</v>
      </c>
      <c r="GWZ9" s="26">
        <f>IF(GWZ7=0,0,IF(MAX($F9:GWY9)=$D12,0,GWY9+1))</f>
        <v>0</v>
      </c>
      <c r="GXA9" s="26">
        <f>IF(GXA7=0,0,IF(MAX($F9:GWZ9)=$D12,0,GWZ9+1))</f>
        <v>0</v>
      </c>
      <c r="GXB9" s="26">
        <f>IF(GXB7=0,0,IF(MAX($F9:GXA9)=$D12,0,GXA9+1))</f>
        <v>0</v>
      </c>
      <c r="GXC9" s="26">
        <f>IF(GXC7=0,0,IF(MAX($F9:GXB9)=$D12,0,GXB9+1))</f>
        <v>0</v>
      </c>
      <c r="GXD9" s="26">
        <f>IF(GXD7=0,0,IF(MAX($F9:GXC9)=$D12,0,GXC9+1))</f>
        <v>0</v>
      </c>
      <c r="GXE9" s="26">
        <f>IF(GXE7=0,0,IF(MAX($F9:GXD9)=$D12,0,GXD9+1))</f>
        <v>0</v>
      </c>
      <c r="GXF9" s="26">
        <f>IF(GXF7=0,0,IF(MAX($F9:GXE9)=$D12,0,GXE9+1))</f>
        <v>0</v>
      </c>
      <c r="GXG9" s="26">
        <f>IF(GXG7=0,0,IF(MAX($F9:GXF9)=$D12,0,GXF9+1))</f>
        <v>0</v>
      </c>
      <c r="GXH9" s="26">
        <f>IF(GXH7=0,0,IF(MAX($F9:GXG9)=$D12,0,GXG9+1))</f>
        <v>0</v>
      </c>
      <c r="GXI9" s="26">
        <f>IF(GXI7=0,0,IF(MAX($F9:GXH9)=$D12,0,GXH9+1))</f>
        <v>0</v>
      </c>
      <c r="GXJ9" s="26">
        <f>IF(GXJ7=0,0,IF(MAX($F9:GXI9)=$D12,0,GXI9+1))</f>
        <v>0</v>
      </c>
      <c r="GXK9" s="26">
        <f>IF(GXK7=0,0,IF(MAX($F9:GXJ9)=$D12,0,GXJ9+1))</f>
        <v>0</v>
      </c>
      <c r="GXL9" s="26">
        <f>IF(GXL7=0,0,IF(MAX($F9:GXK9)=$D12,0,GXK9+1))</f>
        <v>0</v>
      </c>
      <c r="GXM9" s="26">
        <f>IF(GXM7=0,0,IF(MAX($F9:GXL9)=$D12,0,GXL9+1))</f>
        <v>0</v>
      </c>
      <c r="GXN9" s="26">
        <f>IF(GXN7=0,0,IF(MAX($F9:GXM9)=$D12,0,GXM9+1))</f>
        <v>0</v>
      </c>
      <c r="GXO9" s="26">
        <f>IF(GXO7=0,0,IF(MAX($F9:GXN9)=$D12,0,GXN9+1))</f>
        <v>0</v>
      </c>
      <c r="GXP9" s="26">
        <f>IF(GXP7=0,0,IF(MAX($F9:GXO9)=$D12,0,GXO9+1))</f>
        <v>0</v>
      </c>
      <c r="GXQ9" s="26">
        <f>IF(GXQ7=0,0,IF(MAX($F9:GXP9)=$D12,0,GXP9+1))</f>
        <v>0</v>
      </c>
      <c r="GXR9" s="26">
        <f>IF(GXR7=0,0,IF(MAX($F9:GXQ9)=$D12,0,GXQ9+1))</f>
        <v>0</v>
      </c>
      <c r="GXS9" s="26">
        <f>IF(GXS7=0,0,IF(MAX($F9:GXR9)=$D12,0,GXR9+1))</f>
        <v>0</v>
      </c>
      <c r="GXT9" s="26">
        <f>IF(GXT7=0,0,IF(MAX($F9:GXS9)=$D12,0,GXS9+1))</f>
        <v>0</v>
      </c>
      <c r="GXU9" s="26">
        <f>IF(GXU7=0,0,IF(MAX($F9:GXT9)=$D12,0,GXT9+1))</f>
        <v>0</v>
      </c>
      <c r="GXV9" s="26">
        <f>IF(GXV7=0,0,IF(MAX($F9:GXU9)=$D12,0,GXU9+1))</f>
        <v>0</v>
      </c>
      <c r="GXW9" s="26">
        <f>IF(GXW7=0,0,IF(MAX($F9:GXV9)=$D12,0,GXV9+1))</f>
        <v>0</v>
      </c>
      <c r="GXX9" s="26">
        <f>IF(GXX7=0,0,IF(MAX($F9:GXW9)=$D12,0,GXW9+1))</f>
        <v>0</v>
      </c>
      <c r="GXY9" s="26">
        <f>IF(GXY7=0,0,IF(MAX($F9:GXX9)=$D12,0,GXX9+1))</f>
        <v>0</v>
      </c>
      <c r="GXZ9" s="26">
        <f>IF(GXZ7=0,0,IF(MAX($F9:GXY9)=$D12,0,GXY9+1))</f>
        <v>0</v>
      </c>
      <c r="GYA9" s="26">
        <f>IF(GYA7=0,0,IF(MAX($F9:GXZ9)=$D12,0,GXZ9+1))</f>
        <v>0</v>
      </c>
      <c r="GYB9" s="26">
        <f>IF(GYB7=0,0,IF(MAX($F9:GYA9)=$D12,0,GYA9+1))</f>
        <v>0</v>
      </c>
      <c r="GYC9" s="26">
        <f>IF(GYC7=0,0,IF(MAX($F9:GYB9)=$D12,0,GYB9+1))</f>
        <v>0</v>
      </c>
      <c r="GYD9" s="26">
        <f>IF(GYD7=0,0,IF(MAX($F9:GYC9)=$D12,0,GYC9+1))</f>
        <v>0</v>
      </c>
      <c r="GYE9" s="26">
        <f>IF(GYE7=0,0,IF(MAX($F9:GYD9)=$D12,0,GYD9+1))</f>
        <v>0</v>
      </c>
      <c r="GYF9" s="26">
        <f>IF(GYF7=0,0,IF(MAX($F9:GYE9)=$D12,0,GYE9+1))</f>
        <v>0</v>
      </c>
      <c r="GYG9" s="26">
        <f>IF(GYG7=0,0,IF(MAX($F9:GYF9)=$D12,0,GYF9+1))</f>
        <v>0</v>
      </c>
      <c r="GYH9" s="26">
        <f>IF(GYH7=0,0,IF(MAX($F9:GYG9)=$D12,0,GYG9+1))</f>
        <v>0</v>
      </c>
      <c r="GYI9" s="26">
        <f>IF(GYI7=0,0,IF(MAX($F9:GYH9)=$D12,0,GYH9+1))</f>
        <v>0</v>
      </c>
      <c r="GYJ9" s="26">
        <f>IF(GYJ7=0,0,IF(MAX($F9:GYI9)=$D12,0,GYI9+1))</f>
        <v>0</v>
      </c>
      <c r="GYK9" s="26">
        <f>IF(GYK7=0,0,IF(MAX($F9:GYJ9)=$D12,0,GYJ9+1))</f>
        <v>0</v>
      </c>
      <c r="GYL9" s="26">
        <f>IF(GYL7=0,0,IF(MAX($F9:GYK9)=$D12,0,GYK9+1))</f>
        <v>0</v>
      </c>
      <c r="GYM9" s="26">
        <f>IF(GYM7=0,0,IF(MAX($F9:GYL9)=$D12,0,GYL9+1))</f>
        <v>0</v>
      </c>
      <c r="GYN9" s="26">
        <f>IF(GYN7=0,0,IF(MAX($F9:GYM9)=$D12,0,GYM9+1))</f>
        <v>0</v>
      </c>
      <c r="GYO9" s="26">
        <f>IF(GYO7=0,0,IF(MAX($F9:GYN9)=$D12,0,GYN9+1))</f>
        <v>0</v>
      </c>
      <c r="GYP9" s="26">
        <f>IF(GYP7=0,0,IF(MAX($F9:GYO9)=$D12,0,GYO9+1))</f>
        <v>0</v>
      </c>
      <c r="GYQ9" s="26">
        <f>IF(GYQ7=0,0,IF(MAX($F9:GYP9)=$D12,0,GYP9+1))</f>
        <v>0</v>
      </c>
      <c r="GYR9" s="26">
        <f>IF(GYR7=0,0,IF(MAX($F9:GYQ9)=$D12,0,GYQ9+1))</f>
        <v>0</v>
      </c>
      <c r="GYS9" s="26">
        <f>IF(GYS7=0,0,IF(MAX($F9:GYR9)=$D12,0,GYR9+1))</f>
        <v>0</v>
      </c>
      <c r="GYT9" s="26">
        <f>IF(GYT7=0,0,IF(MAX($F9:GYS9)=$D12,0,GYS9+1))</f>
        <v>0</v>
      </c>
      <c r="GYU9" s="26">
        <f>IF(GYU7=0,0,IF(MAX($F9:GYT9)=$D12,0,GYT9+1))</f>
        <v>0</v>
      </c>
      <c r="GYV9" s="26">
        <f>IF(GYV7=0,0,IF(MAX($F9:GYU9)=$D12,0,GYU9+1))</f>
        <v>0</v>
      </c>
      <c r="GYW9" s="26">
        <f>IF(GYW7=0,0,IF(MAX($F9:GYV9)=$D12,0,GYV9+1))</f>
        <v>0</v>
      </c>
      <c r="GYX9" s="26">
        <f>IF(GYX7=0,0,IF(MAX($F9:GYW9)=$D12,0,GYW9+1))</f>
        <v>0</v>
      </c>
      <c r="GYY9" s="26">
        <f>IF(GYY7=0,0,IF(MAX($F9:GYX9)=$D12,0,GYX9+1))</f>
        <v>0</v>
      </c>
      <c r="GYZ9" s="26">
        <f>IF(GYZ7=0,0,IF(MAX($F9:GYY9)=$D12,0,GYY9+1))</f>
        <v>0</v>
      </c>
      <c r="GZA9" s="26">
        <f>IF(GZA7=0,0,IF(MAX($F9:GYZ9)=$D12,0,GYZ9+1))</f>
        <v>0</v>
      </c>
      <c r="GZB9" s="26">
        <f>IF(GZB7=0,0,IF(MAX($F9:GZA9)=$D12,0,GZA9+1))</f>
        <v>0</v>
      </c>
      <c r="GZC9" s="26">
        <f>IF(GZC7=0,0,IF(MAX($F9:GZB9)=$D12,0,GZB9+1))</f>
        <v>0</v>
      </c>
      <c r="GZD9" s="26">
        <f>IF(GZD7=0,0,IF(MAX($F9:GZC9)=$D12,0,GZC9+1))</f>
        <v>0</v>
      </c>
      <c r="GZE9" s="26">
        <f>IF(GZE7=0,0,IF(MAX($F9:GZD9)=$D12,0,GZD9+1))</f>
        <v>0</v>
      </c>
      <c r="GZF9" s="26">
        <f>IF(GZF7=0,0,IF(MAX($F9:GZE9)=$D12,0,GZE9+1))</f>
        <v>0</v>
      </c>
      <c r="GZG9" s="26">
        <f>IF(GZG7=0,0,IF(MAX($F9:GZF9)=$D12,0,GZF9+1))</f>
        <v>0</v>
      </c>
      <c r="GZH9" s="26">
        <f>IF(GZH7=0,0,IF(MAX($F9:GZG9)=$D12,0,GZG9+1))</f>
        <v>0</v>
      </c>
      <c r="GZI9" s="26">
        <f>IF(GZI7=0,0,IF(MAX($F9:GZH9)=$D12,0,GZH9+1))</f>
        <v>0</v>
      </c>
      <c r="GZJ9" s="26">
        <f>IF(GZJ7=0,0,IF(MAX($F9:GZI9)=$D12,0,GZI9+1))</f>
        <v>0</v>
      </c>
      <c r="GZK9" s="26">
        <f>IF(GZK7=0,0,IF(MAX($F9:GZJ9)=$D12,0,GZJ9+1))</f>
        <v>0</v>
      </c>
      <c r="GZL9" s="26">
        <f>IF(GZL7=0,0,IF(MAX($F9:GZK9)=$D12,0,GZK9+1))</f>
        <v>0</v>
      </c>
      <c r="GZM9" s="26">
        <f>IF(GZM7=0,0,IF(MAX($F9:GZL9)=$D12,0,GZL9+1))</f>
        <v>0</v>
      </c>
      <c r="GZN9" s="26">
        <f>IF(GZN7=0,0,IF(MAX($F9:GZM9)=$D12,0,GZM9+1))</f>
        <v>0</v>
      </c>
      <c r="GZO9" s="26">
        <f>IF(GZO7=0,0,IF(MAX($F9:GZN9)=$D12,0,GZN9+1))</f>
        <v>0</v>
      </c>
      <c r="GZP9" s="26">
        <f>IF(GZP7=0,0,IF(MAX($F9:GZO9)=$D12,0,GZO9+1))</f>
        <v>0</v>
      </c>
      <c r="GZQ9" s="26">
        <f>IF(GZQ7=0,0,IF(MAX($F9:GZP9)=$D12,0,GZP9+1))</f>
        <v>0</v>
      </c>
      <c r="GZR9" s="26">
        <f>IF(GZR7=0,0,IF(MAX($F9:GZQ9)=$D12,0,GZQ9+1))</f>
        <v>0</v>
      </c>
      <c r="GZS9" s="26">
        <f>IF(GZS7=0,0,IF(MAX($F9:GZR9)=$D12,0,GZR9+1))</f>
        <v>0</v>
      </c>
      <c r="GZT9" s="26">
        <f>IF(GZT7=0,0,IF(MAX($F9:GZS9)=$D12,0,GZS9+1))</f>
        <v>0</v>
      </c>
      <c r="GZU9" s="26">
        <f>IF(GZU7=0,0,IF(MAX($F9:GZT9)=$D12,0,GZT9+1))</f>
        <v>0</v>
      </c>
      <c r="GZV9" s="26">
        <f>IF(GZV7=0,0,IF(MAX($F9:GZU9)=$D12,0,GZU9+1))</f>
        <v>0</v>
      </c>
      <c r="GZW9" s="26">
        <f>IF(GZW7=0,0,IF(MAX($F9:GZV9)=$D12,0,GZV9+1))</f>
        <v>0</v>
      </c>
      <c r="GZX9" s="26">
        <f>IF(GZX7=0,0,IF(MAX($F9:GZW9)=$D12,0,GZW9+1))</f>
        <v>0</v>
      </c>
      <c r="GZY9" s="26">
        <f>IF(GZY7=0,0,IF(MAX($F9:GZX9)=$D12,0,GZX9+1))</f>
        <v>0</v>
      </c>
      <c r="GZZ9" s="26">
        <f>IF(GZZ7=0,0,IF(MAX($F9:GZY9)=$D12,0,GZY9+1))</f>
        <v>0</v>
      </c>
      <c r="HAA9" s="26">
        <f>IF(HAA7=0,0,IF(MAX($F9:GZZ9)=$D12,0,GZZ9+1))</f>
        <v>0</v>
      </c>
      <c r="HAB9" s="26">
        <f>IF(HAB7=0,0,IF(MAX($F9:HAA9)=$D12,0,HAA9+1))</f>
        <v>0</v>
      </c>
      <c r="HAC9" s="26">
        <f>IF(HAC7=0,0,IF(MAX($F9:HAB9)=$D12,0,HAB9+1))</f>
        <v>0</v>
      </c>
      <c r="HAD9" s="26">
        <f>IF(HAD7=0,0,IF(MAX($F9:HAC9)=$D12,0,HAC9+1))</f>
        <v>0</v>
      </c>
      <c r="HAE9" s="26">
        <f>IF(HAE7=0,0,IF(MAX($F9:HAD9)=$D12,0,HAD9+1))</f>
        <v>0</v>
      </c>
      <c r="HAF9" s="26">
        <f>IF(HAF7=0,0,IF(MAX($F9:HAE9)=$D12,0,HAE9+1))</f>
        <v>0</v>
      </c>
      <c r="HAG9" s="26">
        <f>IF(HAG7=0,0,IF(MAX($F9:HAF9)=$D12,0,HAF9+1))</f>
        <v>0</v>
      </c>
      <c r="HAH9" s="26">
        <f>IF(HAH7=0,0,IF(MAX($F9:HAG9)=$D12,0,HAG9+1))</f>
        <v>0</v>
      </c>
      <c r="HAI9" s="26">
        <f>IF(HAI7=0,0,IF(MAX($F9:HAH9)=$D12,0,HAH9+1))</f>
        <v>0</v>
      </c>
      <c r="HAJ9" s="26">
        <f>IF(HAJ7=0,0,IF(MAX($F9:HAI9)=$D12,0,HAI9+1))</f>
        <v>0</v>
      </c>
      <c r="HAK9" s="26">
        <f>IF(HAK7=0,0,IF(MAX($F9:HAJ9)=$D12,0,HAJ9+1))</f>
        <v>0</v>
      </c>
      <c r="HAL9" s="26">
        <f>IF(HAL7=0,0,IF(MAX($F9:HAK9)=$D12,0,HAK9+1))</f>
        <v>0</v>
      </c>
      <c r="HAM9" s="26">
        <f>IF(HAM7=0,0,IF(MAX($F9:HAL9)=$D12,0,HAL9+1))</f>
        <v>0</v>
      </c>
      <c r="HAN9" s="26">
        <f>IF(HAN7=0,0,IF(MAX($F9:HAM9)=$D12,0,HAM9+1))</f>
        <v>0</v>
      </c>
      <c r="HAO9" s="26">
        <f>IF(HAO7=0,0,IF(MAX($F9:HAN9)=$D12,0,HAN9+1))</f>
        <v>0</v>
      </c>
      <c r="HAP9" s="26">
        <f>IF(HAP7=0,0,IF(MAX($F9:HAO9)=$D12,0,HAO9+1))</f>
        <v>0</v>
      </c>
      <c r="HAQ9" s="26">
        <f>IF(HAQ7=0,0,IF(MAX($F9:HAP9)=$D12,0,HAP9+1))</f>
        <v>0</v>
      </c>
      <c r="HAR9" s="26">
        <f>IF(HAR7=0,0,IF(MAX($F9:HAQ9)=$D12,0,HAQ9+1))</f>
        <v>0</v>
      </c>
      <c r="HAS9" s="26">
        <f>IF(HAS7=0,0,IF(MAX($F9:HAR9)=$D12,0,HAR9+1))</f>
        <v>0</v>
      </c>
      <c r="HAT9" s="26">
        <f>IF(HAT7=0,0,IF(MAX($F9:HAS9)=$D12,0,HAS9+1))</f>
        <v>0</v>
      </c>
      <c r="HAU9" s="26">
        <f>IF(HAU7=0,0,IF(MAX($F9:HAT9)=$D12,0,HAT9+1))</f>
        <v>0</v>
      </c>
      <c r="HAV9" s="26">
        <f>IF(HAV7=0,0,IF(MAX($F9:HAU9)=$D12,0,HAU9+1))</f>
        <v>0</v>
      </c>
      <c r="HAW9" s="26">
        <f>IF(HAW7=0,0,IF(MAX($F9:HAV9)=$D12,0,HAV9+1))</f>
        <v>0</v>
      </c>
      <c r="HAX9" s="26">
        <f>IF(HAX7=0,0,IF(MAX($F9:HAW9)=$D12,0,HAW9+1))</f>
        <v>0</v>
      </c>
      <c r="HAY9" s="26">
        <f>IF(HAY7=0,0,IF(MAX($F9:HAX9)=$D12,0,HAX9+1))</f>
        <v>0</v>
      </c>
      <c r="HAZ9" s="26">
        <f>IF(HAZ7=0,0,IF(MAX($F9:HAY9)=$D12,0,HAY9+1))</f>
        <v>0</v>
      </c>
      <c r="HBA9" s="26">
        <f>IF(HBA7=0,0,IF(MAX($F9:HAZ9)=$D12,0,HAZ9+1))</f>
        <v>0</v>
      </c>
      <c r="HBB9" s="26">
        <f>IF(HBB7=0,0,IF(MAX($F9:HBA9)=$D12,0,HBA9+1))</f>
        <v>0</v>
      </c>
      <c r="HBC9" s="26">
        <f>IF(HBC7=0,0,IF(MAX($F9:HBB9)=$D12,0,HBB9+1))</f>
        <v>0</v>
      </c>
      <c r="HBD9" s="26">
        <f>IF(HBD7=0,0,IF(MAX($F9:HBC9)=$D12,0,HBC9+1))</f>
        <v>0</v>
      </c>
      <c r="HBE9" s="26">
        <f>IF(HBE7=0,0,IF(MAX($F9:HBD9)=$D12,0,HBD9+1))</f>
        <v>0</v>
      </c>
      <c r="HBF9" s="26">
        <f>IF(HBF7=0,0,IF(MAX($F9:HBE9)=$D12,0,HBE9+1))</f>
        <v>0</v>
      </c>
      <c r="HBG9" s="26">
        <f>IF(HBG7=0,0,IF(MAX($F9:HBF9)=$D12,0,HBF9+1))</f>
        <v>0</v>
      </c>
      <c r="HBH9" s="26">
        <f>IF(HBH7=0,0,IF(MAX($F9:HBG9)=$D12,0,HBG9+1))</f>
        <v>0</v>
      </c>
      <c r="HBI9" s="26">
        <f>IF(HBI7=0,0,IF(MAX($F9:HBH9)=$D12,0,HBH9+1))</f>
        <v>0</v>
      </c>
      <c r="HBJ9" s="26">
        <f>IF(HBJ7=0,0,IF(MAX($F9:HBI9)=$D12,0,HBI9+1))</f>
        <v>0</v>
      </c>
      <c r="HBK9" s="26">
        <f>IF(HBK7=0,0,IF(MAX($F9:HBJ9)=$D12,0,HBJ9+1))</f>
        <v>0</v>
      </c>
      <c r="HBL9" s="26">
        <f>IF(HBL7=0,0,IF(MAX($F9:HBK9)=$D12,0,HBK9+1))</f>
        <v>0</v>
      </c>
      <c r="HBM9" s="26">
        <f>IF(HBM7=0,0,IF(MAX($F9:HBL9)=$D12,0,HBL9+1))</f>
        <v>0</v>
      </c>
      <c r="HBN9" s="26">
        <f>IF(HBN7=0,0,IF(MAX($F9:HBM9)=$D12,0,HBM9+1))</f>
        <v>0</v>
      </c>
      <c r="HBO9" s="26">
        <f>IF(HBO7=0,0,IF(MAX($F9:HBN9)=$D12,0,HBN9+1))</f>
        <v>0</v>
      </c>
      <c r="HBP9" s="26">
        <f>IF(HBP7=0,0,IF(MAX($F9:HBO9)=$D12,0,HBO9+1))</f>
        <v>0</v>
      </c>
      <c r="HBQ9" s="26">
        <f>IF(HBQ7=0,0,IF(MAX($F9:HBP9)=$D12,0,HBP9+1))</f>
        <v>0</v>
      </c>
      <c r="HBR9" s="26">
        <f>IF(HBR7=0,0,IF(MAX($F9:HBQ9)=$D12,0,HBQ9+1))</f>
        <v>0</v>
      </c>
      <c r="HBS9" s="26">
        <f>IF(HBS7=0,0,IF(MAX($F9:HBR9)=$D12,0,HBR9+1))</f>
        <v>0</v>
      </c>
      <c r="HBT9" s="26">
        <f>IF(HBT7=0,0,IF(MAX($F9:HBS9)=$D12,0,HBS9+1))</f>
        <v>0</v>
      </c>
      <c r="HBU9" s="26">
        <f>IF(HBU7=0,0,IF(MAX($F9:HBT9)=$D12,0,HBT9+1))</f>
        <v>0</v>
      </c>
      <c r="HBV9" s="26">
        <f>IF(HBV7=0,0,IF(MAX($F9:HBU9)=$D12,0,HBU9+1))</f>
        <v>0</v>
      </c>
      <c r="HBW9" s="26">
        <f>IF(HBW7=0,0,IF(MAX($F9:HBV9)=$D12,0,HBV9+1))</f>
        <v>0</v>
      </c>
      <c r="HBX9" s="26">
        <f>IF(HBX7=0,0,IF(MAX($F9:HBW9)=$D12,0,HBW9+1))</f>
        <v>0</v>
      </c>
      <c r="HBY9" s="26">
        <f>IF(HBY7=0,0,IF(MAX($F9:HBX9)=$D12,0,HBX9+1))</f>
        <v>0</v>
      </c>
      <c r="HBZ9" s="26">
        <f>IF(HBZ7=0,0,IF(MAX($F9:HBY9)=$D12,0,HBY9+1))</f>
        <v>0</v>
      </c>
      <c r="HCA9" s="26">
        <f>IF(HCA7=0,0,IF(MAX($F9:HBZ9)=$D12,0,HBZ9+1))</f>
        <v>0</v>
      </c>
      <c r="HCB9" s="26">
        <f>IF(HCB7=0,0,IF(MAX($F9:HCA9)=$D12,0,HCA9+1))</f>
        <v>0</v>
      </c>
      <c r="HCC9" s="26">
        <f>IF(HCC7=0,0,IF(MAX($F9:HCB9)=$D12,0,HCB9+1))</f>
        <v>0</v>
      </c>
      <c r="HCD9" s="26">
        <f>IF(HCD7=0,0,IF(MAX($F9:HCC9)=$D12,0,HCC9+1))</f>
        <v>0</v>
      </c>
      <c r="HCE9" s="26">
        <f>IF(HCE7=0,0,IF(MAX($F9:HCD9)=$D12,0,HCD9+1))</f>
        <v>0</v>
      </c>
      <c r="HCF9" s="26">
        <f>IF(HCF7=0,0,IF(MAX($F9:HCE9)=$D12,0,HCE9+1))</f>
        <v>0</v>
      </c>
      <c r="HCG9" s="26">
        <f>IF(HCG7=0,0,IF(MAX($F9:HCF9)=$D12,0,HCF9+1))</f>
        <v>0</v>
      </c>
      <c r="HCH9" s="26">
        <f>IF(HCH7=0,0,IF(MAX($F9:HCG9)=$D12,0,HCG9+1))</f>
        <v>0</v>
      </c>
      <c r="HCI9" s="26">
        <f>IF(HCI7=0,0,IF(MAX($F9:HCH9)=$D12,0,HCH9+1))</f>
        <v>0</v>
      </c>
      <c r="HCJ9" s="26">
        <f>IF(HCJ7=0,0,IF(MAX($F9:HCI9)=$D12,0,HCI9+1))</f>
        <v>0</v>
      </c>
      <c r="HCK9" s="26">
        <f>IF(HCK7=0,0,IF(MAX($F9:HCJ9)=$D12,0,HCJ9+1))</f>
        <v>0</v>
      </c>
      <c r="HCL9" s="26">
        <f>IF(HCL7=0,0,IF(MAX($F9:HCK9)=$D12,0,HCK9+1))</f>
        <v>0</v>
      </c>
      <c r="HCM9" s="26">
        <f>IF(HCM7=0,0,IF(MAX($F9:HCL9)=$D12,0,HCL9+1))</f>
        <v>0</v>
      </c>
      <c r="HCN9" s="26">
        <f>IF(HCN7=0,0,IF(MAX($F9:HCM9)=$D12,0,HCM9+1))</f>
        <v>0</v>
      </c>
      <c r="HCO9" s="26">
        <f>IF(HCO7=0,0,IF(MAX($F9:HCN9)=$D12,0,HCN9+1))</f>
        <v>0</v>
      </c>
      <c r="HCP9" s="26">
        <f>IF(HCP7=0,0,IF(MAX($F9:HCO9)=$D12,0,HCO9+1))</f>
        <v>0</v>
      </c>
      <c r="HCQ9" s="26">
        <f>IF(HCQ7=0,0,IF(MAX($F9:HCP9)=$D12,0,HCP9+1))</f>
        <v>0</v>
      </c>
      <c r="HCR9" s="26">
        <f>IF(HCR7=0,0,IF(MAX($F9:HCQ9)=$D12,0,HCQ9+1))</f>
        <v>0</v>
      </c>
      <c r="HCS9" s="26">
        <f>IF(HCS7=0,0,IF(MAX($F9:HCR9)=$D12,0,HCR9+1))</f>
        <v>0</v>
      </c>
      <c r="HCT9" s="26">
        <f>IF(HCT7=0,0,IF(MAX($F9:HCS9)=$D12,0,HCS9+1))</f>
        <v>0</v>
      </c>
      <c r="HCU9" s="26">
        <f>IF(HCU7=0,0,IF(MAX($F9:HCT9)=$D12,0,HCT9+1))</f>
        <v>0</v>
      </c>
      <c r="HCV9" s="26">
        <f>IF(HCV7=0,0,IF(MAX($F9:HCU9)=$D12,0,HCU9+1))</f>
        <v>0</v>
      </c>
      <c r="HCW9" s="26">
        <f>IF(HCW7=0,0,IF(MAX($F9:HCV9)=$D12,0,HCV9+1))</f>
        <v>0</v>
      </c>
      <c r="HCX9" s="26">
        <f>IF(HCX7=0,0,IF(MAX($F9:HCW9)=$D12,0,HCW9+1))</f>
        <v>0</v>
      </c>
      <c r="HCY9" s="26">
        <f>IF(HCY7=0,0,IF(MAX($F9:HCX9)=$D12,0,HCX9+1))</f>
        <v>0</v>
      </c>
      <c r="HCZ9" s="26">
        <f>IF(HCZ7=0,0,IF(MAX($F9:HCY9)=$D12,0,HCY9+1))</f>
        <v>0</v>
      </c>
      <c r="HDA9" s="26">
        <f>IF(HDA7=0,0,IF(MAX($F9:HCZ9)=$D12,0,HCZ9+1))</f>
        <v>0</v>
      </c>
      <c r="HDB9" s="26">
        <f>IF(HDB7=0,0,IF(MAX($F9:HDA9)=$D12,0,HDA9+1))</f>
        <v>0</v>
      </c>
      <c r="HDC9" s="26">
        <f>IF(HDC7=0,0,IF(MAX($F9:HDB9)=$D12,0,HDB9+1))</f>
        <v>0</v>
      </c>
      <c r="HDD9" s="26">
        <f>IF(HDD7=0,0,IF(MAX($F9:HDC9)=$D12,0,HDC9+1))</f>
        <v>0</v>
      </c>
      <c r="HDE9" s="26">
        <f>IF(HDE7=0,0,IF(MAX($F9:HDD9)=$D12,0,HDD9+1))</f>
        <v>0</v>
      </c>
      <c r="HDF9" s="26">
        <f>IF(HDF7=0,0,IF(MAX($F9:HDE9)=$D12,0,HDE9+1))</f>
        <v>0</v>
      </c>
      <c r="HDG9" s="26">
        <f>IF(HDG7=0,0,IF(MAX($F9:HDF9)=$D12,0,HDF9+1))</f>
        <v>0</v>
      </c>
      <c r="HDH9" s="26">
        <f>IF(HDH7=0,0,IF(MAX($F9:HDG9)=$D12,0,HDG9+1))</f>
        <v>0</v>
      </c>
      <c r="HDI9" s="26">
        <f>IF(HDI7=0,0,IF(MAX($F9:HDH9)=$D12,0,HDH9+1))</f>
        <v>0</v>
      </c>
      <c r="HDJ9" s="26">
        <f>IF(HDJ7=0,0,IF(MAX($F9:HDI9)=$D12,0,HDI9+1))</f>
        <v>0</v>
      </c>
      <c r="HDK9" s="26">
        <f>IF(HDK7=0,0,IF(MAX($F9:HDJ9)=$D12,0,HDJ9+1))</f>
        <v>0</v>
      </c>
      <c r="HDL9" s="26">
        <f>IF(HDL7=0,0,IF(MAX($F9:HDK9)=$D12,0,HDK9+1))</f>
        <v>0</v>
      </c>
      <c r="HDM9" s="26">
        <f>IF(HDM7=0,0,IF(MAX($F9:HDL9)=$D12,0,HDL9+1))</f>
        <v>0</v>
      </c>
      <c r="HDN9" s="26">
        <f>IF(HDN7=0,0,IF(MAX($F9:HDM9)=$D12,0,HDM9+1))</f>
        <v>0</v>
      </c>
      <c r="HDO9" s="26">
        <f>IF(HDO7=0,0,IF(MAX($F9:HDN9)=$D12,0,HDN9+1))</f>
        <v>0</v>
      </c>
      <c r="HDP9" s="26">
        <f>IF(HDP7=0,0,IF(MAX($F9:HDO9)=$D12,0,HDO9+1))</f>
        <v>0</v>
      </c>
      <c r="HDQ9" s="26">
        <f>IF(HDQ7=0,0,IF(MAX($F9:HDP9)=$D12,0,HDP9+1))</f>
        <v>0</v>
      </c>
      <c r="HDR9" s="26">
        <f>IF(HDR7=0,0,IF(MAX($F9:HDQ9)=$D12,0,HDQ9+1))</f>
        <v>0</v>
      </c>
      <c r="HDS9" s="26">
        <f>IF(HDS7=0,0,IF(MAX($F9:HDR9)=$D12,0,HDR9+1))</f>
        <v>0</v>
      </c>
      <c r="HDT9" s="26">
        <f>IF(HDT7=0,0,IF(MAX($F9:HDS9)=$D12,0,HDS9+1))</f>
        <v>0</v>
      </c>
      <c r="HDU9" s="26">
        <f>IF(HDU7=0,0,IF(MAX($F9:HDT9)=$D12,0,HDT9+1))</f>
        <v>0</v>
      </c>
      <c r="HDV9" s="26">
        <f>IF(HDV7=0,0,IF(MAX($F9:HDU9)=$D12,0,HDU9+1))</f>
        <v>0</v>
      </c>
      <c r="HDW9" s="26">
        <f>IF(HDW7=0,0,IF(MAX($F9:HDV9)=$D12,0,HDV9+1))</f>
        <v>0</v>
      </c>
      <c r="HDX9" s="26">
        <f>IF(HDX7=0,0,IF(MAX($F9:HDW9)=$D12,0,HDW9+1))</f>
        <v>0</v>
      </c>
      <c r="HDY9" s="26">
        <f>IF(HDY7=0,0,IF(MAX($F9:HDX9)=$D12,0,HDX9+1))</f>
        <v>0</v>
      </c>
      <c r="HDZ9" s="26">
        <f>IF(HDZ7=0,0,IF(MAX($F9:HDY9)=$D12,0,HDY9+1))</f>
        <v>0</v>
      </c>
      <c r="HEA9" s="26">
        <f>IF(HEA7=0,0,IF(MAX($F9:HDZ9)=$D12,0,HDZ9+1))</f>
        <v>0</v>
      </c>
      <c r="HEB9" s="26">
        <f>IF(HEB7=0,0,IF(MAX($F9:HEA9)=$D12,0,HEA9+1))</f>
        <v>0</v>
      </c>
      <c r="HEC9" s="26">
        <f>IF(HEC7=0,0,IF(MAX($F9:HEB9)=$D12,0,HEB9+1))</f>
        <v>0</v>
      </c>
      <c r="HED9" s="26">
        <f>IF(HED7=0,0,IF(MAX($F9:HEC9)=$D12,0,HEC9+1))</f>
        <v>0</v>
      </c>
      <c r="HEE9" s="26">
        <f>IF(HEE7=0,0,IF(MAX($F9:HED9)=$D12,0,HED9+1))</f>
        <v>0</v>
      </c>
      <c r="HEF9" s="26">
        <f>IF(HEF7=0,0,IF(MAX($F9:HEE9)=$D12,0,HEE9+1))</f>
        <v>0</v>
      </c>
      <c r="HEG9" s="26">
        <f>IF(HEG7=0,0,IF(MAX($F9:HEF9)=$D12,0,HEF9+1))</f>
        <v>0</v>
      </c>
      <c r="HEH9" s="26">
        <f>IF(HEH7=0,0,IF(MAX($F9:HEG9)=$D12,0,HEG9+1))</f>
        <v>0</v>
      </c>
      <c r="HEI9" s="26">
        <f>IF(HEI7=0,0,IF(MAX($F9:HEH9)=$D12,0,HEH9+1))</f>
        <v>0</v>
      </c>
      <c r="HEJ9" s="26">
        <f>IF(HEJ7=0,0,IF(MAX($F9:HEI9)=$D12,0,HEI9+1))</f>
        <v>0</v>
      </c>
      <c r="HEK9" s="26">
        <f>IF(HEK7=0,0,IF(MAX($F9:HEJ9)=$D12,0,HEJ9+1))</f>
        <v>0</v>
      </c>
      <c r="HEL9" s="26">
        <f>IF(HEL7=0,0,IF(MAX($F9:HEK9)=$D12,0,HEK9+1))</f>
        <v>0</v>
      </c>
      <c r="HEM9" s="26">
        <f>IF(HEM7=0,0,IF(MAX($F9:HEL9)=$D12,0,HEL9+1))</f>
        <v>0</v>
      </c>
      <c r="HEN9" s="26">
        <f>IF(HEN7=0,0,IF(MAX($F9:HEM9)=$D12,0,HEM9+1))</f>
        <v>0</v>
      </c>
      <c r="HEO9" s="26">
        <f>IF(HEO7=0,0,IF(MAX($F9:HEN9)=$D12,0,HEN9+1))</f>
        <v>0</v>
      </c>
      <c r="HEP9" s="26">
        <f>IF(HEP7=0,0,IF(MAX($F9:HEO9)=$D12,0,HEO9+1))</f>
        <v>0</v>
      </c>
      <c r="HEQ9" s="26">
        <f>IF(HEQ7=0,0,IF(MAX($F9:HEP9)=$D12,0,HEP9+1))</f>
        <v>0</v>
      </c>
      <c r="HER9" s="26">
        <f>IF(HER7=0,0,IF(MAX($F9:HEQ9)=$D12,0,HEQ9+1))</f>
        <v>0</v>
      </c>
      <c r="HES9" s="26">
        <f>IF(HES7=0,0,IF(MAX($F9:HER9)=$D12,0,HER9+1))</f>
        <v>0</v>
      </c>
      <c r="HET9" s="26">
        <f>IF(HET7=0,0,IF(MAX($F9:HES9)=$D12,0,HES9+1))</f>
        <v>0</v>
      </c>
      <c r="HEU9" s="26">
        <f>IF(HEU7=0,0,IF(MAX($F9:HET9)=$D12,0,HET9+1))</f>
        <v>0</v>
      </c>
      <c r="HEV9" s="26">
        <f>IF(HEV7=0,0,IF(MAX($F9:HEU9)=$D12,0,HEU9+1))</f>
        <v>0</v>
      </c>
      <c r="HEW9" s="26">
        <f>IF(HEW7=0,0,IF(MAX($F9:HEV9)=$D12,0,HEV9+1))</f>
        <v>0</v>
      </c>
      <c r="HEX9" s="26">
        <f>IF(HEX7=0,0,IF(MAX($F9:HEW9)=$D12,0,HEW9+1))</f>
        <v>0</v>
      </c>
      <c r="HEY9" s="26">
        <f>IF(HEY7=0,0,IF(MAX($F9:HEX9)=$D12,0,HEX9+1))</f>
        <v>0</v>
      </c>
      <c r="HEZ9" s="26">
        <f>IF(HEZ7=0,0,IF(MAX($F9:HEY9)=$D12,0,HEY9+1))</f>
        <v>0</v>
      </c>
      <c r="HFA9" s="26">
        <f>IF(HFA7=0,0,IF(MAX($F9:HEZ9)=$D12,0,HEZ9+1))</f>
        <v>0</v>
      </c>
      <c r="HFB9" s="26">
        <f>IF(HFB7=0,0,IF(MAX($F9:HFA9)=$D12,0,HFA9+1))</f>
        <v>0</v>
      </c>
      <c r="HFC9" s="26">
        <f>IF(HFC7=0,0,IF(MAX($F9:HFB9)=$D12,0,HFB9+1))</f>
        <v>0</v>
      </c>
      <c r="HFD9" s="26">
        <f>IF(HFD7=0,0,IF(MAX($F9:HFC9)=$D12,0,HFC9+1))</f>
        <v>0</v>
      </c>
      <c r="HFE9" s="26">
        <f>IF(HFE7=0,0,IF(MAX($F9:HFD9)=$D12,0,HFD9+1))</f>
        <v>0</v>
      </c>
      <c r="HFF9" s="26">
        <f>IF(HFF7=0,0,IF(MAX($F9:HFE9)=$D12,0,HFE9+1))</f>
        <v>0</v>
      </c>
      <c r="HFG9" s="26">
        <f>IF(HFG7=0,0,IF(MAX($F9:HFF9)=$D12,0,HFF9+1))</f>
        <v>0</v>
      </c>
      <c r="HFH9" s="26">
        <f>IF(HFH7=0,0,IF(MAX($F9:HFG9)=$D12,0,HFG9+1))</f>
        <v>0</v>
      </c>
      <c r="HFI9" s="26">
        <f>IF(HFI7=0,0,IF(MAX($F9:HFH9)=$D12,0,HFH9+1))</f>
        <v>0</v>
      </c>
      <c r="HFJ9" s="26">
        <f>IF(HFJ7=0,0,IF(MAX($F9:HFI9)=$D12,0,HFI9+1))</f>
        <v>0</v>
      </c>
      <c r="HFK9" s="26">
        <f>IF(HFK7=0,0,IF(MAX($F9:HFJ9)=$D12,0,HFJ9+1))</f>
        <v>0</v>
      </c>
      <c r="HFL9" s="26">
        <f>IF(HFL7=0,0,IF(MAX($F9:HFK9)=$D12,0,HFK9+1))</f>
        <v>0</v>
      </c>
      <c r="HFM9" s="26">
        <f>IF(HFM7=0,0,IF(MAX($F9:HFL9)=$D12,0,HFL9+1))</f>
        <v>0</v>
      </c>
      <c r="HFN9" s="26">
        <f>IF(HFN7=0,0,IF(MAX($F9:HFM9)=$D12,0,HFM9+1))</f>
        <v>0</v>
      </c>
      <c r="HFO9" s="26">
        <f>IF(HFO7=0,0,IF(MAX($F9:HFN9)=$D12,0,HFN9+1))</f>
        <v>0</v>
      </c>
      <c r="HFP9" s="26">
        <f>IF(HFP7=0,0,IF(MAX($F9:HFO9)=$D12,0,HFO9+1))</f>
        <v>0</v>
      </c>
      <c r="HFQ9" s="26">
        <f>IF(HFQ7=0,0,IF(MAX($F9:HFP9)=$D12,0,HFP9+1))</f>
        <v>0</v>
      </c>
      <c r="HFR9" s="26">
        <f>IF(HFR7=0,0,IF(MAX($F9:HFQ9)=$D12,0,HFQ9+1))</f>
        <v>0</v>
      </c>
      <c r="HFS9" s="26">
        <f>IF(HFS7=0,0,IF(MAX($F9:HFR9)=$D12,0,HFR9+1))</f>
        <v>0</v>
      </c>
      <c r="HFT9" s="26">
        <f>IF(HFT7=0,0,IF(MAX($F9:HFS9)=$D12,0,HFS9+1))</f>
        <v>0</v>
      </c>
      <c r="HFU9" s="26">
        <f>IF(HFU7=0,0,IF(MAX($F9:HFT9)=$D12,0,HFT9+1))</f>
        <v>0</v>
      </c>
      <c r="HFV9" s="26">
        <f>IF(HFV7=0,0,IF(MAX($F9:HFU9)=$D12,0,HFU9+1))</f>
        <v>0</v>
      </c>
      <c r="HFW9" s="26">
        <f>IF(HFW7=0,0,IF(MAX($F9:HFV9)=$D12,0,HFV9+1))</f>
        <v>0</v>
      </c>
      <c r="HFX9" s="26">
        <f>IF(HFX7=0,0,IF(MAX($F9:HFW9)=$D12,0,HFW9+1))</f>
        <v>0</v>
      </c>
      <c r="HFY9" s="26">
        <f>IF(HFY7=0,0,IF(MAX($F9:HFX9)=$D12,0,HFX9+1))</f>
        <v>0</v>
      </c>
      <c r="HFZ9" s="26">
        <f>IF(HFZ7=0,0,IF(MAX($F9:HFY9)=$D12,0,HFY9+1))</f>
        <v>0</v>
      </c>
      <c r="HGA9" s="26">
        <f>IF(HGA7=0,0,IF(MAX($F9:HFZ9)=$D12,0,HFZ9+1))</f>
        <v>0</v>
      </c>
      <c r="HGB9" s="26">
        <f>IF(HGB7=0,0,IF(MAX($F9:HGA9)=$D12,0,HGA9+1))</f>
        <v>0</v>
      </c>
      <c r="HGC9" s="26">
        <f>IF(HGC7=0,0,IF(MAX($F9:HGB9)=$D12,0,HGB9+1))</f>
        <v>0</v>
      </c>
      <c r="HGD9" s="26">
        <f>IF(HGD7=0,0,IF(MAX($F9:HGC9)=$D12,0,HGC9+1))</f>
        <v>0</v>
      </c>
      <c r="HGE9" s="26">
        <f>IF(HGE7=0,0,IF(MAX($F9:HGD9)=$D12,0,HGD9+1))</f>
        <v>0</v>
      </c>
      <c r="HGF9" s="26">
        <f>IF(HGF7=0,0,IF(MAX($F9:HGE9)=$D12,0,HGE9+1))</f>
        <v>0</v>
      </c>
      <c r="HGG9" s="26">
        <f>IF(HGG7=0,0,IF(MAX($F9:HGF9)=$D12,0,HGF9+1))</f>
        <v>0</v>
      </c>
      <c r="HGH9" s="26">
        <f>IF(HGH7=0,0,IF(MAX($F9:HGG9)=$D12,0,HGG9+1))</f>
        <v>0</v>
      </c>
      <c r="HGI9" s="26">
        <f>IF(HGI7=0,0,IF(MAX($F9:HGH9)=$D12,0,HGH9+1))</f>
        <v>0</v>
      </c>
      <c r="HGJ9" s="26">
        <f>IF(HGJ7=0,0,IF(MAX($F9:HGI9)=$D12,0,HGI9+1))</f>
        <v>0</v>
      </c>
      <c r="HGK9" s="26">
        <f>IF(HGK7=0,0,IF(MAX($F9:HGJ9)=$D12,0,HGJ9+1))</f>
        <v>0</v>
      </c>
      <c r="HGL9" s="26">
        <f>IF(HGL7=0,0,IF(MAX($F9:HGK9)=$D12,0,HGK9+1))</f>
        <v>0</v>
      </c>
      <c r="HGM9" s="26">
        <f>IF(HGM7=0,0,IF(MAX($F9:HGL9)=$D12,0,HGL9+1))</f>
        <v>0</v>
      </c>
      <c r="HGN9" s="26">
        <f>IF(HGN7=0,0,IF(MAX($F9:HGM9)=$D12,0,HGM9+1))</f>
        <v>0</v>
      </c>
      <c r="HGO9" s="26">
        <f>IF(HGO7=0,0,IF(MAX($F9:HGN9)=$D12,0,HGN9+1))</f>
        <v>0</v>
      </c>
      <c r="HGP9" s="26">
        <f>IF(HGP7=0,0,IF(MAX($F9:HGO9)=$D12,0,HGO9+1))</f>
        <v>0</v>
      </c>
      <c r="HGQ9" s="26">
        <f>IF(HGQ7=0,0,IF(MAX($F9:HGP9)=$D12,0,HGP9+1))</f>
        <v>0</v>
      </c>
      <c r="HGR9" s="26">
        <f>IF(HGR7=0,0,IF(MAX($F9:HGQ9)=$D12,0,HGQ9+1))</f>
        <v>0</v>
      </c>
      <c r="HGS9" s="26">
        <f>IF(HGS7=0,0,IF(MAX($F9:HGR9)=$D12,0,HGR9+1))</f>
        <v>0</v>
      </c>
      <c r="HGT9" s="26">
        <f>IF(HGT7=0,0,IF(MAX($F9:HGS9)=$D12,0,HGS9+1))</f>
        <v>0</v>
      </c>
      <c r="HGU9" s="26">
        <f>IF(HGU7=0,0,IF(MAX($F9:HGT9)=$D12,0,HGT9+1))</f>
        <v>0</v>
      </c>
      <c r="HGV9" s="26">
        <f>IF(HGV7=0,0,IF(MAX($F9:HGU9)=$D12,0,HGU9+1))</f>
        <v>0</v>
      </c>
      <c r="HGW9" s="26">
        <f>IF(HGW7=0,0,IF(MAX($F9:HGV9)=$D12,0,HGV9+1))</f>
        <v>0</v>
      </c>
      <c r="HGX9" s="26">
        <f>IF(HGX7=0,0,IF(MAX($F9:HGW9)=$D12,0,HGW9+1))</f>
        <v>0</v>
      </c>
      <c r="HGY9" s="26">
        <f>IF(HGY7=0,0,IF(MAX($F9:HGX9)=$D12,0,HGX9+1))</f>
        <v>0</v>
      </c>
      <c r="HGZ9" s="26">
        <f>IF(HGZ7=0,0,IF(MAX($F9:HGY9)=$D12,0,HGY9+1))</f>
        <v>0</v>
      </c>
      <c r="HHA9" s="26">
        <f>IF(HHA7=0,0,IF(MAX($F9:HGZ9)=$D12,0,HGZ9+1))</f>
        <v>0</v>
      </c>
      <c r="HHB9" s="26">
        <f>IF(HHB7=0,0,IF(MAX($F9:HHA9)=$D12,0,HHA9+1))</f>
        <v>0</v>
      </c>
      <c r="HHC9" s="26">
        <f>IF(HHC7=0,0,IF(MAX($F9:HHB9)=$D12,0,HHB9+1))</f>
        <v>0</v>
      </c>
      <c r="HHD9" s="26">
        <f>IF(HHD7=0,0,IF(MAX($F9:HHC9)=$D12,0,HHC9+1))</f>
        <v>0</v>
      </c>
      <c r="HHE9" s="26">
        <f>IF(HHE7=0,0,IF(MAX($F9:HHD9)=$D12,0,HHD9+1))</f>
        <v>0</v>
      </c>
      <c r="HHF9" s="26">
        <f>IF(HHF7=0,0,IF(MAX($F9:HHE9)=$D12,0,HHE9+1))</f>
        <v>0</v>
      </c>
      <c r="HHG9" s="26">
        <f>IF(HHG7=0,0,IF(MAX($F9:HHF9)=$D12,0,HHF9+1))</f>
        <v>0</v>
      </c>
      <c r="HHH9" s="26">
        <f>IF(HHH7=0,0,IF(MAX($F9:HHG9)=$D12,0,HHG9+1))</f>
        <v>0</v>
      </c>
      <c r="HHI9" s="26">
        <f>IF(HHI7=0,0,IF(MAX($F9:HHH9)=$D12,0,HHH9+1))</f>
        <v>0</v>
      </c>
      <c r="HHJ9" s="26">
        <f>IF(HHJ7=0,0,IF(MAX($F9:HHI9)=$D12,0,HHI9+1))</f>
        <v>0</v>
      </c>
      <c r="HHK9" s="26">
        <f>IF(HHK7=0,0,IF(MAX($F9:HHJ9)=$D12,0,HHJ9+1))</f>
        <v>0</v>
      </c>
      <c r="HHL9" s="26">
        <f>IF(HHL7=0,0,IF(MAX($F9:HHK9)=$D12,0,HHK9+1))</f>
        <v>0</v>
      </c>
      <c r="HHM9" s="26">
        <f>IF(HHM7=0,0,IF(MAX($F9:HHL9)=$D12,0,HHL9+1))</f>
        <v>0</v>
      </c>
      <c r="HHN9" s="26">
        <f>IF(HHN7=0,0,IF(MAX($F9:HHM9)=$D12,0,HHM9+1))</f>
        <v>0</v>
      </c>
      <c r="HHO9" s="26">
        <f>IF(HHO7=0,0,IF(MAX($F9:HHN9)=$D12,0,HHN9+1))</f>
        <v>0</v>
      </c>
      <c r="HHP9" s="26">
        <f>IF(HHP7=0,0,IF(MAX($F9:HHO9)=$D12,0,HHO9+1))</f>
        <v>0</v>
      </c>
      <c r="HHQ9" s="26">
        <f>IF(HHQ7=0,0,IF(MAX($F9:HHP9)=$D12,0,HHP9+1))</f>
        <v>0</v>
      </c>
      <c r="HHR9" s="26">
        <f>IF(HHR7=0,0,IF(MAX($F9:HHQ9)=$D12,0,HHQ9+1))</f>
        <v>0</v>
      </c>
      <c r="HHS9" s="26">
        <f>IF(HHS7=0,0,IF(MAX($F9:HHR9)=$D12,0,HHR9+1))</f>
        <v>0</v>
      </c>
      <c r="HHT9" s="26">
        <f>IF(HHT7=0,0,IF(MAX($F9:HHS9)=$D12,0,HHS9+1))</f>
        <v>0</v>
      </c>
      <c r="HHU9" s="26">
        <f>IF(HHU7=0,0,IF(MAX($F9:HHT9)=$D12,0,HHT9+1))</f>
        <v>0</v>
      </c>
      <c r="HHV9" s="26">
        <f>IF(HHV7=0,0,IF(MAX($F9:HHU9)=$D12,0,HHU9+1))</f>
        <v>0</v>
      </c>
      <c r="HHW9" s="26">
        <f>IF(HHW7=0,0,IF(MAX($F9:HHV9)=$D12,0,HHV9+1))</f>
        <v>0</v>
      </c>
      <c r="HHX9" s="26">
        <f>IF(HHX7=0,0,IF(MAX($F9:HHW9)=$D12,0,HHW9+1))</f>
        <v>0</v>
      </c>
      <c r="HHY9" s="26">
        <f>IF(HHY7=0,0,IF(MAX($F9:HHX9)=$D12,0,HHX9+1))</f>
        <v>0</v>
      </c>
      <c r="HHZ9" s="26">
        <f>IF(HHZ7=0,0,IF(MAX($F9:HHY9)=$D12,0,HHY9+1))</f>
        <v>0</v>
      </c>
      <c r="HIA9" s="26">
        <f>IF(HIA7=0,0,IF(MAX($F9:HHZ9)=$D12,0,HHZ9+1))</f>
        <v>0</v>
      </c>
      <c r="HIB9" s="26">
        <f>IF(HIB7=0,0,IF(MAX($F9:HIA9)=$D12,0,HIA9+1))</f>
        <v>0</v>
      </c>
      <c r="HIC9" s="26">
        <f>IF(HIC7=0,0,IF(MAX($F9:HIB9)=$D12,0,HIB9+1))</f>
        <v>0</v>
      </c>
      <c r="HID9" s="26">
        <f>IF(HID7=0,0,IF(MAX($F9:HIC9)=$D12,0,HIC9+1))</f>
        <v>0</v>
      </c>
      <c r="HIE9" s="26">
        <f>IF(HIE7=0,0,IF(MAX($F9:HID9)=$D12,0,HID9+1))</f>
        <v>0</v>
      </c>
      <c r="HIF9" s="26">
        <f>IF(HIF7=0,0,IF(MAX($F9:HIE9)=$D12,0,HIE9+1))</f>
        <v>0</v>
      </c>
      <c r="HIG9" s="26">
        <f>IF(HIG7=0,0,IF(MAX($F9:HIF9)=$D12,0,HIF9+1))</f>
        <v>0</v>
      </c>
      <c r="HIH9" s="26">
        <f>IF(HIH7=0,0,IF(MAX($F9:HIG9)=$D12,0,HIG9+1))</f>
        <v>0</v>
      </c>
      <c r="HII9" s="26">
        <f>IF(HII7=0,0,IF(MAX($F9:HIH9)=$D12,0,HIH9+1))</f>
        <v>0</v>
      </c>
      <c r="HIJ9" s="26">
        <f>IF(HIJ7=0,0,IF(MAX($F9:HII9)=$D12,0,HII9+1))</f>
        <v>0</v>
      </c>
      <c r="HIK9" s="26">
        <f>IF(HIK7=0,0,IF(MAX($F9:HIJ9)=$D12,0,HIJ9+1))</f>
        <v>0</v>
      </c>
      <c r="HIL9" s="26">
        <f>IF(HIL7=0,0,IF(MAX($F9:HIK9)=$D12,0,HIK9+1))</f>
        <v>0</v>
      </c>
      <c r="HIM9" s="26">
        <f>IF(HIM7=0,0,IF(MAX($F9:HIL9)=$D12,0,HIL9+1))</f>
        <v>0</v>
      </c>
      <c r="HIN9" s="26">
        <f>IF(HIN7=0,0,IF(MAX($F9:HIM9)=$D12,0,HIM9+1))</f>
        <v>0</v>
      </c>
      <c r="HIO9" s="26">
        <f>IF(HIO7=0,0,IF(MAX($F9:HIN9)=$D12,0,HIN9+1))</f>
        <v>0</v>
      </c>
      <c r="HIP9" s="26">
        <f>IF(HIP7=0,0,IF(MAX($F9:HIO9)=$D12,0,HIO9+1))</f>
        <v>0</v>
      </c>
      <c r="HIQ9" s="26">
        <f>IF(HIQ7=0,0,IF(MAX($F9:HIP9)=$D12,0,HIP9+1))</f>
        <v>0</v>
      </c>
      <c r="HIR9" s="26">
        <f>IF(HIR7=0,0,IF(MAX($F9:HIQ9)=$D12,0,HIQ9+1))</f>
        <v>0</v>
      </c>
      <c r="HIS9" s="26">
        <f>IF(HIS7=0,0,IF(MAX($F9:HIR9)=$D12,0,HIR9+1))</f>
        <v>0</v>
      </c>
      <c r="HIT9" s="26">
        <f>IF(HIT7=0,0,IF(MAX($F9:HIS9)=$D12,0,HIS9+1))</f>
        <v>0</v>
      </c>
      <c r="HIU9" s="26">
        <f>IF(HIU7=0,0,IF(MAX($F9:HIT9)=$D12,0,HIT9+1))</f>
        <v>0</v>
      </c>
      <c r="HIV9" s="26">
        <f>IF(HIV7=0,0,IF(MAX($F9:HIU9)=$D12,0,HIU9+1))</f>
        <v>0</v>
      </c>
      <c r="HIW9" s="26">
        <f>IF(HIW7=0,0,IF(MAX($F9:HIV9)=$D12,0,HIV9+1))</f>
        <v>0</v>
      </c>
      <c r="HIX9" s="26">
        <f>IF(HIX7=0,0,IF(MAX($F9:HIW9)=$D12,0,HIW9+1))</f>
        <v>0</v>
      </c>
      <c r="HIY9" s="26">
        <f>IF(HIY7=0,0,IF(MAX($F9:HIX9)=$D12,0,HIX9+1))</f>
        <v>0</v>
      </c>
      <c r="HIZ9" s="26">
        <f>IF(HIZ7=0,0,IF(MAX($F9:HIY9)=$D12,0,HIY9+1))</f>
        <v>0</v>
      </c>
      <c r="HJA9" s="26">
        <f>IF(HJA7=0,0,IF(MAX($F9:HIZ9)=$D12,0,HIZ9+1))</f>
        <v>0</v>
      </c>
      <c r="HJB9" s="26">
        <f>IF(HJB7=0,0,IF(MAX($F9:HJA9)=$D12,0,HJA9+1))</f>
        <v>0</v>
      </c>
      <c r="HJC9" s="26">
        <f>IF(HJC7=0,0,IF(MAX($F9:HJB9)=$D12,0,HJB9+1))</f>
        <v>0</v>
      </c>
      <c r="HJD9" s="26">
        <f>IF(HJD7=0,0,IF(MAX($F9:HJC9)=$D12,0,HJC9+1))</f>
        <v>0</v>
      </c>
      <c r="HJE9" s="26">
        <f>IF(HJE7=0,0,IF(MAX($F9:HJD9)=$D12,0,HJD9+1))</f>
        <v>0</v>
      </c>
      <c r="HJF9" s="26">
        <f>IF(HJF7=0,0,IF(MAX($F9:HJE9)=$D12,0,HJE9+1))</f>
        <v>0</v>
      </c>
      <c r="HJG9" s="26">
        <f>IF(HJG7=0,0,IF(MAX($F9:HJF9)=$D12,0,HJF9+1))</f>
        <v>0</v>
      </c>
      <c r="HJH9" s="26">
        <f>IF(HJH7=0,0,IF(MAX($F9:HJG9)=$D12,0,HJG9+1))</f>
        <v>0</v>
      </c>
      <c r="HJI9" s="26">
        <f>IF(HJI7=0,0,IF(MAX($F9:HJH9)=$D12,0,HJH9+1))</f>
        <v>0</v>
      </c>
      <c r="HJJ9" s="26">
        <f>IF(HJJ7=0,0,IF(MAX($F9:HJI9)=$D12,0,HJI9+1))</f>
        <v>0</v>
      </c>
      <c r="HJK9" s="26">
        <f>IF(HJK7=0,0,IF(MAX($F9:HJJ9)=$D12,0,HJJ9+1))</f>
        <v>0</v>
      </c>
      <c r="HJL9" s="26">
        <f>IF(HJL7=0,0,IF(MAX($F9:HJK9)=$D12,0,HJK9+1))</f>
        <v>0</v>
      </c>
      <c r="HJM9" s="26">
        <f>IF(HJM7=0,0,IF(MAX($F9:HJL9)=$D12,0,HJL9+1))</f>
        <v>0</v>
      </c>
      <c r="HJN9" s="26">
        <f>IF(HJN7=0,0,IF(MAX($F9:HJM9)=$D12,0,HJM9+1))</f>
        <v>0</v>
      </c>
      <c r="HJO9" s="26">
        <f>IF(HJO7=0,0,IF(MAX($F9:HJN9)=$D12,0,HJN9+1))</f>
        <v>0</v>
      </c>
      <c r="HJP9" s="26">
        <f>IF(HJP7=0,0,IF(MAX($F9:HJO9)=$D12,0,HJO9+1))</f>
        <v>0</v>
      </c>
      <c r="HJQ9" s="26">
        <f>IF(HJQ7=0,0,IF(MAX($F9:HJP9)=$D12,0,HJP9+1))</f>
        <v>0</v>
      </c>
      <c r="HJR9" s="26">
        <f>IF(HJR7=0,0,IF(MAX($F9:HJQ9)=$D12,0,HJQ9+1))</f>
        <v>0</v>
      </c>
      <c r="HJS9" s="26">
        <f>IF(HJS7=0,0,IF(MAX($F9:HJR9)=$D12,0,HJR9+1))</f>
        <v>0</v>
      </c>
      <c r="HJT9" s="26">
        <f>IF(HJT7=0,0,IF(MAX($F9:HJS9)=$D12,0,HJS9+1))</f>
        <v>0</v>
      </c>
      <c r="HJU9" s="26">
        <f>IF(HJU7=0,0,IF(MAX($F9:HJT9)=$D12,0,HJT9+1))</f>
        <v>0</v>
      </c>
      <c r="HJV9" s="26">
        <f>IF(HJV7=0,0,IF(MAX($F9:HJU9)=$D12,0,HJU9+1))</f>
        <v>0</v>
      </c>
      <c r="HJW9" s="26">
        <f>IF(HJW7=0,0,IF(MAX($F9:HJV9)=$D12,0,HJV9+1))</f>
        <v>0</v>
      </c>
      <c r="HJX9" s="26">
        <f>IF(HJX7=0,0,IF(MAX($F9:HJW9)=$D12,0,HJW9+1))</f>
        <v>0</v>
      </c>
      <c r="HJY9" s="26">
        <f>IF(HJY7=0,0,IF(MAX($F9:HJX9)=$D12,0,HJX9+1))</f>
        <v>0</v>
      </c>
      <c r="HJZ9" s="26">
        <f>IF(HJZ7=0,0,IF(MAX($F9:HJY9)=$D12,0,HJY9+1))</f>
        <v>0</v>
      </c>
      <c r="HKA9" s="26">
        <f>IF(HKA7=0,0,IF(MAX($F9:HJZ9)=$D12,0,HJZ9+1))</f>
        <v>0</v>
      </c>
      <c r="HKB9" s="26">
        <f>IF(HKB7=0,0,IF(MAX($F9:HKA9)=$D12,0,HKA9+1))</f>
        <v>0</v>
      </c>
      <c r="HKC9" s="26">
        <f>IF(HKC7=0,0,IF(MAX($F9:HKB9)=$D12,0,HKB9+1))</f>
        <v>0</v>
      </c>
      <c r="HKD9" s="26">
        <f>IF(HKD7=0,0,IF(MAX($F9:HKC9)=$D12,0,HKC9+1))</f>
        <v>0</v>
      </c>
      <c r="HKE9" s="26">
        <f>IF(HKE7=0,0,IF(MAX($F9:HKD9)=$D12,0,HKD9+1))</f>
        <v>0</v>
      </c>
      <c r="HKF9" s="26">
        <f>IF(HKF7=0,0,IF(MAX($F9:HKE9)=$D12,0,HKE9+1))</f>
        <v>0</v>
      </c>
      <c r="HKG9" s="26">
        <f>IF(HKG7=0,0,IF(MAX($F9:HKF9)=$D12,0,HKF9+1))</f>
        <v>0</v>
      </c>
      <c r="HKH9" s="26">
        <f>IF(HKH7=0,0,IF(MAX($F9:HKG9)=$D12,0,HKG9+1))</f>
        <v>0</v>
      </c>
      <c r="HKI9" s="26">
        <f>IF(HKI7=0,0,IF(MAX($F9:HKH9)=$D12,0,HKH9+1))</f>
        <v>0</v>
      </c>
      <c r="HKJ9" s="26">
        <f>IF(HKJ7=0,0,IF(MAX($F9:HKI9)=$D12,0,HKI9+1))</f>
        <v>0</v>
      </c>
      <c r="HKK9" s="26">
        <f>IF(HKK7=0,0,IF(MAX($F9:HKJ9)=$D12,0,HKJ9+1))</f>
        <v>0</v>
      </c>
      <c r="HKL9" s="26">
        <f>IF(HKL7=0,0,IF(MAX($F9:HKK9)=$D12,0,HKK9+1))</f>
        <v>0</v>
      </c>
      <c r="HKM9" s="26">
        <f>IF(HKM7=0,0,IF(MAX($F9:HKL9)=$D12,0,HKL9+1))</f>
        <v>0</v>
      </c>
      <c r="HKN9" s="26">
        <f>IF(HKN7=0,0,IF(MAX($F9:HKM9)=$D12,0,HKM9+1))</f>
        <v>0</v>
      </c>
      <c r="HKO9" s="26">
        <f>IF(HKO7=0,0,IF(MAX($F9:HKN9)=$D12,0,HKN9+1))</f>
        <v>0</v>
      </c>
      <c r="HKP9" s="26">
        <f>IF(HKP7=0,0,IF(MAX($F9:HKO9)=$D12,0,HKO9+1))</f>
        <v>0</v>
      </c>
      <c r="HKQ9" s="26">
        <f>IF(HKQ7=0,0,IF(MAX($F9:HKP9)=$D12,0,HKP9+1))</f>
        <v>0</v>
      </c>
      <c r="HKR9" s="26">
        <f>IF(HKR7=0,0,IF(MAX($F9:HKQ9)=$D12,0,HKQ9+1))</f>
        <v>0</v>
      </c>
      <c r="HKS9" s="26">
        <f>IF(HKS7=0,0,IF(MAX($F9:HKR9)=$D12,0,HKR9+1))</f>
        <v>0</v>
      </c>
      <c r="HKT9" s="26">
        <f>IF(HKT7=0,0,IF(MAX($F9:HKS9)=$D12,0,HKS9+1))</f>
        <v>0</v>
      </c>
      <c r="HKU9" s="26">
        <f>IF(HKU7=0,0,IF(MAX($F9:HKT9)=$D12,0,HKT9+1))</f>
        <v>0</v>
      </c>
      <c r="HKV9" s="26">
        <f>IF(HKV7=0,0,IF(MAX($F9:HKU9)=$D12,0,HKU9+1))</f>
        <v>0</v>
      </c>
      <c r="HKW9" s="26">
        <f>IF(HKW7=0,0,IF(MAX($F9:HKV9)=$D12,0,HKV9+1))</f>
        <v>0</v>
      </c>
      <c r="HKX9" s="26">
        <f>IF(HKX7=0,0,IF(MAX($F9:HKW9)=$D12,0,HKW9+1))</f>
        <v>0</v>
      </c>
      <c r="HKY9" s="26">
        <f>IF(HKY7=0,0,IF(MAX($F9:HKX9)=$D12,0,HKX9+1))</f>
        <v>0</v>
      </c>
      <c r="HKZ9" s="26">
        <f>IF(HKZ7=0,0,IF(MAX($F9:HKY9)=$D12,0,HKY9+1))</f>
        <v>0</v>
      </c>
      <c r="HLA9" s="26">
        <f>IF(HLA7=0,0,IF(MAX($F9:HKZ9)=$D12,0,HKZ9+1))</f>
        <v>0</v>
      </c>
      <c r="HLB9" s="26">
        <f>IF(HLB7=0,0,IF(MAX($F9:HLA9)=$D12,0,HLA9+1))</f>
        <v>0</v>
      </c>
      <c r="HLC9" s="26">
        <f>IF(HLC7=0,0,IF(MAX($F9:HLB9)=$D12,0,HLB9+1))</f>
        <v>0</v>
      </c>
      <c r="HLD9" s="26">
        <f>IF(HLD7=0,0,IF(MAX($F9:HLC9)=$D12,0,HLC9+1))</f>
        <v>0</v>
      </c>
      <c r="HLE9" s="26">
        <f>IF(HLE7=0,0,IF(MAX($F9:HLD9)=$D12,0,HLD9+1))</f>
        <v>0</v>
      </c>
      <c r="HLF9" s="26">
        <f>IF(HLF7=0,0,IF(MAX($F9:HLE9)=$D12,0,HLE9+1))</f>
        <v>0</v>
      </c>
      <c r="HLG9" s="26">
        <f>IF(HLG7=0,0,IF(MAX($F9:HLF9)=$D12,0,HLF9+1))</f>
        <v>0</v>
      </c>
      <c r="HLH9" s="26">
        <f>IF(HLH7=0,0,IF(MAX($F9:HLG9)=$D12,0,HLG9+1))</f>
        <v>0</v>
      </c>
      <c r="HLI9" s="26">
        <f>IF(HLI7=0,0,IF(MAX($F9:HLH9)=$D12,0,HLH9+1))</f>
        <v>0</v>
      </c>
      <c r="HLJ9" s="26">
        <f>IF(HLJ7=0,0,IF(MAX($F9:HLI9)=$D12,0,HLI9+1))</f>
        <v>0</v>
      </c>
      <c r="HLK9" s="26">
        <f>IF(HLK7=0,0,IF(MAX($F9:HLJ9)=$D12,0,HLJ9+1))</f>
        <v>0</v>
      </c>
      <c r="HLL9" s="26">
        <f>IF(HLL7=0,0,IF(MAX($F9:HLK9)=$D12,0,HLK9+1))</f>
        <v>0</v>
      </c>
      <c r="HLM9" s="26">
        <f>IF(HLM7=0,0,IF(MAX($F9:HLL9)=$D12,0,HLL9+1))</f>
        <v>0</v>
      </c>
      <c r="HLN9" s="26">
        <f>IF(HLN7=0,0,IF(MAX($F9:HLM9)=$D12,0,HLM9+1))</f>
        <v>0</v>
      </c>
      <c r="HLO9" s="26">
        <f>IF(HLO7=0,0,IF(MAX($F9:HLN9)=$D12,0,HLN9+1))</f>
        <v>0</v>
      </c>
      <c r="HLP9" s="26">
        <f>IF(HLP7=0,0,IF(MAX($F9:HLO9)=$D12,0,HLO9+1))</f>
        <v>0</v>
      </c>
      <c r="HLQ9" s="26">
        <f>IF(HLQ7=0,0,IF(MAX($F9:HLP9)=$D12,0,HLP9+1))</f>
        <v>0</v>
      </c>
      <c r="HLR9" s="26">
        <f>IF(HLR7=0,0,IF(MAX($F9:HLQ9)=$D12,0,HLQ9+1))</f>
        <v>0</v>
      </c>
      <c r="HLS9" s="26">
        <f>IF(HLS7=0,0,IF(MAX($F9:HLR9)=$D12,0,HLR9+1))</f>
        <v>0</v>
      </c>
      <c r="HLT9" s="26">
        <f>IF(HLT7=0,0,IF(MAX($F9:HLS9)=$D12,0,HLS9+1))</f>
        <v>0</v>
      </c>
      <c r="HLU9" s="26">
        <f>IF(HLU7=0,0,IF(MAX($F9:HLT9)=$D12,0,HLT9+1))</f>
        <v>0</v>
      </c>
      <c r="HLV9" s="26">
        <f>IF(HLV7=0,0,IF(MAX($F9:HLU9)=$D12,0,HLU9+1))</f>
        <v>0</v>
      </c>
      <c r="HLW9" s="26">
        <f>IF(HLW7=0,0,IF(MAX($F9:HLV9)=$D12,0,HLV9+1))</f>
        <v>0</v>
      </c>
      <c r="HLX9" s="26">
        <f>IF(HLX7=0,0,IF(MAX($F9:HLW9)=$D12,0,HLW9+1))</f>
        <v>0</v>
      </c>
      <c r="HLY9" s="26">
        <f>IF(HLY7=0,0,IF(MAX($F9:HLX9)=$D12,0,HLX9+1))</f>
        <v>0</v>
      </c>
      <c r="HLZ9" s="26">
        <f>IF(HLZ7=0,0,IF(MAX($F9:HLY9)=$D12,0,HLY9+1))</f>
        <v>0</v>
      </c>
      <c r="HMA9" s="26">
        <f>IF(HMA7=0,0,IF(MAX($F9:HLZ9)=$D12,0,HLZ9+1))</f>
        <v>0</v>
      </c>
      <c r="HMB9" s="26">
        <f>IF(HMB7=0,0,IF(MAX($F9:HMA9)=$D12,0,HMA9+1))</f>
        <v>0</v>
      </c>
      <c r="HMC9" s="26">
        <f>IF(HMC7=0,0,IF(MAX($F9:HMB9)=$D12,0,HMB9+1))</f>
        <v>0</v>
      </c>
      <c r="HMD9" s="26">
        <f>IF(HMD7=0,0,IF(MAX($F9:HMC9)=$D12,0,HMC9+1))</f>
        <v>0</v>
      </c>
      <c r="HME9" s="26">
        <f>IF(HME7=0,0,IF(MAX($F9:HMD9)=$D12,0,HMD9+1))</f>
        <v>0</v>
      </c>
      <c r="HMF9" s="26">
        <f>IF(HMF7=0,0,IF(MAX($F9:HME9)=$D12,0,HME9+1))</f>
        <v>0</v>
      </c>
      <c r="HMG9" s="26">
        <f>IF(HMG7=0,0,IF(MAX($F9:HMF9)=$D12,0,HMF9+1))</f>
        <v>0</v>
      </c>
      <c r="HMH9" s="26">
        <f>IF(HMH7=0,0,IF(MAX($F9:HMG9)=$D12,0,HMG9+1))</f>
        <v>0</v>
      </c>
      <c r="HMI9" s="26">
        <f>IF(HMI7=0,0,IF(MAX($F9:HMH9)=$D12,0,HMH9+1))</f>
        <v>0</v>
      </c>
      <c r="HMJ9" s="26">
        <f>IF(HMJ7=0,0,IF(MAX($F9:HMI9)=$D12,0,HMI9+1))</f>
        <v>0</v>
      </c>
      <c r="HMK9" s="26">
        <f>IF(HMK7=0,0,IF(MAX($F9:HMJ9)=$D12,0,HMJ9+1))</f>
        <v>0</v>
      </c>
      <c r="HML9" s="26">
        <f>IF(HML7=0,0,IF(MAX($F9:HMK9)=$D12,0,HMK9+1))</f>
        <v>0</v>
      </c>
      <c r="HMM9" s="26">
        <f>IF(HMM7=0,0,IF(MAX($F9:HML9)=$D12,0,HML9+1))</f>
        <v>0</v>
      </c>
      <c r="HMN9" s="26">
        <f>IF(HMN7=0,0,IF(MAX($F9:HMM9)=$D12,0,HMM9+1))</f>
        <v>0</v>
      </c>
      <c r="HMO9" s="26">
        <f>IF(HMO7=0,0,IF(MAX($F9:HMN9)=$D12,0,HMN9+1))</f>
        <v>0</v>
      </c>
      <c r="HMP9" s="26">
        <f>IF(HMP7=0,0,IF(MAX($F9:HMO9)=$D12,0,HMO9+1))</f>
        <v>0</v>
      </c>
      <c r="HMQ9" s="26">
        <f>IF(HMQ7=0,0,IF(MAX($F9:HMP9)=$D12,0,HMP9+1))</f>
        <v>0</v>
      </c>
      <c r="HMR9" s="26">
        <f>IF(HMR7=0,0,IF(MAX($F9:HMQ9)=$D12,0,HMQ9+1))</f>
        <v>0</v>
      </c>
      <c r="HMS9" s="26">
        <f>IF(HMS7=0,0,IF(MAX($F9:HMR9)=$D12,0,HMR9+1))</f>
        <v>0</v>
      </c>
      <c r="HMT9" s="26">
        <f>IF(HMT7=0,0,IF(MAX($F9:HMS9)=$D12,0,HMS9+1))</f>
        <v>0</v>
      </c>
      <c r="HMU9" s="26">
        <f>IF(HMU7=0,0,IF(MAX($F9:HMT9)=$D12,0,HMT9+1))</f>
        <v>0</v>
      </c>
      <c r="HMV9" s="26">
        <f>IF(HMV7=0,0,IF(MAX($F9:HMU9)=$D12,0,HMU9+1))</f>
        <v>0</v>
      </c>
      <c r="HMW9" s="26">
        <f>IF(HMW7=0,0,IF(MAX($F9:HMV9)=$D12,0,HMV9+1))</f>
        <v>0</v>
      </c>
      <c r="HMX9" s="26">
        <f>IF(HMX7=0,0,IF(MAX($F9:HMW9)=$D12,0,HMW9+1))</f>
        <v>0</v>
      </c>
      <c r="HMY9" s="26">
        <f>IF(HMY7=0,0,IF(MAX($F9:HMX9)=$D12,0,HMX9+1))</f>
        <v>0</v>
      </c>
      <c r="HMZ9" s="26">
        <f>IF(HMZ7=0,0,IF(MAX($F9:HMY9)=$D12,0,HMY9+1))</f>
        <v>0</v>
      </c>
      <c r="HNA9" s="26">
        <f>IF(HNA7=0,0,IF(MAX($F9:HMZ9)=$D12,0,HMZ9+1))</f>
        <v>0</v>
      </c>
      <c r="HNB9" s="26">
        <f>IF(HNB7=0,0,IF(MAX($F9:HNA9)=$D12,0,HNA9+1))</f>
        <v>0</v>
      </c>
      <c r="HNC9" s="26">
        <f>IF(HNC7=0,0,IF(MAX($F9:HNB9)=$D12,0,HNB9+1))</f>
        <v>0</v>
      </c>
      <c r="HND9" s="26">
        <f>IF(HND7=0,0,IF(MAX($F9:HNC9)=$D12,0,HNC9+1))</f>
        <v>0</v>
      </c>
      <c r="HNE9" s="26">
        <f>IF(HNE7=0,0,IF(MAX($F9:HND9)=$D12,0,HND9+1))</f>
        <v>0</v>
      </c>
      <c r="HNF9" s="26">
        <f>IF(HNF7=0,0,IF(MAX($F9:HNE9)=$D12,0,HNE9+1))</f>
        <v>0</v>
      </c>
      <c r="HNG9" s="26">
        <f>IF(HNG7=0,0,IF(MAX($F9:HNF9)=$D12,0,HNF9+1))</f>
        <v>0</v>
      </c>
      <c r="HNH9" s="26">
        <f>IF(HNH7=0,0,IF(MAX($F9:HNG9)=$D12,0,HNG9+1))</f>
        <v>0</v>
      </c>
      <c r="HNI9" s="26">
        <f>IF(HNI7=0,0,IF(MAX($F9:HNH9)=$D12,0,HNH9+1))</f>
        <v>0</v>
      </c>
      <c r="HNJ9" s="26">
        <f>IF(HNJ7=0,0,IF(MAX($F9:HNI9)=$D12,0,HNI9+1))</f>
        <v>0</v>
      </c>
      <c r="HNK9" s="26">
        <f>IF(HNK7=0,0,IF(MAX($F9:HNJ9)=$D12,0,HNJ9+1))</f>
        <v>0</v>
      </c>
      <c r="HNL9" s="26">
        <f>IF(HNL7=0,0,IF(MAX($F9:HNK9)=$D12,0,HNK9+1))</f>
        <v>0</v>
      </c>
      <c r="HNM9" s="26">
        <f>IF(HNM7=0,0,IF(MAX($F9:HNL9)=$D12,0,HNL9+1))</f>
        <v>0</v>
      </c>
      <c r="HNN9" s="26">
        <f>IF(HNN7=0,0,IF(MAX($F9:HNM9)=$D12,0,HNM9+1))</f>
        <v>0</v>
      </c>
      <c r="HNO9" s="26">
        <f>IF(HNO7=0,0,IF(MAX($F9:HNN9)=$D12,0,HNN9+1))</f>
        <v>0</v>
      </c>
      <c r="HNP9" s="26">
        <f>IF(HNP7=0,0,IF(MAX($F9:HNO9)=$D12,0,HNO9+1))</f>
        <v>0</v>
      </c>
      <c r="HNQ9" s="26">
        <f>IF(HNQ7=0,0,IF(MAX($F9:HNP9)=$D12,0,HNP9+1))</f>
        <v>0</v>
      </c>
      <c r="HNR9" s="26">
        <f>IF(HNR7=0,0,IF(MAX($F9:HNQ9)=$D12,0,HNQ9+1))</f>
        <v>0</v>
      </c>
      <c r="HNS9" s="26">
        <f>IF(HNS7=0,0,IF(MAX($F9:HNR9)=$D12,0,HNR9+1))</f>
        <v>0</v>
      </c>
      <c r="HNT9" s="26">
        <f>IF(HNT7=0,0,IF(MAX($F9:HNS9)=$D12,0,HNS9+1))</f>
        <v>0</v>
      </c>
      <c r="HNU9" s="26">
        <f>IF(HNU7=0,0,IF(MAX($F9:HNT9)=$D12,0,HNT9+1))</f>
        <v>0</v>
      </c>
      <c r="HNV9" s="26">
        <f>IF(HNV7=0,0,IF(MAX($F9:HNU9)=$D12,0,HNU9+1))</f>
        <v>0</v>
      </c>
      <c r="HNW9" s="26">
        <f>IF(HNW7=0,0,IF(MAX($F9:HNV9)=$D12,0,HNV9+1))</f>
        <v>0</v>
      </c>
      <c r="HNX9" s="26">
        <f>IF(HNX7=0,0,IF(MAX($F9:HNW9)=$D12,0,HNW9+1))</f>
        <v>0</v>
      </c>
      <c r="HNY9" s="26">
        <f>IF(HNY7=0,0,IF(MAX($F9:HNX9)=$D12,0,HNX9+1))</f>
        <v>0</v>
      </c>
      <c r="HNZ9" s="26">
        <f>IF(HNZ7=0,0,IF(MAX($F9:HNY9)=$D12,0,HNY9+1))</f>
        <v>0</v>
      </c>
      <c r="HOA9" s="26">
        <f>IF(HOA7=0,0,IF(MAX($F9:HNZ9)=$D12,0,HNZ9+1))</f>
        <v>0</v>
      </c>
      <c r="HOB9" s="26">
        <f>IF(HOB7=0,0,IF(MAX($F9:HOA9)=$D12,0,HOA9+1))</f>
        <v>0</v>
      </c>
      <c r="HOC9" s="26">
        <f>IF(HOC7=0,0,IF(MAX($F9:HOB9)=$D12,0,HOB9+1))</f>
        <v>0</v>
      </c>
      <c r="HOD9" s="26">
        <f>IF(HOD7=0,0,IF(MAX($F9:HOC9)=$D12,0,HOC9+1))</f>
        <v>0</v>
      </c>
      <c r="HOE9" s="26">
        <f>IF(HOE7=0,0,IF(MAX($F9:HOD9)=$D12,0,HOD9+1))</f>
        <v>0</v>
      </c>
      <c r="HOF9" s="26">
        <f>IF(HOF7=0,0,IF(MAX($F9:HOE9)=$D12,0,HOE9+1))</f>
        <v>0</v>
      </c>
      <c r="HOG9" s="26">
        <f>IF(HOG7=0,0,IF(MAX($F9:HOF9)=$D12,0,HOF9+1))</f>
        <v>0</v>
      </c>
      <c r="HOH9" s="26">
        <f>IF(HOH7=0,0,IF(MAX($F9:HOG9)=$D12,0,HOG9+1))</f>
        <v>0</v>
      </c>
      <c r="HOI9" s="26">
        <f>IF(HOI7=0,0,IF(MAX($F9:HOH9)=$D12,0,HOH9+1))</f>
        <v>0</v>
      </c>
      <c r="HOJ9" s="26">
        <f>IF(HOJ7=0,0,IF(MAX($F9:HOI9)=$D12,0,HOI9+1))</f>
        <v>0</v>
      </c>
      <c r="HOK9" s="26">
        <f>IF(HOK7=0,0,IF(MAX($F9:HOJ9)=$D12,0,HOJ9+1))</f>
        <v>0</v>
      </c>
      <c r="HOL9" s="26">
        <f>IF(HOL7=0,0,IF(MAX($F9:HOK9)=$D12,0,HOK9+1))</f>
        <v>0</v>
      </c>
      <c r="HOM9" s="26">
        <f>IF(HOM7=0,0,IF(MAX($F9:HOL9)=$D12,0,HOL9+1))</f>
        <v>0</v>
      </c>
      <c r="HON9" s="26">
        <f>IF(HON7=0,0,IF(MAX($F9:HOM9)=$D12,0,HOM9+1))</f>
        <v>0</v>
      </c>
      <c r="HOO9" s="26">
        <f>IF(HOO7=0,0,IF(MAX($F9:HON9)=$D12,0,HON9+1))</f>
        <v>0</v>
      </c>
      <c r="HOP9" s="26">
        <f>IF(HOP7=0,0,IF(MAX($F9:HOO9)=$D12,0,HOO9+1))</f>
        <v>0</v>
      </c>
      <c r="HOQ9" s="26">
        <f>IF(HOQ7=0,0,IF(MAX($F9:HOP9)=$D12,0,HOP9+1))</f>
        <v>0</v>
      </c>
      <c r="HOR9" s="26">
        <f>IF(HOR7=0,0,IF(MAX($F9:HOQ9)=$D12,0,HOQ9+1))</f>
        <v>0</v>
      </c>
      <c r="HOS9" s="26">
        <f>IF(HOS7=0,0,IF(MAX($F9:HOR9)=$D12,0,HOR9+1))</f>
        <v>0</v>
      </c>
      <c r="HOT9" s="26">
        <f>IF(HOT7=0,0,IF(MAX($F9:HOS9)=$D12,0,HOS9+1))</f>
        <v>0</v>
      </c>
      <c r="HOU9" s="26">
        <f>IF(HOU7=0,0,IF(MAX($F9:HOT9)=$D12,0,HOT9+1))</f>
        <v>0</v>
      </c>
      <c r="HOV9" s="26">
        <f>IF(HOV7=0,0,IF(MAX($F9:HOU9)=$D12,0,HOU9+1))</f>
        <v>0</v>
      </c>
      <c r="HOW9" s="26">
        <f>IF(HOW7=0,0,IF(MAX($F9:HOV9)=$D12,0,HOV9+1))</f>
        <v>0</v>
      </c>
      <c r="HOX9" s="26">
        <f>IF(HOX7=0,0,IF(MAX($F9:HOW9)=$D12,0,HOW9+1))</f>
        <v>0</v>
      </c>
      <c r="HOY9" s="26">
        <f>IF(HOY7=0,0,IF(MAX($F9:HOX9)=$D12,0,HOX9+1))</f>
        <v>0</v>
      </c>
      <c r="HOZ9" s="26">
        <f>IF(HOZ7=0,0,IF(MAX($F9:HOY9)=$D12,0,HOY9+1))</f>
        <v>0</v>
      </c>
      <c r="HPA9" s="26">
        <f>IF(HPA7=0,0,IF(MAX($F9:HOZ9)=$D12,0,HOZ9+1))</f>
        <v>0</v>
      </c>
      <c r="HPB9" s="26">
        <f>IF(HPB7=0,0,IF(MAX($F9:HPA9)=$D12,0,HPA9+1))</f>
        <v>0</v>
      </c>
      <c r="HPC9" s="26">
        <f>IF(HPC7=0,0,IF(MAX($F9:HPB9)=$D12,0,HPB9+1))</f>
        <v>0</v>
      </c>
      <c r="HPD9" s="26">
        <f>IF(HPD7=0,0,IF(MAX($F9:HPC9)=$D12,0,HPC9+1))</f>
        <v>0</v>
      </c>
      <c r="HPE9" s="26">
        <f>IF(HPE7=0,0,IF(MAX($F9:HPD9)=$D12,0,HPD9+1))</f>
        <v>0</v>
      </c>
      <c r="HPF9" s="26">
        <f>IF(HPF7=0,0,IF(MAX($F9:HPE9)=$D12,0,HPE9+1))</f>
        <v>0</v>
      </c>
      <c r="HPG9" s="26">
        <f>IF(HPG7=0,0,IF(MAX($F9:HPF9)=$D12,0,HPF9+1))</f>
        <v>0</v>
      </c>
      <c r="HPH9" s="26">
        <f>IF(HPH7=0,0,IF(MAX($F9:HPG9)=$D12,0,HPG9+1))</f>
        <v>0</v>
      </c>
      <c r="HPI9" s="26">
        <f>IF(HPI7=0,0,IF(MAX($F9:HPH9)=$D12,0,HPH9+1))</f>
        <v>0</v>
      </c>
      <c r="HPJ9" s="26">
        <f>IF(HPJ7=0,0,IF(MAX($F9:HPI9)=$D12,0,HPI9+1))</f>
        <v>0</v>
      </c>
      <c r="HPK9" s="26">
        <f>IF(HPK7=0,0,IF(MAX($F9:HPJ9)=$D12,0,HPJ9+1))</f>
        <v>0</v>
      </c>
      <c r="HPL9" s="26">
        <f>IF(HPL7=0,0,IF(MAX($F9:HPK9)=$D12,0,HPK9+1))</f>
        <v>0</v>
      </c>
      <c r="HPM9" s="26">
        <f>IF(HPM7=0,0,IF(MAX($F9:HPL9)=$D12,0,HPL9+1))</f>
        <v>0</v>
      </c>
      <c r="HPN9" s="26">
        <f>IF(HPN7=0,0,IF(MAX($F9:HPM9)=$D12,0,HPM9+1))</f>
        <v>0</v>
      </c>
      <c r="HPO9" s="26">
        <f>IF(HPO7=0,0,IF(MAX($F9:HPN9)=$D12,0,HPN9+1))</f>
        <v>0</v>
      </c>
      <c r="HPP9" s="26">
        <f>IF(HPP7=0,0,IF(MAX($F9:HPO9)=$D12,0,HPO9+1))</f>
        <v>0</v>
      </c>
      <c r="HPQ9" s="26">
        <f>IF(HPQ7=0,0,IF(MAX($F9:HPP9)=$D12,0,HPP9+1))</f>
        <v>0</v>
      </c>
      <c r="HPR9" s="26">
        <f>IF(HPR7=0,0,IF(MAX($F9:HPQ9)=$D12,0,HPQ9+1))</f>
        <v>0</v>
      </c>
      <c r="HPS9" s="26">
        <f>IF(HPS7=0,0,IF(MAX($F9:HPR9)=$D12,0,HPR9+1))</f>
        <v>0</v>
      </c>
      <c r="HPT9" s="26">
        <f>IF(HPT7=0,0,IF(MAX($F9:HPS9)=$D12,0,HPS9+1))</f>
        <v>0</v>
      </c>
      <c r="HPU9" s="26">
        <f>IF(HPU7=0,0,IF(MAX($F9:HPT9)=$D12,0,HPT9+1))</f>
        <v>0</v>
      </c>
      <c r="HPV9" s="26">
        <f>IF(HPV7=0,0,IF(MAX($F9:HPU9)=$D12,0,HPU9+1))</f>
        <v>0</v>
      </c>
      <c r="HPW9" s="26">
        <f>IF(HPW7=0,0,IF(MAX($F9:HPV9)=$D12,0,HPV9+1))</f>
        <v>0</v>
      </c>
      <c r="HPX9" s="26">
        <f>IF(HPX7=0,0,IF(MAX($F9:HPW9)=$D12,0,HPW9+1))</f>
        <v>0</v>
      </c>
      <c r="HPY9" s="26">
        <f>IF(HPY7=0,0,IF(MAX($F9:HPX9)=$D12,0,HPX9+1))</f>
        <v>0</v>
      </c>
      <c r="HPZ9" s="26">
        <f>IF(HPZ7=0,0,IF(MAX($F9:HPY9)=$D12,0,HPY9+1))</f>
        <v>0</v>
      </c>
      <c r="HQA9" s="26">
        <f>IF(HQA7=0,0,IF(MAX($F9:HPZ9)=$D12,0,HPZ9+1))</f>
        <v>0</v>
      </c>
      <c r="HQB9" s="26">
        <f>IF(HQB7=0,0,IF(MAX($F9:HQA9)=$D12,0,HQA9+1))</f>
        <v>0</v>
      </c>
      <c r="HQC9" s="26">
        <f>IF(HQC7=0,0,IF(MAX($F9:HQB9)=$D12,0,HQB9+1))</f>
        <v>0</v>
      </c>
      <c r="HQD9" s="26">
        <f>IF(HQD7=0,0,IF(MAX($F9:HQC9)=$D12,0,HQC9+1))</f>
        <v>0</v>
      </c>
      <c r="HQE9" s="26">
        <f>IF(HQE7=0,0,IF(MAX($F9:HQD9)=$D12,0,HQD9+1))</f>
        <v>0</v>
      </c>
      <c r="HQF9" s="26">
        <f>IF(HQF7=0,0,IF(MAX($F9:HQE9)=$D12,0,HQE9+1))</f>
        <v>0</v>
      </c>
      <c r="HQG9" s="26">
        <f>IF(HQG7=0,0,IF(MAX($F9:HQF9)=$D12,0,HQF9+1))</f>
        <v>0</v>
      </c>
      <c r="HQH9" s="26">
        <f>IF(HQH7=0,0,IF(MAX($F9:HQG9)=$D12,0,HQG9+1))</f>
        <v>0</v>
      </c>
      <c r="HQI9" s="26">
        <f>IF(HQI7=0,0,IF(MAX($F9:HQH9)=$D12,0,HQH9+1))</f>
        <v>0</v>
      </c>
      <c r="HQJ9" s="26">
        <f>IF(HQJ7=0,0,IF(MAX($F9:HQI9)=$D12,0,HQI9+1))</f>
        <v>0</v>
      </c>
      <c r="HQK9" s="26">
        <f>IF(HQK7=0,0,IF(MAX($F9:HQJ9)=$D12,0,HQJ9+1))</f>
        <v>0</v>
      </c>
      <c r="HQL9" s="26">
        <f>IF(HQL7=0,0,IF(MAX($F9:HQK9)=$D12,0,HQK9+1))</f>
        <v>0</v>
      </c>
      <c r="HQM9" s="26">
        <f>IF(HQM7=0,0,IF(MAX($F9:HQL9)=$D12,0,HQL9+1))</f>
        <v>0</v>
      </c>
      <c r="HQN9" s="26">
        <f>IF(HQN7=0,0,IF(MAX($F9:HQM9)=$D12,0,HQM9+1))</f>
        <v>0</v>
      </c>
      <c r="HQO9" s="26">
        <f>IF(HQO7=0,0,IF(MAX($F9:HQN9)=$D12,0,HQN9+1))</f>
        <v>0</v>
      </c>
      <c r="HQP9" s="26">
        <f>IF(HQP7=0,0,IF(MAX($F9:HQO9)=$D12,0,HQO9+1))</f>
        <v>0</v>
      </c>
      <c r="HQQ9" s="26">
        <f>IF(HQQ7=0,0,IF(MAX($F9:HQP9)=$D12,0,HQP9+1))</f>
        <v>0</v>
      </c>
      <c r="HQR9" s="26">
        <f>IF(HQR7=0,0,IF(MAX($F9:HQQ9)=$D12,0,HQQ9+1))</f>
        <v>0</v>
      </c>
      <c r="HQS9" s="26">
        <f>IF(HQS7=0,0,IF(MAX($F9:HQR9)=$D12,0,HQR9+1))</f>
        <v>0</v>
      </c>
      <c r="HQT9" s="26">
        <f>IF(HQT7=0,0,IF(MAX($F9:HQS9)=$D12,0,HQS9+1))</f>
        <v>0</v>
      </c>
      <c r="HQU9" s="26">
        <f>IF(HQU7=0,0,IF(MAX($F9:HQT9)=$D12,0,HQT9+1))</f>
        <v>0</v>
      </c>
      <c r="HQV9" s="26">
        <f>IF(HQV7=0,0,IF(MAX($F9:HQU9)=$D12,0,HQU9+1))</f>
        <v>0</v>
      </c>
      <c r="HQW9" s="26">
        <f>IF(HQW7=0,0,IF(MAX($F9:HQV9)=$D12,0,HQV9+1))</f>
        <v>0</v>
      </c>
      <c r="HQX9" s="26">
        <f>IF(HQX7=0,0,IF(MAX($F9:HQW9)=$D12,0,HQW9+1))</f>
        <v>0</v>
      </c>
      <c r="HQY9" s="26">
        <f>IF(HQY7=0,0,IF(MAX($F9:HQX9)=$D12,0,HQX9+1))</f>
        <v>0</v>
      </c>
      <c r="HQZ9" s="26">
        <f>IF(HQZ7=0,0,IF(MAX($F9:HQY9)=$D12,0,HQY9+1))</f>
        <v>0</v>
      </c>
      <c r="HRA9" s="26">
        <f>IF(HRA7=0,0,IF(MAX($F9:HQZ9)=$D12,0,HQZ9+1))</f>
        <v>0</v>
      </c>
      <c r="HRB9" s="26">
        <f>IF(HRB7=0,0,IF(MAX($F9:HRA9)=$D12,0,HRA9+1))</f>
        <v>0</v>
      </c>
      <c r="HRC9" s="26">
        <f>IF(HRC7=0,0,IF(MAX($F9:HRB9)=$D12,0,HRB9+1))</f>
        <v>0</v>
      </c>
      <c r="HRD9" s="26">
        <f>IF(HRD7=0,0,IF(MAX($F9:HRC9)=$D12,0,HRC9+1))</f>
        <v>0</v>
      </c>
      <c r="HRE9" s="26">
        <f>IF(HRE7=0,0,IF(MAX($F9:HRD9)=$D12,0,HRD9+1))</f>
        <v>0</v>
      </c>
      <c r="HRF9" s="26">
        <f>IF(HRF7=0,0,IF(MAX($F9:HRE9)=$D12,0,HRE9+1))</f>
        <v>0</v>
      </c>
      <c r="HRG9" s="26">
        <f>IF(HRG7=0,0,IF(MAX($F9:HRF9)=$D12,0,HRF9+1))</f>
        <v>0</v>
      </c>
      <c r="HRH9" s="26">
        <f>IF(HRH7=0,0,IF(MAX($F9:HRG9)=$D12,0,HRG9+1))</f>
        <v>0</v>
      </c>
      <c r="HRI9" s="26">
        <f>IF(HRI7=0,0,IF(MAX($F9:HRH9)=$D12,0,HRH9+1))</f>
        <v>0</v>
      </c>
      <c r="HRJ9" s="26">
        <f>IF(HRJ7=0,0,IF(MAX($F9:HRI9)=$D12,0,HRI9+1))</f>
        <v>0</v>
      </c>
      <c r="HRK9" s="26">
        <f>IF(HRK7=0,0,IF(MAX($F9:HRJ9)=$D12,0,HRJ9+1))</f>
        <v>0</v>
      </c>
      <c r="HRL9" s="26">
        <f>IF(HRL7=0,0,IF(MAX($F9:HRK9)=$D12,0,HRK9+1))</f>
        <v>0</v>
      </c>
      <c r="HRM9" s="26">
        <f>IF(HRM7=0,0,IF(MAX($F9:HRL9)=$D12,0,HRL9+1))</f>
        <v>0</v>
      </c>
      <c r="HRN9" s="26">
        <f>IF(HRN7=0,0,IF(MAX($F9:HRM9)=$D12,0,HRM9+1))</f>
        <v>0</v>
      </c>
      <c r="HRO9" s="26">
        <f>IF(HRO7=0,0,IF(MAX($F9:HRN9)=$D12,0,HRN9+1))</f>
        <v>0</v>
      </c>
      <c r="HRP9" s="26">
        <f>IF(HRP7=0,0,IF(MAX($F9:HRO9)=$D12,0,HRO9+1))</f>
        <v>0</v>
      </c>
      <c r="HRQ9" s="26">
        <f>IF(HRQ7=0,0,IF(MAX($F9:HRP9)=$D12,0,HRP9+1))</f>
        <v>0</v>
      </c>
      <c r="HRR9" s="26">
        <f>IF(HRR7=0,0,IF(MAX($F9:HRQ9)=$D12,0,HRQ9+1))</f>
        <v>0</v>
      </c>
      <c r="HRS9" s="26">
        <f>IF(HRS7=0,0,IF(MAX($F9:HRR9)=$D12,0,HRR9+1))</f>
        <v>0</v>
      </c>
      <c r="HRT9" s="26">
        <f>IF(HRT7=0,0,IF(MAX($F9:HRS9)=$D12,0,HRS9+1))</f>
        <v>0</v>
      </c>
      <c r="HRU9" s="26">
        <f>IF(HRU7=0,0,IF(MAX($F9:HRT9)=$D12,0,HRT9+1))</f>
        <v>0</v>
      </c>
      <c r="HRV9" s="26">
        <f>IF(HRV7=0,0,IF(MAX($F9:HRU9)=$D12,0,HRU9+1))</f>
        <v>0</v>
      </c>
      <c r="HRW9" s="26">
        <f>IF(HRW7=0,0,IF(MAX($F9:HRV9)=$D12,0,HRV9+1))</f>
        <v>0</v>
      </c>
      <c r="HRX9" s="26">
        <f>IF(HRX7=0,0,IF(MAX($F9:HRW9)=$D12,0,HRW9+1))</f>
        <v>0</v>
      </c>
      <c r="HRY9" s="26">
        <f>IF(HRY7=0,0,IF(MAX($F9:HRX9)=$D12,0,HRX9+1))</f>
        <v>0</v>
      </c>
      <c r="HRZ9" s="26">
        <f>IF(HRZ7=0,0,IF(MAX($F9:HRY9)=$D12,0,HRY9+1))</f>
        <v>0</v>
      </c>
      <c r="HSA9" s="26">
        <f>IF(HSA7=0,0,IF(MAX($F9:HRZ9)=$D12,0,HRZ9+1))</f>
        <v>0</v>
      </c>
      <c r="HSB9" s="26">
        <f>IF(HSB7=0,0,IF(MAX($F9:HSA9)=$D12,0,HSA9+1))</f>
        <v>0</v>
      </c>
      <c r="HSC9" s="26">
        <f>IF(HSC7=0,0,IF(MAX($F9:HSB9)=$D12,0,HSB9+1))</f>
        <v>0</v>
      </c>
      <c r="HSD9" s="26">
        <f>IF(HSD7=0,0,IF(MAX($F9:HSC9)=$D12,0,HSC9+1))</f>
        <v>0</v>
      </c>
      <c r="HSE9" s="26">
        <f>IF(HSE7=0,0,IF(MAX($F9:HSD9)=$D12,0,HSD9+1))</f>
        <v>0</v>
      </c>
      <c r="HSF9" s="26">
        <f>IF(HSF7=0,0,IF(MAX($F9:HSE9)=$D12,0,HSE9+1))</f>
        <v>0</v>
      </c>
      <c r="HSG9" s="26">
        <f>IF(HSG7=0,0,IF(MAX($F9:HSF9)=$D12,0,HSF9+1))</f>
        <v>0</v>
      </c>
      <c r="HSH9" s="26">
        <f>IF(HSH7=0,0,IF(MAX($F9:HSG9)=$D12,0,HSG9+1))</f>
        <v>0</v>
      </c>
      <c r="HSI9" s="26">
        <f>IF(HSI7=0,0,IF(MAX($F9:HSH9)=$D12,0,HSH9+1))</f>
        <v>0</v>
      </c>
      <c r="HSJ9" s="26">
        <f>IF(HSJ7=0,0,IF(MAX($F9:HSI9)=$D12,0,HSI9+1))</f>
        <v>0</v>
      </c>
      <c r="HSK9" s="26">
        <f>IF(HSK7=0,0,IF(MAX($F9:HSJ9)=$D12,0,HSJ9+1))</f>
        <v>0</v>
      </c>
      <c r="HSL9" s="26">
        <f>IF(HSL7=0,0,IF(MAX($F9:HSK9)=$D12,0,HSK9+1))</f>
        <v>0</v>
      </c>
      <c r="HSM9" s="26">
        <f>IF(HSM7=0,0,IF(MAX($F9:HSL9)=$D12,0,HSL9+1))</f>
        <v>0</v>
      </c>
      <c r="HSN9" s="26">
        <f>IF(HSN7=0,0,IF(MAX($F9:HSM9)=$D12,0,HSM9+1))</f>
        <v>0</v>
      </c>
      <c r="HSO9" s="26">
        <f>IF(HSO7=0,0,IF(MAX($F9:HSN9)=$D12,0,HSN9+1))</f>
        <v>0</v>
      </c>
      <c r="HSP9" s="26">
        <f>IF(HSP7=0,0,IF(MAX($F9:HSO9)=$D12,0,HSO9+1))</f>
        <v>0</v>
      </c>
      <c r="HSQ9" s="26">
        <f>IF(HSQ7=0,0,IF(MAX($F9:HSP9)=$D12,0,HSP9+1))</f>
        <v>0</v>
      </c>
      <c r="HSR9" s="26">
        <f>IF(HSR7=0,0,IF(MAX($F9:HSQ9)=$D12,0,HSQ9+1))</f>
        <v>0</v>
      </c>
      <c r="HSS9" s="26">
        <f>IF(HSS7=0,0,IF(MAX($F9:HSR9)=$D12,0,HSR9+1))</f>
        <v>0</v>
      </c>
      <c r="HST9" s="26">
        <f>IF(HST7=0,0,IF(MAX($F9:HSS9)=$D12,0,HSS9+1))</f>
        <v>0</v>
      </c>
      <c r="HSU9" s="26">
        <f>IF(HSU7=0,0,IF(MAX($F9:HST9)=$D12,0,HST9+1))</f>
        <v>0</v>
      </c>
      <c r="HSV9" s="26">
        <f>IF(HSV7=0,0,IF(MAX($F9:HSU9)=$D12,0,HSU9+1))</f>
        <v>0</v>
      </c>
      <c r="HSW9" s="26">
        <f>IF(HSW7=0,0,IF(MAX($F9:HSV9)=$D12,0,HSV9+1))</f>
        <v>0</v>
      </c>
      <c r="HSX9" s="26">
        <f>IF(HSX7=0,0,IF(MAX($F9:HSW9)=$D12,0,HSW9+1))</f>
        <v>0</v>
      </c>
      <c r="HSY9" s="26">
        <f>IF(HSY7=0,0,IF(MAX($F9:HSX9)=$D12,0,HSX9+1))</f>
        <v>0</v>
      </c>
      <c r="HSZ9" s="26">
        <f>IF(HSZ7=0,0,IF(MAX($F9:HSY9)=$D12,0,HSY9+1))</f>
        <v>0</v>
      </c>
      <c r="HTA9" s="26">
        <f>IF(HTA7=0,0,IF(MAX($F9:HSZ9)=$D12,0,HSZ9+1))</f>
        <v>0</v>
      </c>
      <c r="HTB9" s="26">
        <f>IF(HTB7=0,0,IF(MAX($F9:HTA9)=$D12,0,HTA9+1))</f>
        <v>0</v>
      </c>
      <c r="HTC9" s="26">
        <f>IF(HTC7=0,0,IF(MAX($F9:HTB9)=$D12,0,HTB9+1))</f>
        <v>0</v>
      </c>
      <c r="HTD9" s="26">
        <f>IF(HTD7=0,0,IF(MAX($F9:HTC9)=$D12,0,HTC9+1))</f>
        <v>0</v>
      </c>
      <c r="HTE9" s="26">
        <f>IF(HTE7=0,0,IF(MAX($F9:HTD9)=$D12,0,HTD9+1))</f>
        <v>0</v>
      </c>
      <c r="HTF9" s="26">
        <f>IF(HTF7=0,0,IF(MAX($F9:HTE9)=$D12,0,HTE9+1))</f>
        <v>0</v>
      </c>
      <c r="HTG9" s="26">
        <f>IF(HTG7=0,0,IF(MAX($F9:HTF9)=$D12,0,HTF9+1))</f>
        <v>0</v>
      </c>
      <c r="HTH9" s="26">
        <f>IF(HTH7=0,0,IF(MAX($F9:HTG9)=$D12,0,HTG9+1))</f>
        <v>0</v>
      </c>
      <c r="HTI9" s="26">
        <f>IF(HTI7=0,0,IF(MAX($F9:HTH9)=$D12,0,HTH9+1))</f>
        <v>0</v>
      </c>
      <c r="HTJ9" s="26">
        <f>IF(HTJ7=0,0,IF(MAX($F9:HTI9)=$D12,0,HTI9+1))</f>
        <v>0</v>
      </c>
      <c r="HTK9" s="26">
        <f>IF(HTK7=0,0,IF(MAX($F9:HTJ9)=$D12,0,HTJ9+1))</f>
        <v>0</v>
      </c>
      <c r="HTL9" s="26">
        <f>IF(HTL7=0,0,IF(MAX($F9:HTK9)=$D12,0,HTK9+1))</f>
        <v>0</v>
      </c>
      <c r="HTM9" s="26">
        <f>IF(HTM7=0,0,IF(MAX($F9:HTL9)=$D12,0,HTL9+1))</f>
        <v>0</v>
      </c>
      <c r="HTN9" s="26">
        <f>IF(HTN7=0,0,IF(MAX($F9:HTM9)=$D12,0,HTM9+1))</f>
        <v>0</v>
      </c>
      <c r="HTO9" s="26">
        <f>IF(HTO7=0,0,IF(MAX($F9:HTN9)=$D12,0,HTN9+1))</f>
        <v>0</v>
      </c>
      <c r="HTP9" s="26">
        <f>IF(HTP7=0,0,IF(MAX($F9:HTO9)=$D12,0,HTO9+1))</f>
        <v>0</v>
      </c>
      <c r="HTQ9" s="26">
        <f>IF(HTQ7=0,0,IF(MAX($F9:HTP9)=$D12,0,HTP9+1))</f>
        <v>0</v>
      </c>
      <c r="HTR9" s="26">
        <f>IF(HTR7=0,0,IF(MAX($F9:HTQ9)=$D12,0,HTQ9+1))</f>
        <v>0</v>
      </c>
      <c r="HTS9" s="26">
        <f>IF(HTS7=0,0,IF(MAX($F9:HTR9)=$D12,0,HTR9+1))</f>
        <v>0</v>
      </c>
      <c r="HTT9" s="26">
        <f>IF(HTT7=0,0,IF(MAX($F9:HTS9)=$D12,0,HTS9+1))</f>
        <v>0</v>
      </c>
      <c r="HTU9" s="26">
        <f>IF(HTU7=0,0,IF(MAX($F9:HTT9)=$D12,0,HTT9+1))</f>
        <v>0</v>
      </c>
      <c r="HTV9" s="26">
        <f>IF(HTV7=0,0,IF(MAX($F9:HTU9)=$D12,0,HTU9+1))</f>
        <v>0</v>
      </c>
      <c r="HTW9" s="26">
        <f>IF(HTW7=0,0,IF(MAX($F9:HTV9)=$D12,0,HTV9+1))</f>
        <v>0</v>
      </c>
      <c r="HTX9" s="26">
        <f>IF(HTX7=0,0,IF(MAX($F9:HTW9)=$D12,0,HTW9+1))</f>
        <v>0</v>
      </c>
      <c r="HTY9" s="26">
        <f>IF(HTY7=0,0,IF(MAX($F9:HTX9)=$D12,0,HTX9+1))</f>
        <v>0</v>
      </c>
      <c r="HTZ9" s="26">
        <f>IF(HTZ7=0,0,IF(MAX($F9:HTY9)=$D12,0,HTY9+1))</f>
        <v>0</v>
      </c>
      <c r="HUA9" s="26">
        <f>IF(HUA7=0,0,IF(MAX($F9:HTZ9)=$D12,0,HTZ9+1))</f>
        <v>0</v>
      </c>
      <c r="HUB9" s="26">
        <f>IF(HUB7=0,0,IF(MAX($F9:HUA9)=$D12,0,HUA9+1))</f>
        <v>0</v>
      </c>
      <c r="HUC9" s="26">
        <f>IF(HUC7=0,0,IF(MAX($F9:HUB9)=$D12,0,HUB9+1))</f>
        <v>0</v>
      </c>
      <c r="HUD9" s="26">
        <f>IF(HUD7=0,0,IF(MAX($F9:HUC9)=$D12,0,HUC9+1))</f>
        <v>0</v>
      </c>
      <c r="HUE9" s="26">
        <f>IF(HUE7=0,0,IF(MAX($F9:HUD9)=$D12,0,HUD9+1))</f>
        <v>0</v>
      </c>
      <c r="HUF9" s="26">
        <f>IF(HUF7=0,0,IF(MAX($F9:HUE9)=$D12,0,HUE9+1))</f>
        <v>0</v>
      </c>
      <c r="HUG9" s="26">
        <f>IF(HUG7=0,0,IF(MAX($F9:HUF9)=$D12,0,HUF9+1))</f>
        <v>0</v>
      </c>
      <c r="HUH9" s="26">
        <f>IF(HUH7=0,0,IF(MAX($F9:HUG9)=$D12,0,HUG9+1))</f>
        <v>0</v>
      </c>
      <c r="HUI9" s="26">
        <f>IF(HUI7=0,0,IF(MAX($F9:HUH9)=$D12,0,HUH9+1))</f>
        <v>0</v>
      </c>
      <c r="HUJ9" s="26">
        <f>IF(HUJ7=0,0,IF(MAX($F9:HUI9)=$D12,0,HUI9+1))</f>
        <v>0</v>
      </c>
      <c r="HUK9" s="26">
        <f>IF(HUK7=0,0,IF(MAX($F9:HUJ9)=$D12,0,HUJ9+1))</f>
        <v>0</v>
      </c>
      <c r="HUL9" s="26">
        <f>IF(HUL7=0,0,IF(MAX($F9:HUK9)=$D12,0,HUK9+1))</f>
        <v>0</v>
      </c>
      <c r="HUM9" s="26">
        <f>IF(HUM7=0,0,IF(MAX($F9:HUL9)=$D12,0,HUL9+1))</f>
        <v>0</v>
      </c>
      <c r="HUN9" s="26">
        <f>IF(HUN7=0,0,IF(MAX($F9:HUM9)=$D12,0,HUM9+1))</f>
        <v>0</v>
      </c>
      <c r="HUO9" s="26">
        <f>IF(HUO7=0,0,IF(MAX($F9:HUN9)=$D12,0,HUN9+1))</f>
        <v>0</v>
      </c>
      <c r="HUP9" s="26">
        <f>IF(HUP7=0,0,IF(MAX($F9:HUO9)=$D12,0,HUO9+1))</f>
        <v>0</v>
      </c>
      <c r="HUQ9" s="26">
        <f>IF(HUQ7=0,0,IF(MAX($F9:HUP9)=$D12,0,HUP9+1))</f>
        <v>0</v>
      </c>
      <c r="HUR9" s="26">
        <f>IF(HUR7=0,0,IF(MAX($F9:HUQ9)=$D12,0,HUQ9+1))</f>
        <v>0</v>
      </c>
      <c r="HUS9" s="26">
        <f>IF(HUS7=0,0,IF(MAX($F9:HUR9)=$D12,0,HUR9+1))</f>
        <v>0</v>
      </c>
      <c r="HUT9" s="26">
        <f>IF(HUT7=0,0,IF(MAX($F9:HUS9)=$D12,0,HUS9+1))</f>
        <v>0</v>
      </c>
      <c r="HUU9" s="26">
        <f>IF(HUU7=0,0,IF(MAX($F9:HUT9)=$D12,0,HUT9+1))</f>
        <v>0</v>
      </c>
      <c r="HUV9" s="26">
        <f>IF(HUV7=0,0,IF(MAX($F9:HUU9)=$D12,0,HUU9+1))</f>
        <v>0</v>
      </c>
      <c r="HUW9" s="26">
        <f>IF(HUW7=0,0,IF(MAX($F9:HUV9)=$D12,0,HUV9+1))</f>
        <v>0</v>
      </c>
      <c r="HUX9" s="26">
        <f>IF(HUX7=0,0,IF(MAX($F9:HUW9)=$D12,0,HUW9+1))</f>
        <v>0</v>
      </c>
      <c r="HUY9" s="26">
        <f>IF(HUY7=0,0,IF(MAX($F9:HUX9)=$D12,0,HUX9+1))</f>
        <v>0</v>
      </c>
      <c r="HUZ9" s="26">
        <f>IF(HUZ7=0,0,IF(MAX($F9:HUY9)=$D12,0,HUY9+1))</f>
        <v>0</v>
      </c>
      <c r="HVA9" s="26">
        <f>IF(HVA7=0,0,IF(MAX($F9:HUZ9)=$D12,0,HUZ9+1))</f>
        <v>0</v>
      </c>
      <c r="HVB9" s="26">
        <f>IF(HVB7=0,0,IF(MAX($F9:HVA9)=$D12,0,HVA9+1))</f>
        <v>0</v>
      </c>
      <c r="HVC9" s="26">
        <f>IF(HVC7=0,0,IF(MAX($F9:HVB9)=$D12,0,HVB9+1))</f>
        <v>0</v>
      </c>
      <c r="HVD9" s="26">
        <f>IF(HVD7=0,0,IF(MAX($F9:HVC9)=$D12,0,HVC9+1))</f>
        <v>0</v>
      </c>
      <c r="HVE9" s="26">
        <f>IF(HVE7=0,0,IF(MAX($F9:HVD9)=$D12,0,HVD9+1))</f>
        <v>0</v>
      </c>
      <c r="HVF9" s="26">
        <f>IF(HVF7=0,0,IF(MAX($F9:HVE9)=$D12,0,HVE9+1))</f>
        <v>0</v>
      </c>
      <c r="HVG9" s="26">
        <f>IF(HVG7=0,0,IF(MAX($F9:HVF9)=$D12,0,HVF9+1))</f>
        <v>0</v>
      </c>
      <c r="HVH9" s="26">
        <f>IF(HVH7=0,0,IF(MAX($F9:HVG9)=$D12,0,HVG9+1))</f>
        <v>0</v>
      </c>
      <c r="HVI9" s="26">
        <f>IF(HVI7=0,0,IF(MAX($F9:HVH9)=$D12,0,HVH9+1))</f>
        <v>0</v>
      </c>
      <c r="HVJ9" s="26">
        <f>IF(HVJ7=0,0,IF(MAX($F9:HVI9)=$D12,0,HVI9+1))</f>
        <v>0</v>
      </c>
      <c r="HVK9" s="26">
        <f>IF(HVK7=0,0,IF(MAX($F9:HVJ9)=$D12,0,HVJ9+1))</f>
        <v>0</v>
      </c>
      <c r="HVL9" s="26">
        <f>IF(HVL7=0,0,IF(MAX($F9:HVK9)=$D12,0,HVK9+1))</f>
        <v>0</v>
      </c>
      <c r="HVM9" s="26">
        <f>IF(HVM7=0,0,IF(MAX($F9:HVL9)=$D12,0,HVL9+1))</f>
        <v>0</v>
      </c>
      <c r="HVN9" s="26">
        <f>IF(HVN7=0,0,IF(MAX($F9:HVM9)=$D12,0,HVM9+1))</f>
        <v>0</v>
      </c>
      <c r="HVO9" s="26">
        <f>IF(HVO7=0,0,IF(MAX($F9:HVN9)=$D12,0,HVN9+1))</f>
        <v>0</v>
      </c>
      <c r="HVP9" s="26">
        <f>IF(HVP7=0,0,IF(MAX($F9:HVO9)=$D12,0,HVO9+1))</f>
        <v>0</v>
      </c>
      <c r="HVQ9" s="26">
        <f>IF(HVQ7=0,0,IF(MAX($F9:HVP9)=$D12,0,HVP9+1))</f>
        <v>0</v>
      </c>
      <c r="HVR9" s="26">
        <f>IF(HVR7=0,0,IF(MAX($F9:HVQ9)=$D12,0,HVQ9+1))</f>
        <v>0</v>
      </c>
      <c r="HVS9" s="26">
        <f>IF(HVS7=0,0,IF(MAX($F9:HVR9)=$D12,0,HVR9+1))</f>
        <v>0</v>
      </c>
      <c r="HVT9" s="26">
        <f>IF(HVT7=0,0,IF(MAX($F9:HVS9)=$D12,0,HVS9+1))</f>
        <v>0</v>
      </c>
      <c r="HVU9" s="26">
        <f>IF(HVU7=0,0,IF(MAX($F9:HVT9)=$D12,0,HVT9+1))</f>
        <v>0</v>
      </c>
      <c r="HVV9" s="26">
        <f>IF(HVV7=0,0,IF(MAX($F9:HVU9)=$D12,0,HVU9+1))</f>
        <v>0</v>
      </c>
      <c r="HVW9" s="26">
        <f>IF(HVW7=0,0,IF(MAX($F9:HVV9)=$D12,0,HVV9+1))</f>
        <v>0</v>
      </c>
      <c r="HVX9" s="26">
        <f>IF(HVX7=0,0,IF(MAX($F9:HVW9)=$D12,0,HVW9+1))</f>
        <v>0</v>
      </c>
      <c r="HVY9" s="26">
        <f>IF(HVY7=0,0,IF(MAX($F9:HVX9)=$D12,0,HVX9+1))</f>
        <v>0</v>
      </c>
      <c r="HVZ9" s="26">
        <f>IF(HVZ7=0,0,IF(MAX($F9:HVY9)=$D12,0,HVY9+1))</f>
        <v>0</v>
      </c>
      <c r="HWA9" s="26">
        <f>IF(HWA7=0,0,IF(MAX($F9:HVZ9)=$D12,0,HVZ9+1))</f>
        <v>0</v>
      </c>
      <c r="HWB9" s="26">
        <f>IF(HWB7=0,0,IF(MAX($F9:HWA9)=$D12,0,HWA9+1))</f>
        <v>0</v>
      </c>
      <c r="HWC9" s="26">
        <f>IF(HWC7=0,0,IF(MAX($F9:HWB9)=$D12,0,HWB9+1))</f>
        <v>0</v>
      </c>
      <c r="HWD9" s="26">
        <f>IF(HWD7=0,0,IF(MAX($F9:HWC9)=$D12,0,HWC9+1))</f>
        <v>0</v>
      </c>
      <c r="HWE9" s="26">
        <f>IF(HWE7=0,0,IF(MAX($F9:HWD9)=$D12,0,HWD9+1))</f>
        <v>0</v>
      </c>
      <c r="HWF9" s="26">
        <f>IF(HWF7=0,0,IF(MAX($F9:HWE9)=$D12,0,HWE9+1))</f>
        <v>0</v>
      </c>
      <c r="HWG9" s="26">
        <f>IF(HWG7=0,0,IF(MAX($F9:HWF9)=$D12,0,HWF9+1))</f>
        <v>0</v>
      </c>
      <c r="HWH9" s="26">
        <f>IF(HWH7=0,0,IF(MAX($F9:HWG9)=$D12,0,HWG9+1))</f>
        <v>0</v>
      </c>
      <c r="HWI9" s="26">
        <f>IF(HWI7=0,0,IF(MAX($F9:HWH9)=$D12,0,HWH9+1))</f>
        <v>0</v>
      </c>
      <c r="HWJ9" s="26">
        <f>IF(HWJ7=0,0,IF(MAX($F9:HWI9)=$D12,0,HWI9+1))</f>
        <v>0</v>
      </c>
      <c r="HWK9" s="26">
        <f>IF(HWK7=0,0,IF(MAX($F9:HWJ9)=$D12,0,HWJ9+1))</f>
        <v>0</v>
      </c>
      <c r="HWL9" s="26">
        <f>IF(HWL7=0,0,IF(MAX($F9:HWK9)=$D12,0,HWK9+1))</f>
        <v>0</v>
      </c>
      <c r="HWM9" s="26">
        <f>IF(HWM7=0,0,IF(MAX($F9:HWL9)=$D12,0,HWL9+1))</f>
        <v>0</v>
      </c>
      <c r="HWN9" s="26">
        <f>IF(HWN7=0,0,IF(MAX($F9:HWM9)=$D12,0,HWM9+1))</f>
        <v>0</v>
      </c>
      <c r="HWO9" s="26">
        <f>IF(HWO7=0,0,IF(MAX($F9:HWN9)=$D12,0,HWN9+1))</f>
        <v>0</v>
      </c>
      <c r="HWP9" s="26">
        <f>IF(HWP7=0,0,IF(MAX($F9:HWO9)=$D12,0,HWO9+1))</f>
        <v>0</v>
      </c>
      <c r="HWQ9" s="26">
        <f>IF(HWQ7=0,0,IF(MAX($F9:HWP9)=$D12,0,HWP9+1))</f>
        <v>0</v>
      </c>
      <c r="HWR9" s="26">
        <f>IF(HWR7=0,0,IF(MAX($F9:HWQ9)=$D12,0,HWQ9+1))</f>
        <v>0</v>
      </c>
      <c r="HWS9" s="26">
        <f>IF(HWS7=0,0,IF(MAX($F9:HWR9)=$D12,0,HWR9+1))</f>
        <v>0</v>
      </c>
      <c r="HWT9" s="26">
        <f>IF(HWT7=0,0,IF(MAX($F9:HWS9)=$D12,0,HWS9+1))</f>
        <v>0</v>
      </c>
      <c r="HWU9" s="26">
        <f>IF(HWU7=0,0,IF(MAX($F9:HWT9)=$D12,0,HWT9+1))</f>
        <v>0</v>
      </c>
      <c r="HWV9" s="26">
        <f>IF(HWV7=0,0,IF(MAX($F9:HWU9)=$D12,0,HWU9+1))</f>
        <v>0</v>
      </c>
      <c r="HWW9" s="26">
        <f>IF(HWW7=0,0,IF(MAX($F9:HWV9)=$D12,0,HWV9+1))</f>
        <v>0</v>
      </c>
      <c r="HWX9" s="26">
        <f>IF(HWX7=0,0,IF(MAX($F9:HWW9)=$D12,0,HWW9+1))</f>
        <v>0</v>
      </c>
      <c r="HWY9" s="26">
        <f>IF(HWY7=0,0,IF(MAX($F9:HWX9)=$D12,0,HWX9+1))</f>
        <v>0</v>
      </c>
      <c r="HWZ9" s="26">
        <f>IF(HWZ7=0,0,IF(MAX($F9:HWY9)=$D12,0,HWY9+1))</f>
        <v>0</v>
      </c>
      <c r="HXA9" s="26">
        <f>IF(HXA7=0,0,IF(MAX($F9:HWZ9)=$D12,0,HWZ9+1))</f>
        <v>0</v>
      </c>
      <c r="HXB9" s="26">
        <f>IF(HXB7=0,0,IF(MAX($F9:HXA9)=$D12,0,HXA9+1))</f>
        <v>0</v>
      </c>
      <c r="HXC9" s="26">
        <f>IF(HXC7=0,0,IF(MAX($F9:HXB9)=$D12,0,HXB9+1))</f>
        <v>0</v>
      </c>
      <c r="HXD9" s="26">
        <f>IF(HXD7=0,0,IF(MAX($F9:HXC9)=$D12,0,HXC9+1))</f>
        <v>0</v>
      </c>
      <c r="HXE9" s="26">
        <f>IF(HXE7=0,0,IF(MAX($F9:HXD9)=$D12,0,HXD9+1))</f>
        <v>0</v>
      </c>
      <c r="HXF9" s="26">
        <f>IF(HXF7=0,0,IF(MAX($F9:HXE9)=$D12,0,HXE9+1))</f>
        <v>0</v>
      </c>
      <c r="HXG9" s="26">
        <f>IF(HXG7=0,0,IF(MAX($F9:HXF9)=$D12,0,HXF9+1))</f>
        <v>0</v>
      </c>
      <c r="HXH9" s="26">
        <f>IF(HXH7=0,0,IF(MAX($F9:HXG9)=$D12,0,HXG9+1))</f>
        <v>0</v>
      </c>
      <c r="HXI9" s="26">
        <f>IF(HXI7=0,0,IF(MAX($F9:HXH9)=$D12,0,HXH9+1))</f>
        <v>0</v>
      </c>
      <c r="HXJ9" s="26">
        <f>IF(HXJ7=0,0,IF(MAX($F9:HXI9)=$D12,0,HXI9+1))</f>
        <v>0</v>
      </c>
      <c r="HXK9" s="26">
        <f>IF(HXK7=0,0,IF(MAX($F9:HXJ9)=$D12,0,HXJ9+1))</f>
        <v>0</v>
      </c>
      <c r="HXL9" s="26">
        <f>IF(HXL7=0,0,IF(MAX($F9:HXK9)=$D12,0,HXK9+1))</f>
        <v>0</v>
      </c>
      <c r="HXM9" s="26">
        <f>IF(HXM7=0,0,IF(MAX($F9:HXL9)=$D12,0,HXL9+1))</f>
        <v>0</v>
      </c>
      <c r="HXN9" s="26">
        <f>IF(HXN7=0,0,IF(MAX($F9:HXM9)=$D12,0,HXM9+1))</f>
        <v>0</v>
      </c>
      <c r="HXO9" s="26">
        <f>IF(HXO7=0,0,IF(MAX($F9:HXN9)=$D12,0,HXN9+1))</f>
        <v>0</v>
      </c>
      <c r="HXP9" s="26">
        <f>IF(HXP7=0,0,IF(MAX($F9:HXO9)=$D12,0,HXO9+1))</f>
        <v>0</v>
      </c>
      <c r="HXQ9" s="26">
        <f>IF(HXQ7=0,0,IF(MAX($F9:HXP9)=$D12,0,HXP9+1))</f>
        <v>0</v>
      </c>
      <c r="HXR9" s="26">
        <f>IF(HXR7=0,0,IF(MAX($F9:HXQ9)=$D12,0,HXQ9+1))</f>
        <v>0</v>
      </c>
      <c r="HXS9" s="26">
        <f>IF(HXS7=0,0,IF(MAX($F9:HXR9)=$D12,0,HXR9+1))</f>
        <v>0</v>
      </c>
      <c r="HXT9" s="26">
        <f>IF(HXT7=0,0,IF(MAX($F9:HXS9)=$D12,0,HXS9+1))</f>
        <v>0</v>
      </c>
      <c r="HXU9" s="26">
        <f>IF(HXU7=0,0,IF(MAX($F9:HXT9)=$D12,0,HXT9+1))</f>
        <v>0</v>
      </c>
      <c r="HXV9" s="26">
        <f>IF(HXV7=0,0,IF(MAX($F9:HXU9)=$D12,0,HXU9+1))</f>
        <v>0</v>
      </c>
      <c r="HXW9" s="26">
        <f>IF(HXW7=0,0,IF(MAX($F9:HXV9)=$D12,0,HXV9+1))</f>
        <v>0</v>
      </c>
      <c r="HXX9" s="26">
        <f>IF(HXX7=0,0,IF(MAX($F9:HXW9)=$D12,0,HXW9+1))</f>
        <v>0</v>
      </c>
      <c r="HXY9" s="26">
        <f>IF(HXY7=0,0,IF(MAX($F9:HXX9)=$D12,0,HXX9+1))</f>
        <v>0</v>
      </c>
      <c r="HXZ9" s="26">
        <f>IF(HXZ7=0,0,IF(MAX($F9:HXY9)=$D12,0,HXY9+1))</f>
        <v>0</v>
      </c>
      <c r="HYA9" s="26">
        <f>IF(HYA7=0,0,IF(MAX($F9:HXZ9)=$D12,0,HXZ9+1))</f>
        <v>0</v>
      </c>
      <c r="HYB9" s="26">
        <f>IF(HYB7=0,0,IF(MAX($F9:HYA9)=$D12,0,HYA9+1))</f>
        <v>0</v>
      </c>
      <c r="HYC9" s="26">
        <f>IF(HYC7=0,0,IF(MAX($F9:HYB9)=$D12,0,HYB9+1))</f>
        <v>0</v>
      </c>
      <c r="HYD9" s="26">
        <f>IF(HYD7=0,0,IF(MAX($F9:HYC9)=$D12,0,HYC9+1))</f>
        <v>0</v>
      </c>
      <c r="HYE9" s="26">
        <f>IF(HYE7=0,0,IF(MAX($F9:HYD9)=$D12,0,HYD9+1))</f>
        <v>0</v>
      </c>
      <c r="HYF9" s="26">
        <f>IF(HYF7=0,0,IF(MAX($F9:HYE9)=$D12,0,HYE9+1))</f>
        <v>0</v>
      </c>
      <c r="HYG9" s="26">
        <f>IF(HYG7=0,0,IF(MAX($F9:HYF9)=$D12,0,HYF9+1))</f>
        <v>0</v>
      </c>
      <c r="HYH9" s="26">
        <f>IF(HYH7=0,0,IF(MAX($F9:HYG9)=$D12,0,HYG9+1))</f>
        <v>0</v>
      </c>
      <c r="HYI9" s="26">
        <f>IF(HYI7=0,0,IF(MAX($F9:HYH9)=$D12,0,HYH9+1))</f>
        <v>0</v>
      </c>
      <c r="HYJ9" s="26">
        <f>IF(HYJ7=0,0,IF(MAX($F9:HYI9)=$D12,0,HYI9+1))</f>
        <v>0</v>
      </c>
      <c r="HYK9" s="26">
        <f>IF(HYK7=0,0,IF(MAX($F9:HYJ9)=$D12,0,HYJ9+1))</f>
        <v>0</v>
      </c>
      <c r="HYL9" s="26">
        <f>IF(HYL7=0,0,IF(MAX($F9:HYK9)=$D12,0,HYK9+1))</f>
        <v>0</v>
      </c>
      <c r="HYM9" s="26">
        <f>IF(HYM7=0,0,IF(MAX($F9:HYL9)=$D12,0,HYL9+1))</f>
        <v>0</v>
      </c>
      <c r="HYN9" s="26">
        <f>IF(HYN7=0,0,IF(MAX($F9:HYM9)=$D12,0,HYM9+1))</f>
        <v>0</v>
      </c>
      <c r="HYO9" s="26">
        <f>IF(HYO7=0,0,IF(MAX($F9:HYN9)=$D12,0,HYN9+1))</f>
        <v>0</v>
      </c>
      <c r="HYP9" s="26">
        <f>IF(HYP7=0,0,IF(MAX($F9:HYO9)=$D12,0,HYO9+1))</f>
        <v>0</v>
      </c>
      <c r="HYQ9" s="26">
        <f>IF(HYQ7=0,0,IF(MAX($F9:HYP9)=$D12,0,HYP9+1))</f>
        <v>0</v>
      </c>
      <c r="HYR9" s="26">
        <f>IF(HYR7=0,0,IF(MAX($F9:HYQ9)=$D12,0,HYQ9+1))</f>
        <v>0</v>
      </c>
      <c r="HYS9" s="26">
        <f>IF(HYS7=0,0,IF(MAX($F9:HYR9)=$D12,0,HYR9+1))</f>
        <v>0</v>
      </c>
      <c r="HYT9" s="26">
        <f>IF(HYT7=0,0,IF(MAX($F9:HYS9)=$D12,0,HYS9+1))</f>
        <v>0</v>
      </c>
      <c r="HYU9" s="26">
        <f>IF(HYU7=0,0,IF(MAX($F9:HYT9)=$D12,0,HYT9+1))</f>
        <v>0</v>
      </c>
      <c r="HYV9" s="26">
        <f>IF(HYV7=0,0,IF(MAX($F9:HYU9)=$D12,0,HYU9+1))</f>
        <v>0</v>
      </c>
      <c r="HYW9" s="26">
        <f>IF(HYW7=0,0,IF(MAX($F9:HYV9)=$D12,0,HYV9+1))</f>
        <v>0</v>
      </c>
      <c r="HYX9" s="26">
        <f>IF(HYX7=0,0,IF(MAX($F9:HYW9)=$D12,0,HYW9+1))</f>
        <v>0</v>
      </c>
      <c r="HYY9" s="26">
        <f>IF(HYY7=0,0,IF(MAX($F9:HYX9)=$D12,0,HYX9+1))</f>
        <v>0</v>
      </c>
      <c r="HYZ9" s="26">
        <f>IF(HYZ7=0,0,IF(MAX($F9:HYY9)=$D12,0,HYY9+1))</f>
        <v>0</v>
      </c>
      <c r="HZA9" s="26">
        <f>IF(HZA7=0,0,IF(MAX($F9:HYZ9)=$D12,0,HYZ9+1))</f>
        <v>0</v>
      </c>
      <c r="HZB9" s="26">
        <f>IF(HZB7=0,0,IF(MAX($F9:HZA9)=$D12,0,HZA9+1))</f>
        <v>0</v>
      </c>
      <c r="HZC9" s="26">
        <f>IF(HZC7=0,0,IF(MAX($F9:HZB9)=$D12,0,HZB9+1))</f>
        <v>0</v>
      </c>
      <c r="HZD9" s="26">
        <f>IF(HZD7=0,0,IF(MAX($F9:HZC9)=$D12,0,HZC9+1))</f>
        <v>0</v>
      </c>
      <c r="HZE9" s="26">
        <f>IF(HZE7=0,0,IF(MAX($F9:HZD9)=$D12,0,HZD9+1))</f>
        <v>0</v>
      </c>
      <c r="HZF9" s="26">
        <f>IF(HZF7=0,0,IF(MAX($F9:HZE9)=$D12,0,HZE9+1))</f>
        <v>0</v>
      </c>
      <c r="HZG9" s="26">
        <f>IF(HZG7=0,0,IF(MAX($F9:HZF9)=$D12,0,HZF9+1))</f>
        <v>0</v>
      </c>
      <c r="HZH9" s="26">
        <f>IF(HZH7=0,0,IF(MAX($F9:HZG9)=$D12,0,HZG9+1))</f>
        <v>0</v>
      </c>
      <c r="HZI9" s="26">
        <f>IF(HZI7=0,0,IF(MAX($F9:HZH9)=$D12,0,HZH9+1))</f>
        <v>0</v>
      </c>
      <c r="HZJ9" s="26">
        <f>IF(HZJ7=0,0,IF(MAX($F9:HZI9)=$D12,0,HZI9+1))</f>
        <v>0</v>
      </c>
      <c r="HZK9" s="26">
        <f>IF(HZK7=0,0,IF(MAX($F9:HZJ9)=$D12,0,HZJ9+1))</f>
        <v>0</v>
      </c>
      <c r="HZL9" s="26">
        <f>IF(HZL7=0,0,IF(MAX($F9:HZK9)=$D12,0,HZK9+1))</f>
        <v>0</v>
      </c>
      <c r="HZM9" s="26">
        <f>IF(HZM7=0,0,IF(MAX($F9:HZL9)=$D12,0,HZL9+1))</f>
        <v>0</v>
      </c>
      <c r="HZN9" s="26">
        <f>IF(HZN7=0,0,IF(MAX($F9:HZM9)=$D12,0,HZM9+1))</f>
        <v>0</v>
      </c>
      <c r="HZO9" s="26">
        <f>IF(HZO7=0,0,IF(MAX($F9:HZN9)=$D12,0,HZN9+1))</f>
        <v>0</v>
      </c>
      <c r="HZP9" s="26">
        <f>IF(HZP7=0,0,IF(MAX($F9:HZO9)=$D12,0,HZO9+1))</f>
        <v>0</v>
      </c>
      <c r="HZQ9" s="26">
        <f>IF(HZQ7=0,0,IF(MAX($F9:HZP9)=$D12,0,HZP9+1))</f>
        <v>0</v>
      </c>
      <c r="HZR9" s="26">
        <f>IF(HZR7=0,0,IF(MAX($F9:HZQ9)=$D12,0,HZQ9+1))</f>
        <v>0</v>
      </c>
      <c r="HZS9" s="26">
        <f>IF(HZS7=0,0,IF(MAX($F9:HZR9)=$D12,0,HZR9+1))</f>
        <v>0</v>
      </c>
      <c r="HZT9" s="26">
        <f>IF(HZT7=0,0,IF(MAX($F9:HZS9)=$D12,0,HZS9+1))</f>
        <v>0</v>
      </c>
      <c r="HZU9" s="26">
        <f>IF(HZU7=0,0,IF(MAX($F9:HZT9)=$D12,0,HZT9+1))</f>
        <v>0</v>
      </c>
      <c r="HZV9" s="26">
        <f>IF(HZV7=0,0,IF(MAX($F9:HZU9)=$D12,0,HZU9+1))</f>
        <v>0</v>
      </c>
      <c r="HZW9" s="26">
        <f>IF(HZW7=0,0,IF(MAX($F9:HZV9)=$D12,0,HZV9+1))</f>
        <v>0</v>
      </c>
      <c r="HZX9" s="26">
        <f>IF(HZX7=0,0,IF(MAX($F9:HZW9)=$D12,0,HZW9+1))</f>
        <v>0</v>
      </c>
      <c r="HZY9" s="26">
        <f>IF(HZY7=0,0,IF(MAX($F9:HZX9)=$D12,0,HZX9+1))</f>
        <v>0</v>
      </c>
      <c r="HZZ9" s="26">
        <f>IF(HZZ7=0,0,IF(MAX($F9:HZY9)=$D12,0,HZY9+1))</f>
        <v>0</v>
      </c>
      <c r="IAA9" s="26">
        <f>IF(IAA7=0,0,IF(MAX($F9:HZZ9)=$D12,0,HZZ9+1))</f>
        <v>0</v>
      </c>
      <c r="IAB9" s="26">
        <f>IF(IAB7=0,0,IF(MAX($F9:IAA9)=$D12,0,IAA9+1))</f>
        <v>0</v>
      </c>
      <c r="IAC9" s="26">
        <f>IF(IAC7=0,0,IF(MAX($F9:IAB9)=$D12,0,IAB9+1))</f>
        <v>0</v>
      </c>
      <c r="IAD9" s="26">
        <f>IF(IAD7=0,0,IF(MAX($F9:IAC9)=$D12,0,IAC9+1))</f>
        <v>0</v>
      </c>
      <c r="IAE9" s="26">
        <f>IF(IAE7=0,0,IF(MAX($F9:IAD9)=$D12,0,IAD9+1))</f>
        <v>0</v>
      </c>
      <c r="IAF9" s="26">
        <f>IF(IAF7=0,0,IF(MAX($F9:IAE9)=$D12,0,IAE9+1))</f>
        <v>0</v>
      </c>
      <c r="IAG9" s="26">
        <f>IF(IAG7=0,0,IF(MAX($F9:IAF9)=$D12,0,IAF9+1))</f>
        <v>0</v>
      </c>
      <c r="IAH9" s="26">
        <f>IF(IAH7=0,0,IF(MAX($F9:IAG9)=$D12,0,IAG9+1))</f>
        <v>0</v>
      </c>
      <c r="IAI9" s="26">
        <f>IF(IAI7=0,0,IF(MAX($F9:IAH9)=$D12,0,IAH9+1))</f>
        <v>0</v>
      </c>
      <c r="IAJ9" s="26">
        <f>IF(IAJ7=0,0,IF(MAX($F9:IAI9)=$D12,0,IAI9+1))</f>
        <v>0</v>
      </c>
      <c r="IAK9" s="26">
        <f>IF(IAK7=0,0,IF(MAX($F9:IAJ9)=$D12,0,IAJ9+1))</f>
        <v>0</v>
      </c>
      <c r="IAL9" s="26">
        <f>IF(IAL7=0,0,IF(MAX($F9:IAK9)=$D12,0,IAK9+1))</f>
        <v>0</v>
      </c>
      <c r="IAM9" s="26">
        <f>IF(IAM7=0,0,IF(MAX($F9:IAL9)=$D12,0,IAL9+1))</f>
        <v>0</v>
      </c>
      <c r="IAN9" s="26">
        <f>IF(IAN7=0,0,IF(MAX($F9:IAM9)=$D12,0,IAM9+1))</f>
        <v>0</v>
      </c>
      <c r="IAO9" s="26">
        <f>IF(IAO7=0,0,IF(MAX($F9:IAN9)=$D12,0,IAN9+1))</f>
        <v>0</v>
      </c>
      <c r="IAP9" s="26">
        <f>IF(IAP7=0,0,IF(MAX($F9:IAO9)=$D12,0,IAO9+1))</f>
        <v>0</v>
      </c>
      <c r="IAQ9" s="26">
        <f>IF(IAQ7=0,0,IF(MAX($F9:IAP9)=$D12,0,IAP9+1))</f>
        <v>0</v>
      </c>
      <c r="IAR9" s="26">
        <f>IF(IAR7=0,0,IF(MAX($F9:IAQ9)=$D12,0,IAQ9+1))</f>
        <v>0</v>
      </c>
      <c r="IAS9" s="26">
        <f>IF(IAS7=0,0,IF(MAX($F9:IAR9)=$D12,0,IAR9+1))</f>
        <v>0</v>
      </c>
      <c r="IAT9" s="26">
        <f>IF(IAT7=0,0,IF(MAX($F9:IAS9)=$D12,0,IAS9+1))</f>
        <v>0</v>
      </c>
      <c r="IAU9" s="26">
        <f>IF(IAU7=0,0,IF(MAX($F9:IAT9)=$D12,0,IAT9+1))</f>
        <v>0</v>
      </c>
      <c r="IAV9" s="26">
        <f>IF(IAV7=0,0,IF(MAX($F9:IAU9)=$D12,0,IAU9+1))</f>
        <v>0</v>
      </c>
      <c r="IAW9" s="26">
        <f>IF(IAW7=0,0,IF(MAX($F9:IAV9)=$D12,0,IAV9+1))</f>
        <v>0</v>
      </c>
      <c r="IAX9" s="26">
        <f>IF(IAX7=0,0,IF(MAX($F9:IAW9)=$D12,0,IAW9+1))</f>
        <v>0</v>
      </c>
      <c r="IAY9" s="26">
        <f>IF(IAY7=0,0,IF(MAX($F9:IAX9)=$D12,0,IAX9+1))</f>
        <v>0</v>
      </c>
      <c r="IAZ9" s="26">
        <f>IF(IAZ7=0,0,IF(MAX($F9:IAY9)=$D12,0,IAY9+1))</f>
        <v>0</v>
      </c>
      <c r="IBA9" s="26">
        <f>IF(IBA7=0,0,IF(MAX($F9:IAZ9)=$D12,0,IAZ9+1))</f>
        <v>0</v>
      </c>
      <c r="IBB9" s="26">
        <f>IF(IBB7=0,0,IF(MAX($F9:IBA9)=$D12,0,IBA9+1))</f>
        <v>0</v>
      </c>
      <c r="IBC9" s="26">
        <f>IF(IBC7=0,0,IF(MAX($F9:IBB9)=$D12,0,IBB9+1))</f>
        <v>0</v>
      </c>
      <c r="IBD9" s="26">
        <f>IF(IBD7=0,0,IF(MAX($F9:IBC9)=$D12,0,IBC9+1))</f>
        <v>0</v>
      </c>
      <c r="IBE9" s="26">
        <f>IF(IBE7=0,0,IF(MAX($F9:IBD9)=$D12,0,IBD9+1))</f>
        <v>0</v>
      </c>
      <c r="IBF9" s="26">
        <f>IF(IBF7=0,0,IF(MAX($F9:IBE9)=$D12,0,IBE9+1))</f>
        <v>0</v>
      </c>
      <c r="IBG9" s="26">
        <f>IF(IBG7=0,0,IF(MAX($F9:IBF9)=$D12,0,IBF9+1))</f>
        <v>0</v>
      </c>
      <c r="IBH9" s="26">
        <f>IF(IBH7=0,0,IF(MAX($F9:IBG9)=$D12,0,IBG9+1))</f>
        <v>0</v>
      </c>
      <c r="IBI9" s="26">
        <f>IF(IBI7=0,0,IF(MAX($F9:IBH9)=$D12,0,IBH9+1))</f>
        <v>0</v>
      </c>
      <c r="IBJ9" s="26">
        <f>IF(IBJ7=0,0,IF(MAX($F9:IBI9)=$D12,0,IBI9+1))</f>
        <v>0</v>
      </c>
      <c r="IBK9" s="26">
        <f>IF(IBK7=0,0,IF(MAX($F9:IBJ9)=$D12,0,IBJ9+1))</f>
        <v>0</v>
      </c>
      <c r="IBL9" s="26">
        <f>IF(IBL7=0,0,IF(MAX($F9:IBK9)=$D12,0,IBK9+1))</f>
        <v>0</v>
      </c>
      <c r="IBM9" s="26">
        <f>IF(IBM7=0,0,IF(MAX($F9:IBL9)=$D12,0,IBL9+1))</f>
        <v>0</v>
      </c>
      <c r="IBN9" s="26">
        <f>IF(IBN7=0,0,IF(MAX($F9:IBM9)=$D12,0,IBM9+1))</f>
        <v>0</v>
      </c>
      <c r="IBO9" s="26">
        <f>IF(IBO7=0,0,IF(MAX($F9:IBN9)=$D12,0,IBN9+1))</f>
        <v>0</v>
      </c>
      <c r="IBP9" s="26">
        <f>IF(IBP7=0,0,IF(MAX($F9:IBO9)=$D12,0,IBO9+1))</f>
        <v>0</v>
      </c>
      <c r="IBQ9" s="26">
        <f>IF(IBQ7=0,0,IF(MAX($F9:IBP9)=$D12,0,IBP9+1))</f>
        <v>0</v>
      </c>
      <c r="IBR9" s="26">
        <f>IF(IBR7=0,0,IF(MAX($F9:IBQ9)=$D12,0,IBQ9+1))</f>
        <v>0</v>
      </c>
      <c r="IBS9" s="26">
        <f>IF(IBS7=0,0,IF(MAX($F9:IBR9)=$D12,0,IBR9+1))</f>
        <v>0</v>
      </c>
      <c r="IBT9" s="26">
        <f>IF(IBT7=0,0,IF(MAX($F9:IBS9)=$D12,0,IBS9+1))</f>
        <v>0</v>
      </c>
      <c r="IBU9" s="26">
        <f>IF(IBU7=0,0,IF(MAX($F9:IBT9)=$D12,0,IBT9+1))</f>
        <v>0</v>
      </c>
      <c r="IBV9" s="26">
        <f>IF(IBV7=0,0,IF(MAX($F9:IBU9)=$D12,0,IBU9+1))</f>
        <v>0</v>
      </c>
      <c r="IBW9" s="26">
        <f>IF(IBW7=0,0,IF(MAX($F9:IBV9)=$D12,0,IBV9+1))</f>
        <v>0</v>
      </c>
      <c r="IBX9" s="26">
        <f>IF(IBX7=0,0,IF(MAX($F9:IBW9)=$D12,0,IBW9+1))</f>
        <v>0</v>
      </c>
      <c r="IBY9" s="26">
        <f>IF(IBY7=0,0,IF(MAX($F9:IBX9)=$D12,0,IBX9+1))</f>
        <v>0</v>
      </c>
      <c r="IBZ9" s="26">
        <f>IF(IBZ7=0,0,IF(MAX($F9:IBY9)=$D12,0,IBY9+1))</f>
        <v>0</v>
      </c>
      <c r="ICA9" s="26">
        <f>IF(ICA7=0,0,IF(MAX($F9:IBZ9)=$D12,0,IBZ9+1))</f>
        <v>0</v>
      </c>
      <c r="ICB9" s="26">
        <f>IF(ICB7=0,0,IF(MAX($F9:ICA9)=$D12,0,ICA9+1))</f>
        <v>0</v>
      </c>
      <c r="ICC9" s="26">
        <f>IF(ICC7=0,0,IF(MAX($F9:ICB9)=$D12,0,ICB9+1))</f>
        <v>0</v>
      </c>
      <c r="ICD9" s="26">
        <f>IF(ICD7=0,0,IF(MAX($F9:ICC9)=$D12,0,ICC9+1))</f>
        <v>0</v>
      </c>
      <c r="ICE9" s="26">
        <f>IF(ICE7=0,0,IF(MAX($F9:ICD9)=$D12,0,ICD9+1))</f>
        <v>0</v>
      </c>
      <c r="ICF9" s="26">
        <f>IF(ICF7=0,0,IF(MAX($F9:ICE9)=$D12,0,ICE9+1))</f>
        <v>0</v>
      </c>
      <c r="ICG9" s="26">
        <f>IF(ICG7=0,0,IF(MAX($F9:ICF9)=$D12,0,ICF9+1))</f>
        <v>0</v>
      </c>
      <c r="ICH9" s="26">
        <f>IF(ICH7=0,0,IF(MAX($F9:ICG9)=$D12,0,ICG9+1))</f>
        <v>0</v>
      </c>
      <c r="ICI9" s="26">
        <f>IF(ICI7=0,0,IF(MAX($F9:ICH9)=$D12,0,ICH9+1))</f>
        <v>0</v>
      </c>
      <c r="ICJ9" s="26">
        <f>IF(ICJ7=0,0,IF(MAX($F9:ICI9)=$D12,0,ICI9+1))</f>
        <v>0</v>
      </c>
      <c r="ICK9" s="26">
        <f>IF(ICK7=0,0,IF(MAX($F9:ICJ9)=$D12,0,ICJ9+1))</f>
        <v>0</v>
      </c>
      <c r="ICL9" s="26">
        <f>IF(ICL7=0,0,IF(MAX($F9:ICK9)=$D12,0,ICK9+1))</f>
        <v>0</v>
      </c>
      <c r="ICM9" s="26">
        <f>IF(ICM7=0,0,IF(MAX($F9:ICL9)=$D12,0,ICL9+1))</f>
        <v>0</v>
      </c>
      <c r="ICN9" s="26">
        <f>IF(ICN7=0,0,IF(MAX($F9:ICM9)=$D12,0,ICM9+1))</f>
        <v>0</v>
      </c>
      <c r="ICO9" s="26">
        <f>IF(ICO7=0,0,IF(MAX($F9:ICN9)=$D12,0,ICN9+1))</f>
        <v>0</v>
      </c>
      <c r="ICP9" s="26">
        <f>IF(ICP7=0,0,IF(MAX($F9:ICO9)=$D12,0,ICO9+1))</f>
        <v>0</v>
      </c>
      <c r="ICQ9" s="26">
        <f>IF(ICQ7=0,0,IF(MAX($F9:ICP9)=$D12,0,ICP9+1))</f>
        <v>0</v>
      </c>
      <c r="ICR9" s="26">
        <f>IF(ICR7=0,0,IF(MAX($F9:ICQ9)=$D12,0,ICQ9+1))</f>
        <v>0</v>
      </c>
      <c r="ICS9" s="26">
        <f>IF(ICS7=0,0,IF(MAX($F9:ICR9)=$D12,0,ICR9+1))</f>
        <v>0</v>
      </c>
      <c r="ICT9" s="26">
        <f>IF(ICT7=0,0,IF(MAX($F9:ICS9)=$D12,0,ICS9+1))</f>
        <v>0</v>
      </c>
      <c r="ICU9" s="26">
        <f>IF(ICU7=0,0,IF(MAX($F9:ICT9)=$D12,0,ICT9+1))</f>
        <v>0</v>
      </c>
      <c r="ICV9" s="26">
        <f>IF(ICV7=0,0,IF(MAX($F9:ICU9)=$D12,0,ICU9+1))</f>
        <v>0</v>
      </c>
      <c r="ICW9" s="26">
        <f>IF(ICW7=0,0,IF(MAX($F9:ICV9)=$D12,0,ICV9+1))</f>
        <v>0</v>
      </c>
      <c r="ICX9" s="26">
        <f>IF(ICX7=0,0,IF(MAX($F9:ICW9)=$D12,0,ICW9+1))</f>
        <v>0</v>
      </c>
      <c r="ICY9" s="26">
        <f>IF(ICY7=0,0,IF(MAX($F9:ICX9)=$D12,0,ICX9+1))</f>
        <v>0</v>
      </c>
      <c r="ICZ9" s="26">
        <f>IF(ICZ7=0,0,IF(MAX($F9:ICY9)=$D12,0,ICY9+1))</f>
        <v>0</v>
      </c>
      <c r="IDA9" s="26">
        <f>IF(IDA7=0,0,IF(MAX($F9:ICZ9)=$D12,0,ICZ9+1))</f>
        <v>0</v>
      </c>
      <c r="IDB9" s="26">
        <f>IF(IDB7=0,0,IF(MAX($F9:IDA9)=$D12,0,IDA9+1))</f>
        <v>0</v>
      </c>
      <c r="IDC9" s="26">
        <f>IF(IDC7=0,0,IF(MAX($F9:IDB9)=$D12,0,IDB9+1))</f>
        <v>0</v>
      </c>
      <c r="IDD9" s="26">
        <f>IF(IDD7=0,0,IF(MAX($F9:IDC9)=$D12,0,IDC9+1))</f>
        <v>0</v>
      </c>
      <c r="IDE9" s="26">
        <f>IF(IDE7=0,0,IF(MAX($F9:IDD9)=$D12,0,IDD9+1))</f>
        <v>0</v>
      </c>
      <c r="IDF9" s="26">
        <f>IF(IDF7=0,0,IF(MAX($F9:IDE9)=$D12,0,IDE9+1))</f>
        <v>0</v>
      </c>
      <c r="IDG9" s="26">
        <f>IF(IDG7=0,0,IF(MAX($F9:IDF9)=$D12,0,IDF9+1))</f>
        <v>0</v>
      </c>
      <c r="IDH9" s="26">
        <f>IF(IDH7=0,0,IF(MAX($F9:IDG9)=$D12,0,IDG9+1))</f>
        <v>0</v>
      </c>
      <c r="IDI9" s="26">
        <f>IF(IDI7=0,0,IF(MAX($F9:IDH9)=$D12,0,IDH9+1))</f>
        <v>0</v>
      </c>
      <c r="IDJ9" s="26">
        <f>IF(IDJ7=0,0,IF(MAX($F9:IDI9)=$D12,0,IDI9+1))</f>
        <v>0</v>
      </c>
      <c r="IDK9" s="26">
        <f>IF(IDK7=0,0,IF(MAX($F9:IDJ9)=$D12,0,IDJ9+1))</f>
        <v>0</v>
      </c>
      <c r="IDL9" s="26">
        <f>IF(IDL7=0,0,IF(MAX($F9:IDK9)=$D12,0,IDK9+1))</f>
        <v>0</v>
      </c>
      <c r="IDM9" s="26">
        <f>IF(IDM7=0,0,IF(MAX($F9:IDL9)=$D12,0,IDL9+1))</f>
        <v>0</v>
      </c>
      <c r="IDN9" s="26">
        <f>IF(IDN7=0,0,IF(MAX($F9:IDM9)=$D12,0,IDM9+1))</f>
        <v>0</v>
      </c>
      <c r="IDO9" s="26">
        <f>IF(IDO7=0,0,IF(MAX($F9:IDN9)=$D12,0,IDN9+1))</f>
        <v>0</v>
      </c>
      <c r="IDP9" s="26">
        <f>IF(IDP7=0,0,IF(MAX($F9:IDO9)=$D12,0,IDO9+1))</f>
        <v>0</v>
      </c>
      <c r="IDQ9" s="26">
        <f>IF(IDQ7=0,0,IF(MAX($F9:IDP9)=$D12,0,IDP9+1))</f>
        <v>0</v>
      </c>
      <c r="IDR9" s="26">
        <f>IF(IDR7=0,0,IF(MAX($F9:IDQ9)=$D12,0,IDQ9+1))</f>
        <v>0</v>
      </c>
      <c r="IDS9" s="26">
        <f>IF(IDS7=0,0,IF(MAX($F9:IDR9)=$D12,0,IDR9+1))</f>
        <v>0</v>
      </c>
      <c r="IDT9" s="26">
        <f>IF(IDT7=0,0,IF(MAX($F9:IDS9)=$D12,0,IDS9+1))</f>
        <v>0</v>
      </c>
      <c r="IDU9" s="26">
        <f>IF(IDU7=0,0,IF(MAX($F9:IDT9)=$D12,0,IDT9+1))</f>
        <v>0</v>
      </c>
      <c r="IDV9" s="26">
        <f>IF(IDV7=0,0,IF(MAX($F9:IDU9)=$D12,0,IDU9+1))</f>
        <v>0</v>
      </c>
      <c r="IDW9" s="26">
        <f>IF(IDW7=0,0,IF(MAX($F9:IDV9)=$D12,0,IDV9+1))</f>
        <v>0</v>
      </c>
      <c r="IDX9" s="26">
        <f>IF(IDX7=0,0,IF(MAX($F9:IDW9)=$D12,0,IDW9+1))</f>
        <v>0</v>
      </c>
      <c r="IDY9" s="26">
        <f>IF(IDY7=0,0,IF(MAX($F9:IDX9)=$D12,0,IDX9+1))</f>
        <v>0</v>
      </c>
      <c r="IDZ9" s="26">
        <f>IF(IDZ7=0,0,IF(MAX($F9:IDY9)=$D12,0,IDY9+1))</f>
        <v>0</v>
      </c>
      <c r="IEA9" s="26">
        <f>IF(IEA7=0,0,IF(MAX($F9:IDZ9)=$D12,0,IDZ9+1))</f>
        <v>0</v>
      </c>
      <c r="IEB9" s="26">
        <f>IF(IEB7=0,0,IF(MAX($F9:IEA9)=$D12,0,IEA9+1))</f>
        <v>0</v>
      </c>
      <c r="IEC9" s="26">
        <f>IF(IEC7=0,0,IF(MAX($F9:IEB9)=$D12,0,IEB9+1))</f>
        <v>0</v>
      </c>
      <c r="IED9" s="26">
        <f>IF(IED7=0,0,IF(MAX($F9:IEC9)=$D12,0,IEC9+1))</f>
        <v>0</v>
      </c>
      <c r="IEE9" s="26">
        <f>IF(IEE7=0,0,IF(MAX($F9:IED9)=$D12,0,IED9+1))</f>
        <v>0</v>
      </c>
      <c r="IEF9" s="26">
        <f>IF(IEF7=0,0,IF(MAX($F9:IEE9)=$D12,0,IEE9+1))</f>
        <v>0</v>
      </c>
      <c r="IEG9" s="26">
        <f>IF(IEG7=0,0,IF(MAX($F9:IEF9)=$D12,0,IEF9+1))</f>
        <v>0</v>
      </c>
      <c r="IEH9" s="26">
        <f>IF(IEH7=0,0,IF(MAX($F9:IEG9)=$D12,0,IEG9+1))</f>
        <v>0</v>
      </c>
      <c r="IEI9" s="26">
        <f>IF(IEI7=0,0,IF(MAX($F9:IEH9)=$D12,0,IEH9+1))</f>
        <v>0</v>
      </c>
      <c r="IEJ9" s="26">
        <f>IF(IEJ7=0,0,IF(MAX($F9:IEI9)=$D12,0,IEI9+1))</f>
        <v>0</v>
      </c>
      <c r="IEK9" s="26">
        <f>IF(IEK7=0,0,IF(MAX($F9:IEJ9)=$D12,0,IEJ9+1))</f>
        <v>0</v>
      </c>
      <c r="IEL9" s="26">
        <f>IF(IEL7=0,0,IF(MAX($F9:IEK9)=$D12,0,IEK9+1))</f>
        <v>0</v>
      </c>
      <c r="IEM9" s="26">
        <f>IF(IEM7=0,0,IF(MAX($F9:IEL9)=$D12,0,IEL9+1))</f>
        <v>0</v>
      </c>
      <c r="IEN9" s="26">
        <f>IF(IEN7=0,0,IF(MAX($F9:IEM9)=$D12,0,IEM9+1))</f>
        <v>0</v>
      </c>
      <c r="IEO9" s="26">
        <f>IF(IEO7=0,0,IF(MAX($F9:IEN9)=$D12,0,IEN9+1))</f>
        <v>0</v>
      </c>
      <c r="IEP9" s="26">
        <f>IF(IEP7=0,0,IF(MAX($F9:IEO9)=$D12,0,IEO9+1))</f>
        <v>0</v>
      </c>
      <c r="IEQ9" s="26">
        <f>IF(IEQ7=0,0,IF(MAX($F9:IEP9)=$D12,0,IEP9+1))</f>
        <v>0</v>
      </c>
      <c r="IER9" s="26">
        <f>IF(IER7=0,0,IF(MAX($F9:IEQ9)=$D12,0,IEQ9+1))</f>
        <v>0</v>
      </c>
      <c r="IES9" s="26">
        <f>IF(IES7=0,0,IF(MAX($F9:IER9)=$D12,0,IER9+1))</f>
        <v>0</v>
      </c>
      <c r="IET9" s="26">
        <f>IF(IET7=0,0,IF(MAX($F9:IES9)=$D12,0,IES9+1))</f>
        <v>0</v>
      </c>
      <c r="IEU9" s="26">
        <f>IF(IEU7=0,0,IF(MAX($F9:IET9)=$D12,0,IET9+1))</f>
        <v>0</v>
      </c>
      <c r="IEV9" s="26">
        <f>IF(IEV7=0,0,IF(MAX($F9:IEU9)=$D12,0,IEU9+1))</f>
        <v>0</v>
      </c>
      <c r="IEW9" s="26">
        <f>IF(IEW7=0,0,IF(MAX($F9:IEV9)=$D12,0,IEV9+1))</f>
        <v>0</v>
      </c>
      <c r="IEX9" s="26">
        <f>IF(IEX7=0,0,IF(MAX($F9:IEW9)=$D12,0,IEW9+1))</f>
        <v>0</v>
      </c>
      <c r="IEY9" s="26">
        <f>IF(IEY7=0,0,IF(MAX($F9:IEX9)=$D12,0,IEX9+1))</f>
        <v>0</v>
      </c>
      <c r="IEZ9" s="26">
        <f>IF(IEZ7=0,0,IF(MAX($F9:IEY9)=$D12,0,IEY9+1))</f>
        <v>0</v>
      </c>
      <c r="IFA9" s="26">
        <f>IF(IFA7=0,0,IF(MAX($F9:IEZ9)=$D12,0,IEZ9+1))</f>
        <v>0</v>
      </c>
      <c r="IFB9" s="26">
        <f>IF(IFB7=0,0,IF(MAX($F9:IFA9)=$D12,0,IFA9+1))</f>
        <v>0</v>
      </c>
      <c r="IFC9" s="26">
        <f>IF(IFC7=0,0,IF(MAX($F9:IFB9)=$D12,0,IFB9+1))</f>
        <v>0</v>
      </c>
      <c r="IFD9" s="26">
        <f>IF(IFD7=0,0,IF(MAX($F9:IFC9)=$D12,0,IFC9+1))</f>
        <v>0</v>
      </c>
      <c r="IFE9" s="26">
        <f>IF(IFE7=0,0,IF(MAX($F9:IFD9)=$D12,0,IFD9+1))</f>
        <v>0</v>
      </c>
      <c r="IFF9" s="26">
        <f>IF(IFF7=0,0,IF(MAX($F9:IFE9)=$D12,0,IFE9+1))</f>
        <v>0</v>
      </c>
      <c r="IFG9" s="26">
        <f>IF(IFG7=0,0,IF(MAX($F9:IFF9)=$D12,0,IFF9+1))</f>
        <v>0</v>
      </c>
      <c r="IFH9" s="26">
        <f>IF(IFH7=0,0,IF(MAX($F9:IFG9)=$D12,0,IFG9+1))</f>
        <v>0</v>
      </c>
      <c r="IFI9" s="26">
        <f>IF(IFI7=0,0,IF(MAX($F9:IFH9)=$D12,0,IFH9+1))</f>
        <v>0</v>
      </c>
      <c r="IFJ9" s="26">
        <f>IF(IFJ7=0,0,IF(MAX($F9:IFI9)=$D12,0,IFI9+1))</f>
        <v>0</v>
      </c>
      <c r="IFK9" s="26">
        <f>IF(IFK7=0,0,IF(MAX($F9:IFJ9)=$D12,0,IFJ9+1))</f>
        <v>0</v>
      </c>
      <c r="IFL9" s="26">
        <f>IF(IFL7=0,0,IF(MAX($F9:IFK9)=$D12,0,IFK9+1))</f>
        <v>0</v>
      </c>
      <c r="IFM9" s="26">
        <f>IF(IFM7=0,0,IF(MAX($F9:IFL9)=$D12,0,IFL9+1))</f>
        <v>0</v>
      </c>
      <c r="IFN9" s="26">
        <f>IF(IFN7=0,0,IF(MAX($F9:IFM9)=$D12,0,IFM9+1))</f>
        <v>0</v>
      </c>
      <c r="IFO9" s="26">
        <f>IF(IFO7=0,0,IF(MAX($F9:IFN9)=$D12,0,IFN9+1))</f>
        <v>0</v>
      </c>
      <c r="IFP9" s="26">
        <f>IF(IFP7=0,0,IF(MAX($F9:IFO9)=$D12,0,IFO9+1))</f>
        <v>0</v>
      </c>
      <c r="IFQ9" s="26">
        <f>IF(IFQ7=0,0,IF(MAX($F9:IFP9)=$D12,0,IFP9+1))</f>
        <v>0</v>
      </c>
      <c r="IFR9" s="26">
        <f>IF(IFR7=0,0,IF(MAX($F9:IFQ9)=$D12,0,IFQ9+1))</f>
        <v>0</v>
      </c>
      <c r="IFS9" s="26">
        <f>IF(IFS7=0,0,IF(MAX($F9:IFR9)=$D12,0,IFR9+1))</f>
        <v>0</v>
      </c>
      <c r="IFT9" s="26">
        <f>IF(IFT7=0,0,IF(MAX($F9:IFS9)=$D12,0,IFS9+1))</f>
        <v>0</v>
      </c>
      <c r="IFU9" s="26">
        <f>IF(IFU7=0,0,IF(MAX($F9:IFT9)=$D12,0,IFT9+1))</f>
        <v>0</v>
      </c>
      <c r="IFV9" s="26">
        <f>IF(IFV7=0,0,IF(MAX($F9:IFU9)=$D12,0,IFU9+1))</f>
        <v>0</v>
      </c>
      <c r="IFW9" s="26">
        <f>IF(IFW7=0,0,IF(MAX($F9:IFV9)=$D12,0,IFV9+1))</f>
        <v>0</v>
      </c>
      <c r="IFX9" s="26">
        <f>IF(IFX7=0,0,IF(MAX($F9:IFW9)=$D12,0,IFW9+1))</f>
        <v>0</v>
      </c>
      <c r="IFY9" s="26">
        <f>IF(IFY7=0,0,IF(MAX($F9:IFX9)=$D12,0,IFX9+1))</f>
        <v>0</v>
      </c>
      <c r="IFZ9" s="26">
        <f>IF(IFZ7=0,0,IF(MAX($F9:IFY9)=$D12,0,IFY9+1))</f>
        <v>0</v>
      </c>
      <c r="IGA9" s="26">
        <f>IF(IGA7=0,0,IF(MAX($F9:IFZ9)=$D12,0,IFZ9+1))</f>
        <v>0</v>
      </c>
      <c r="IGB9" s="26">
        <f>IF(IGB7=0,0,IF(MAX($F9:IGA9)=$D12,0,IGA9+1))</f>
        <v>0</v>
      </c>
      <c r="IGC9" s="26">
        <f>IF(IGC7=0,0,IF(MAX($F9:IGB9)=$D12,0,IGB9+1))</f>
        <v>0</v>
      </c>
      <c r="IGD9" s="26">
        <f>IF(IGD7=0,0,IF(MAX($F9:IGC9)=$D12,0,IGC9+1))</f>
        <v>0</v>
      </c>
      <c r="IGE9" s="26">
        <f>IF(IGE7=0,0,IF(MAX($F9:IGD9)=$D12,0,IGD9+1))</f>
        <v>0</v>
      </c>
      <c r="IGF9" s="26">
        <f>IF(IGF7=0,0,IF(MAX($F9:IGE9)=$D12,0,IGE9+1))</f>
        <v>0</v>
      </c>
      <c r="IGG9" s="26">
        <f>IF(IGG7=0,0,IF(MAX($F9:IGF9)=$D12,0,IGF9+1))</f>
        <v>0</v>
      </c>
      <c r="IGH9" s="26">
        <f>IF(IGH7=0,0,IF(MAX($F9:IGG9)=$D12,0,IGG9+1))</f>
        <v>0</v>
      </c>
      <c r="IGI9" s="26">
        <f>IF(IGI7=0,0,IF(MAX($F9:IGH9)=$D12,0,IGH9+1))</f>
        <v>0</v>
      </c>
      <c r="IGJ9" s="26">
        <f>IF(IGJ7=0,0,IF(MAX($F9:IGI9)=$D12,0,IGI9+1))</f>
        <v>0</v>
      </c>
      <c r="IGK9" s="26">
        <f>IF(IGK7=0,0,IF(MAX($F9:IGJ9)=$D12,0,IGJ9+1))</f>
        <v>0</v>
      </c>
      <c r="IGL9" s="26">
        <f>IF(IGL7=0,0,IF(MAX($F9:IGK9)=$D12,0,IGK9+1))</f>
        <v>0</v>
      </c>
      <c r="IGM9" s="26">
        <f>IF(IGM7=0,0,IF(MAX($F9:IGL9)=$D12,0,IGL9+1))</f>
        <v>0</v>
      </c>
      <c r="IGN9" s="26">
        <f>IF(IGN7=0,0,IF(MAX($F9:IGM9)=$D12,0,IGM9+1))</f>
        <v>0</v>
      </c>
      <c r="IGO9" s="26">
        <f>IF(IGO7=0,0,IF(MAX($F9:IGN9)=$D12,0,IGN9+1))</f>
        <v>0</v>
      </c>
      <c r="IGP9" s="26">
        <f>IF(IGP7=0,0,IF(MAX($F9:IGO9)=$D12,0,IGO9+1))</f>
        <v>0</v>
      </c>
      <c r="IGQ9" s="26">
        <f>IF(IGQ7=0,0,IF(MAX($F9:IGP9)=$D12,0,IGP9+1))</f>
        <v>0</v>
      </c>
      <c r="IGR9" s="26">
        <f>IF(IGR7=0,0,IF(MAX($F9:IGQ9)=$D12,0,IGQ9+1))</f>
        <v>0</v>
      </c>
      <c r="IGS9" s="26">
        <f>IF(IGS7=0,0,IF(MAX($F9:IGR9)=$D12,0,IGR9+1))</f>
        <v>0</v>
      </c>
      <c r="IGT9" s="26">
        <f>IF(IGT7=0,0,IF(MAX($F9:IGS9)=$D12,0,IGS9+1))</f>
        <v>0</v>
      </c>
      <c r="IGU9" s="26">
        <f>IF(IGU7=0,0,IF(MAX($F9:IGT9)=$D12,0,IGT9+1))</f>
        <v>0</v>
      </c>
      <c r="IGV9" s="26">
        <f>IF(IGV7=0,0,IF(MAX($F9:IGU9)=$D12,0,IGU9+1))</f>
        <v>0</v>
      </c>
      <c r="IGW9" s="26">
        <f>IF(IGW7=0,0,IF(MAX($F9:IGV9)=$D12,0,IGV9+1))</f>
        <v>0</v>
      </c>
      <c r="IGX9" s="26">
        <f>IF(IGX7=0,0,IF(MAX($F9:IGW9)=$D12,0,IGW9+1))</f>
        <v>0</v>
      </c>
      <c r="IGY9" s="26">
        <f>IF(IGY7=0,0,IF(MAX($F9:IGX9)=$D12,0,IGX9+1))</f>
        <v>0</v>
      </c>
      <c r="IGZ9" s="26">
        <f>IF(IGZ7=0,0,IF(MAX($F9:IGY9)=$D12,0,IGY9+1))</f>
        <v>0</v>
      </c>
      <c r="IHA9" s="26">
        <f>IF(IHA7=0,0,IF(MAX($F9:IGZ9)=$D12,0,IGZ9+1))</f>
        <v>0</v>
      </c>
      <c r="IHB9" s="26">
        <f>IF(IHB7=0,0,IF(MAX($F9:IHA9)=$D12,0,IHA9+1))</f>
        <v>0</v>
      </c>
      <c r="IHC9" s="26">
        <f>IF(IHC7=0,0,IF(MAX($F9:IHB9)=$D12,0,IHB9+1))</f>
        <v>0</v>
      </c>
      <c r="IHD9" s="26">
        <f>IF(IHD7=0,0,IF(MAX($F9:IHC9)=$D12,0,IHC9+1))</f>
        <v>0</v>
      </c>
      <c r="IHE9" s="26">
        <f>IF(IHE7=0,0,IF(MAX($F9:IHD9)=$D12,0,IHD9+1))</f>
        <v>0</v>
      </c>
      <c r="IHF9" s="26">
        <f>IF(IHF7=0,0,IF(MAX($F9:IHE9)=$D12,0,IHE9+1))</f>
        <v>0</v>
      </c>
      <c r="IHG9" s="26">
        <f>IF(IHG7=0,0,IF(MAX($F9:IHF9)=$D12,0,IHF9+1))</f>
        <v>0</v>
      </c>
      <c r="IHH9" s="26">
        <f>IF(IHH7=0,0,IF(MAX($F9:IHG9)=$D12,0,IHG9+1))</f>
        <v>0</v>
      </c>
      <c r="IHI9" s="26">
        <f>IF(IHI7=0,0,IF(MAX($F9:IHH9)=$D12,0,IHH9+1))</f>
        <v>0</v>
      </c>
      <c r="IHJ9" s="26">
        <f>IF(IHJ7=0,0,IF(MAX($F9:IHI9)=$D12,0,IHI9+1))</f>
        <v>0</v>
      </c>
      <c r="IHK9" s="26">
        <f>IF(IHK7=0,0,IF(MAX($F9:IHJ9)=$D12,0,IHJ9+1))</f>
        <v>0</v>
      </c>
      <c r="IHL9" s="26">
        <f>IF(IHL7=0,0,IF(MAX($F9:IHK9)=$D12,0,IHK9+1))</f>
        <v>0</v>
      </c>
      <c r="IHM9" s="26">
        <f>IF(IHM7=0,0,IF(MAX($F9:IHL9)=$D12,0,IHL9+1))</f>
        <v>0</v>
      </c>
      <c r="IHN9" s="26">
        <f>IF(IHN7=0,0,IF(MAX($F9:IHM9)=$D12,0,IHM9+1))</f>
        <v>0</v>
      </c>
      <c r="IHO9" s="26">
        <f>IF(IHO7=0,0,IF(MAX($F9:IHN9)=$D12,0,IHN9+1))</f>
        <v>0</v>
      </c>
      <c r="IHP9" s="26">
        <f>IF(IHP7=0,0,IF(MAX($F9:IHO9)=$D12,0,IHO9+1))</f>
        <v>0</v>
      </c>
      <c r="IHQ9" s="26">
        <f>IF(IHQ7=0,0,IF(MAX($F9:IHP9)=$D12,0,IHP9+1))</f>
        <v>0</v>
      </c>
      <c r="IHR9" s="26">
        <f>IF(IHR7=0,0,IF(MAX($F9:IHQ9)=$D12,0,IHQ9+1))</f>
        <v>0</v>
      </c>
      <c r="IHS9" s="26">
        <f>IF(IHS7=0,0,IF(MAX($F9:IHR9)=$D12,0,IHR9+1))</f>
        <v>0</v>
      </c>
      <c r="IHT9" s="26">
        <f>IF(IHT7=0,0,IF(MAX($F9:IHS9)=$D12,0,IHS9+1))</f>
        <v>0</v>
      </c>
      <c r="IHU9" s="26">
        <f>IF(IHU7=0,0,IF(MAX($F9:IHT9)=$D12,0,IHT9+1))</f>
        <v>0</v>
      </c>
      <c r="IHV9" s="26">
        <f>IF(IHV7=0,0,IF(MAX($F9:IHU9)=$D12,0,IHU9+1))</f>
        <v>0</v>
      </c>
      <c r="IHW9" s="26">
        <f>IF(IHW7=0,0,IF(MAX($F9:IHV9)=$D12,0,IHV9+1))</f>
        <v>0</v>
      </c>
      <c r="IHX9" s="26">
        <f>IF(IHX7=0,0,IF(MAX($F9:IHW9)=$D12,0,IHW9+1))</f>
        <v>0</v>
      </c>
      <c r="IHY9" s="26">
        <f>IF(IHY7=0,0,IF(MAX($F9:IHX9)=$D12,0,IHX9+1))</f>
        <v>0</v>
      </c>
      <c r="IHZ9" s="26">
        <f>IF(IHZ7=0,0,IF(MAX($F9:IHY9)=$D12,0,IHY9+1))</f>
        <v>0</v>
      </c>
      <c r="IIA9" s="26">
        <f>IF(IIA7=0,0,IF(MAX($F9:IHZ9)=$D12,0,IHZ9+1))</f>
        <v>0</v>
      </c>
      <c r="IIB9" s="26">
        <f>IF(IIB7=0,0,IF(MAX($F9:IIA9)=$D12,0,IIA9+1))</f>
        <v>0</v>
      </c>
      <c r="IIC9" s="26">
        <f>IF(IIC7=0,0,IF(MAX($F9:IIB9)=$D12,0,IIB9+1))</f>
        <v>0</v>
      </c>
      <c r="IID9" s="26">
        <f>IF(IID7=0,0,IF(MAX($F9:IIC9)=$D12,0,IIC9+1))</f>
        <v>0</v>
      </c>
      <c r="IIE9" s="26">
        <f>IF(IIE7=0,0,IF(MAX($F9:IID9)=$D12,0,IID9+1))</f>
        <v>0</v>
      </c>
      <c r="IIF9" s="26">
        <f>IF(IIF7=0,0,IF(MAX($F9:IIE9)=$D12,0,IIE9+1))</f>
        <v>0</v>
      </c>
      <c r="IIG9" s="26">
        <f>IF(IIG7=0,0,IF(MAX($F9:IIF9)=$D12,0,IIF9+1))</f>
        <v>0</v>
      </c>
      <c r="IIH9" s="26">
        <f>IF(IIH7=0,0,IF(MAX($F9:IIG9)=$D12,0,IIG9+1))</f>
        <v>0</v>
      </c>
      <c r="III9" s="26">
        <f>IF(III7=0,0,IF(MAX($F9:IIH9)=$D12,0,IIH9+1))</f>
        <v>0</v>
      </c>
      <c r="IIJ9" s="26">
        <f>IF(IIJ7=0,0,IF(MAX($F9:III9)=$D12,0,III9+1))</f>
        <v>0</v>
      </c>
      <c r="IIK9" s="26">
        <f>IF(IIK7=0,0,IF(MAX($F9:IIJ9)=$D12,0,IIJ9+1))</f>
        <v>0</v>
      </c>
      <c r="IIL9" s="26">
        <f>IF(IIL7=0,0,IF(MAX($F9:IIK9)=$D12,0,IIK9+1))</f>
        <v>0</v>
      </c>
      <c r="IIM9" s="26">
        <f>IF(IIM7=0,0,IF(MAX($F9:IIL9)=$D12,0,IIL9+1))</f>
        <v>0</v>
      </c>
      <c r="IIN9" s="26">
        <f>IF(IIN7=0,0,IF(MAX($F9:IIM9)=$D12,0,IIM9+1))</f>
        <v>0</v>
      </c>
      <c r="IIO9" s="26">
        <f>IF(IIO7=0,0,IF(MAX($F9:IIN9)=$D12,0,IIN9+1))</f>
        <v>0</v>
      </c>
      <c r="IIP9" s="26">
        <f>IF(IIP7=0,0,IF(MAX($F9:IIO9)=$D12,0,IIO9+1))</f>
        <v>0</v>
      </c>
      <c r="IIQ9" s="26">
        <f>IF(IIQ7=0,0,IF(MAX($F9:IIP9)=$D12,0,IIP9+1))</f>
        <v>0</v>
      </c>
      <c r="IIR9" s="26">
        <f>IF(IIR7=0,0,IF(MAX($F9:IIQ9)=$D12,0,IIQ9+1))</f>
        <v>0</v>
      </c>
      <c r="IIS9" s="26">
        <f>IF(IIS7=0,0,IF(MAX($F9:IIR9)=$D12,0,IIR9+1))</f>
        <v>0</v>
      </c>
      <c r="IIT9" s="26">
        <f>IF(IIT7=0,0,IF(MAX($F9:IIS9)=$D12,0,IIS9+1))</f>
        <v>0</v>
      </c>
      <c r="IIU9" s="26">
        <f>IF(IIU7=0,0,IF(MAX($F9:IIT9)=$D12,0,IIT9+1))</f>
        <v>0</v>
      </c>
      <c r="IIV9" s="26">
        <f>IF(IIV7=0,0,IF(MAX($F9:IIU9)=$D12,0,IIU9+1))</f>
        <v>0</v>
      </c>
      <c r="IIW9" s="26">
        <f>IF(IIW7=0,0,IF(MAX($F9:IIV9)=$D12,0,IIV9+1))</f>
        <v>0</v>
      </c>
      <c r="IIX9" s="26">
        <f>IF(IIX7=0,0,IF(MAX($F9:IIW9)=$D12,0,IIW9+1))</f>
        <v>0</v>
      </c>
      <c r="IIY9" s="26">
        <f>IF(IIY7=0,0,IF(MAX($F9:IIX9)=$D12,0,IIX9+1))</f>
        <v>0</v>
      </c>
      <c r="IIZ9" s="26">
        <f>IF(IIZ7=0,0,IF(MAX($F9:IIY9)=$D12,0,IIY9+1))</f>
        <v>0</v>
      </c>
      <c r="IJA9" s="26">
        <f>IF(IJA7=0,0,IF(MAX($F9:IIZ9)=$D12,0,IIZ9+1))</f>
        <v>0</v>
      </c>
      <c r="IJB9" s="26">
        <f>IF(IJB7=0,0,IF(MAX($F9:IJA9)=$D12,0,IJA9+1))</f>
        <v>0</v>
      </c>
      <c r="IJC9" s="26">
        <f>IF(IJC7=0,0,IF(MAX($F9:IJB9)=$D12,0,IJB9+1))</f>
        <v>0</v>
      </c>
      <c r="IJD9" s="26">
        <f>IF(IJD7=0,0,IF(MAX($F9:IJC9)=$D12,0,IJC9+1))</f>
        <v>0</v>
      </c>
      <c r="IJE9" s="26">
        <f>IF(IJE7=0,0,IF(MAX($F9:IJD9)=$D12,0,IJD9+1))</f>
        <v>0</v>
      </c>
      <c r="IJF9" s="26">
        <f>IF(IJF7=0,0,IF(MAX($F9:IJE9)=$D12,0,IJE9+1))</f>
        <v>0</v>
      </c>
      <c r="IJG9" s="26">
        <f>IF(IJG7=0,0,IF(MAX($F9:IJF9)=$D12,0,IJF9+1))</f>
        <v>0</v>
      </c>
      <c r="IJH9" s="26">
        <f>IF(IJH7=0,0,IF(MAX($F9:IJG9)=$D12,0,IJG9+1))</f>
        <v>0</v>
      </c>
      <c r="IJI9" s="26">
        <f>IF(IJI7=0,0,IF(MAX($F9:IJH9)=$D12,0,IJH9+1))</f>
        <v>0</v>
      </c>
      <c r="IJJ9" s="26">
        <f>IF(IJJ7=0,0,IF(MAX($F9:IJI9)=$D12,0,IJI9+1))</f>
        <v>0</v>
      </c>
      <c r="IJK9" s="26">
        <f>IF(IJK7=0,0,IF(MAX($F9:IJJ9)=$D12,0,IJJ9+1))</f>
        <v>0</v>
      </c>
      <c r="IJL9" s="26">
        <f>IF(IJL7=0,0,IF(MAX($F9:IJK9)=$D12,0,IJK9+1))</f>
        <v>0</v>
      </c>
      <c r="IJM9" s="26">
        <f>IF(IJM7=0,0,IF(MAX($F9:IJL9)=$D12,0,IJL9+1))</f>
        <v>0</v>
      </c>
      <c r="IJN9" s="26">
        <f>IF(IJN7=0,0,IF(MAX($F9:IJM9)=$D12,0,IJM9+1))</f>
        <v>0</v>
      </c>
      <c r="IJO9" s="26">
        <f>IF(IJO7=0,0,IF(MAX($F9:IJN9)=$D12,0,IJN9+1))</f>
        <v>0</v>
      </c>
      <c r="IJP9" s="26">
        <f>IF(IJP7=0,0,IF(MAX($F9:IJO9)=$D12,0,IJO9+1))</f>
        <v>0</v>
      </c>
      <c r="IJQ9" s="26">
        <f>IF(IJQ7=0,0,IF(MAX($F9:IJP9)=$D12,0,IJP9+1))</f>
        <v>0</v>
      </c>
      <c r="IJR9" s="26">
        <f>IF(IJR7=0,0,IF(MAX($F9:IJQ9)=$D12,0,IJQ9+1))</f>
        <v>0</v>
      </c>
      <c r="IJS9" s="26">
        <f>IF(IJS7=0,0,IF(MAX($F9:IJR9)=$D12,0,IJR9+1))</f>
        <v>0</v>
      </c>
      <c r="IJT9" s="26">
        <f>IF(IJT7=0,0,IF(MAX($F9:IJS9)=$D12,0,IJS9+1))</f>
        <v>0</v>
      </c>
      <c r="IJU9" s="26">
        <f>IF(IJU7=0,0,IF(MAX($F9:IJT9)=$D12,0,IJT9+1))</f>
        <v>0</v>
      </c>
      <c r="IJV9" s="26">
        <f>IF(IJV7=0,0,IF(MAX($F9:IJU9)=$D12,0,IJU9+1))</f>
        <v>0</v>
      </c>
      <c r="IJW9" s="26">
        <f>IF(IJW7=0,0,IF(MAX($F9:IJV9)=$D12,0,IJV9+1))</f>
        <v>0</v>
      </c>
      <c r="IJX9" s="26">
        <f>IF(IJX7=0,0,IF(MAX($F9:IJW9)=$D12,0,IJW9+1))</f>
        <v>0</v>
      </c>
      <c r="IJY9" s="26">
        <f>IF(IJY7=0,0,IF(MAX($F9:IJX9)=$D12,0,IJX9+1))</f>
        <v>0</v>
      </c>
      <c r="IJZ9" s="26">
        <f>IF(IJZ7=0,0,IF(MAX($F9:IJY9)=$D12,0,IJY9+1))</f>
        <v>0</v>
      </c>
      <c r="IKA9" s="26">
        <f>IF(IKA7=0,0,IF(MAX($F9:IJZ9)=$D12,0,IJZ9+1))</f>
        <v>0</v>
      </c>
      <c r="IKB9" s="26">
        <f>IF(IKB7=0,0,IF(MAX($F9:IKA9)=$D12,0,IKA9+1))</f>
        <v>0</v>
      </c>
      <c r="IKC9" s="26">
        <f>IF(IKC7=0,0,IF(MAX($F9:IKB9)=$D12,0,IKB9+1))</f>
        <v>0</v>
      </c>
      <c r="IKD9" s="26">
        <f>IF(IKD7=0,0,IF(MAX($F9:IKC9)=$D12,0,IKC9+1))</f>
        <v>0</v>
      </c>
      <c r="IKE9" s="26">
        <f>IF(IKE7=0,0,IF(MAX($F9:IKD9)=$D12,0,IKD9+1))</f>
        <v>0</v>
      </c>
      <c r="IKF9" s="26">
        <f>IF(IKF7=0,0,IF(MAX($F9:IKE9)=$D12,0,IKE9+1))</f>
        <v>0</v>
      </c>
      <c r="IKG9" s="26">
        <f>IF(IKG7=0,0,IF(MAX($F9:IKF9)=$D12,0,IKF9+1))</f>
        <v>0</v>
      </c>
      <c r="IKH9" s="26">
        <f>IF(IKH7=0,0,IF(MAX($F9:IKG9)=$D12,0,IKG9+1))</f>
        <v>0</v>
      </c>
      <c r="IKI9" s="26">
        <f>IF(IKI7=0,0,IF(MAX($F9:IKH9)=$D12,0,IKH9+1))</f>
        <v>0</v>
      </c>
      <c r="IKJ9" s="26">
        <f>IF(IKJ7=0,0,IF(MAX($F9:IKI9)=$D12,0,IKI9+1))</f>
        <v>0</v>
      </c>
      <c r="IKK9" s="26">
        <f>IF(IKK7=0,0,IF(MAX($F9:IKJ9)=$D12,0,IKJ9+1))</f>
        <v>0</v>
      </c>
      <c r="IKL9" s="26">
        <f>IF(IKL7=0,0,IF(MAX($F9:IKK9)=$D12,0,IKK9+1))</f>
        <v>0</v>
      </c>
      <c r="IKM9" s="26">
        <f>IF(IKM7=0,0,IF(MAX($F9:IKL9)=$D12,0,IKL9+1))</f>
        <v>0</v>
      </c>
      <c r="IKN9" s="26">
        <f>IF(IKN7=0,0,IF(MAX($F9:IKM9)=$D12,0,IKM9+1))</f>
        <v>0</v>
      </c>
      <c r="IKO9" s="26">
        <f>IF(IKO7=0,0,IF(MAX($F9:IKN9)=$D12,0,IKN9+1))</f>
        <v>0</v>
      </c>
      <c r="IKP9" s="26">
        <f>IF(IKP7=0,0,IF(MAX($F9:IKO9)=$D12,0,IKO9+1))</f>
        <v>0</v>
      </c>
      <c r="IKQ9" s="26">
        <f>IF(IKQ7=0,0,IF(MAX($F9:IKP9)=$D12,0,IKP9+1))</f>
        <v>0</v>
      </c>
      <c r="IKR9" s="26">
        <f>IF(IKR7=0,0,IF(MAX($F9:IKQ9)=$D12,0,IKQ9+1))</f>
        <v>0</v>
      </c>
      <c r="IKS9" s="26">
        <f>IF(IKS7=0,0,IF(MAX($F9:IKR9)=$D12,0,IKR9+1))</f>
        <v>0</v>
      </c>
      <c r="IKT9" s="26">
        <f>IF(IKT7=0,0,IF(MAX($F9:IKS9)=$D12,0,IKS9+1))</f>
        <v>0</v>
      </c>
      <c r="IKU9" s="26">
        <f>IF(IKU7=0,0,IF(MAX($F9:IKT9)=$D12,0,IKT9+1))</f>
        <v>0</v>
      </c>
      <c r="IKV9" s="26">
        <f>IF(IKV7=0,0,IF(MAX($F9:IKU9)=$D12,0,IKU9+1))</f>
        <v>0</v>
      </c>
      <c r="IKW9" s="26">
        <f>IF(IKW7=0,0,IF(MAX($F9:IKV9)=$D12,0,IKV9+1))</f>
        <v>0</v>
      </c>
      <c r="IKX9" s="26">
        <f>IF(IKX7=0,0,IF(MAX($F9:IKW9)=$D12,0,IKW9+1))</f>
        <v>0</v>
      </c>
      <c r="IKY9" s="26">
        <f>IF(IKY7=0,0,IF(MAX($F9:IKX9)=$D12,0,IKX9+1))</f>
        <v>0</v>
      </c>
      <c r="IKZ9" s="26">
        <f>IF(IKZ7=0,0,IF(MAX($F9:IKY9)=$D12,0,IKY9+1))</f>
        <v>0</v>
      </c>
      <c r="ILA9" s="26">
        <f>IF(ILA7=0,0,IF(MAX($F9:IKZ9)=$D12,0,IKZ9+1))</f>
        <v>0</v>
      </c>
      <c r="ILB9" s="26">
        <f>IF(ILB7=0,0,IF(MAX($F9:ILA9)=$D12,0,ILA9+1))</f>
        <v>0</v>
      </c>
      <c r="ILC9" s="26">
        <f>IF(ILC7=0,0,IF(MAX($F9:ILB9)=$D12,0,ILB9+1))</f>
        <v>0</v>
      </c>
      <c r="ILD9" s="26">
        <f>IF(ILD7=0,0,IF(MAX($F9:ILC9)=$D12,0,ILC9+1))</f>
        <v>0</v>
      </c>
      <c r="ILE9" s="26">
        <f>IF(ILE7=0,0,IF(MAX($F9:ILD9)=$D12,0,ILD9+1))</f>
        <v>0</v>
      </c>
      <c r="ILF9" s="26">
        <f>IF(ILF7=0,0,IF(MAX($F9:ILE9)=$D12,0,ILE9+1))</f>
        <v>0</v>
      </c>
      <c r="ILG9" s="26">
        <f>IF(ILG7=0,0,IF(MAX($F9:ILF9)=$D12,0,ILF9+1))</f>
        <v>0</v>
      </c>
      <c r="ILH9" s="26">
        <f>IF(ILH7=0,0,IF(MAX($F9:ILG9)=$D12,0,ILG9+1))</f>
        <v>0</v>
      </c>
      <c r="ILI9" s="26">
        <f>IF(ILI7=0,0,IF(MAX($F9:ILH9)=$D12,0,ILH9+1))</f>
        <v>0</v>
      </c>
      <c r="ILJ9" s="26">
        <f>IF(ILJ7=0,0,IF(MAX($F9:ILI9)=$D12,0,ILI9+1))</f>
        <v>0</v>
      </c>
      <c r="ILK9" s="26">
        <f>IF(ILK7=0,0,IF(MAX($F9:ILJ9)=$D12,0,ILJ9+1))</f>
        <v>0</v>
      </c>
      <c r="ILL9" s="26">
        <f>IF(ILL7=0,0,IF(MAX($F9:ILK9)=$D12,0,ILK9+1))</f>
        <v>0</v>
      </c>
      <c r="ILM9" s="26">
        <f>IF(ILM7=0,0,IF(MAX($F9:ILL9)=$D12,0,ILL9+1))</f>
        <v>0</v>
      </c>
      <c r="ILN9" s="26">
        <f>IF(ILN7=0,0,IF(MAX($F9:ILM9)=$D12,0,ILM9+1))</f>
        <v>0</v>
      </c>
      <c r="ILO9" s="26">
        <f>IF(ILO7=0,0,IF(MAX($F9:ILN9)=$D12,0,ILN9+1))</f>
        <v>0</v>
      </c>
      <c r="ILP9" s="26">
        <f>IF(ILP7=0,0,IF(MAX($F9:ILO9)=$D12,0,ILO9+1))</f>
        <v>0</v>
      </c>
      <c r="ILQ9" s="26">
        <f>IF(ILQ7=0,0,IF(MAX($F9:ILP9)=$D12,0,ILP9+1))</f>
        <v>0</v>
      </c>
      <c r="ILR9" s="26">
        <f>IF(ILR7=0,0,IF(MAX($F9:ILQ9)=$D12,0,ILQ9+1))</f>
        <v>0</v>
      </c>
      <c r="ILS9" s="26">
        <f>IF(ILS7=0,0,IF(MAX($F9:ILR9)=$D12,0,ILR9+1))</f>
        <v>0</v>
      </c>
      <c r="ILT9" s="26">
        <f>IF(ILT7=0,0,IF(MAX($F9:ILS9)=$D12,0,ILS9+1))</f>
        <v>0</v>
      </c>
      <c r="ILU9" s="26">
        <f>IF(ILU7=0,0,IF(MAX($F9:ILT9)=$D12,0,ILT9+1))</f>
        <v>0</v>
      </c>
      <c r="ILV9" s="26">
        <f>IF(ILV7=0,0,IF(MAX($F9:ILU9)=$D12,0,ILU9+1))</f>
        <v>0</v>
      </c>
      <c r="ILW9" s="26">
        <f>IF(ILW7=0,0,IF(MAX($F9:ILV9)=$D12,0,ILV9+1))</f>
        <v>0</v>
      </c>
      <c r="ILX9" s="26">
        <f>IF(ILX7=0,0,IF(MAX($F9:ILW9)=$D12,0,ILW9+1))</f>
        <v>0</v>
      </c>
      <c r="ILY9" s="26">
        <f>IF(ILY7=0,0,IF(MAX($F9:ILX9)=$D12,0,ILX9+1))</f>
        <v>0</v>
      </c>
      <c r="ILZ9" s="26">
        <f>IF(ILZ7=0,0,IF(MAX($F9:ILY9)=$D12,0,ILY9+1))</f>
        <v>0</v>
      </c>
      <c r="IMA9" s="26">
        <f>IF(IMA7=0,0,IF(MAX($F9:ILZ9)=$D12,0,ILZ9+1))</f>
        <v>0</v>
      </c>
      <c r="IMB9" s="26">
        <f>IF(IMB7=0,0,IF(MAX($F9:IMA9)=$D12,0,IMA9+1))</f>
        <v>0</v>
      </c>
      <c r="IMC9" s="26">
        <f>IF(IMC7=0,0,IF(MAX($F9:IMB9)=$D12,0,IMB9+1))</f>
        <v>0</v>
      </c>
      <c r="IMD9" s="26">
        <f>IF(IMD7=0,0,IF(MAX($F9:IMC9)=$D12,0,IMC9+1))</f>
        <v>0</v>
      </c>
      <c r="IME9" s="26">
        <f>IF(IME7=0,0,IF(MAX($F9:IMD9)=$D12,0,IMD9+1))</f>
        <v>0</v>
      </c>
      <c r="IMF9" s="26">
        <f>IF(IMF7=0,0,IF(MAX($F9:IME9)=$D12,0,IME9+1))</f>
        <v>0</v>
      </c>
      <c r="IMG9" s="26">
        <f>IF(IMG7=0,0,IF(MAX($F9:IMF9)=$D12,0,IMF9+1))</f>
        <v>0</v>
      </c>
      <c r="IMH9" s="26">
        <f>IF(IMH7=0,0,IF(MAX($F9:IMG9)=$D12,0,IMG9+1))</f>
        <v>0</v>
      </c>
      <c r="IMI9" s="26">
        <f>IF(IMI7=0,0,IF(MAX($F9:IMH9)=$D12,0,IMH9+1))</f>
        <v>0</v>
      </c>
      <c r="IMJ9" s="26">
        <f>IF(IMJ7=0,0,IF(MAX($F9:IMI9)=$D12,0,IMI9+1))</f>
        <v>0</v>
      </c>
      <c r="IMK9" s="26">
        <f>IF(IMK7=0,0,IF(MAX($F9:IMJ9)=$D12,0,IMJ9+1))</f>
        <v>0</v>
      </c>
      <c r="IML9" s="26">
        <f>IF(IML7=0,0,IF(MAX($F9:IMK9)=$D12,0,IMK9+1))</f>
        <v>0</v>
      </c>
      <c r="IMM9" s="26">
        <f>IF(IMM7=0,0,IF(MAX($F9:IML9)=$D12,0,IML9+1))</f>
        <v>0</v>
      </c>
      <c r="IMN9" s="26">
        <f>IF(IMN7=0,0,IF(MAX($F9:IMM9)=$D12,0,IMM9+1))</f>
        <v>0</v>
      </c>
      <c r="IMO9" s="26">
        <f>IF(IMO7=0,0,IF(MAX($F9:IMN9)=$D12,0,IMN9+1))</f>
        <v>0</v>
      </c>
      <c r="IMP9" s="26">
        <f>IF(IMP7=0,0,IF(MAX($F9:IMO9)=$D12,0,IMO9+1))</f>
        <v>0</v>
      </c>
      <c r="IMQ9" s="26">
        <f>IF(IMQ7=0,0,IF(MAX($F9:IMP9)=$D12,0,IMP9+1))</f>
        <v>0</v>
      </c>
      <c r="IMR9" s="26">
        <f>IF(IMR7=0,0,IF(MAX($F9:IMQ9)=$D12,0,IMQ9+1))</f>
        <v>0</v>
      </c>
      <c r="IMS9" s="26">
        <f>IF(IMS7=0,0,IF(MAX($F9:IMR9)=$D12,0,IMR9+1))</f>
        <v>0</v>
      </c>
      <c r="IMT9" s="26">
        <f>IF(IMT7=0,0,IF(MAX($F9:IMS9)=$D12,0,IMS9+1))</f>
        <v>0</v>
      </c>
      <c r="IMU9" s="26">
        <f>IF(IMU7=0,0,IF(MAX($F9:IMT9)=$D12,0,IMT9+1))</f>
        <v>0</v>
      </c>
      <c r="IMV9" s="26">
        <f>IF(IMV7=0,0,IF(MAX($F9:IMU9)=$D12,0,IMU9+1))</f>
        <v>0</v>
      </c>
      <c r="IMW9" s="26">
        <f>IF(IMW7=0,0,IF(MAX($F9:IMV9)=$D12,0,IMV9+1))</f>
        <v>0</v>
      </c>
      <c r="IMX9" s="26">
        <f>IF(IMX7=0,0,IF(MAX($F9:IMW9)=$D12,0,IMW9+1))</f>
        <v>0</v>
      </c>
      <c r="IMY9" s="26">
        <f>IF(IMY7=0,0,IF(MAX($F9:IMX9)=$D12,0,IMX9+1))</f>
        <v>0</v>
      </c>
      <c r="IMZ9" s="26">
        <f>IF(IMZ7=0,0,IF(MAX($F9:IMY9)=$D12,0,IMY9+1))</f>
        <v>0</v>
      </c>
      <c r="INA9" s="26">
        <f>IF(INA7=0,0,IF(MAX($F9:IMZ9)=$D12,0,IMZ9+1))</f>
        <v>0</v>
      </c>
      <c r="INB9" s="26">
        <f>IF(INB7=0,0,IF(MAX($F9:INA9)=$D12,0,INA9+1))</f>
        <v>0</v>
      </c>
      <c r="INC9" s="26">
        <f>IF(INC7=0,0,IF(MAX($F9:INB9)=$D12,0,INB9+1))</f>
        <v>0</v>
      </c>
      <c r="IND9" s="26">
        <f>IF(IND7=0,0,IF(MAX($F9:INC9)=$D12,0,INC9+1))</f>
        <v>0</v>
      </c>
      <c r="INE9" s="26">
        <f>IF(INE7=0,0,IF(MAX($F9:IND9)=$D12,0,IND9+1))</f>
        <v>0</v>
      </c>
      <c r="INF9" s="26">
        <f>IF(INF7=0,0,IF(MAX($F9:INE9)=$D12,0,INE9+1))</f>
        <v>0</v>
      </c>
      <c r="ING9" s="26">
        <f>IF(ING7=0,0,IF(MAX($F9:INF9)=$D12,0,INF9+1))</f>
        <v>0</v>
      </c>
      <c r="INH9" s="26">
        <f>IF(INH7=0,0,IF(MAX($F9:ING9)=$D12,0,ING9+1))</f>
        <v>0</v>
      </c>
      <c r="INI9" s="26">
        <f>IF(INI7=0,0,IF(MAX($F9:INH9)=$D12,0,INH9+1))</f>
        <v>0</v>
      </c>
      <c r="INJ9" s="26">
        <f>IF(INJ7=0,0,IF(MAX($F9:INI9)=$D12,0,INI9+1))</f>
        <v>0</v>
      </c>
      <c r="INK9" s="26">
        <f>IF(INK7=0,0,IF(MAX($F9:INJ9)=$D12,0,INJ9+1))</f>
        <v>0</v>
      </c>
      <c r="INL9" s="26">
        <f>IF(INL7=0,0,IF(MAX($F9:INK9)=$D12,0,INK9+1))</f>
        <v>0</v>
      </c>
      <c r="INM9" s="26">
        <f>IF(INM7=0,0,IF(MAX($F9:INL9)=$D12,0,INL9+1))</f>
        <v>0</v>
      </c>
      <c r="INN9" s="26">
        <f>IF(INN7=0,0,IF(MAX($F9:INM9)=$D12,0,INM9+1))</f>
        <v>0</v>
      </c>
      <c r="INO9" s="26">
        <f>IF(INO7=0,0,IF(MAX($F9:INN9)=$D12,0,INN9+1))</f>
        <v>0</v>
      </c>
      <c r="INP9" s="26">
        <f>IF(INP7=0,0,IF(MAX($F9:INO9)=$D12,0,INO9+1))</f>
        <v>0</v>
      </c>
      <c r="INQ9" s="26">
        <f>IF(INQ7=0,0,IF(MAX($F9:INP9)=$D12,0,INP9+1))</f>
        <v>0</v>
      </c>
      <c r="INR9" s="26">
        <f>IF(INR7=0,0,IF(MAX($F9:INQ9)=$D12,0,INQ9+1))</f>
        <v>0</v>
      </c>
      <c r="INS9" s="26">
        <f>IF(INS7=0,0,IF(MAX($F9:INR9)=$D12,0,INR9+1))</f>
        <v>0</v>
      </c>
      <c r="INT9" s="26">
        <f>IF(INT7=0,0,IF(MAX($F9:INS9)=$D12,0,INS9+1))</f>
        <v>0</v>
      </c>
      <c r="INU9" s="26">
        <f>IF(INU7=0,0,IF(MAX($F9:INT9)=$D12,0,INT9+1))</f>
        <v>0</v>
      </c>
      <c r="INV9" s="26">
        <f>IF(INV7=0,0,IF(MAX($F9:INU9)=$D12,0,INU9+1))</f>
        <v>0</v>
      </c>
      <c r="INW9" s="26">
        <f>IF(INW7=0,0,IF(MAX($F9:INV9)=$D12,0,INV9+1))</f>
        <v>0</v>
      </c>
      <c r="INX9" s="26">
        <f>IF(INX7=0,0,IF(MAX($F9:INW9)=$D12,0,INW9+1))</f>
        <v>0</v>
      </c>
      <c r="INY9" s="26">
        <f>IF(INY7=0,0,IF(MAX($F9:INX9)=$D12,0,INX9+1))</f>
        <v>0</v>
      </c>
      <c r="INZ9" s="26">
        <f>IF(INZ7=0,0,IF(MAX($F9:INY9)=$D12,0,INY9+1))</f>
        <v>0</v>
      </c>
      <c r="IOA9" s="26">
        <f>IF(IOA7=0,0,IF(MAX($F9:INZ9)=$D12,0,INZ9+1))</f>
        <v>0</v>
      </c>
      <c r="IOB9" s="26">
        <f>IF(IOB7=0,0,IF(MAX($F9:IOA9)=$D12,0,IOA9+1))</f>
        <v>0</v>
      </c>
      <c r="IOC9" s="26">
        <f>IF(IOC7=0,0,IF(MAX($F9:IOB9)=$D12,0,IOB9+1))</f>
        <v>0</v>
      </c>
      <c r="IOD9" s="26">
        <f>IF(IOD7=0,0,IF(MAX($F9:IOC9)=$D12,0,IOC9+1))</f>
        <v>0</v>
      </c>
      <c r="IOE9" s="26">
        <f>IF(IOE7=0,0,IF(MAX($F9:IOD9)=$D12,0,IOD9+1))</f>
        <v>0</v>
      </c>
      <c r="IOF9" s="26">
        <f>IF(IOF7=0,0,IF(MAX($F9:IOE9)=$D12,0,IOE9+1))</f>
        <v>0</v>
      </c>
      <c r="IOG9" s="26">
        <f>IF(IOG7=0,0,IF(MAX($F9:IOF9)=$D12,0,IOF9+1))</f>
        <v>0</v>
      </c>
      <c r="IOH9" s="26">
        <f>IF(IOH7=0,0,IF(MAX($F9:IOG9)=$D12,0,IOG9+1))</f>
        <v>0</v>
      </c>
      <c r="IOI9" s="26">
        <f>IF(IOI7=0,0,IF(MAX($F9:IOH9)=$D12,0,IOH9+1))</f>
        <v>0</v>
      </c>
      <c r="IOJ9" s="26">
        <f>IF(IOJ7=0,0,IF(MAX($F9:IOI9)=$D12,0,IOI9+1))</f>
        <v>0</v>
      </c>
      <c r="IOK9" s="26">
        <f>IF(IOK7=0,0,IF(MAX($F9:IOJ9)=$D12,0,IOJ9+1))</f>
        <v>0</v>
      </c>
      <c r="IOL9" s="26">
        <f>IF(IOL7=0,0,IF(MAX($F9:IOK9)=$D12,0,IOK9+1))</f>
        <v>0</v>
      </c>
      <c r="IOM9" s="26">
        <f>IF(IOM7=0,0,IF(MAX($F9:IOL9)=$D12,0,IOL9+1))</f>
        <v>0</v>
      </c>
      <c r="ION9" s="26">
        <f>IF(ION7=0,0,IF(MAX($F9:IOM9)=$D12,0,IOM9+1))</f>
        <v>0</v>
      </c>
      <c r="IOO9" s="26">
        <f>IF(IOO7=0,0,IF(MAX($F9:ION9)=$D12,0,ION9+1))</f>
        <v>0</v>
      </c>
      <c r="IOP9" s="26">
        <f>IF(IOP7=0,0,IF(MAX($F9:IOO9)=$D12,0,IOO9+1))</f>
        <v>0</v>
      </c>
      <c r="IOQ9" s="26">
        <f>IF(IOQ7=0,0,IF(MAX($F9:IOP9)=$D12,0,IOP9+1))</f>
        <v>0</v>
      </c>
      <c r="IOR9" s="26">
        <f>IF(IOR7=0,0,IF(MAX($F9:IOQ9)=$D12,0,IOQ9+1))</f>
        <v>0</v>
      </c>
      <c r="IOS9" s="26">
        <f>IF(IOS7=0,0,IF(MAX($F9:IOR9)=$D12,0,IOR9+1))</f>
        <v>0</v>
      </c>
      <c r="IOT9" s="26">
        <f>IF(IOT7=0,0,IF(MAX($F9:IOS9)=$D12,0,IOS9+1))</f>
        <v>0</v>
      </c>
      <c r="IOU9" s="26">
        <f>IF(IOU7=0,0,IF(MAX($F9:IOT9)=$D12,0,IOT9+1))</f>
        <v>0</v>
      </c>
      <c r="IOV9" s="26">
        <f>IF(IOV7=0,0,IF(MAX($F9:IOU9)=$D12,0,IOU9+1))</f>
        <v>0</v>
      </c>
      <c r="IOW9" s="26">
        <f>IF(IOW7=0,0,IF(MAX($F9:IOV9)=$D12,0,IOV9+1))</f>
        <v>0</v>
      </c>
      <c r="IOX9" s="26">
        <f>IF(IOX7=0,0,IF(MAX($F9:IOW9)=$D12,0,IOW9+1))</f>
        <v>0</v>
      </c>
      <c r="IOY9" s="26">
        <f>IF(IOY7=0,0,IF(MAX($F9:IOX9)=$D12,0,IOX9+1))</f>
        <v>0</v>
      </c>
      <c r="IOZ9" s="26">
        <f>IF(IOZ7=0,0,IF(MAX($F9:IOY9)=$D12,0,IOY9+1))</f>
        <v>0</v>
      </c>
      <c r="IPA9" s="26">
        <f>IF(IPA7=0,0,IF(MAX($F9:IOZ9)=$D12,0,IOZ9+1))</f>
        <v>0</v>
      </c>
      <c r="IPB9" s="26">
        <f>IF(IPB7=0,0,IF(MAX($F9:IPA9)=$D12,0,IPA9+1))</f>
        <v>0</v>
      </c>
      <c r="IPC9" s="26">
        <f>IF(IPC7=0,0,IF(MAX($F9:IPB9)=$D12,0,IPB9+1))</f>
        <v>0</v>
      </c>
      <c r="IPD9" s="26">
        <f>IF(IPD7=0,0,IF(MAX($F9:IPC9)=$D12,0,IPC9+1))</f>
        <v>0</v>
      </c>
      <c r="IPE9" s="26">
        <f>IF(IPE7=0,0,IF(MAX($F9:IPD9)=$D12,0,IPD9+1))</f>
        <v>0</v>
      </c>
      <c r="IPF9" s="26">
        <f>IF(IPF7=0,0,IF(MAX($F9:IPE9)=$D12,0,IPE9+1))</f>
        <v>0</v>
      </c>
      <c r="IPG9" s="26">
        <f>IF(IPG7=0,0,IF(MAX($F9:IPF9)=$D12,0,IPF9+1))</f>
        <v>0</v>
      </c>
      <c r="IPH9" s="26">
        <f>IF(IPH7=0,0,IF(MAX($F9:IPG9)=$D12,0,IPG9+1))</f>
        <v>0</v>
      </c>
      <c r="IPI9" s="26">
        <f>IF(IPI7=0,0,IF(MAX($F9:IPH9)=$D12,0,IPH9+1))</f>
        <v>0</v>
      </c>
      <c r="IPJ9" s="26">
        <f>IF(IPJ7=0,0,IF(MAX($F9:IPI9)=$D12,0,IPI9+1))</f>
        <v>0</v>
      </c>
      <c r="IPK9" s="26">
        <f>IF(IPK7=0,0,IF(MAX($F9:IPJ9)=$D12,0,IPJ9+1))</f>
        <v>0</v>
      </c>
      <c r="IPL9" s="26">
        <f>IF(IPL7=0,0,IF(MAX($F9:IPK9)=$D12,0,IPK9+1))</f>
        <v>0</v>
      </c>
      <c r="IPM9" s="26">
        <f>IF(IPM7=0,0,IF(MAX($F9:IPL9)=$D12,0,IPL9+1))</f>
        <v>0</v>
      </c>
      <c r="IPN9" s="26">
        <f>IF(IPN7=0,0,IF(MAX($F9:IPM9)=$D12,0,IPM9+1))</f>
        <v>0</v>
      </c>
      <c r="IPO9" s="26">
        <f>IF(IPO7=0,0,IF(MAX($F9:IPN9)=$D12,0,IPN9+1))</f>
        <v>0</v>
      </c>
      <c r="IPP9" s="26">
        <f>IF(IPP7=0,0,IF(MAX($F9:IPO9)=$D12,0,IPO9+1))</f>
        <v>0</v>
      </c>
      <c r="IPQ9" s="26">
        <f>IF(IPQ7=0,0,IF(MAX($F9:IPP9)=$D12,0,IPP9+1))</f>
        <v>0</v>
      </c>
      <c r="IPR9" s="26">
        <f>IF(IPR7=0,0,IF(MAX($F9:IPQ9)=$D12,0,IPQ9+1))</f>
        <v>0</v>
      </c>
      <c r="IPS9" s="26">
        <f>IF(IPS7=0,0,IF(MAX($F9:IPR9)=$D12,0,IPR9+1))</f>
        <v>0</v>
      </c>
      <c r="IPT9" s="26">
        <f>IF(IPT7=0,0,IF(MAX($F9:IPS9)=$D12,0,IPS9+1))</f>
        <v>0</v>
      </c>
      <c r="IPU9" s="26">
        <f>IF(IPU7=0,0,IF(MAX($F9:IPT9)=$D12,0,IPT9+1))</f>
        <v>0</v>
      </c>
      <c r="IPV9" s="26">
        <f>IF(IPV7=0,0,IF(MAX($F9:IPU9)=$D12,0,IPU9+1))</f>
        <v>0</v>
      </c>
      <c r="IPW9" s="26">
        <f>IF(IPW7=0,0,IF(MAX($F9:IPV9)=$D12,0,IPV9+1))</f>
        <v>0</v>
      </c>
      <c r="IPX9" s="26">
        <f>IF(IPX7=0,0,IF(MAX($F9:IPW9)=$D12,0,IPW9+1))</f>
        <v>0</v>
      </c>
      <c r="IPY9" s="26">
        <f>IF(IPY7=0,0,IF(MAX($F9:IPX9)=$D12,0,IPX9+1))</f>
        <v>0</v>
      </c>
      <c r="IPZ9" s="26">
        <f>IF(IPZ7=0,0,IF(MAX($F9:IPY9)=$D12,0,IPY9+1))</f>
        <v>0</v>
      </c>
      <c r="IQA9" s="26">
        <f>IF(IQA7=0,0,IF(MAX($F9:IPZ9)=$D12,0,IPZ9+1))</f>
        <v>0</v>
      </c>
      <c r="IQB9" s="26">
        <f>IF(IQB7=0,0,IF(MAX($F9:IQA9)=$D12,0,IQA9+1))</f>
        <v>0</v>
      </c>
      <c r="IQC9" s="26">
        <f>IF(IQC7=0,0,IF(MAX($F9:IQB9)=$D12,0,IQB9+1))</f>
        <v>0</v>
      </c>
      <c r="IQD9" s="26">
        <f>IF(IQD7=0,0,IF(MAX($F9:IQC9)=$D12,0,IQC9+1))</f>
        <v>0</v>
      </c>
      <c r="IQE9" s="26">
        <f>IF(IQE7=0,0,IF(MAX($F9:IQD9)=$D12,0,IQD9+1))</f>
        <v>0</v>
      </c>
      <c r="IQF9" s="26">
        <f>IF(IQF7=0,0,IF(MAX($F9:IQE9)=$D12,0,IQE9+1))</f>
        <v>0</v>
      </c>
      <c r="IQG9" s="26">
        <f>IF(IQG7=0,0,IF(MAX($F9:IQF9)=$D12,0,IQF9+1))</f>
        <v>0</v>
      </c>
      <c r="IQH9" s="26">
        <f>IF(IQH7=0,0,IF(MAX($F9:IQG9)=$D12,0,IQG9+1))</f>
        <v>0</v>
      </c>
      <c r="IQI9" s="26">
        <f>IF(IQI7=0,0,IF(MAX($F9:IQH9)=$D12,0,IQH9+1))</f>
        <v>0</v>
      </c>
      <c r="IQJ9" s="26">
        <f>IF(IQJ7=0,0,IF(MAX($F9:IQI9)=$D12,0,IQI9+1))</f>
        <v>0</v>
      </c>
      <c r="IQK9" s="26">
        <f>IF(IQK7=0,0,IF(MAX($F9:IQJ9)=$D12,0,IQJ9+1))</f>
        <v>0</v>
      </c>
      <c r="IQL9" s="26">
        <f>IF(IQL7=0,0,IF(MAX($F9:IQK9)=$D12,0,IQK9+1))</f>
        <v>0</v>
      </c>
      <c r="IQM9" s="26">
        <f>IF(IQM7=0,0,IF(MAX($F9:IQL9)=$D12,0,IQL9+1))</f>
        <v>0</v>
      </c>
      <c r="IQN9" s="26">
        <f>IF(IQN7=0,0,IF(MAX($F9:IQM9)=$D12,0,IQM9+1))</f>
        <v>0</v>
      </c>
      <c r="IQO9" s="26">
        <f>IF(IQO7=0,0,IF(MAX($F9:IQN9)=$D12,0,IQN9+1))</f>
        <v>0</v>
      </c>
      <c r="IQP9" s="26">
        <f>IF(IQP7=0,0,IF(MAX($F9:IQO9)=$D12,0,IQO9+1))</f>
        <v>0</v>
      </c>
      <c r="IQQ9" s="26">
        <f>IF(IQQ7=0,0,IF(MAX($F9:IQP9)=$D12,0,IQP9+1))</f>
        <v>0</v>
      </c>
      <c r="IQR9" s="26">
        <f>IF(IQR7=0,0,IF(MAX($F9:IQQ9)=$D12,0,IQQ9+1))</f>
        <v>0</v>
      </c>
      <c r="IQS9" s="26">
        <f>IF(IQS7=0,0,IF(MAX($F9:IQR9)=$D12,0,IQR9+1))</f>
        <v>0</v>
      </c>
      <c r="IQT9" s="26">
        <f>IF(IQT7=0,0,IF(MAX($F9:IQS9)=$D12,0,IQS9+1))</f>
        <v>0</v>
      </c>
      <c r="IQU9" s="26">
        <f>IF(IQU7=0,0,IF(MAX($F9:IQT9)=$D12,0,IQT9+1))</f>
        <v>0</v>
      </c>
      <c r="IQV9" s="26">
        <f>IF(IQV7=0,0,IF(MAX($F9:IQU9)=$D12,0,IQU9+1))</f>
        <v>0</v>
      </c>
      <c r="IQW9" s="26">
        <f>IF(IQW7=0,0,IF(MAX($F9:IQV9)=$D12,0,IQV9+1))</f>
        <v>0</v>
      </c>
      <c r="IQX9" s="26">
        <f>IF(IQX7=0,0,IF(MAX($F9:IQW9)=$D12,0,IQW9+1))</f>
        <v>0</v>
      </c>
      <c r="IQY9" s="26">
        <f>IF(IQY7=0,0,IF(MAX($F9:IQX9)=$D12,0,IQX9+1))</f>
        <v>0</v>
      </c>
      <c r="IQZ9" s="26">
        <f>IF(IQZ7=0,0,IF(MAX($F9:IQY9)=$D12,0,IQY9+1))</f>
        <v>0</v>
      </c>
      <c r="IRA9" s="26">
        <f>IF(IRA7=0,0,IF(MAX($F9:IQZ9)=$D12,0,IQZ9+1))</f>
        <v>0</v>
      </c>
      <c r="IRB9" s="26">
        <f>IF(IRB7=0,0,IF(MAX($F9:IRA9)=$D12,0,IRA9+1))</f>
        <v>0</v>
      </c>
      <c r="IRC9" s="26">
        <f>IF(IRC7=0,0,IF(MAX($F9:IRB9)=$D12,0,IRB9+1))</f>
        <v>0</v>
      </c>
      <c r="IRD9" s="26">
        <f>IF(IRD7=0,0,IF(MAX($F9:IRC9)=$D12,0,IRC9+1))</f>
        <v>0</v>
      </c>
      <c r="IRE9" s="26">
        <f>IF(IRE7=0,0,IF(MAX($F9:IRD9)=$D12,0,IRD9+1))</f>
        <v>0</v>
      </c>
      <c r="IRF9" s="26">
        <f>IF(IRF7=0,0,IF(MAX($F9:IRE9)=$D12,0,IRE9+1))</f>
        <v>0</v>
      </c>
      <c r="IRG9" s="26">
        <f>IF(IRG7=0,0,IF(MAX($F9:IRF9)=$D12,0,IRF9+1))</f>
        <v>0</v>
      </c>
      <c r="IRH9" s="26">
        <f>IF(IRH7=0,0,IF(MAX($F9:IRG9)=$D12,0,IRG9+1))</f>
        <v>0</v>
      </c>
      <c r="IRI9" s="26">
        <f>IF(IRI7=0,0,IF(MAX($F9:IRH9)=$D12,0,IRH9+1))</f>
        <v>0</v>
      </c>
      <c r="IRJ9" s="26">
        <f>IF(IRJ7=0,0,IF(MAX($F9:IRI9)=$D12,0,IRI9+1))</f>
        <v>0</v>
      </c>
      <c r="IRK9" s="26">
        <f>IF(IRK7=0,0,IF(MAX($F9:IRJ9)=$D12,0,IRJ9+1))</f>
        <v>0</v>
      </c>
      <c r="IRL9" s="26">
        <f>IF(IRL7=0,0,IF(MAX($F9:IRK9)=$D12,0,IRK9+1))</f>
        <v>0</v>
      </c>
      <c r="IRM9" s="26">
        <f>IF(IRM7=0,0,IF(MAX($F9:IRL9)=$D12,0,IRL9+1))</f>
        <v>0</v>
      </c>
      <c r="IRN9" s="26">
        <f>IF(IRN7=0,0,IF(MAX($F9:IRM9)=$D12,0,IRM9+1))</f>
        <v>0</v>
      </c>
      <c r="IRO9" s="26">
        <f>IF(IRO7=0,0,IF(MAX($F9:IRN9)=$D12,0,IRN9+1))</f>
        <v>0</v>
      </c>
      <c r="IRP9" s="26">
        <f>IF(IRP7=0,0,IF(MAX($F9:IRO9)=$D12,0,IRO9+1))</f>
        <v>0</v>
      </c>
      <c r="IRQ9" s="26">
        <f>IF(IRQ7=0,0,IF(MAX($F9:IRP9)=$D12,0,IRP9+1))</f>
        <v>0</v>
      </c>
      <c r="IRR9" s="26">
        <f>IF(IRR7=0,0,IF(MAX($F9:IRQ9)=$D12,0,IRQ9+1))</f>
        <v>0</v>
      </c>
      <c r="IRS9" s="26">
        <f>IF(IRS7=0,0,IF(MAX($F9:IRR9)=$D12,0,IRR9+1))</f>
        <v>0</v>
      </c>
      <c r="IRT9" s="26">
        <f>IF(IRT7=0,0,IF(MAX($F9:IRS9)=$D12,0,IRS9+1))</f>
        <v>0</v>
      </c>
      <c r="IRU9" s="26">
        <f>IF(IRU7=0,0,IF(MAX($F9:IRT9)=$D12,0,IRT9+1))</f>
        <v>0</v>
      </c>
      <c r="IRV9" s="26">
        <f>IF(IRV7=0,0,IF(MAX($F9:IRU9)=$D12,0,IRU9+1))</f>
        <v>0</v>
      </c>
      <c r="IRW9" s="26">
        <f>IF(IRW7=0,0,IF(MAX($F9:IRV9)=$D12,0,IRV9+1))</f>
        <v>0</v>
      </c>
      <c r="IRX9" s="26">
        <f>IF(IRX7=0,0,IF(MAX($F9:IRW9)=$D12,0,IRW9+1))</f>
        <v>0</v>
      </c>
      <c r="IRY9" s="26">
        <f>IF(IRY7=0,0,IF(MAX($F9:IRX9)=$D12,0,IRX9+1))</f>
        <v>0</v>
      </c>
      <c r="IRZ9" s="26">
        <f>IF(IRZ7=0,0,IF(MAX($F9:IRY9)=$D12,0,IRY9+1))</f>
        <v>0</v>
      </c>
      <c r="ISA9" s="26">
        <f>IF(ISA7=0,0,IF(MAX($F9:IRZ9)=$D12,0,IRZ9+1))</f>
        <v>0</v>
      </c>
      <c r="ISB9" s="26">
        <f>IF(ISB7=0,0,IF(MAX($F9:ISA9)=$D12,0,ISA9+1))</f>
        <v>0</v>
      </c>
      <c r="ISC9" s="26">
        <f>IF(ISC7=0,0,IF(MAX($F9:ISB9)=$D12,0,ISB9+1))</f>
        <v>0</v>
      </c>
      <c r="ISD9" s="26">
        <f>IF(ISD7=0,0,IF(MAX($F9:ISC9)=$D12,0,ISC9+1))</f>
        <v>0</v>
      </c>
      <c r="ISE9" s="26">
        <f>IF(ISE7=0,0,IF(MAX($F9:ISD9)=$D12,0,ISD9+1))</f>
        <v>0</v>
      </c>
      <c r="ISF9" s="26">
        <f>IF(ISF7=0,0,IF(MAX($F9:ISE9)=$D12,0,ISE9+1))</f>
        <v>0</v>
      </c>
      <c r="ISG9" s="26">
        <f>IF(ISG7=0,0,IF(MAX($F9:ISF9)=$D12,0,ISF9+1))</f>
        <v>0</v>
      </c>
      <c r="ISH9" s="26">
        <f>IF(ISH7=0,0,IF(MAX($F9:ISG9)=$D12,0,ISG9+1))</f>
        <v>0</v>
      </c>
      <c r="ISI9" s="26">
        <f>IF(ISI7=0,0,IF(MAX($F9:ISH9)=$D12,0,ISH9+1))</f>
        <v>0</v>
      </c>
      <c r="ISJ9" s="26">
        <f>IF(ISJ7=0,0,IF(MAX($F9:ISI9)=$D12,0,ISI9+1))</f>
        <v>0</v>
      </c>
      <c r="ISK9" s="26">
        <f>IF(ISK7=0,0,IF(MAX($F9:ISJ9)=$D12,0,ISJ9+1))</f>
        <v>0</v>
      </c>
      <c r="ISL9" s="26">
        <f>IF(ISL7=0,0,IF(MAX($F9:ISK9)=$D12,0,ISK9+1))</f>
        <v>0</v>
      </c>
      <c r="ISM9" s="26">
        <f>IF(ISM7=0,0,IF(MAX($F9:ISL9)=$D12,0,ISL9+1))</f>
        <v>0</v>
      </c>
      <c r="ISN9" s="26">
        <f>IF(ISN7=0,0,IF(MAX($F9:ISM9)=$D12,0,ISM9+1))</f>
        <v>0</v>
      </c>
      <c r="ISO9" s="26">
        <f>IF(ISO7=0,0,IF(MAX($F9:ISN9)=$D12,0,ISN9+1))</f>
        <v>0</v>
      </c>
      <c r="ISP9" s="26">
        <f>IF(ISP7=0,0,IF(MAX($F9:ISO9)=$D12,0,ISO9+1))</f>
        <v>0</v>
      </c>
      <c r="ISQ9" s="26">
        <f>IF(ISQ7=0,0,IF(MAX($F9:ISP9)=$D12,0,ISP9+1))</f>
        <v>0</v>
      </c>
      <c r="ISR9" s="26">
        <f>IF(ISR7=0,0,IF(MAX($F9:ISQ9)=$D12,0,ISQ9+1))</f>
        <v>0</v>
      </c>
      <c r="ISS9" s="26">
        <f>IF(ISS7=0,0,IF(MAX($F9:ISR9)=$D12,0,ISR9+1))</f>
        <v>0</v>
      </c>
      <c r="IST9" s="26">
        <f>IF(IST7=0,0,IF(MAX($F9:ISS9)=$D12,0,ISS9+1))</f>
        <v>0</v>
      </c>
      <c r="ISU9" s="26">
        <f>IF(ISU7=0,0,IF(MAX($F9:IST9)=$D12,0,IST9+1))</f>
        <v>0</v>
      </c>
      <c r="ISV9" s="26">
        <f>IF(ISV7=0,0,IF(MAX($F9:ISU9)=$D12,0,ISU9+1))</f>
        <v>0</v>
      </c>
      <c r="ISW9" s="26">
        <f>IF(ISW7=0,0,IF(MAX($F9:ISV9)=$D12,0,ISV9+1))</f>
        <v>0</v>
      </c>
      <c r="ISX9" s="26">
        <f>IF(ISX7=0,0,IF(MAX($F9:ISW9)=$D12,0,ISW9+1))</f>
        <v>0</v>
      </c>
      <c r="ISY9" s="26">
        <f>IF(ISY7=0,0,IF(MAX($F9:ISX9)=$D12,0,ISX9+1))</f>
        <v>0</v>
      </c>
      <c r="ISZ9" s="26">
        <f>IF(ISZ7=0,0,IF(MAX($F9:ISY9)=$D12,0,ISY9+1))</f>
        <v>0</v>
      </c>
      <c r="ITA9" s="26">
        <f>IF(ITA7=0,0,IF(MAX($F9:ISZ9)=$D12,0,ISZ9+1))</f>
        <v>0</v>
      </c>
      <c r="ITB9" s="26">
        <f>IF(ITB7=0,0,IF(MAX($F9:ITA9)=$D12,0,ITA9+1))</f>
        <v>0</v>
      </c>
      <c r="ITC9" s="26">
        <f>IF(ITC7=0,0,IF(MAX($F9:ITB9)=$D12,0,ITB9+1))</f>
        <v>0</v>
      </c>
      <c r="ITD9" s="26">
        <f>IF(ITD7=0,0,IF(MAX($F9:ITC9)=$D12,0,ITC9+1))</f>
        <v>0</v>
      </c>
      <c r="ITE9" s="26">
        <f>IF(ITE7=0,0,IF(MAX($F9:ITD9)=$D12,0,ITD9+1))</f>
        <v>0</v>
      </c>
      <c r="ITF9" s="26">
        <f>IF(ITF7=0,0,IF(MAX($F9:ITE9)=$D12,0,ITE9+1))</f>
        <v>0</v>
      </c>
      <c r="ITG9" s="26">
        <f>IF(ITG7=0,0,IF(MAX($F9:ITF9)=$D12,0,ITF9+1))</f>
        <v>0</v>
      </c>
      <c r="ITH9" s="26">
        <f>IF(ITH7=0,0,IF(MAX($F9:ITG9)=$D12,0,ITG9+1))</f>
        <v>0</v>
      </c>
      <c r="ITI9" s="26">
        <f>IF(ITI7=0,0,IF(MAX($F9:ITH9)=$D12,0,ITH9+1))</f>
        <v>0</v>
      </c>
      <c r="ITJ9" s="26">
        <f>IF(ITJ7=0,0,IF(MAX($F9:ITI9)=$D12,0,ITI9+1))</f>
        <v>0</v>
      </c>
      <c r="ITK9" s="26">
        <f>IF(ITK7=0,0,IF(MAX($F9:ITJ9)=$D12,0,ITJ9+1))</f>
        <v>0</v>
      </c>
      <c r="ITL9" s="26">
        <f>IF(ITL7=0,0,IF(MAX($F9:ITK9)=$D12,0,ITK9+1))</f>
        <v>0</v>
      </c>
      <c r="ITM9" s="26">
        <f>IF(ITM7=0,0,IF(MAX($F9:ITL9)=$D12,0,ITL9+1))</f>
        <v>0</v>
      </c>
      <c r="ITN9" s="26">
        <f>IF(ITN7=0,0,IF(MAX($F9:ITM9)=$D12,0,ITM9+1))</f>
        <v>0</v>
      </c>
      <c r="ITO9" s="26">
        <f>IF(ITO7=0,0,IF(MAX($F9:ITN9)=$D12,0,ITN9+1))</f>
        <v>0</v>
      </c>
      <c r="ITP9" s="26">
        <f>IF(ITP7=0,0,IF(MAX($F9:ITO9)=$D12,0,ITO9+1))</f>
        <v>0</v>
      </c>
      <c r="ITQ9" s="26">
        <f>IF(ITQ7=0,0,IF(MAX($F9:ITP9)=$D12,0,ITP9+1))</f>
        <v>0</v>
      </c>
      <c r="ITR9" s="26">
        <f>IF(ITR7=0,0,IF(MAX($F9:ITQ9)=$D12,0,ITQ9+1))</f>
        <v>0</v>
      </c>
      <c r="ITS9" s="26">
        <f>IF(ITS7=0,0,IF(MAX($F9:ITR9)=$D12,0,ITR9+1))</f>
        <v>0</v>
      </c>
      <c r="ITT9" s="26">
        <f>IF(ITT7=0,0,IF(MAX($F9:ITS9)=$D12,0,ITS9+1))</f>
        <v>0</v>
      </c>
      <c r="ITU9" s="26">
        <f>IF(ITU7=0,0,IF(MAX($F9:ITT9)=$D12,0,ITT9+1))</f>
        <v>0</v>
      </c>
      <c r="ITV9" s="26">
        <f>IF(ITV7=0,0,IF(MAX($F9:ITU9)=$D12,0,ITU9+1))</f>
        <v>0</v>
      </c>
      <c r="ITW9" s="26">
        <f>IF(ITW7=0,0,IF(MAX($F9:ITV9)=$D12,0,ITV9+1))</f>
        <v>0</v>
      </c>
      <c r="ITX9" s="26">
        <f>IF(ITX7=0,0,IF(MAX($F9:ITW9)=$D12,0,ITW9+1))</f>
        <v>0</v>
      </c>
      <c r="ITY9" s="26">
        <f>IF(ITY7=0,0,IF(MAX($F9:ITX9)=$D12,0,ITX9+1))</f>
        <v>0</v>
      </c>
      <c r="ITZ9" s="26">
        <f>IF(ITZ7=0,0,IF(MAX($F9:ITY9)=$D12,0,ITY9+1))</f>
        <v>0</v>
      </c>
      <c r="IUA9" s="26">
        <f>IF(IUA7=0,0,IF(MAX($F9:ITZ9)=$D12,0,ITZ9+1))</f>
        <v>0</v>
      </c>
      <c r="IUB9" s="26">
        <f>IF(IUB7=0,0,IF(MAX($F9:IUA9)=$D12,0,IUA9+1))</f>
        <v>0</v>
      </c>
      <c r="IUC9" s="26">
        <f>IF(IUC7=0,0,IF(MAX($F9:IUB9)=$D12,0,IUB9+1))</f>
        <v>0</v>
      </c>
      <c r="IUD9" s="26">
        <f>IF(IUD7=0,0,IF(MAX($F9:IUC9)=$D12,0,IUC9+1))</f>
        <v>0</v>
      </c>
      <c r="IUE9" s="26">
        <f>IF(IUE7=0,0,IF(MAX($F9:IUD9)=$D12,0,IUD9+1))</f>
        <v>0</v>
      </c>
      <c r="IUF9" s="26">
        <f>IF(IUF7=0,0,IF(MAX($F9:IUE9)=$D12,0,IUE9+1))</f>
        <v>0</v>
      </c>
      <c r="IUG9" s="26">
        <f>IF(IUG7=0,0,IF(MAX($F9:IUF9)=$D12,0,IUF9+1))</f>
        <v>0</v>
      </c>
      <c r="IUH9" s="26">
        <f>IF(IUH7=0,0,IF(MAX($F9:IUG9)=$D12,0,IUG9+1))</f>
        <v>0</v>
      </c>
      <c r="IUI9" s="26">
        <f>IF(IUI7=0,0,IF(MAX($F9:IUH9)=$D12,0,IUH9+1))</f>
        <v>0</v>
      </c>
      <c r="IUJ9" s="26">
        <f>IF(IUJ7=0,0,IF(MAX($F9:IUI9)=$D12,0,IUI9+1))</f>
        <v>0</v>
      </c>
      <c r="IUK9" s="26">
        <f>IF(IUK7=0,0,IF(MAX($F9:IUJ9)=$D12,0,IUJ9+1))</f>
        <v>0</v>
      </c>
      <c r="IUL9" s="26">
        <f>IF(IUL7=0,0,IF(MAX($F9:IUK9)=$D12,0,IUK9+1))</f>
        <v>0</v>
      </c>
      <c r="IUM9" s="26">
        <f>IF(IUM7=0,0,IF(MAX($F9:IUL9)=$D12,0,IUL9+1))</f>
        <v>0</v>
      </c>
      <c r="IUN9" s="26">
        <f>IF(IUN7=0,0,IF(MAX($F9:IUM9)=$D12,0,IUM9+1))</f>
        <v>0</v>
      </c>
      <c r="IUO9" s="26">
        <f>IF(IUO7=0,0,IF(MAX($F9:IUN9)=$D12,0,IUN9+1))</f>
        <v>0</v>
      </c>
      <c r="IUP9" s="26">
        <f>IF(IUP7=0,0,IF(MAX($F9:IUO9)=$D12,0,IUO9+1))</f>
        <v>0</v>
      </c>
      <c r="IUQ9" s="26">
        <f>IF(IUQ7=0,0,IF(MAX($F9:IUP9)=$D12,0,IUP9+1))</f>
        <v>0</v>
      </c>
      <c r="IUR9" s="26">
        <f>IF(IUR7=0,0,IF(MAX($F9:IUQ9)=$D12,0,IUQ9+1))</f>
        <v>0</v>
      </c>
      <c r="IUS9" s="26">
        <f>IF(IUS7=0,0,IF(MAX($F9:IUR9)=$D12,0,IUR9+1))</f>
        <v>0</v>
      </c>
      <c r="IUT9" s="26">
        <f>IF(IUT7=0,0,IF(MAX($F9:IUS9)=$D12,0,IUS9+1))</f>
        <v>0</v>
      </c>
      <c r="IUU9" s="26">
        <f>IF(IUU7=0,0,IF(MAX($F9:IUT9)=$D12,0,IUT9+1))</f>
        <v>0</v>
      </c>
      <c r="IUV9" s="26">
        <f>IF(IUV7=0,0,IF(MAX($F9:IUU9)=$D12,0,IUU9+1))</f>
        <v>0</v>
      </c>
      <c r="IUW9" s="26">
        <f>IF(IUW7=0,0,IF(MAX($F9:IUV9)=$D12,0,IUV9+1))</f>
        <v>0</v>
      </c>
      <c r="IUX9" s="26">
        <f>IF(IUX7=0,0,IF(MAX($F9:IUW9)=$D12,0,IUW9+1))</f>
        <v>0</v>
      </c>
      <c r="IUY9" s="26">
        <f>IF(IUY7=0,0,IF(MAX($F9:IUX9)=$D12,0,IUX9+1))</f>
        <v>0</v>
      </c>
      <c r="IUZ9" s="26">
        <f>IF(IUZ7=0,0,IF(MAX($F9:IUY9)=$D12,0,IUY9+1))</f>
        <v>0</v>
      </c>
      <c r="IVA9" s="26">
        <f>IF(IVA7=0,0,IF(MAX($F9:IUZ9)=$D12,0,IUZ9+1))</f>
        <v>0</v>
      </c>
      <c r="IVB9" s="26">
        <f>IF(IVB7=0,0,IF(MAX($F9:IVA9)=$D12,0,IVA9+1))</f>
        <v>0</v>
      </c>
      <c r="IVC9" s="26">
        <f>IF(IVC7=0,0,IF(MAX($F9:IVB9)=$D12,0,IVB9+1))</f>
        <v>0</v>
      </c>
      <c r="IVD9" s="26">
        <f>IF(IVD7=0,0,IF(MAX($F9:IVC9)=$D12,0,IVC9+1))</f>
        <v>0</v>
      </c>
      <c r="IVE9" s="26">
        <f>IF(IVE7=0,0,IF(MAX($F9:IVD9)=$D12,0,IVD9+1))</f>
        <v>0</v>
      </c>
      <c r="IVF9" s="26">
        <f>IF(IVF7=0,0,IF(MAX($F9:IVE9)=$D12,0,IVE9+1))</f>
        <v>0</v>
      </c>
      <c r="IVG9" s="26">
        <f>IF(IVG7=0,0,IF(MAX($F9:IVF9)=$D12,0,IVF9+1))</f>
        <v>0</v>
      </c>
      <c r="IVH9" s="26">
        <f>IF(IVH7=0,0,IF(MAX($F9:IVG9)=$D12,0,IVG9+1))</f>
        <v>0</v>
      </c>
      <c r="IVI9" s="26">
        <f>IF(IVI7=0,0,IF(MAX($F9:IVH9)=$D12,0,IVH9+1))</f>
        <v>0</v>
      </c>
      <c r="IVJ9" s="26">
        <f>IF(IVJ7=0,0,IF(MAX($F9:IVI9)=$D12,0,IVI9+1))</f>
        <v>0</v>
      </c>
      <c r="IVK9" s="26">
        <f>IF(IVK7=0,0,IF(MAX($F9:IVJ9)=$D12,0,IVJ9+1))</f>
        <v>0</v>
      </c>
      <c r="IVL9" s="26">
        <f>IF(IVL7=0,0,IF(MAX($F9:IVK9)=$D12,0,IVK9+1))</f>
        <v>0</v>
      </c>
      <c r="IVM9" s="26">
        <f>IF(IVM7=0,0,IF(MAX($F9:IVL9)=$D12,0,IVL9+1))</f>
        <v>0</v>
      </c>
      <c r="IVN9" s="26">
        <f>IF(IVN7=0,0,IF(MAX($F9:IVM9)=$D12,0,IVM9+1))</f>
        <v>0</v>
      </c>
      <c r="IVO9" s="26">
        <f>IF(IVO7=0,0,IF(MAX($F9:IVN9)=$D12,0,IVN9+1))</f>
        <v>0</v>
      </c>
      <c r="IVP9" s="26">
        <f>IF(IVP7=0,0,IF(MAX($F9:IVO9)=$D12,0,IVO9+1))</f>
        <v>0</v>
      </c>
      <c r="IVQ9" s="26">
        <f>IF(IVQ7=0,0,IF(MAX($F9:IVP9)=$D12,0,IVP9+1))</f>
        <v>0</v>
      </c>
      <c r="IVR9" s="26">
        <f>IF(IVR7=0,0,IF(MAX($F9:IVQ9)=$D12,0,IVQ9+1))</f>
        <v>0</v>
      </c>
      <c r="IVS9" s="26">
        <f>IF(IVS7=0,0,IF(MAX($F9:IVR9)=$D12,0,IVR9+1))</f>
        <v>0</v>
      </c>
      <c r="IVT9" s="26">
        <f>IF(IVT7=0,0,IF(MAX($F9:IVS9)=$D12,0,IVS9+1))</f>
        <v>0</v>
      </c>
      <c r="IVU9" s="26">
        <f>IF(IVU7=0,0,IF(MAX($F9:IVT9)=$D12,0,IVT9+1))</f>
        <v>0</v>
      </c>
      <c r="IVV9" s="26">
        <f>IF(IVV7=0,0,IF(MAX($F9:IVU9)=$D12,0,IVU9+1))</f>
        <v>0</v>
      </c>
      <c r="IVW9" s="26">
        <f>IF(IVW7=0,0,IF(MAX($F9:IVV9)=$D12,0,IVV9+1))</f>
        <v>0</v>
      </c>
      <c r="IVX9" s="26">
        <f>IF(IVX7=0,0,IF(MAX($F9:IVW9)=$D12,0,IVW9+1))</f>
        <v>0</v>
      </c>
      <c r="IVY9" s="26">
        <f>IF(IVY7=0,0,IF(MAX($F9:IVX9)=$D12,0,IVX9+1))</f>
        <v>0</v>
      </c>
      <c r="IVZ9" s="26">
        <f>IF(IVZ7=0,0,IF(MAX($F9:IVY9)=$D12,0,IVY9+1))</f>
        <v>0</v>
      </c>
      <c r="IWA9" s="26">
        <f>IF(IWA7=0,0,IF(MAX($F9:IVZ9)=$D12,0,IVZ9+1))</f>
        <v>0</v>
      </c>
      <c r="IWB9" s="26">
        <f>IF(IWB7=0,0,IF(MAX($F9:IWA9)=$D12,0,IWA9+1))</f>
        <v>0</v>
      </c>
      <c r="IWC9" s="26">
        <f>IF(IWC7=0,0,IF(MAX($F9:IWB9)=$D12,0,IWB9+1))</f>
        <v>0</v>
      </c>
      <c r="IWD9" s="26">
        <f>IF(IWD7=0,0,IF(MAX($F9:IWC9)=$D12,0,IWC9+1))</f>
        <v>0</v>
      </c>
      <c r="IWE9" s="26">
        <f>IF(IWE7=0,0,IF(MAX($F9:IWD9)=$D12,0,IWD9+1))</f>
        <v>0</v>
      </c>
      <c r="IWF9" s="26">
        <f>IF(IWF7=0,0,IF(MAX($F9:IWE9)=$D12,0,IWE9+1))</f>
        <v>0</v>
      </c>
      <c r="IWG9" s="26">
        <f>IF(IWG7=0,0,IF(MAX($F9:IWF9)=$D12,0,IWF9+1))</f>
        <v>0</v>
      </c>
      <c r="IWH9" s="26">
        <f>IF(IWH7=0,0,IF(MAX($F9:IWG9)=$D12,0,IWG9+1))</f>
        <v>0</v>
      </c>
      <c r="IWI9" s="26">
        <f>IF(IWI7=0,0,IF(MAX($F9:IWH9)=$D12,0,IWH9+1))</f>
        <v>0</v>
      </c>
      <c r="IWJ9" s="26">
        <f>IF(IWJ7=0,0,IF(MAX($F9:IWI9)=$D12,0,IWI9+1))</f>
        <v>0</v>
      </c>
      <c r="IWK9" s="26">
        <f>IF(IWK7=0,0,IF(MAX($F9:IWJ9)=$D12,0,IWJ9+1))</f>
        <v>0</v>
      </c>
      <c r="IWL9" s="26">
        <f>IF(IWL7=0,0,IF(MAX($F9:IWK9)=$D12,0,IWK9+1))</f>
        <v>0</v>
      </c>
      <c r="IWM9" s="26">
        <f>IF(IWM7=0,0,IF(MAX($F9:IWL9)=$D12,0,IWL9+1))</f>
        <v>0</v>
      </c>
      <c r="IWN9" s="26">
        <f>IF(IWN7=0,0,IF(MAX($F9:IWM9)=$D12,0,IWM9+1))</f>
        <v>0</v>
      </c>
      <c r="IWO9" s="26">
        <f>IF(IWO7=0,0,IF(MAX($F9:IWN9)=$D12,0,IWN9+1))</f>
        <v>0</v>
      </c>
      <c r="IWP9" s="26">
        <f>IF(IWP7=0,0,IF(MAX($F9:IWO9)=$D12,0,IWO9+1))</f>
        <v>0</v>
      </c>
      <c r="IWQ9" s="26">
        <f>IF(IWQ7=0,0,IF(MAX($F9:IWP9)=$D12,0,IWP9+1))</f>
        <v>0</v>
      </c>
      <c r="IWR9" s="26">
        <f>IF(IWR7=0,0,IF(MAX($F9:IWQ9)=$D12,0,IWQ9+1))</f>
        <v>0</v>
      </c>
      <c r="IWS9" s="26">
        <f>IF(IWS7=0,0,IF(MAX($F9:IWR9)=$D12,0,IWR9+1))</f>
        <v>0</v>
      </c>
      <c r="IWT9" s="26">
        <f>IF(IWT7=0,0,IF(MAX($F9:IWS9)=$D12,0,IWS9+1))</f>
        <v>0</v>
      </c>
      <c r="IWU9" s="26">
        <f>IF(IWU7=0,0,IF(MAX($F9:IWT9)=$D12,0,IWT9+1))</f>
        <v>0</v>
      </c>
      <c r="IWV9" s="26">
        <f>IF(IWV7=0,0,IF(MAX($F9:IWU9)=$D12,0,IWU9+1))</f>
        <v>0</v>
      </c>
      <c r="IWW9" s="26">
        <f>IF(IWW7=0,0,IF(MAX($F9:IWV9)=$D12,0,IWV9+1))</f>
        <v>0</v>
      </c>
      <c r="IWX9" s="26">
        <f>IF(IWX7=0,0,IF(MAX($F9:IWW9)=$D12,0,IWW9+1))</f>
        <v>0</v>
      </c>
      <c r="IWY9" s="26">
        <f>IF(IWY7=0,0,IF(MAX($F9:IWX9)=$D12,0,IWX9+1))</f>
        <v>0</v>
      </c>
      <c r="IWZ9" s="26">
        <f>IF(IWZ7=0,0,IF(MAX($F9:IWY9)=$D12,0,IWY9+1))</f>
        <v>0</v>
      </c>
      <c r="IXA9" s="26">
        <f>IF(IXA7=0,0,IF(MAX($F9:IWZ9)=$D12,0,IWZ9+1))</f>
        <v>0</v>
      </c>
      <c r="IXB9" s="26">
        <f>IF(IXB7=0,0,IF(MAX($F9:IXA9)=$D12,0,IXA9+1))</f>
        <v>0</v>
      </c>
      <c r="IXC9" s="26">
        <f>IF(IXC7=0,0,IF(MAX($F9:IXB9)=$D12,0,IXB9+1))</f>
        <v>0</v>
      </c>
      <c r="IXD9" s="26">
        <f>IF(IXD7=0,0,IF(MAX($F9:IXC9)=$D12,0,IXC9+1))</f>
        <v>0</v>
      </c>
      <c r="IXE9" s="26">
        <f>IF(IXE7=0,0,IF(MAX($F9:IXD9)=$D12,0,IXD9+1))</f>
        <v>0</v>
      </c>
      <c r="IXF9" s="26">
        <f>IF(IXF7=0,0,IF(MAX($F9:IXE9)=$D12,0,IXE9+1))</f>
        <v>0</v>
      </c>
      <c r="IXG9" s="26">
        <f>IF(IXG7=0,0,IF(MAX($F9:IXF9)=$D12,0,IXF9+1))</f>
        <v>0</v>
      </c>
      <c r="IXH9" s="26">
        <f>IF(IXH7=0,0,IF(MAX($F9:IXG9)=$D12,0,IXG9+1))</f>
        <v>0</v>
      </c>
      <c r="IXI9" s="26">
        <f>IF(IXI7=0,0,IF(MAX($F9:IXH9)=$D12,0,IXH9+1))</f>
        <v>0</v>
      </c>
      <c r="IXJ9" s="26">
        <f>IF(IXJ7=0,0,IF(MAX($F9:IXI9)=$D12,0,IXI9+1))</f>
        <v>0</v>
      </c>
      <c r="IXK9" s="26">
        <f>IF(IXK7=0,0,IF(MAX($F9:IXJ9)=$D12,0,IXJ9+1))</f>
        <v>0</v>
      </c>
      <c r="IXL9" s="26">
        <f>IF(IXL7=0,0,IF(MAX($F9:IXK9)=$D12,0,IXK9+1))</f>
        <v>0</v>
      </c>
      <c r="IXM9" s="26">
        <f>IF(IXM7=0,0,IF(MAX($F9:IXL9)=$D12,0,IXL9+1))</f>
        <v>0</v>
      </c>
      <c r="IXN9" s="26">
        <f>IF(IXN7=0,0,IF(MAX($F9:IXM9)=$D12,0,IXM9+1))</f>
        <v>0</v>
      </c>
      <c r="IXO9" s="26">
        <f>IF(IXO7=0,0,IF(MAX($F9:IXN9)=$D12,0,IXN9+1))</f>
        <v>0</v>
      </c>
      <c r="IXP9" s="26">
        <f>IF(IXP7=0,0,IF(MAX($F9:IXO9)=$D12,0,IXO9+1))</f>
        <v>0</v>
      </c>
      <c r="IXQ9" s="26">
        <f>IF(IXQ7=0,0,IF(MAX($F9:IXP9)=$D12,0,IXP9+1))</f>
        <v>0</v>
      </c>
      <c r="IXR9" s="26">
        <f>IF(IXR7=0,0,IF(MAX($F9:IXQ9)=$D12,0,IXQ9+1))</f>
        <v>0</v>
      </c>
      <c r="IXS9" s="26">
        <f>IF(IXS7=0,0,IF(MAX($F9:IXR9)=$D12,0,IXR9+1))</f>
        <v>0</v>
      </c>
      <c r="IXT9" s="26">
        <f>IF(IXT7=0,0,IF(MAX($F9:IXS9)=$D12,0,IXS9+1))</f>
        <v>0</v>
      </c>
      <c r="IXU9" s="26">
        <f>IF(IXU7=0,0,IF(MAX($F9:IXT9)=$D12,0,IXT9+1))</f>
        <v>0</v>
      </c>
      <c r="IXV9" s="26">
        <f>IF(IXV7=0,0,IF(MAX($F9:IXU9)=$D12,0,IXU9+1))</f>
        <v>0</v>
      </c>
      <c r="IXW9" s="26">
        <f>IF(IXW7=0,0,IF(MAX($F9:IXV9)=$D12,0,IXV9+1))</f>
        <v>0</v>
      </c>
      <c r="IXX9" s="26">
        <f>IF(IXX7=0,0,IF(MAX($F9:IXW9)=$D12,0,IXW9+1))</f>
        <v>0</v>
      </c>
      <c r="IXY9" s="26">
        <f>IF(IXY7=0,0,IF(MAX($F9:IXX9)=$D12,0,IXX9+1))</f>
        <v>0</v>
      </c>
      <c r="IXZ9" s="26">
        <f>IF(IXZ7=0,0,IF(MAX($F9:IXY9)=$D12,0,IXY9+1))</f>
        <v>0</v>
      </c>
      <c r="IYA9" s="26">
        <f>IF(IYA7=0,0,IF(MAX($F9:IXZ9)=$D12,0,IXZ9+1))</f>
        <v>0</v>
      </c>
      <c r="IYB9" s="26">
        <f>IF(IYB7=0,0,IF(MAX($F9:IYA9)=$D12,0,IYA9+1))</f>
        <v>0</v>
      </c>
      <c r="IYC9" s="26">
        <f>IF(IYC7=0,0,IF(MAX($F9:IYB9)=$D12,0,IYB9+1))</f>
        <v>0</v>
      </c>
      <c r="IYD9" s="26">
        <f>IF(IYD7=0,0,IF(MAX($F9:IYC9)=$D12,0,IYC9+1))</f>
        <v>0</v>
      </c>
      <c r="IYE9" s="26">
        <f>IF(IYE7=0,0,IF(MAX($F9:IYD9)=$D12,0,IYD9+1))</f>
        <v>0</v>
      </c>
      <c r="IYF9" s="26">
        <f>IF(IYF7=0,0,IF(MAX($F9:IYE9)=$D12,0,IYE9+1))</f>
        <v>0</v>
      </c>
      <c r="IYG9" s="26">
        <f>IF(IYG7=0,0,IF(MAX($F9:IYF9)=$D12,0,IYF9+1))</f>
        <v>0</v>
      </c>
      <c r="IYH9" s="26">
        <f>IF(IYH7=0,0,IF(MAX($F9:IYG9)=$D12,0,IYG9+1))</f>
        <v>0</v>
      </c>
      <c r="IYI9" s="26">
        <f>IF(IYI7=0,0,IF(MAX($F9:IYH9)=$D12,0,IYH9+1))</f>
        <v>0</v>
      </c>
      <c r="IYJ9" s="26">
        <f>IF(IYJ7=0,0,IF(MAX($F9:IYI9)=$D12,0,IYI9+1))</f>
        <v>0</v>
      </c>
      <c r="IYK9" s="26">
        <f>IF(IYK7=0,0,IF(MAX($F9:IYJ9)=$D12,0,IYJ9+1))</f>
        <v>0</v>
      </c>
      <c r="IYL9" s="26">
        <f>IF(IYL7=0,0,IF(MAX($F9:IYK9)=$D12,0,IYK9+1))</f>
        <v>0</v>
      </c>
      <c r="IYM9" s="26">
        <f>IF(IYM7=0,0,IF(MAX($F9:IYL9)=$D12,0,IYL9+1))</f>
        <v>0</v>
      </c>
      <c r="IYN9" s="26">
        <f>IF(IYN7=0,0,IF(MAX($F9:IYM9)=$D12,0,IYM9+1))</f>
        <v>0</v>
      </c>
      <c r="IYO9" s="26">
        <f>IF(IYO7=0,0,IF(MAX($F9:IYN9)=$D12,0,IYN9+1))</f>
        <v>0</v>
      </c>
      <c r="IYP9" s="26">
        <f>IF(IYP7=0,0,IF(MAX($F9:IYO9)=$D12,0,IYO9+1))</f>
        <v>0</v>
      </c>
      <c r="IYQ9" s="26">
        <f>IF(IYQ7=0,0,IF(MAX($F9:IYP9)=$D12,0,IYP9+1))</f>
        <v>0</v>
      </c>
      <c r="IYR9" s="26">
        <f>IF(IYR7=0,0,IF(MAX($F9:IYQ9)=$D12,0,IYQ9+1))</f>
        <v>0</v>
      </c>
      <c r="IYS9" s="26">
        <f>IF(IYS7=0,0,IF(MAX($F9:IYR9)=$D12,0,IYR9+1))</f>
        <v>0</v>
      </c>
      <c r="IYT9" s="26">
        <f>IF(IYT7=0,0,IF(MAX($F9:IYS9)=$D12,0,IYS9+1))</f>
        <v>0</v>
      </c>
      <c r="IYU9" s="26">
        <f>IF(IYU7=0,0,IF(MAX($F9:IYT9)=$D12,0,IYT9+1))</f>
        <v>0</v>
      </c>
      <c r="IYV9" s="26">
        <f>IF(IYV7=0,0,IF(MAX($F9:IYU9)=$D12,0,IYU9+1))</f>
        <v>0</v>
      </c>
      <c r="IYW9" s="26">
        <f>IF(IYW7=0,0,IF(MAX($F9:IYV9)=$D12,0,IYV9+1))</f>
        <v>0</v>
      </c>
      <c r="IYX9" s="26">
        <f>IF(IYX7=0,0,IF(MAX($F9:IYW9)=$D12,0,IYW9+1))</f>
        <v>0</v>
      </c>
      <c r="IYY9" s="26">
        <f>IF(IYY7=0,0,IF(MAX($F9:IYX9)=$D12,0,IYX9+1))</f>
        <v>0</v>
      </c>
      <c r="IYZ9" s="26">
        <f>IF(IYZ7=0,0,IF(MAX($F9:IYY9)=$D12,0,IYY9+1))</f>
        <v>0</v>
      </c>
      <c r="IZA9" s="26">
        <f>IF(IZA7=0,0,IF(MAX($F9:IYZ9)=$D12,0,IYZ9+1))</f>
        <v>0</v>
      </c>
      <c r="IZB9" s="26">
        <f>IF(IZB7=0,0,IF(MAX($F9:IZA9)=$D12,0,IZA9+1))</f>
        <v>0</v>
      </c>
      <c r="IZC9" s="26">
        <f>IF(IZC7=0,0,IF(MAX($F9:IZB9)=$D12,0,IZB9+1))</f>
        <v>0</v>
      </c>
      <c r="IZD9" s="26">
        <f>IF(IZD7=0,0,IF(MAX($F9:IZC9)=$D12,0,IZC9+1))</f>
        <v>0</v>
      </c>
      <c r="IZE9" s="26">
        <f>IF(IZE7=0,0,IF(MAX($F9:IZD9)=$D12,0,IZD9+1))</f>
        <v>0</v>
      </c>
      <c r="IZF9" s="26">
        <f>IF(IZF7=0,0,IF(MAX($F9:IZE9)=$D12,0,IZE9+1))</f>
        <v>0</v>
      </c>
      <c r="IZG9" s="26">
        <f>IF(IZG7=0,0,IF(MAX($F9:IZF9)=$D12,0,IZF9+1))</f>
        <v>0</v>
      </c>
      <c r="IZH9" s="26">
        <f>IF(IZH7=0,0,IF(MAX($F9:IZG9)=$D12,0,IZG9+1))</f>
        <v>0</v>
      </c>
      <c r="IZI9" s="26">
        <f>IF(IZI7=0,0,IF(MAX($F9:IZH9)=$D12,0,IZH9+1))</f>
        <v>0</v>
      </c>
      <c r="IZJ9" s="26">
        <f>IF(IZJ7=0,0,IF(MAX($F9:IZI9)=$D12,0,IZI9+1))</f>
        <v>0</v>
      </c>
      <c r="IZK9" s="26">
        <f>IF(IZK7=0,0,IF(MAX($F9:IZJ9)=$D12,0,IZJ9+1))</f>
        <v>0</v>
      </c>
      <c r="IZL9" s="26">
        <f>IF(IZL7=0,0,IF(MAX($F9:IZK9)=$D12,0,IZK9+1))</f>
        <v>0</v>
      </c>
      <c r="IZM9" s="26">
        <f>IF(IZM7=0,0,IF(MAX($F9:IZL9)=$D12,0,IZL9+1))</f>
        <v>0</v>
      </c>
      <c r="IZN9" s="26">
        <f>IF(IZN7=0,0,IF(MAX($F9:IZM9)=$D12,0,IZM9+1))</f>
        <v>0</v>
      </c>
      <c r="IZO9" s="26">
        <f>IF(IZO7=0,0,IF(MAX($F9:IZN9)=$D12,0,IZN9+1))</f>
        <v>0</v>
      </c>
      <c r="IZP9" s="26">
        <f>IF(IZP7=0,0,IF(MAX($F9:IZO9)=$D12,0,IZO9+1))</f>
        <v>0</v>
      </c>
      <c r="IZQ9" s="26">
        <f>IF(IZQ7=0,0,IF(MAX($F9:IZP9)=$D12,0,IZP9+1))</f>
        <v>0</v>
      </c>
      <c r="IZR9" s="26">
        <f>IF(IZR7=0,0,IF(MAX($F9:IZQ9)=$D12,0,IZQ9+1))</f>
        <v>0</v>
      </c>
      <c r="IZS9" s="26">
        <f>IF(IZS7=0,0,IF(MAX($F9:IZR9)=$D12,0,IZR9+1))</f>
        <v>0</v>
      </c>
      <c r="IZT9" s="26">
        <f>IF(IZT7=0,0,IF(MAX($F9:IZS9)=$D12,0,IZS9+1))</f>
        <v>0</v>
      </c>
      <c r="IZU9" s="26">
        <f>IF(IZU7=0,0,IF(MAX($F9:IZT9)=$D12,0,IZT9+1))</f>
        <v>0</v>
      </c>
      <c r="IZV9" s="26">
        <f>IF(IZV7=0,0,IF(MAX($F9:IZU9)=$D12,0,IZU9+1))</f>
        <v>0</v>
      </c>
      <c r="IZW9" s="26">
        <f>IF(IZW7=0,0,IF(MAX($F9:IZV9)=$D12,0,IZV9+1))</f>
        <v>0</v>
      </c>
      <c r="IZX9" s="26">
        <f>IF(IZX7=0,0,IF(MAX($F9:IZW9)=$D12,0,IZW9+1))</f>
        <v>0</v>
      </c>
      <c r="IZY9" s="26">
        <f>IF(IZY7=0,0,IF(MAX($F9:IZX9)=$D12,0,IZX9+1))</f>
        <v>0</v>
      </c>
      <c r="IZZ9" s="26">
        <f>IF(IZZ7=0,0,IF(MAX($F9:IZY9)=$D12,0,IZY9+1))</f>
        <v>0</v>
      </c>
      <c r="JAA9" s="26">
        <f>IF(JAA7=0,0,IF(MAX($F9:IZZ9)=$D12,0,IZZ9+1))</f>
        <v>0</v>
      </c>
      <c r="JAB9" s="26">
        <f>IF(JAB7=0,0,IF(MAX($F9:JAA9)=$D12,0,JAA9+1))</f>
        <v>0</v>
      </c>
      <c r="JAC9" s="26">
        <f>IF(JAC7=0,0,IF(MAX($F9:JAB9)=$D12,0,JAB9+1))</f>
        <v>0</v>
      </c>
      <c r="JAD9" s="26">
        <f>IF(JAD7=0,0,IF(MAX($F9:JAC9)=$D12,0,JAC9+1))</f>
        <v>0</v>
      </c>
      <c r="JAE9" s="26">
        <f>IF(JAE7=0,0,IF(MAX($F9:JAD9)=$D12,0,JAD9+1))</f>
        <v>0</v>
      </c>
      <c r="JAF9" s="26">
        <f>IF(JAF7=0,0,IF(MAX($F9:JAE9)=$D12,0,JAE9+1))</f>
        <v>0</v>
      </c>
      <c r="JAG9" s="26">
        <f>IF(JAG7=0,0,IF(MAX($F9:JAF9)=$D12,0,JAF9+1))</f>
        <v>0</v>
      </c>
      <c r="JAH9" s="26">
        <f>IF(JAH7=0,0,IF(MAX($F9:JAG9)=$D12,0,JAG9+1))</f>
        <v>0</v>
      </c>
      <c r="JAI9" s="26">
        <f>IF(JAI7=0,0,IF(MAX($F9:JAH9)=$D12,0,JAH9+1))</f>
        <v>0</v>
      </c>
      <c r="JAJ9" s="26">
        <f>IF(JAJ7=0,0,IF(MAX($F9:JAI9)=$D12,0,JAI9+1))</f>
        <v>0</v>
      </c>
      <c r="JAK9" s="26">
        <f>IF(JAK7=0,0,IF(MAX($F9:JAJ9)=$D12,0,JAJ9+1))</f>
        <v>0</v>
      </c>
      <c r="JAL9" s="26">
        <f>IF(JAL7=0,0,IF(MAX($F9:JAK9)=$D12,0,JAK9+1))</f>
        <v>0</v>
      </c>
      <c r="JAM9" s="26">
        <f>IF(JAM7=0,0,IF(MAX($F9:JAL9)=$D12,0,JAL9+1))</f>
        <v>0</v>
      </c>
      <c r="JAN9" s="26">
        <f>IF(JAN7=0,0,IF(MAX($F9:JAM9)=$D12,0,JAM9+1))</f>
        <v>0</v>
      </c>
      <c r="JAO9" s="26">
        <f>IF(JAO7=0,0,IF(MAX($F9:JAN9)=$D12,0,JAN9+1))</f>
        <v>0</v>
      </c>
      <c r="JAP9" s="26">
        <f>IF(JAP7=0,0,IF(MAX($F9:JAO9)=$D12,0,JAO9+1))</f>
        <v>0</v>
      </c>
      <c r="JAQ9" s="26">
        <f>IF(JAQ7=0,0,IF(MAX($F9:JAP9)=$D12,0,JAP9+1))</f>
        <v>0</v>
      </c>
      <c r="JAR9" s="26">
        <f>IF(JAR7=0,0,IF(MAX($F9:JAQ9)=$D12,0,JAQ9+1))</f>
        <v>0</v>
      </c>
      <c r="JAS9" s="26">
        <f>IF(JAS7=0,0,IF(MAX($F9:JAR9)=$D12,0,JAR9+1))</f>
        <v>0</v>
      </c>
      <c r="JAT9" s="26">
        <f>IF(JAT7=0,0,IF(MAX($F9:JAS9)=$D12,0,JAS9+1))</f>
        <v>0</v>
      </c>
      <c r="JAU9" s="26">
        <f>IF(JAU7=0,0,IF(MAX($F9:JAT9)=$D12,0,JAT9+1))</f>
        <v>0</v>
      </c>
      <c r="JAV9" s="26">
        <f>IF(JAV7=0,0,IF(MAX($F9:JAU9)=$D12,0,JAU9+1))</f>
        <v>0</v>
      </c>
      <c r="JAW9" s="26">
        <f>IF(JAW7=0,0,IF(MAX($F9:JAV9)=$D12,0,JAV9+1))</f>
        <v>0</v>
      </c>
      <c r="JAX9" s="26">
        <f>IF(JAX7=0,0,IF(MAX($F9:JAW9)=$D12,0,JAW9+1))</f>
        <v>0</v>
      </c>
      <c r="JAY9" s="26">
        <f>IF(JAY7=0,0,IF(MAX($F9:JAX9)=$D12,0,JAX9+1))</f>
        <v>0</v>
      </c>
      <c r="JAZ9" s="26">
        <f>IF(JAZ7=0,0,IF(MAX($F9:JAY9)=$D12,0,JAY9+1))</f>
        <v>0</v>
      </c>
      <c r="JBA9" s="26">
        <f>IF(JBA7=0,0,IF(MAX($F9:JAZ9)=$D12,0,JAZ9+1))</f>
        <v>0</v>
      </c>
      <c r="JBB9" s="26">
        <f>IF(JBB7=0,0,IF(MAX($F9:JBA9)=$D12,0,JBA9+1))</f>
        <v>0</v>
      </c>
      <c r="JBC9" s="26">
        <f>IF(JBC7=0,0,IF(MAX($F9:JBB9)=$D12,0,JBB9+1))</f>
        <v>0</v>
      </c>
      <c r="JBD9" s="26">
        <f>IF(JBD7=0,0,IF(MAX($F9:JBC9)=$D12,0,JBC9+1))</f>
        <v>0</v>
      </c>
      <c r="JBE9" s="26">
        <f>IF(JBE7=0,0,IF(MAX($F9:JBD9)=$D12,0,JBD9+1))</f>
        <v>0</v>
      </c>
      <c r="JBF9" s="26">
        <f>IF(JBF7=0,0,IF(MAX($F9:JBE9)=$D12,0,JBE9+1))</f>
        <v>0</v>
      </c>
      <c r="JBG9" s="26">
        <f>IF(JBG7=0,0,IF(MAX($F9:JBF9)=$D12,0,JBF9+1))</f>
        <v>0</v>
      </c>
      <c r="JBH9" s="26">
        <f>IF(JBH7=0,0,IF(MAX($F9:JBG9)=$D12,0,JBG9+1))</f>
        <v>0</v>
      </c>
      <c r="JBI9" s="26">
        <f>IF(JBI7=0,0,IF(MAX($F9:JBH9)=$D12,0,JBH9+1))</f>
        <v>0</v>
      </c>
      <c r="JBJ9" s="26">
        <f>IF(JBJ7=0,0,IF(MAX($F9:JBI9)=$D12,0,JBI9+1))</f>
        <v>0</v>
      </c>
      <c r="JBK9" s="26">
        <f>IF(JBK7=0,0,IF(MAX($F9:JBJ9)=$D12,0,JBJ9+1))</f>
        <v>0</v>
      </c>
      <c r="JBL9" s="26">
        <f>IF(JBL7=0,0,IF(MAX($F9:JBK9)=$D12,0,JBK9+1))</f>
        <v>0</v>
      </c>
      <c r="JBM9" s="26">
        <f>IF(JBM7=0,0,IF(MAX($F9:JBL9)=$D12,0,JBL9+1))</f>
        <v>0</v>
      </c>
      <c r="JBN9" s="26">
        <f>IF(JBN7=0,0,IF(MAX($F9:JBM9)=$D12,0,JBM9+1))</f>
        <v>0</v>
      </c>
      <c r="JBO9" s="26">
        <f>IF(JBO7=0,0,IF(MAX($F9:JBN9)=$D12,0,JBN9+1))</f>
        <v>0</v>
      </c>
      <c r="JBP9" s="26">
        <f>IF(JBP7=0,0,IF(MAX($F9:JBO9)=$D12,0,JBO9+1))</f>
        <v>0</v>
      </c>
      <c r="JBQ9" s="26">
        <f>IF(JBQ7=0,0,IF(MAX($F9:JBP9)=$D12,0,JBP9+1))</f>
        <v>0</v>
      </c>
      <c r="JBR9" s="26">
        <f>IF(JBR7=0,0,IF(MAX($F9:JBQ9)=$D12,0,JBQ9+1))</f>
        <v>0</v>
      </c>
      <c r="JBS9" s="26">
        <f>IF(JBS7=0,0,IF(MAX($F9:JBR9)=$D12,0,JBR9+1))</f>
        <v>0</v>
      </c>
      <c r="JBT9" s="26">
        <f>IF(JBT7=0,0,IF(MAX($F9:JBS9)=$D12,0,JBS9+1))</f>
        <v>0</v>
      </c>
      <c r="JBU9" s="26">
        <f>IF(JBU7=0,0,IF(MAX($F9:JBT9)=$D12,0,JBT9+1))</f>
        <v>0</v>
      </c>
      <c r="JBV9" s="26">
        <f>IF(JBV7=0,0,IF(MAX($F9:JBU9)=$D12,0,JBU9+1))</f>
        <v>0</v>
      </c>
      <c r="JBW9" s="26">
        <f>IF(JBW7=0,0,IF(MAX($F9:JBV9)=$D12,0,JBV9+1))</f>
        <v>0</v>
      </c>
      <c r="JBX9" s="26">
        <f>IF(JBX7=0,0,IF(MAX($F9:JBW9)=$D12,0,JBW9+1))</f>
        <v>0</v>
      </c>
      <c r="JBY9" s="26">
        <f>IF(JBY7=0,0,IF(MAX($F9:JBX9)=$D12,0,JBX9+1))</f>
        <v>0</v>
      </c>
      <c r="JBZ9" s="26">
        <f>IF(JBZ7=0,0,IF(MAX($F9:JBY9)=$D12,0,JBY9+1))</f>
        <v>0</v>
      </c>
      <c r="JCA9" s="26">
        <f>IF(JCA7=0,0,IF(MAX($F9:JBZ9)=$D12,0,JBZ9+1))</f>
        <v>0</v>
      </c>
      <c r="JCB9" s="26">
        <f>IF(JCB7=0,0,IF(MAX($F9:JCA9)=$D12,0,JCA9+1))</f>
        <v>0</v>
      </c>
      <c r="JCC9" s="26">
        <f>IF(JCC7=0,0,IF(MAX($F9:JCB9)=$D12,0,JCB9+1))</f>
        <v>0</v>
      </c>
      <c r="JCD9" s="26">
        <f>IF(JCD7=0,0,IF(MAX($F9:JCC9)=$D12,0,JCC9+1))</f>
        <v>0</v>
      </c>
      <c r="JCE9" s="26">
        <f>IF(JCE7=0,0,IF(MAX($F9:JCD9)=$D12,0,JCD9+1))</f>
        <v>0</v>
      </c>
      <c r="JCF9" s="26">
        <f>IF(JCF7=0,0,IF(MAX($F9:JCE9)=$D12,0,JCE9+1))</f>
        <v>0</v>
      </c>
      <c r="JCG9" s="26">
        <f>IF(JCG7=0,0,IF(MAX($F9:JCF9)=$D12,0,JCF9+1))</f>
        <v>0</v>
      </c>
      <c r="JCH9" s="26">
        <f>IF(JCH7=0,0,IF(MAX($F9:JCG9)=$D12,0,JCG9+1))</f>
        <v>0</v>
      </c>
      <c r="JCI9" s="26">
        <f>IF(JCI7=0,0,IF(MAX($F9:JCH9)=$D12,0,JCH9+1))</f>
        <v>0</v>
      </c>
      <c r="JCJ9" s="26">
        <f>IF(JCJ7=0,0,IF(MAX($F9:JCI9)=$D12,0,JCI9+1))</f>
        <v>0</v>
      </c>
      <c r="JCK9" s="26">
        <f>IF(JCK7=0,0,IF(MAX($F9:JCJ9)=$D12,0,JCJ9+1))</f>
        <v>0</v>
      </c>
      <c r="JCL9" s="26">
        <f>IF(JCL7=0,0,IF(MAX($F9:JCK9)=$D12,0,JCK9+1))</f>
        <v>0</v>
      </c>
      <c r="JCM9" s="26">
        <f>IF(JCM7=0,0,IF(MAX($F9:JCL9)=$D12,0,JCL9+1))</f>
        <v>0</v>
      </c>
      <c r="JCN9" s="26">
        <f>IF(JCN7=0,0,IF(MAX($F9:JCM9)=$D12,0,JCM9+1))</f>
        <v>0</v>
      </c>
      <c r="JCO9" s="26">
        <f>IF(JCO7=0,0,IF(MAX($F9:JCN9)=$D12,0,JCN9+1))</f>
        <v>0</v>
      </c>
      <c r="JCP9" s="26">
        <f>IF(JCP7=0,0,IF(MAX($F9:JCO9)=$D12,0,JCO9+1))</f>
        <v>0</v>
      </c>
      <c r="JCQ9" s="26">
        <f>IF(JCQ7=0,0,IF(MAX($F9:JCP9)=$D12,0,JCP9+1))</f>
        <v>0</v>
      </c>
      <c r="JCR9" s="26">
        <f>IF(JCR7=0,0,IF(MAX($F9:JCQ9)=$D12,0,JCQ9+1))</f>
        <v>0</v>
      </c>
      <c r="JCS9" s="26">
        <f>IF(JCS7=0,0,IF(MAX($F9:JCR9)=$D12,0,JCR9+1))</f>
        <v>0</v>
      </c>
      <c r="JCT9" s="26">
        <f>IF(JCT7=0,0,IF(MAX($F9:JCS9)=$D12,0,JCS9+1))</f>
        <v>0</v>
      </c>
      <c r="JCU9" s="26">
        <f>IF(JCU7=0,0,IF(MAX($F9:JCT9)=$D12,0,JCT9+1))</f>
        <v>0</v>
      </c>
      <c r="JCV9" s="26">
        <f>IF(JCV7=0,0,IF(MAX($F9:JCU9)=$D12,0,JCU9+1))</f>
        <v>0</v>
      </c>
      <c r="JCW9" s="26">
        <f>IF(JCW7=0,0,IF(MAX($F9:JCV9)=$D12,0,JCV9+1))</f>
        <v>0</v>
      </c>
      <c r="JCX9" s="26">
        <f>IF(JCX7=0,0,IF(MAX($F9:JCW9)=$D12,0,JCW9+1))</f>
        <v>0</v>
      </c>
      <c r="JCY9" s="26">
        <f>IF(JCY7=0,0,IF(MAX($F9:JCX9)=$D12,0,JCX9+1))</f>
        <v>0</v>
      </c>
      <c r="JCZ9" s="26">
        <f>IF(JCZ7=0,0,IF(MAX($F9:JCY9)=$D12,0,JCY9+1))</f>
        <v>0</v>
      </c>
      <c r="JDA9" s="26">
        <f>IF(JDA7=0,0,IF(MAX($F9:JCZ9)=$D12,0,JCZ9+1))</f>
        <v>0</v>
      </c>
      <c r="JDB9" s="26">
        <f>IF(JDB7=0,0,IF(MAX($F9:JDA9)=$D12,0,JDA9+1))</f>
        <v>0</v>
      </c>
      <c r="JDC9" s="26">
        <f>IF(JDC7=0,0,IF(MAX($F9:JDB9)=$D12,0,JDB9+1))</f>
        <v>0</v>
      </c>
      <c r="JDD9" s="26">
        <f>IF(JDD7=0,0,IF(MAX($F9:JDC9)=$D12,0,JDC9+1))</f>
        <v>0</v>
      </c>
      <c r="JDE9" s="26">
        <f>IF(JDE7=0,0,IF(MAX($F9:JDD9)=$D12,0,JDD9+1))</f>
        <v>0</v>
      </c>
      <c r="JDF9" s="26">
        <f>IF(JDF7=0,0,IF(MAX($F9:JDE9)=$D12,0,JDE9+1))</f>
        <v>0</v>
      </c>
      <c r="JDG9" s="26">
        <f>IF(JDG7=0,0,IF(MAX($F9:JDF9)=$D12,0,JDF9+1))</f>
        <v>0</v>
      </c>
      <c r="JDH9" s="26">
        <f>IF(JDH7=0,0,IF(MAX($F9:JDG9)=$D12,0,JDG9+1))</f>
        <v>0</v>
      </c>
      <c r="JDI9" s="26">
        <f>IF(JDI7=0,0,IF(MAX($F9:JDH9)=$D12,0,JDH9+1))</f>
        <v>0</v>
      </c>
      <c r="JDJ9" s="26">
        <f>IF(JDJ7=0,0,IF(MAX($F9:JDI9)=$D12,0,JDI9+1))</f>
        <v>0</v>
      </c>
      <c r="JDK9" s="26">
        <f>IF(JDK7=0,0,IF(MAX($F9:JDJ9)=$D12,0,JDJ9+1))</f>
        <v>0</v>
      </c>
      <c r="JDL9" s="26">
        <f>IF(JDL7=0,0,IF(MAX($F9:JDK9)=$D12,0,JDK9+1))</f>
        <v>0</v>
      </c>
      <c r="JDM9" s="26">
        <f>IF(JDM7=0,0,IF(MAX($F9:JDL9)=$D12,0,JDL9+1))</f>
        <v>0</v>
      </c>
      <c r="JDN9" s="26">
        <f>IF(JDN7=0,0,IF(MAX($F9:JDM9)=$D12,0,JDM9+1))</f>
        <v>0</v>
      </c>
      <c r="JDO9" s="26">
        <f>IF(JDO7=0,0,IF(MAX($F9:JDN9)=$D12,0,JDN9+1))</f>
        <v>0</v>
      </c>
      <c r="JDP9" s="26">
        <f>IF(JDP7=0,0,IF(MAX($F9:JDO9)=$D12,0,JDO9+1))</f>
        <v>0</v>
      </c>
      <c r="JDQ9" s="26">
        <f>IF(JDQ7=0,0,IF(MAX($F9:JDP9)=$D12,0,JDP9+1))</f>
        <v>0</v>
      </c>
      <c r="JDR9" s="26">
        <f>IF(JDR7=0,0,IF(MAX($F9:JDQ9)=$D12,0,JDQ9+1))</f>
        <v>0</v>
      </c>
      <c r="JDS9" s="26">
        <f>IF(JDS7=0,0,IF(MAX($F9:JDR9)=$D12,0,JDR9+1))</f>
        <v>0</v>
      </c>
      <c r="JDT9" s="26">
        <f>IF(JDT7=0,0,IF(MAX($F9:JDS9)=$D12,0,JDS9+1))</f>
        <v>0</v>
      </c>
      <c r="JDU9" s="26">
        <f>IF(JDU7=0,0,IF(MAX($F9:JDT9)=$D12,0,JDT9+1))</f>
        <v>0</v>
      </c>
      <c r="JDV9" s="26">
        <f>IF(JDV7=0,0,IF(MAX($F9:JDU9)=$D12,0,JDU9+1))</f>
        <v>0</v>
      </c>
      <c r="JDW9" s="26">
        <f>IF(JDW7=0,0,IF(MAX($F9:JDV9)=$D12,0,JDV9+1))</f>
        <v>0</v>
      </c>
      <c r="JDX9" s="26">
        <f>IF(JDX7=0,0,IF(MAX($F9:JDW9)=$D12,0,JDW9+1))</f>
        <v>0</v>
      </c>
      <c r="JDY9" s="26">
        <f>IF(JDY7=0,0,IF(MAX($F9:JDX9)=$D12,0,JDX9+1))</f>
        <v>0</v>
      </c>
      <c r="JDZ9" s="26">
        <f>IF(JDZ7=0,0,IF(MAX($F9:JDY9)=$D12,0,JDY9+1))</f>
        <v>0</v>
      </c>
      <c r="JEA9" s="26">
        <f>IF(JEA7=0,0,IF(MAX($F9:JDZ9)=$D12,0,JDZ9+1))</f>
        <v>0</v>
      </c>
      <c r="JEB9" s="26">
        <f>IF(JEB7=0,0,IF(MAX($F9:JEA9)=$D12,0,JEA9+1))</f>
        <v>0</v>
      </c>
      <c r="JEC9" s="26">
        <f>IF(JEC7=0,0,IF(MAX($F9:JEB9)=$D12,0,JEB9+1))</f>
        <v>0</v>
      </c>
      <c r="JED9" s="26">
        <f>IF(JED7=0,0,IF(MAX($F9:JEC9)=$D12,0,JEC9+1))</f>
        <v>0</v>
      </c>
      <c r="JEE9" s="26">
        <f>IF(JEE7=0,0,IF(MAX($F9:JED9)=$D12,0,JED9+1))</f>
        <v>0</v>
      </c>
      <c r="JEF9" s="26">
        <f>IF(JEF7=0,0,IF(MAX($F9:JEE9)=$D12,0,JEE9+1))</f>
        <v>0</v>
      </c>
      <c r="JEG9" s="26">
        <f>IF(JEG7=0,0,IF(MAX($F9:JEF9)=$D12,0,JEF9+1))</f>
        <v>0</v>
      </c>
      <c r="JEH9" s="26">
        <f>IF(JEH7=0,0,IF(MAX($F9:JEG9)=$D12,0,JEG9+1))</f>
        <v>0</v>
      </c>
      <c r="JEI9" s="26">
        <f>IF(JEI7=0,0,IF(MAX($F9:JEH9)=$D12,0,JEH9+1))</f>
        <v>0</v>
      </c>
      <c r="JEJ9" s="26">
        <f>IF(JEJ7=0,0,IF(MAX($F9:JEI9)=$D12,0,JEI9+1))</f>
        <v>0</v>
      </c>
      <c r="JEK9" s="26">
        <f>IF(JEK7=0,0,IF(MAX($F9:JEJ9)=$D12,0,JEJ9+1))</f>
        <v>0</v>
      </c>
      <c r="JEL9" s="26">
        <f>IF(JEL7=0,0,IF(MAX($F9:JEK9)=$D12,0,JEK9+1))</f>
        <v>0</v>
      </c>
      <c r="JEM9" s="26">
        <f>IF(JEM7=0,0,IF(MAX($F9:JEL9)=$D12,0,JEL9+1))</f>
        <v>0</v>
      </c>
      <c r="JEN9" s="26">
        <f>IF(JEN7=0,0,IF(MAX($F9:JEM9)=$D12,0,JEM9+1))</f>
        <v>0</v>
      </c>
      <c r="JEO9" s="26">
        <f>IF(JEO7=0,0,IF(MAX($F9:JEN9)=$D12,0,JEN9+1))</f>
        <v>0</v>
      </c>
      <c r="JEP9" s="26">
        <f>IF(JEP7=0,0,IF(MAX($F9:JEO9)=$D12,0,JEO9+1))</f>
        <v>0</v>
      </c>
      <c r="JEQ9" s="26">
        <f>IF(JEQ7=0,0,IF(MAX($F9:JEP9)=$D12,0,JEP9+1))</f>
        <v>0</v>
      </c>
      <c r="JER9" s="26">
        <f>IF(JER7=0,0,IF(MAX($F9:JEQ9)=$D12,0,JEQ9+1))</f>
        <v>0</v>
      </c>
      <c r="JES9" s="26">
        <f>IF(JES7=0,0,IF(MAX($F9:JER9)=$D12,0,JER9+1))</f>
        <v>0</v>
      </c>
      <c r="JET9" s="26">
        <f>IF(JET7=0,0,IF(MAX($F9:JES9)=$D12,0,JES9+1))</f>
        <v>0</v>
      </c>
      <c r="JEU9" s="26">
        <f>IF(JEU7=0,0,IF(MAX($F9:JET9)=$D12,0,JET9+1))</f>
        <v>0</v>
      </c>
      <c r="JEV9" s="26">
        <f>IF(JEV7=0,0,IF(MAX($F9:JEU9)=$D12,0,JEU9+1))</f>
        <v>0</v>
      </c>
      <c r="JEW9" s="26">
        <f>IF(JEW7=0,0,IF(MAX($F9:JEV9)=$D12,0,JEV9+1))</f>
        <v>0</v>
      </c>
      <c r="JEX9" s="26">
        <f>IF(JEX7=0,0,IF(MAX($F9:JEW9)=$D12,0,JEW9+1))</f>
        <v>0</v>
      </c>
      <c r="JEY9" s="26">
        <f>IF(JEY7=0,0,IF(MAX($F9:JEX9)=$D12,0,JEX9+1))</f>
        <v>0</v>
      </c>
      <c r="JEZ9" s="26">
        <f>IF(JEZ7=0,0,IF(MAX($F9:JEY9)=$D12,0,JEY9+1))</f>
        <v>0</v>
      </c>
      <c r="JFA9" s="26">
        <f>IF(JFA7=0,0,IF(MAX($F9:JEZ9)=$D12,0,JEZ9+1))</f>
        <v>0</v>
      </c>
      <c r="JFB9" s="26">
        <f>IF(JFB7=0,0,IF(MAX($F9:JFA9)=$D12,0,JFA9+1))</f>
        <v>0</v>
      </c>
      <c r="JFC9" s="26">
        <f>IF(JFC7=0,0,IF(MAX($F9:JFB9)=$D12,0,JFB9+1))</f>
        <v>0</v>
      </c>
      <c r="JFD9" s="26">
        <f>IF(JFD7=0,0,IF(MAX($F9:JFC9)=$D12,0,JFC9+1))</f>
        <v>0</v>
      </c>
      <c r="JFE9" s="26">
        <f>IF(JFE7=0,0,IF(MAX($F9:JFD9)=$D12,0,JFD9+1))</f>
        <v>0</v>
      </c>
      <c r="JFF9" s="26">
        <f>IF(JFF7=0,0,IF(MAX($F9:JFE9)=$D12,0,JFE9+1))</f>
        <v>0</v>
      </c>
      <c r="JFG9" s="26">
        <f>IF(JFG7=0,0,IF(MAX($F9:JFF9)=$D12,0,JFF9+1))</f>
        <v>0</v>
      </c>
      <c r="JFH9" s="26">
        <f>IF(JFH7=0,0,IF(MAX($F9:JFG9)=$D12,0,JFG9+1))</f>
        <v>0</v>
      </c>
      <c r="JFI9" s="26">
        <f>IF(JFI7=0,0,IF(MAX($F9:JFH9)=$D12,0,JFH9+1))</f>
        <v>0</v>
      </c>
      <c r="JFJ9" s="26">
        <f>IF(JFJ7=0,0,IF(MAX($F9:JFI9)=$D12,0,JFI9+1))</f>
        <v>0</v>
      </c>
      <c r="JFK9" s="26">
        <f>IF(JFK7=0,0,IF(MAX($F9:JFJ9)=$D12,0,JFJ9+1))</f>
        <v>0</v>
      </c>
      <c r="JFL9" s="26">
        <f>IF(JFL7=0,0,IF(MAX($F9:JFK9)=$D12,0,JFK9+1))</f>
        <v>0</v>
      </c>
      <c r="JFM9" s="26">
        <f>IF(JFM7=0,0,IF(MAX($F9:JFL9)=$D12,0,JFL9+1))</f>
        <v>0</v>
      </c>
      <c r="JFN9" s="26">
        <f>IF(JFN7=0,0,IF(MAX($F9:JFM9)=$D12,0,JFM9+1))</f>
        <v>0</v>
      </c>
      <c r="JFO9" s="26">
        <f>IF(JFO7=0,0,IF(MAX($F9:JFN9)=$D12,0,JFN9+1))</f>
        <v>0</v>
      </c>
      <c r="JFP9" s="26">
        <f>IF(JFP7=0,0,IF(MAX($F9:JFO9)=$D12,0,JFO9+1))</f>
        <v>0</v>
      </c>
      <c r="JFQ9" s="26">
        <f>IF(JFQ7=0,0,IF(MAX($F9:JFP9)=$D12,0,JFP9+1))</f>
        <v>0</v>
      </c>
      <c r="JFR9" s="26">
        <f>IF(JFR7=0,0,IF(MAX($F9:JFQ9)=$D12,0,JFQ9+1))</f>
        <v>0</v>
      </c>
      <c r="JFS9" s="26">
        <f>IF(JFS7=0,0,IF(MAX($F9:JFR9)=$D12,0,JFR9+1))</f>
        <v>0</v>
      </c>
      <c r="JFT9" s="26">
        <f>IF(JFT7=0,0,IF(MAX($F9:JFS9)=$D12,0,JFS9+1))</f>
        <v>0</v>
      </c>
      <c r="JFU9" s="26">
        <f>IF(JFU7=0,0,IF(MAX($F9:JFT9)=$D12,0,JFT9+1))</f>
        <v>0</v>
      </c>
      <c r="JFV9" s="26">
        <f>IF(JFV7=0,0,IF(MAX($F9:JFU9)=$D12,0,JFU9+1))</f>
        <v>0</v>
      </c>
      <c r="JFW9" s="26">
        <f>IF(JFW7=0,0,IF(MAX($F9:JFV9)=$D12,0,JFV9+1))</f>
        <v>0</v>
      </c>
      <c r="JFX9" s="26">
        <f>IF(JFX7=0,0,IF(MAX($F9:JFW9)=$D12,0,JFW9+1))</f>
        <v>0</v>
      </c>
      <c r="JFY9" s="26">
        <f>IF(JFY7=0,0,IF(MAX($F9:JFX9)=$D12,0,JFX9+1))</f>
        <v>0</v>
      </c>
      <c r="JFZ9" s="26">
        <f>IF(JFZ7=0,0,IF(MAX($F9:JFY9)=$D12,0,JFY9+1))</f>
        <v>0</v>
      </c>
      <c r="JGA9" s="26">
        <f>IF(JGA7=0,0,IF(MAX($F9:JFZ9)=$D12,0,JFZ9+1))</f>
        <v>0</v>
      </c>
      <c r="JGB9" s="26">
        <f>IF(JGB7=0,0,IF(MAX($F9:JGA9)=$D12,0,JGA9+1))</f>
        <v>0</v>
      </c>
      <c r="JGC9" s="26">
        <f>IF(JGC7=0,0,IF(MAX($F9:JGB9)=$D12,0,JGB9+1))</f>
        <v>0</v>
      </c>
      <c r="JGD9" s="26">
        <f>IF(JGD7=0,0,IF(MAX($F9:JGC9)=$D12,0,JGC9+1))</f>
        <v>0</v>
      </c>
      <c r="JGE9" s="26">
        <f>IF(JGE7=0,0,IF(MAX($F9:JGD9)=$D12,0,JGD9+1))</f>
        <v>0</v>
      </c>
      <c r="JGF9" s="26">
        <f>IF(JGF7=0,0,IF(MAX($F9:JGE9)=$D12,0,JGE9+1))</f>
        <v>0</v>
      </c>
      <c r="JGG9" s="26">
        <f>IF(JGG7=0,0,IF(MAX($F9:JGF9)=$D12,0,JGF9+1))</f>
        <v>0</v>
      </c>
      <c r="JGH9" s="26">
        <f>IF(JGH7=0,0,IF(MAX($F9:JGG9)=$D12,0,JGG9+1))</f>
        <v>0</v>
      </c>
      <c r="JGI9" s="26">
        <f>IF(JGI7=0,0,IF(MAX($F9:JGH9)=$D12,0,JGH9+1))</f>
        <v>0</v>
      </c>
      <c r="JGJ9" s="26">
        <f>IF(JGJ7=0,0,IF(MAX($F9:JGI9)=$D12,0,JGI9+1))</f>
        <v>0</v>
      </c>
      <c r="JGK9" s="26">
        <f>IF(JGK7=0,0,IF(MAX($F9:JGJ9)=$D12,0,JGJ9+1))</f>
        <v>0</v>
      </c>
      <c r="JGL9" s="26">
        <f>IF(JGL7=0,0,IF(MAX($F9:JGK9)=$D12,0,JGK9+1))</f>
        <v>0</v>
      </c>
      <c r="JGM9" s="26">
        <f>IF(JGM7=0,0,IF(MAX($F9:JGL9)=$D12,0,JGL9+1))</f>
        <v>0</v>
      </c>
      <c r="JGN9" s="26">
        <f>IF(JGN7=0,0,IF(MAX($F9:JGM9)=$D12,0,JGM9+1))</f>
        <v>0</v>
      </c>
      <c r="JGO9" s="26">
        <f>IF(JGO7=0,0,IF(MAX($F9:JGN9)=$D12,0,JGN9+1))</f>
        <v>0</v>
      </c>
      <c r="JGP9" s="26">
        <f>IF(JGP7=0,0,IF(MAX($F9:JGO9)=$D12,0,JGO9+1))</f>
        <v>0</v>
      </c>
      <c r="JGQ9" s="26">
        <f>IF(JGQ7=0,0,IF(MAX($F9:JGP9)=$D12,0,JGP9+1))</f>
        <v>0</v>
      </c>
      <c r="JGR9" s="26">
        <f>IF(JGR7=0,0,IF(MAX($F9:JGQ9)=$D12,0,JGQ9+1))</f>
        <v>0</v>
      </c>
      <c r="JGS9" s="26">
        <f>IF(JGS7=0,0,IF(MAX($F9:JGR9)=$D12,0,JGR9+1))</f>
        <v>0</v>
      </c>
      <c r="JGT9" s="26">
        <f>IF(JGT7=0,0,IF(MAX($F9:JGS9)=$D12,0,JGS9+1))</f>
        <v>0</v>
      </c>
      <c r="JGU9" s="26">
        <f>IF(JGU7=0,0,IF(MAX($F9:JGT9)=$D12,0,JGT9+1))</f>
        <v>0</v>
      </c>
      <c r="JGV9" s="26">
        <f>IF(JGV7=0,0,IF(MAX($F9:JGU9)=$D12,0,JGU9+1))</f>
        <v>0</v>
      </c>
      <c r="JGW9" s="26">
        <f>IF(JGW7=0,0,IF(MAX($F9:JGV9)=$D12,0,JGV9+1))</f>
        <v>0</v>
      </c>
      <c r="JGX9" s="26">
        <f>IF(JGX7=0,0,IF(MAX($F9:JGW9)=$D12,0,JGW9+1))</f>
        <v>0</v>
      </c>
      <c r="JGY9" s="26">
        <f>IF(JGY7=0,0,IF(MAX($F9:JGX9)=$D12,0,JGX9+1))</f>
        <v>0</v>
      </c>
      <c r="JGZ9" s="26">
        <f>IF(JGZ7=0,0,IF(MAX($F9:JGY9)=$D12,0,JGY9+1))</f>
        <v>0</v>
      </c>
      <c r="JHA9" s="26">
        <f>IF(JHA7=0,0,IF(MAX($F9:JGZ9)=$D12,0,JGZ9+1))</f>
        <v>0</v>
      </c>
      <c r="JHB9" s="26">
        <f>IF(JHB7=0,0,IF(MAX($F9:JHA9)=$D12,0,JHA9+1))</f>
        <v>0</v>
      </c>
      <c r="JHC9" s="26">
        <f>IF(JHC7=0,0,IF(MAX($F9:JHB9)=$D12,0,JHB9+1))</f>
        <v>0</v>
      </c>
      <c r="JHD9" s="26">
        <f>IF(JHD7=0,0,IF(MAX($F9:JHC9)=$D12,0,JHC9+1))</f>
        <v>0</v>
      </c>
      <c r="JHE9" s="26">
        <f>IF(JHE7=0,0,IF(MAX($F9:JHD9)=$D12,0,JHD9+1))</f>
        <v>0</v>
      </c>
      <c r="JHF9" s="26">
        <f>IF(JHF7=0,0,IF(MAX($F9:JHE9)=$D12,0,JHE9+1))</f>
        <v>0</v>
      </c>
      <c r="JHG9" s="26">
        <f>IF(JHG7=0,0,IF(MAX($F9:JHF9)=$D12,0,JHF9+1))</f>
        <v>0</v>
      </c>
      <c r="JHH9" s="26">
        <f>IF(JHH7=0,0,IF(MAX($F9:JHG9)=$D12,0,JHG9+1))</f>
        <v>0</v>
      </c>
      <c r="JHI9" s="26">
        <f>IF(JHI7=0,0,IF(MAX($F9:JHH9)=$D12,0,JHH9+1))</f>
        <v>0</v>
      </c>
      <c r="JHJ9" s="26">
        <f>IF(JHJ7=0,0,IF(MAX($F9:JHI9)=$D12,0,JHI9+1))</f>
        <v>0</v>
      </c>
      <c r="JHK9" s="26">
        <f>IF(JHK7=0,0,IF(MAX($F9:JHJ9)=$D12,0,JHJ9+1))</f>
        <v>0</v>
      </c>
      <c r="JHL9" s="26">
        <f>IF(JHL7=0,0,IF(MAX($F9:JHK9)=$D12,0,JHK9+1))</f>
        <v>0</v>
      </c>
      <c r="JHM9" s="26">
        <f>IF(JHM7=0,0,IF(MAX($F9:JHL9)=$D12,0,JHL9+1))</f>
        <v>0</v>
      </c>
      <c r="JHN9" s="26">
        <f>IF(JHN7=0,0,IF(MAX($F9:JHM9)=$D12,0,JHM9+1))</f>
        <v>0</v>
      </c>
      <c r="JHO9" s="26">
        <f>IF(JHO7=0,0,IF(MAX($F9:JHN9)=$D12,0,JHN9+1))</f>
        <v>0</v>
      </c>
      <c r="JHP9" s="26">
        <f>IF(JHP7=0,0,IF(MAX($F9:JHO9)=$D12,0,JHO9+1))</f>
        <v>0</v>
      </c>
      <c r="JHQ9" s="26">
        <f>IF(JHQ7=0,0,IF(MAX($F9:JHP9)=$D12,0,JHP9+1))</f>
        <v>0</v>
      </c>
      <c r="JHR9" s="26">
        <f>IF(JHR7=0,0,IF(MAX($F9:JHQ9)=$D12,0,JHQ9+1))</f>
        <v>0</v>
      </c>
      <c r="JHS9" s="26">
        <f>IF(JHS7=0,0,IF(MAX($F9:JHR9)=$D12,0,JHR9+1))</f>
        <v>0</v>
      </c>
      <c r="JHT9" s="26">
        <f>IF(JHT7=0,0,IF(MAX($F9:JHS9)=$D12,0,JHS9+1))</f>
        <v>0</v>
      </c>
      <c r="JHU9" s="26">
        <f>IF(JHU7=0,0,IF(MAX($F9:JHT9)=$D12,0,JHT9+1))</f>
        <v>0</v>
      </c>
      <c r="JHV9" s="26">
        <f>IF(JHV7=0,0,IF(MAX($F9:JHU9)=$D12,0,JHU9+1))</f>
        <v>0</v>
      </c>
      <c r="JHW9" s="26">
        <f>IF(JHW7=0,0,IF(MAX($F9:JHV9)=$D12,0,JHV9+1))</f>
        <v>0</v>
      </c>
      <c r="JHX9" s="26">
        <f>IF(JHX7=0,0,IF(MAX($F9:JHW9)=$D12,0,JHW9+1))</f>
        <v>0</v>
      </c>
      <c r="JHY9" s="26">
        <f>IF(JHY7=0,0,IF(MAX($F9:JHX9)=$D12,0,JHX9+1))</f>
        <v>0</v>
      </c>
      <c r="JHZ9" s="26">
        <f>IF(JHZ7=0,0,IF(MAX($F9:JHY9)=$D12,0,JHY9+1))</f>
        <v>0</v>
      </c>
      <c r="JIA9" s="26">
        <f>IF(JIA7=0,0,IF(MAX($F9:JHZ9)=$D12,0,JHZ9+1))</f>
        <v>0</v>
      </c>
      <c r="JIB9" s="26">
        <f>IF(JIB7=0,0,IF(MAX($F9:JIA9)=$D12,0,JIA9+1))</f>
        <v>0</v>
      </c>
      <c r="JIC9" s="26">
        <f>IF(JIC7=0,0,IF(MAX($F9:JIB9)=$D12,0,JIB9+1))</f>
        <v>0</v>
      </c>
      <c r="JID9" s="26">
        <f>IF(JID7=0,0,IF(MAX($F9:JIC9)=$D12,0,JIC9+1))</f>
        <v>0</v>
      </c>
      <c r="JIE9" s="26">
        <f>IF(JIE7=0,0,IF(MAX($F9:JID9)=$D12,0,JID9+1))</f>
        <v>0</v>
      </c>
      <c r="JIF9" s="26">
        <f>IF(JIF7=0,0,IF(MAX($F9:JIE9)=$D12,0,JIE9+1))</f>
        <v>0</v>
      </c>
      <c r="JIG9" s="26">
        <f>IF(JIG7=0,0,IF(MAX($F9:JIF9)=$D12,0,JIF9+1))</f>
        <v>0</v>
      </c>
      <c r="JIH9" s="26">
        <f>IF(JIH7=0,0,IF(MAX($F9:JIG9)=$D12,0,JIG9+1))</f>
        <v>0</v>
      </c>
      <c r="JII9" s="26">
        <f>IF(JII7=0,0,IF(MAX($F9:JIH9)=$D12,0,JIH9+1))</f>
        <v>0</v>
      </c>
      <c r="JIJ9" s="26">
        <f>IF(JIJ7=0,0,IF(MAX($F9:JII9)=$D12,0,JII9+1))</f>
        <v>0</v>
      </c>
      <c r="JIK9" s="26">
        <f>IF(JIK7=0,0,IF(MAX($F9:JIJ9)=$D12,0,JIJ9+1))</f>
        <v>0</v>
      </c>
      <c r="JIL9" s="26">
        <f>IF(JIL7=0,0,IF(MAX($F9:JIK9)=$D12,0,JIK9+1))</f>
        <v>0</v>
      </c>
      <c r="JIM9" s="26">
        <f>IF(JIM7=0,0,IF(MAX($F9:JIL9)=$D12,0,JIL9+1))</f>
        <v>0</v>
      </c>
      <c r="JIN9" s="26">
        <f>IF(JIN7=0,0,IF(MAX($F9:JIM9)=$D12,0,JIM9+1))</f>
        <v>0</v>
      </c>
      <c r="JIO9" s="26">
        <f>IF(JIO7=0,0,IF(MAX($F9:JIN9)=$D12,0,JIN9+1))</f>
        <v>0</v>
      </c>
      <c r="JIP9" s="26">
        <f>IF(JIP7=0,0,IF(MAX($F9:JIO9)=$D12,0,JIO9+1))</f>
        <v>0</v>
      </c>
      <c r="JIQ9" s="26">
        <f>IF(JIQ7=0,0,IF(MAX($F9:JIP9)=$D12,0,JIP9+1))</f>
        <v>0</v>
      </c>
      <c r="JIR9" s="26">
        <f>IF(JIR7=0,0,IF(MAX($F9:JIQ9)=$D12,0,JIQ9+1))</f>
        <v>0</v>
      </c>
      <c r="JIS9" s="26">
        <f>IF(JIS7=0,0,IF(MAX($F9:JIR9)=$D12,0,JIR9+1))</f>
        <v>0</v>
      </c>
      <c r="JIT9" s="26">
        <f>IF(JIT7=0,0,IF(MAX($F9:JIS9)=$D12,0,JIS9+1))</f>
        <v>0</v>
      </c>
      <c r="JIU9" s="26">
        <f>IF(JIU7=0,0,IF(MAX($F9:JIT9)=$D12,0,JIT9+1))</f>
        <v>0</v>
      </c>
      <c r="JIV9" s="26">
        <f>IF(JIV7=0,0,IF(MAX($F9:JIU9)=$D12,0,JIU9+1))</f>
        <v>0</v>
      </c>
      <c r="JIW9" s="26">
        <f>IF(JIW7=0,0,IF(MAX($F9:JIV9)=$D12,0,JIV9+1))</f>
        <v>0</v>
      </c>
      <c r="JIX9" s="26">
        <f>IF(JIX7=0,0,IF(MAX($F9:JIW9)=$D12,0,JIW9+1))</f>
        <v>0</v>
      </c>
      <c r="JIY9" s="26">
        <f>IF(JIY7=0,0,IF(MAX($F9:JIX9)=$D12,0,JIX9+1))</f>
        <v>0</v>
      </c>
      <c r="JIZ9" s="26">
        <f>IF(JIZ7=0,0,IF(MAX($F9:JIY9)=$D12,0,JIY9+1))</f>
        <v>0</v>
      </c>
      <c r="JJA9" s="26">
        <f>IF(JJA7=0,0,IF(MAX($F9:JIZ9)=$D12,0,JIZ9+1))</f>
        <v>0</v>
      </c>
      <c r="JJB9" s="26">
        <f>IF(JJB7=0,0,IF(MAX($F9:JJA9)=$D12,0,JJA9+1))</f>
        <v>0</v>
      </c>
      <c r="JJC9" s="26">
        <f>IF(JJC7=0,0,IF(MAX($F9:JJB9)=$D12,0,JJB9+1))</f>
        <v>0</v>
      </c>
      <c r="JJD9" s="26">
        <f>IF(JJD7=0,0,IF(MAX($F9:JJC9)=$D12,0,JJC9+1))</f>
        <v>0</v>
      </c>
      <c r="JJE9" s="26">
        <f>IF(JJE7=0,0,IF(MAX($F9:JJD9)=$D12,0,JJD9+1))</f>
        <v>0</v>
      </c>
      <c r="JJF9" s="26">
        <f>IF(JJF7=0,0,IF(MAX($F9:JJE9)=$D12,0,JJE9+1))</f>
        <v>0</v>
      </c>
      <c r="JJG9" s="26">
        <f>IF(JJG7=0,0,IF(MAX($F9:JJF9)=$D12,0,JJF9+1))</f>
        <v>0</v>
      </c>
      <c r="JJH9" s="26">
        <f>IF(JJH7=0,0,IF(MAX($F9:JJG9)=$D12,0,JJG9+1))</f>
        <v>0</v>
      </c>
      <c r="JJI9" s="26">
        <f>IF(JJI7=0,0,IF(MAX($F9:JJH9)=$D12,0,JJH9+1))</f>
        <v>0</v>
      </c>
      <c r="JJJ9" s="26">
        <f>IF(JJJ7=0,0,IF(MAX($F9:JJI9)=$D12,0,JJI9+1))</f>
        <v>0</v>
      </c>
      <c r="JJK9" s="26">
        <f>IF(JJK7=0,0,IF(MAX($F9:JJJ9)=$D12,0,JJJ9+1))</f>
        <v>0</v>
      </c>
      <c r="JJL9" s="26">
        <f>IF(JJL7=0,0,IF(MAX($F9:JJK9)=$D12,0,JJK9+1))</f>
        <v>0</v>
      </c>
      <c r="JJM9" s="26">
        <f>IF(JJM7=0,0,IF(MAX($F9:JJL9)=$D12,0,JJL9+1))</f>
        <v>0</v>
      </c>
      <c r="JJN9" s="26">
        <f>IF(JJN7=0,0,IF(MAX($F9:JJM9)=$D12,0,JJM9+1))</f>
        <v>0</v>
      </c>
      <c r="JJO9" s="26">
        <f>IF(JJO7=0,0,IF(MAX($F9:JJN9)=$D12,0,JJN9+1))</f>
        <v>0</v>
      </c>
      <c r="JJP9" s="26">
        <f>IF(JJP7=0,0,IF(MAX($F9:JJO9)=$D12,0,JJO9+1))</f>
        <v>0</v>
      </c>
      <c r="JJQ9" s="26">
        <f>IF(JJQ7=0,0,IF(MAX($F9:JJP9)=$D12,0,JJP9+1))</f>
        <v>0</v>
      </c>
      <c r="JJR9" s="26">
        <f>IF(JJR7=0,0,IF(MAX($F9:JJQ9)=$D12,0,JJQ9+1))</f>
        <v>0</v>
      </c>
      <c r="JJS9" s="26">
        <f>IF(JJS7=0,0,IF(MAX($F9:JJR9)=$D12,0,JJR9+1))</f>
        <v>0</v>
      </c>
      <c r="JJT9" s="26">
        <f>IF(JJT7=0,0,IF(MAX($F9:JJS9)=$D12,0,JJS9+1))</f>
        <v>0</v>
      </c>
      <c r="JJU9" s="26">
        <f>IF(JJU7=0,0,IF(MAX($F9:JJT9)=$D12,0,JJT9+1))</f>
        <v>0</v>
      </c>
      <c r="JJV9" s="26">
        <f>IF(JJV7=0,0,IF(MAX($F9:JJU9)=$D12,0,JJU9+1))</f>
        <v>0</v>
      </c>
      <c r="JJW9" s="26">
        <f>IF(JJW7=0,0,IF(MAX($F9:JJV9)=$D12,0,JJV9+1))</f>
        <v>0</v>
      </c>
      <c r="JJX9" s="26">
        <f>IF(JJX7=0,0,IF(MAX($F9:JJW9)=$D12,0,JJW9+1))</f>
        <v>0</v>
      </c>
      <c r="JJY9" s="26">
        <f>IF(JJY7=0,0,IF(MAX($F9:JJX9)=$D12,0,JJX9+1))</f>
        <v>0</v>
      </c>
      <c r="JJZ9" s="26">
        <f>IF(JJZ7=0,0,IF(MAX($F9:JJY9)=$D12,0,JJY9+1))</f>
        <v>0</v>
      </c>
      <c r="JKA9" s="26">
        <f>IF(JKA7=0,0,IF(MAX($F9:JJZ9)=$D12,0,JJZ9+1))</f>
        <v>0</v>
      </c>
      <c r="JKB9" s="26">
        <f>IF(JKB7=0,0,IF(MAX($F9:JKA9)=$D12,0,JKA9+1))</f>
        <v>0</v>
      </c>
      <c r="JKC9" s="26">
        <f>IF(JKC7=0,0,IF(MAX($F9:JKB9)=$D12,0,JKB9+1))</f>
        <v>0</v>
      </c>
      <c r="JKD9" s="26">
        <f>IF(JKD7=0,0,IF(MAX($F9:JKC9)=$D12,0,JKC9+1))</f>
        <v>0</v>
      </c>
      <c r="JKE9" s="26">
        <f>IF(JKE7=0,0,IF(MAX($F9:JKD9)=$D12,0,JKD9+1))</f>
        <v>0</v>
      </c>
      <c r="JKF9" s="26">
        <f>IF(JKF7=0,0,IF(MAX($F9:JKE9)=$D12,0,JKE9+1))</f>
        <v>0</v>
      </c>
      <c r="JKG9" s="26">
        <f>IF(JKG7=0,0,IF(MAX($F9:JKF9)=$D12,0,JKF9+1))</f>
        <v>0</v>
      </c>
      <c r="JKH9" s="26">
        <f>IF(JKH7=0,0,IF(MAX($F9:JKG9)=$D12,0,JKG9+1))</f>
        <v>0</v>
      </c>
      <c r="JKI9" s="26">
        <f>IF(JKI7=0,0,IF(MAX($F9:JKH9)=$D12,0,JKH9+1))</f>
        <v>0</v>
      </c>
      <c r="JKJ9" s="26">
        <f>IF(JKJ7=0,0,IF(MAX($F9:JKI9)=$D12,0,JKI9+1))</f>
        <v>0</v>
      </c>
      <c r="JKK9" s="26">
        <f>IF(JKK7=0,0,IF(MAX($F9:JKJ9)=$D12,0,JKJ9+1))</f>
        <v>0</v>
      </c>
      <c r="JKL9" s="26">
        <f>IF(JKL7=0,0,IF(MAX($F9:JKK9)=$D12,0,JKK9+1))</f>
        <v>0</v>
      </c>
      <c r="JKM9" s="26">
        <f>IF(JKM7=0,0,IF(MAX($F9:JKL9)=$D12,0,JKL9+1))</f>
        <v>0</v>
      </c>
      <c r="JKN9" s="26">
        <f>IF(JKN7=0,0,IF(MAX($F9:JKM9)=$D12,0,JKM9+1))</f>
        <v>0</v>
      </c>
      <c r="JKO9" s="26">
        <f>IF(JKO7=0,0,IF(MAX($F9:JKN9)=$D12,0,JKN9+1))</f>
        <v>0</v>
      </c>
      <c r="JKP9" s="26">
        <f>IF(JKP7=0,0,IF(MAX($F9:JKO9)=$D12,0,JKO9+1))</f>
        <v>0</v>
      </c>
      <c r="JKQ9" s="26">
        <f>IF(JKQ7=0,0,IF(MAX($F9:JKP9)=$D12,0,JKP9+1))</f>
        <v>0</v>
      </c>
      <c r="JKR9" s="26">
        <f>IF(JKR7=0,0,IF(MAX($F9:JKQ9)=$D12,0,JKQ9+1))</f>
        <v>0</v>
      </c>
      <c r="JKS9" s="26">
        <f>IF(JKS7=0,0,IF(MAX($F9:JKR9)=$D12,0,JKR9+1))</f>
        <v>0</v>
      </c>
      <c r="JKT9" s="26">
        <f>IF(JKT7=0,0,IF(MAX($F9:JKS9)=$D12,0,JKS9+1))</f>
        <v>0</v>
      </c>
      <c r="JKU9" s="26">
        <f>IF(JKU7=0,0,IF(MAX($F9:JKT9)=$D12,0,JKT9+1))</f>
        <v>0</v>
      </c>
      <c r="JKV9" s="26">
        <f>IF(JKV7=0,0,IF(MAX($F9:JKU9)=$D12,0,JKU9+1))</f>
        <v>0</v>
      </c>
      <c r="JKW9" s="26">
        <f>IF(JKW7=0,0,IF(MAX($F9:JKV9)=$D12,0,JKV9+1))</f>
        <v>0</v>
      </c>
      <c r="JKX9" s="26">
        <f>IF(JKX7=0,0,IF(MAX($F9:JKW9)=$D12,0,JKW9+1))</f>
        <v>0</v>
      </c>
      <c r="JKY9" s="26">
        <f>IF(JKY7=0,0,IF(MAX($F9:JKX9)=$D12,0,JKX9+1))</f>
        <v>0</v>
      </c>
      <c r="JKZ9" s="26">
        <f>IF(JKZ7=0,0,IF(MAX($F9:JKY9)=$D12,0,JKY9+1))</f>
        <v>0</v>
      </c>
      <c r="JLA9" s="26">
        <f>IF(JLA7=0,0,IF(MAX($F9:JKZ9)=$D12,0,JKZ9+1))</f>
        <v>0</v>
      </c>
      <c r="JLB9" s="26">
        <f>IF(JLB7=0,0,IF(MAX($F9:JLA9)=$D12,0,JLA9+1))</f>
        <v>0</v>
      </c>
      <c r="JLC9" s="26">
        <f>IF(JLC7=0,0,IF(MAX($F9:JLB9)=$D12,0,JLB9+1))</f>
        <v>0</v>
      </c>
      <c r="JLD9" s="26">
        <f>IF(JLD7=0,0,IF(MAX($F9:JLC9)=$D12,0,JLC9+1))</f>
        <v>0</v>
      </c>
      <c r="JLE9" s="26">
        <f>IF(JLE7=0,0,IF(MAX($F9:JLD9)=$D12,0,JLD9+1))</f>
        <v>0</v>
      </c>
      <c r="JLF9" s="26">
        <f>IF(JLF7=0,0,IF(MAX($F9:JLE9)=$D12,0,JLE9+1))</f>
        <v>0</v>
      </c>
      <c r="JLG9" s="26">
        <f>IF(JLG7=0,0,IF(MAX($F9:JLF9)=$D12,0,JLF9+1))</f>
        <v>0</v>
      </c>
      <c r="JLH9" s="26">
        <f>IF(JLH7=0,0,IF(MAX($F9:JLG9)=$D12,0,JLG9+1))</f>
        <v>0</v>
      </c>
      <c r="JLI9" s="26">
        <f>IF(JLI7=0,0,IF(MAX($F9:JLH9)=$D12,0,JLH9+1))</f>
        <v>0</v>
      </c>
      <c r="JLJ9" s="26">
        <f>IF(JLJ7=0,0,IF(MAX($F9:JLI9)=$D12,0,JLI9+1))</f>
        <v>0</v>
      </c>
      <c r="JLK9" s="26">
        <f>IF(JLK7=0,0,IF(MAX($F9:JLJ9)=$D12,0,JLJ9+1))</f>
        <v>0</v>
      </c>
      <c r="JLL9" s="26">
        <f>IF(JLL7=0,0,IF(MAX($F9:JLK9)=$D12,0,JLK9+1))</f>
        <v>0</v>
      </c>
      <c r="JLM9" s="26">
        <f>IF(JLM7=0,0,IF(MAX($F9:JLL9)=$D12,0,JLL9+1))</f>
        <v>0</v>
      </c>
      <c r="JLN9" s="26">
        <f>IF(JLN7=0,0,IF(MAX($F9:JLM9)=$D12,0,JLM9+1))</f>
        <v>0</v>
      </c>
      <c r="JLO9" s="26">
        <f>IF(JLO7=0,0,IF(MAX($F9:JLN9)=$D12,0,JLN9+1))</f>
        <v>0</v>
      </c>
      <c r="JLP9" s="26">
        <f>IF(JLP7=0,0,IF(MAX($F9:JLO9)=$D12,0,JLO9+1))</f>
        <v>0</v>
      </c>
      <c r="JLQ9" s="26">
        <f>IF(JLQ7=0,0,IF(MAX($F9:JLP9)=$D12,0,JLP9+1))</f>
        <v>0</v>
      </c>
      <c r="JLR9" s="26">
        <f>IF(JLR7=0,0,IF(MAX($F9:JLQ9)=$D12,0,JLQ9+1))</f>
        <v>0</v>
      </c>
      <c r="JLS9" s="26">
        <f>IF(JLS7=0,0,IF(MAX($F9:JLR9)=$D12,0,JLR9+1))</f>
        <v>0</v>
      </c>
      <c r="JLT9" s="26">
        <f>IF(JLT7=0,0,IF(MAX($F9:JLS9)=$D12,0,JLS9+1))</f>
        <v>0</v>
      </c>
      <c r="JLU9" s="26">
        <f>IF(JLU7=0,0,IF(MAX($F9:JLT9)=$D12,0,JLT9+1))</f>
        <v>0</v>
      </c>
      <c r="JLV9" s="26">
        <f>IF(JLV7=0,0,IF(MAX($F9:JLU9)=$D12,0,JLU9+1))</f>
        <v>0</v>
      </c>
      <c r="JLW9" s="26">
        <f>IF(JLW7=0,0,IF(MAX($F9:JLV9)=$D12,0,JLV9+1))</f>
        <v>0</v>
      </c>
      <c r="JLX9" s="26">
        <f>IF(JLX7=0,0,IF(MAX($F9:JLW9)=$D12,0,JLW9+1))</f>
        <v>0</v>
      </c>
      <c r="JLY9" s="26">
        <f>IF(JLY7=0,0,IF(MAX($F9:JLX9)=$D12,0,JLX9+1))</f>
        <v>0</v>
      </c>
      <c r="JLZ9" s="26">
        <f>IF(JLZ7=0,0,IF(MAX($F9:JLY9)=$D12,0,JLY9+1))</f>
        <v>0</v>
      </c>
      <c r="JMA9" s="26">
        <f>IF(JMA7=0,0,IF(MAX($F9:JLZ9)=$D12,0,JLZ9+1))</f>
        <v>0</v>
      </c>
      <c r="JMB9" s="26">
        <f>IF(JMB7=0,0,IF(MAX($F9:JMA9)=$D12,0,JMA9+1))</f>
        <v>0</v>
      </c>
      <c r="JMC9" s="26">
        <f>IF(JMC7=0,0,IF(MAX($F9:JMB9)=$D12,0,JMB9+1))</f>
        <v>0</v>
      </c>
      <c r="JMD9" s="26">
        <f>IF(JMD7=0,0,IF(MAX($F9:JMC9)=$D12,0,JMC9+1))</f>
        <v>0</v>
      </c>
      <c r="JME9" s="26">
        <f>IF(JME7=0,0,IF(MAX($F9:JMD9)=$D12,0,JMD9+1))</f>
        <v>0</v>
      </c>
      <c r="JMF9" s="26">
        <f>IF(JMF7=0,0,IF(MAX($F9:JME9)=$D12,0,JME9+1))</f>
        <v>0</v>
      </c>
      <c r="JMG9" s="26">
        <f>IF(JMG7=0,0,IF(MAX($F9:JMF9)=$D12,0,JMF9+1))</f>
        <v>0</v>
      </c>
      <c r="JMH9" s="26">
        <f>IF(JMH7=0,0,IF(MAX($F9:JMG9)=$D12,0,JMG9+1))</f>
        <v>0</v>
      </c>
      <c r="JMI9" s="26">
        <f>IF(JMI7=0,0,IF(MAX($F9:JMH9)=$D12,0,JMH9+1))</f>
        <v>0</v>
      </c>
      <c r="JMJ9" s="26">
        <f>IF(JMJ7=0,0,IF(MAX($F9:JMI9)=$D12,0,JMI9+1))</f>
        <v>0</v>
      </c>
      <c r="JMK9" s="26">
        <f>IF(JMK7=0,0,IF(MAX($F9:JMJ9)=$D12,0,JMJ9+1))</f>
        <v>0</v>
      </c>
      <c r="JML9" s="26">
        <f>IF(JML7=0,0,IF(MAX($F9:JMK9)=$D12,0,JMK9+1))</f>
        <v>0</v>
      </c>
      <c r="JMM9" s="26">
        <f>IF(JMM7=0,0,IF(MAX($F9:JML9)=$D12,0,JML9+1))</f>
        <v>0</v>
      </c>
      <c r="JMN9" s="26">
        <f>IF(JMN7=0,0,IF(MAX($F9:JMM9)=$D12,0,JMM9+1))</f>
        <v>0</v>
      </c>
      <c r="JMO9" s="26">
        <f>IF(JMO7=0,0,IF(MAX($F9:JMN9)=$D12,0,JMN9+1))</f>
        <v>0</v>
      </c>
      <c r="JMP9" s="26">
        <f>IF(JMP7=0,0,IF(MAX($F9:JMO9)=$D12,0,JMO9+1))</f>
        <v>0</v>
      </c>
      <c r="JMQ9" s="26">
        <f>IF(JMQ7=0,0,IF(MAX($F9:JMP9)=$D12,0,JMP9+1))</f>
        <v>0</v>
      </c>
      <c r="JMR9" s="26">
        <f>IF(JMR7=0,0,IF(MAX($F9:JMQ9)=$D12,0,JMQ9+1))</f>
        <v>0</v>
      </c>
      <c r="JMS9" s="26">
        <f>IF(JMS7=0,0,IF(MAX($F9:JMR9)=$D12,0,JMR9+1))</f>
        <v>0</v>
      </c>
      <c r="JMT9" s="26">
        <f>IF(JMT7=0,0,IF(MAX($F9:JMS9)=$D12,0,JMS9+1))</f>
        <v>0</v>
      </c>
      <c r="JMU9" s="26">
        <f>IF(JMU7=0,0,IF(MAX($F9:JMT9)=$D12,0,JMT9+1))</f>
        <v>0</v>
      </c>
      <c r="JMV9" s="26">
        <f>IF(JMV7=0,0,IF(MAX($F9:JMU9)=$D12,0,JMU9+1))</f>
        <v>0</v>
      </c>
      <c r="JMW9" s="26">
        <f>IF(JMW7=0,0,IF(MAX($F9:JMV9)=$D12,0,JMV9+1))</f>
        <v>0</v>
      </c>
      <c r="JMX9" s="26">
        <f>IF(JMX7=0,0,IF(MAX($F9:JMW9)=$D12,0,JMW9+1))</f>
        <v>0</v>
      </c>
      <c r="JMY9" s="26">
        <f>IF(JMY7=0,0,IF(MAX($F9:JMX9)=$D12,0,JMX9+1))</f>
        <v>0</v>
      </c>
      <c r="JMZ9" s="26">
        <f>IF(JMZ7=0,0,IF(MAX($F9:JMY9)=$D12,0,JMY9+1))</f>
        <v>0</v>
      </c>
      <c r="JNA9" s="26">
        <f>IF(JNA7=0,0,IF(MAX($F9:JMZ9)=$D12,0,JMZ9+1))</f>
        <v>0</v>
      </c>
      <c r="JNB9" s="26">
        <f>IF(JNB7=0,0,IF(MAX($F9:JNA9)=$D12,0,JNA9+1))</f>
        <v>0</v>
      </c>
      <c r="JNC9" s="26">
        <f>IF(JNC7=0,0,IF(MAX($F9:JNB9)=$D12,0,JNB9+1))</f>
        <v>0</v>
      </c>
      <c r="JND9" s="26">
        <f>IF(JND7=0,0,IF(MAX($F9:JNC9)=$D12,0,JNC9+1))</f>
        <v>0</v>
      </c>
      <c r="JNE9" s="26">
        <f>IF(JNE7=0,0,IF(MAX($F9:JND9)=$D12,0,JND9+1))</f>
        <v>0</v>
      </c>
      <c r="JNF9" s="26">
        <f>IF(JNF7=0,0,IF(MAX($F9:JNE9)=$D12,0,JNE9+1))</f>
        <v>0</v>
      </c>
      <c r="JNG9" s="26">
        <f>IF(JNG7=0,0,IF(MAX($F9:JNF9)=$D12,0,JNF9+1))</f>
        <v>0</v>
      </c>
      <c r="JNH9" s="26">
        <f>IF(JNH7=0,0,IF(MAX($F9:JNG9)=$D12,0,JNG9+1))</f>
        <v>0</v>
      </c>
      <c r="JNI9" s="26">
        <f>IF(JNI7=0,0,IF(MAX($F9:JNH9)=$D12,0,JNH9+1))</f>
        <v>0</v>
      </c>
      <c r="JNJ9" s="26">
        <f>IF(JNJ7=0,0,IF(MAX($F9:JNI9)=$D12,0,JNI9+1))</f>
        <v>0</v>
      </c>
      <c r="JNK9" s="26">
        <f>IF(JNK7=0,0,IF(MAX($F9:JNJ9)=$D12,0,JNJ9+1))</f>
        <v>0</v>
      </c>
      <c r="JNL9" s="26">
        <f>IF(JNL7=0,0,IF(MAX($F9:JNK9)=$D12,0,JNK9+1))</f>
        <v>0</v>
      </c>
      <c r="JNM9" s="26">
        <f>IF(JNM7=0,0,IF(MAX($F9:JNL9)=$D12,0,JNL9+1))</f>
        <v>0</v>
      </c>
      <c r="JNN9" s="26">
        <f>IF(JNN7=0,0,IF(MAX($F9:JNM9)=$D12,0,JNM9+1))</f>
        <v>0</v>
      </c>
      <c r="JNO9" s="26">
        <f>IF(JNO7=0,0,IF(MAX($F9:JNN9)=$D12,0,JNN9+1))</f>
        <v>0</v>
      </c>
      <c r="JNP9" s="26">
        <f>IF(JNP7=0,0,IF(MAX($F9:JNO9)=$D12,0,JNO9+1))</f>
        <v>0</v>
      </c>
      <c r="JNQ9" s="26">
        <f>IF(JNQ7=0,0,IF(MAX($F9:JNP9)=$D12,0,JNP9+1))</f>
        <v>0</v>
      </c>
      <c r="JNR9" s="26">
        <f>IF(JNR7=0,0,IF(MAX($F9:JNQ9)=$D12,0,JNQ9+1))</f>
        <v>0</v>
      </c>
      <c r="JNS9" s="26">
        <f>IF(JNS7=0,0,IF(MAX($F9:JNR9)=$D12,0,JNR9+1))</f>
        <v>0</v>
      </c>
      <c r="JNT9" s="26">
        <f>IF(JNT7=0,0,IF(MAX($F9:JNS9)=$D12,0,JNS9+1))</f>
        <v>0</v>
      </c>
      <c r="JNU9" s="26">
        <f>IF(JNU7=0,0,IF(MAX($F9:JNT9)=$D12,0,JNT9+1))</f>
        <v>0</v>
      </c>
      <c r="JNV9" s="26">
        <f>IF(JNV7=0,0,IF(MAX($F9:JNU9)=$D12,0,JNU9+1))</f>
        <v>0</v>
      </c>
      <c r="JNW9" s="26">
        <f>IF(JNW7=0,0,IF(MAX($F9:JNV9)=$D12,0,JNV9+1))</f>
        <v>0</v>
      </c>
      <c r="JNX9" s="26">
        <f>IF(JNX7=0,0,IF(MAX($F9:JNW9)=$D12,0,JNW9+1))</f>
        <v>0</v>
      </c>
      <c r="JNY9" s="26">
        <f>IF(JNY7=0,0,IF(MAX($F9:JNX9)=$D12,0,JNX9+1))</f>
        <v>0</v>
      </c>
      <c r="JNZ9" s="26">
        <f>IF(JNZ7=0,0,IF(MAX($F9:JNY9)=$D12,0,JNY9+1))</f>
        <v>0</v>
      </c>
      <c r="JOA9" s="26">
        <f>IF(JOA7=0,0,IF(MAX($F9:JNZ9)=$D12,0,JNZ9+1))</f>
        <v>0</v>
      </c>
      <c r="JOB9" s="26">
        <f>IF(JOB7=0,0,IF(MAX($F9:JOA9)=$D12,0,JOA9+1))</f>
        <v>0</v>
      </c>
      <c r="JOC9" s="26">
        <f>IF(JOC7=0,0,IF(MAX($F9:JOB9)=$D12,0,JOB9+1))</f>
        <v>0</v>
      </c>
      <c r="JOD9" s="26">
        <f>IF(JOD7=0,0,IF(MAX($F9:JOC9)=$D12,0,JOC9+1))</f>
        <v>0</v>
      </c>
      <c r="JOE9" s="26">
        <f>IF(JOE7=0,0,IF(MAX($F9:JOD9)=$D12,0,JOD9+1))</f>
        <v>0</v>
      </c>
      <c r="JOF9" s="26">
        <f>IF(JOF7=0,0,IF(MAX($F9:JOE9)=$D12,0,JOE9+1))</f>
        <v>0</v>
      </c>
      <c r="JOG9" s="26">
        <f>IF(JOG7=0,0,IF(MAX($F9:JOF9)=$D12,0,JOF9+1))</f>
        <v>0</v>
      </c>
      <c r="JOH9" s="26">
        <f>IF(JOH7=0,0,IF(MAX($F9:JOG9)=$D12,0,JOG9+1))</f>
        <v>0</v>
      </c>
      <c r="JOI9" s="26">
        <f>IF(JOI7=0,0,IF(MAX($F9:JOH9)=$D12,0,JOH9+1))</f>
        <v>0</v>
      </c>
      <c r="JOJ9" s="26">
        <f>IF(JOJ7=0,0,IF(MAX($F9:JOI9)=$D12,0,JOI9+1))</f>
        <v>0</v>
      </c>
      <c r="JOK9" s="26">
        <f>IF(JOK7=0,0,IF(MAX($F9:JOJ9)=$D12,0,JOJ9+1))</f>
        <v>0</v>
      </c>
      <c r="JOL9" s="26">
        <f>IF(JOL7=0,0,IF(MAX($F9:JOK9)=$D12,0,JOK9+1))</f>
        <v>0</v>
      </c>
      <c r="JOM9" s="26">
        <f>IF(JOM7=0,0,IF(MAX($F9:JOL9)=$D12,0,JOL9+1))</f>
        <v>0</v>
      </c>
      <c r="JON9" s="26">
        <f>IF(JON7=0,0,IF(MAX($F9:JOM9)=$D12,0,JOM9+1))</f>
        <v>0</v>
      </c>
      <c r="JOO9" s="26">
        <f>IF(JOO7=0,0,IF(MAX($F9:JON9)=$D12,0,JON9+1))</f>
        <v>0</v>
      </c>
      <c r="JOP9" s="26">
        <f>IF(JOP7=0,0,IF(MAX($F9:JOO9)=$D12,0,JOO9+1))</f>
        <v>0</v>
      </c>
      <c r="JOQ9" s="26">
        <f>IF(JOQ7=0,0,IF(MAX($F9:JOP9)=$D12,0,JOP9+1))</f>
        <v>0</v>
      </c>
      <c r="JOR9" s="26">
        <f>IF(JOR7=0,0,IF(MAX($F9:JOQ9)=$D12,0,JOQ9+1))</f>
        <v>0</v>
      </c>
      <c r="JOS9" s="26">
        <f>IF(JOS7=0,0,IF(MAX($F9:JOR9)=$D12,0,JOR9+1))</f>
        <v>0</v>
      </c>
      <c r="JOT9" s="26">
        <f>IF(JOT7=0,0,IF(MAX($F9:JOS9)=$D12,0,JOS9+1))</f>
        <v>0</v>
      </c>
      <c r="JOU9" s="26">
        <f>IF(JOU7=0,0,IF(MAX($F9:JOT9)=$D12,0,JOT9+1))</f>
        <v>0</v>
      </c>
      <c r="JOV9" s="26">
        <f>IF(JOV7=0,0,IF(MAX($F9:JOU9)=$D12,0,JOU9+1))</f>
        <v>0</v>
      </c>
      <c r="JOW9" s="26">
        <f>IF(JOW7=0,0,IF(MAX($F9:JOV9)=$D12,0,JOV9+1))</f>
        <v>0</v>
      </c>
      <c r="JOX9" s="26">
        <f>IF(JOX7=0,0,IF(MAX($F9:JOW9)=$D12,0,JOW9+1))</f>
        <v>0</v>
      </c>
      <c r="JOY9" s="26">
        <f>IF(JOY7=0,0,IF(MAX($F9:JOX9)=$D12,0,JOX9+1))</f>
        <v>0</v>
      </c>
      <c r="JOZ9" s="26">
        <f>IF(JOZ7=0,0,IF(MAX($F9:JOY9)=$D12,0,JOY9+1))</f>
        <v>0</v>
      </c>
      <c r="JPA9" s="26">
        <f>IF(JPA7=0,0,IF(MAX($F9:JOZ9)=$D12,0,JOZ9+1))</f>
        <v>0</v>
      </c>
      <c r="JPB9" s="26">
        <f>IF(JPB7=0,0,IF(MAX($F9:JPA9)=$D12,0,JPA9+1))</f>
        <v>0</v>
      </c>
      <c r="JPC9" s="26">
        <f>IF(JPC7=0,0,IF(MAX($F9:JPB9)=$D12,0,JPB9+1))</f>
        <v>0</v>
      </c>
      <c r="JPD9" s="26">
        <f>IF(JPD7=0,0,IF(MAX($F9:JPC9)=$D12,0,JPC9+1))</f>
        <v>0</v>
      </c>
      <c r="JPE9" s="26">
        <f>IF(JPE7=0,0,IF(MAX($F9:JPD9)=$D12,0,JPD9+1))</f>
        <v>0</v>
      </c>
      <c r="JPF9" s="26">
        <f>IF(JPF7=0,0,IF(MAX($F9:JPE9)=$D12,0,JPE9+1))</f>
        <v>0</v>
      </c>
      <c r="JPG9" s="26">
        <f>IF(JPG7=0,0,IF(MAX($F9:JPF9)=$D12,0,JPF9+1))</f>
        <v>0</v>
      </c>
      <c r="JPH9" s="26">
        <f>IF(JPH7=0,0,IF(MAX($F9:JPG9)=$D12,0,JPG9+1))</f>
        <v>0</v>
      </c>
      <c r="JPI9" s="26">
        <f>IF(JPI7=0,0,IF(MAX($F9:JPH9)=$D12,0,JPH9+1))</f>
        <v>0</v>
      </c>
      <c r="JPJ9" s="26">
        <f>IF(JPJ7=0,0,IF(MAX($F9:JPI9)=$D12,0,JPI9+1))</f>
        <v>0</v>
      </c>
      <c r="JPK9" s="26">
        <f>IF(JPK7=0,0,IF(MAX($F9:JPJ9)=$D12,0,JPJ9+1))</f>
        <v>0</v>
      </c>
      <c r="JPL9" s="26">
        <f>IF(JPL7=0,0,IF(MAX($F9:JPK9)=$D12,0,JPK9+1))</f>
        <v>0</v>
      </c>
      <c r="JPM9" s="26">
        <f>IF(JPM7=0,0,IF(MAX($F9:JPL9)=$D12,0,JPL9+1))</f>
        <v>0</v>
      </c>
      <c r="JPN9" s="26">
        <f>IF(JPN7=0,0,IF(MAX($F9:JPM9)=$D12,0,JPM9+1))</f>
        <v>0</v>
      </c>
      <c r="JPO9" s="26">
        <f>IF(JPO7=0,0,IF(MAX($F9:JPN9)=$D12,0,JPN9+1))</f>
        <v>0</v>
      </c>
      <c r="JPP9" s="26">
        <f>IF(JPP7=0,0,IF(MAX($F9:JPO9)=$D12,0,JPO9+1))</f>
        <v>0</v>
      </c>
      <c r="JPQ9" s="26">
        <f>IF(JPQ7=0,0,IF(MAX($F9:JPP9)=$D12,0,JPP9+1))</f>
        <v>0</v>
      </c>
      <c r="JPR9" s="26">
        <f>IF(JPR7=0,0,IF(MAX($F9:JPQ9)=$D12,0,JPQ9+1))</f>
        <v>0</v>
      </c>
      <c r="JPS9" s="26">
        <f>IF(JPS7=0,0,IF(MAX($F9:JPR9)=$D12,0,JPR9+1))</f>
        <v>0</v>
      </c>
      <c r="JPT9" s="26">
        <f>IF(JPT7=0,0,IF(MAX($F9:JPS9)=$D12,0,JPS9+1))</f>
        <v>0</v>
      </c>
      <c r="JPU9" s="26">
        <f>IF(JPU7=0,0,IF(MAX($F9:JPT9)=$D12,0,JPT9+1))</f>
        <v>0</v>
      </c>
      <c r="JPV9" s="26">
        <f>IF(JPV7=0,0,IF(MAX($F9:JPU9)=$D12,0,JPU9+1))</f>
        <v>0</v>
      </c>
      <c r="JPW9" s="26">
        <f>IF(JPW7=0,0,IF(MAX($F9:JPV9)=$D12,0,JPV9+1))</f>
        <v>0</v>
      </c>
      <c r="JPX9" s="26">
        <f>IF(JPX7=0,0,IF(MAX($F9:JPW9)=$D12,0,JPW9+1))</f>
        <v>0</v>
      </c>
      <c r="JPY9" s="26">
        <f>IF(JPY7=0,0,IF(MAX($F9:JPX9)=$D12,0,JPX9+1))</f>
        <v>0</v>
      </c>
      <c r="JPZ9" s="26">
        <f>IF(JPZ7=0,0,IF(MAX($F9:JPY9)=$D12,0,JPY9+1))</f>
        <v>0</v>
      </c>
      <c r="JQA9" s="26">
        <f>IF(JQA7=0,0,IF(MAX($F9:JPZ9)=$D12,0,JPZ9+1))</f>
        <v>0</v>
      </c>
      <c r="JQB9" s="26">
        <f>IF(JQB7=0,0,IF(MAX($F9:JQA9)=$D12,0,JQA9+1))</f>
        <v>0</v>
      </c>
      <c r="JQC9" s="26">
        <f>IF(JQC7=0,0,IF(MAX($F9:JQB9)=$D12,0,JQB9+1))</f>
        <v>0</v>
      </c>
      <c r="JQD9" s="26">
        <f>IF(JQD7=0,0,IF(MAX($F9:JQC9)=$D12,0,JQC9+1))</f>
        <v>0</v>
      </c>
      <c r="JQE9" s="26">
        <f>IF(JQE7=0,0,IF(MAX($F9:JQD9)=$D12,0,JQD9+1))</f>
        <v>0</v>
      </c>
      <c r="JQF9" s="26">
        <f>IF(JQF7=0,0,IF(MAX($F9:JQE9)=$D12,0,JQE9+1))</f>
        <v>0</v>
      </c>
      <c r="JQG9" s="26">
        <f>IF(JQG7=0,0,IF(MAX($F9:JQF9)=$D12,0,JQF9+1))</f>
        <v>0</v>
      </c>
      <c r="JQH9" s="26">
        <f>IF(JQH7=0,0,IF(MAX($F9:JQG9)=$D12,0,JQG9+1))</f>
        <v>0</v>
      </c>
      <c r="JQI9" s="26">
        <f>IF(JQI7=0,0,IF(MAX($F9:JQH9)=$D12,0,JQH9+1))</f>
        <v>0</v>
      </c>
      <c r="JQJ9" s="26">
        <f>IF(JQJ7=0,0,IF(MAX($F9:JQI9)=$D12,0,JQI9+1))</f>
        <v>0</v>
      </c>
      <c r="JQK9" s="26">
        <f>IF(JQK7=0,0,IF(MAX($F9:JQJ9)=$D12,0,JQJ9+1))</f>
        <v>0</v>
      </c>
      <c r="JQL9" s="26">
        <f>IF(JQL7=0,0,IF(MAX($F9:JQK9)=$D12,0,JQK9+1))</f>
        <v>0</v>
      </c>
      <c r="JQM9" s="26">
        <f>IF(JQM7=0,0,IF(MAX($F9:JQL9)=$D12,0,JQL9+1))</f>
        <v>0</v>
      </c>
      <c r="JQN9" s="26">
        <f>IF(JQN7=0,0,IF(MAX($F9:JQM9)=$D12,0,JQM9+1))</f>
        <v>0</v>
      </c>
      <c r="JQO9" s="26">
        <f>IF(JQO7=0,0,IF(MAX($F9:JQN9)=$D12,0,JQN9+1))</f>
        <v>0</v>
      </c>
      <c r="JQP9" s="26">
        <f>IF(JQP7=0,0,IF(MAX($F9:JQO9)=$D12,0,JQO9+1))</f>
        <v>0</v>
      </c>
      <c r="JQQ9" s="26">
        <f>IF(JQQ7=0,0,IF(MAX($F9:JQP9)=$D12,0,JQP9+1))</f>
        <v>0</v>
      </c>
      <c r="JQR9" s="26">
        <f>IF(JQR7=0,0,IF(MAX($F9:JQQ9)=$D12,0,JQQ9+1))</f>
        <v>0</v>
      </c>
      <c r="JQS9" s="26">
        <f>IF(JQS7=0,0,IF(MAX($F9:JQR9)=$D12,0,JQR9+1))</f>
        <v>0</v>
      </c>
      <c r="JQT9" s="26">
        <f>IF(JQT7=0,0,IF(MAX($F9:JQS9)=$D12,0,JQS9+1))</f>
        <v>0</v>
      </c>
      <c r="JQU9" s="26">
        <f>IF(JQU7=0,0,IF(MAX($F9:JQT9)=$D12,0,JQT9+1))</f>
        <v>0</v>
      </c>
      <c r="JQV9" s="26">
        <f>IF(JQV7=0,0,IF(MAX($F9:JQU9)=$D12,0,JQU9+1))</f>
        <v>0</v>
      </c>
      <c r="JQW9" s="26">
        <f>IF(JQW7=0,0,IF(MAX($F9:JQV9)=$D12,0,JQV9+1))</f>
        <v>0</v>
      </c>
      <c r="JQX9" s="26">
        <f>IF(JQX7=0,0,IF(MAX($F9:JQW9)=$D12,0,JQW9+1))</f>
        <v>0</v>
      </c>
      <c r="JQY9" s="26">
        <f>IF(JQY7=0,0,IF(MAX($F9:JQX9)=$D12,0,JQX9+1))</f>
        <v>0</v>
      </c>
      <c r="JQZ9" s="26">
        <f>IF(JQZ7=0,0,IF(MAX($F9:JQY9)=$D12,0,JQY9+1))</f>
        <v>0</v>
      </c>
      <c r="JRA9" s="26">
        <f>IF(JRA7=0,0,IF(MAX($F9:JQZ9)=$D12,0,JQZ9+1))</f>
        <v>0</v>
      </c>
      <c r="JRB9" s="26">
        <f>IF(JRB7=0,0,IF(MAX($F9:JRA9)=$D12,0,JRA9+1))</f>
        <v>0</v>
      </c>
      <c r="JRC9" s="26">
        <f>IF(JRC7=0,0,IF(MAX($F9:JRB9)=$D12,0,JRB9+1))</f>
        <v>0</v>
      </c>
      <c r="JRD9" s="26">
        <f>IF(JRD7=0,0,IF(MAX($F9:JRC9)=$D12,0,JRC9+1))</f>
        <v>0</v>
      </c>
      <c r="JRE9" s="26">
        <f>IF(JRE7=0,0,IF(MAX($F9:JRD9)=$D12,0,JRD9+1))</f>
        <v>0</v>
      </c>
      <c r="JRF9" s="26">
        <f>IF(JRF7=0,0,IF(MAX($F9:JRE9)=$D12,0,JRE9+1))</f>
        <v>0</v>
      </c>
      <c r="JRG9" s="26">
        <f>IF(JRG7=0,0,IF(MAX($F9:JRF9)=$D12,0,JRF9+1))</f>
        <v>0</v>
      </c>
      <c r="JRH9" s="26">
        <f>IF(JRH7=0,0,IF(MAX($F9:JRG9)=$D12,0,JRG9+1))</f>
        <v>0</v>
      </c>
      <c r="JRI9" s="26">
        <f>IF(JRI7=0,0,IF(MAX($F9:JRH9)=$D12,0,JRH9+1))</f>
        <v>0</v>
      </c>
      <c r="JRJ9" s="26">
        <f>IF(JRJ7=0,0,IF(MAX($F9:JRI9)=$D12,0,JRI9+1))</f>
        <v>0</v>
      </c>
      <c r="JRK9" s="26">
        <f>IF(JRK7=0,0,IF(MAX($F9:JRJ9)=$D12,0,JRJ9+1))</f>
        <v>0</v>
      </c>
      <c r="JRL9" s="26">
        <f>IF(JRL7=0,0,IF(MAX($F9:JRK9)=$D12,0,JRK9+1))</f>
        <v>0</v>
      </c>
      <c r="JRM9" s="26">
        <f>IF(JRM7=0,0,IF(MAX($F9:JRL9)=$D12,0,JRL9+1))</f>
        <v>0</v>
      </c>
      <c r="JRN9" s="26">
        <f>IF(JRN7=0,0,IF(MAX($F9:JRM9)=$D12,0,JRM9+1))</f>
        <v>0</v>
      </c>
      <c r="JRO9" s="26">
        <f>IF(JRO7=0,0,IF(MAX($F9:JRN9)=$D12,0,JRN9+1))</f>
        <v>0</v>
      </c>
      <c r="JRP9" s="26">
        <f>IF(JRP7=0,0,IF(MAX($F9:JRO9)=$D12,0,JRO9+1))</f>
        <v>0</v>
      </c>
      <c r="JRQ9" s="26">
        <f>IF(JRQ7=0,0,IF(MAX($F9:JRP9)=$D12,0,JRP9+1))</f>
        <v>0</v>
      </c>
      <c r="JRR9" s="26">
        <f>IF(JRR7=0,0,IF(MAX($F9:JRQ9)=$D12,0,JRQ9+1))</f>
        <v>0</v>
      </c>
      <c r="JRS9" s="26">
        <f>IF(JRS7=0,0,IF(MAX($F9:JRR9)=$D12,0,JRR9+1))</f>
        <v>0</v>
      </c>
      <c r="JRT9" s="26">
        <f>IF(JRT7=0,0,IF(MAX($F9:JRS9)=$D12,0,JRS9+1))</f>
        <v>0</v>
      </c>
      <c r="JRU9" s="26">
        <f>IF(JRU7=0,0,IF(MAX($F9:JRT9)=$D12,0,JRT9+1))</f>
        <v>0</v>
      </c>
      <c r="JRV9" s="26">
        <f>IF(JRV7=0,0,IF(MAX($F9:JRU9)=$D12,0,JRU9+1))</f>
        <v>0</v>
      </c>
      <c r="JRW9" s="26">
        <f>IF(JRW7=0,0,IF(MAX($F9:JRV9)=$D12,0,JRV9+1))</f>
        <v>0</v>
      </c>
      <c r="JRX9" s="26">
        <f>IF(JRX7=0,0,IF(MAX($F9:JRW9)=$D12,0,JRW9+1))</f>
        <v>0</v>
      </c>
      <c r="JRY9" s="26">
        <f>IF(JRY7=0,0,IF(MAX($F9:JRX9)=$D12,0,JRX9+1))</f>
        <v>0</v>
      </c>
      <c r="JRZ9" s="26">
        <f>IF(JRZ7=0,0,IF(MAX($F9:JRY9)=$D12,0,JRY9+1))</f>
        <v>0</v>
      </c>
      <c r="JSA9" s="26">
        <f>IF(JSA7=0,0,IF(MAX($F9:JRZ9)=$D12,0,JRZ9+1))</f>
        <v>0</v>
      </c>
      <c r="JSB9" s="26">
        <f>IF(JSB7=0,0,IF(MAX($F9:JSA9)=$D12,0,JSA9+1))</f>
        <v>0</v>
      </c>
      <c r="JSC9" s="26">
        <f>IF(JSC7=0,0,IF(MAX($F9:JSB9)=$D12,0,JSB9+1))</f>
        <v>0</v>
      </c>
      <c r="JSD9" s="26">
        <f>IF(JSD7=0,0,IF(MAX($F9:JSC9)=$D12,0,JSC9+1))</f>
        <v>0</v>
      </c>
      <c r="JSE9" s="26">
        <f>IF(JSE7=0,0,IF(MAX($F9:JSD9)=$D12,0,JSD9+1))</f>
        <v>0</v>
      </c>
      <c r="JSF9" s="26">
        <f>IF(JSF7=0,0,IF(MAX($F9:JSE9)=$D12,0,JSE9+1))</f>
        <v>0</v>
      </c>
      <c r="JSG9" s="26">
        <f>IF(JSG7=0,0,IF(MAX($F9:JSF9)=$D12,0,JSF9+1))</f>
        <v>0</v>
      </c>
      <c r="JSH9" s="26">
        <f>IF(JSH7=0,0,IF(MAX($F9:JSG9)=$D12,0,JSG9+1))</f>
        <v>0</v>
      </c>
      <c r="JSI9" s="26">
        <f>IF(JSI7=0,0,IF(MAX($F9:JSH9)=$D12,0,JSH9+1))</f>
        <v>0</v>
      </c>
      <c r="JSJ9" s="26">
        <f>IF(JSJ7=0,0,IF(MAX($F9:JSI9)=$D12,0,JSI9+1))</f>
        <v>0</v>
      </c>
      <c r="JSK9" s="26">
        <f>IF(JSK7=0,0,IF(MAX($F9:JSJ9)=$D12,0,JSJ9+1))</f>
        <v>0</v>
      </c>
      <c r="JSL9" s="26">
        <f>IF(JSL7=0,0,IF(MAX($F9:JSK9)=$D12,0,JSK9+1))</f>
        <v>0</v>
      </c>
      <c r="JSM9" s="26">
        <f>IF(JSM7=0,0,IF(MAX($F9:JSL9)=$D12,0,JSL9+1))</f>
        <v>0</v>
      </c>
      <c r="JSN9" s="26">
        <f>IF(JSN7=0,0,IF(MAX($F9:JSM9)=$D12,0,JSM9+1))</f>
        <v>0</v>
      </c>
      <c r="JSO9" s="26">
        <f>IF(JSO7=0,0,IF(MAX($F9:JSN9)=$D12,0,JSN9+1))</f>
        <v>0</v>
      </c>
      <c r="JSP9" s="26">
        <f>IF(JSP7=0,0,IF(MAX($F9:JSO9)=$D12,0,JSO9+1))</f>
        <v>0</v>
      </c>
      <c r="JSQ9" s="26">
        <f>IF(JSQ7=0,0,IF(MAX($F9:JSP9)=$D12,0,JSP9+1))</f>
        <v>0</v>
      </c>
      <c r="JSR9" s="26">
        <f>IF(JSR7=0,0,IF(MAX($F9:JSQ9)=$D12,0,JSQ9+1))</f>
        <v>0</v>
      </c>
      <c r="JSS9" s="26">
        <f>IF(JSS7=0,0,IF(MAX($F9:JSR9)=$D12,0,JSR9+1))</f>
        <v>0</v>
      </c>
      <c r="JST9" s="26">
        <f>IF(JST7=0,0,IF(MAX($F9:JSS9)=$D12,0,JSS9+1))</f>
        <v>0</v>
      </c>
      <c r="JSU9" s="26">
        <f>IF(JSU7=0,0,IF(MAX($F9:JST9)=$D12,0,JST9+1))</f>
        <v>0</v>
      </c>
      <c r="JSV9" s="26">
        <f>IF(JSV7=0,0,IF(MAX($F9:JSU9)=$D12,0,JSU9+1))</f>
        <v>0</v>
      </c>
      <c r="JSW9" s="26">
        <f>IF(JSW7=0,0,IF(MAX($F9:JSV9)=$D12,0,JSV9+1))</f>
        <v>0</v>
      </c>
      <c r="JSX9" s="26">
        <f>IF(JSX7=0,0,IF(MAX($F9:JSW9)=$D12,0,JSW9+1))</f>
        <v>0</v>
      </c>
      <c r="JSY9" s="26">
        <f>IF(JSY7=0,0,IF(MAX($F9:JSX9)=$D12,0,JSX9+1))</f>
        <v>0</v>
      </c>
      <c r="JSZ9" s="26">
        <f>IF(JSZ7=0,0,IF(MAX($F9:JSY9)=$D12,0,JSY9+1))</f>
        <v>0</v>
      </c>
      <c r="JTA9" s="26">
        <f>IF(JTA7=0,0,IF(MAX($F9:JSZ9)=$D12,0,JSZ9+1))</f>
        <v>0</v>
      </c>
      <c r="JTB9" s="26">
        <f>IF(JTB7=0,0,IF(MAX($F9:JTA9)=$D12,0,JTA9+1))</f>
        <v>0</v>
      </c>
      <c r="JTC9" s="26">
        <f>IF(JTC7=0,0,IF(MAX($F9:JTB9)=$D12,0,JTB9+1))</f>
        <v>0</v>
      </c>
      <c r="JTD9" s="26">
        <f>IF(JTD7=0,0,IF(MAX($F9:JTC9)=$D12,0,JTC9+1))</f>
        <v>0</v>
      </c>
      <c r="JTE9" s="26">
        <f>IF(JTE7=0,0,IF(MAX($F9:JTD9)=$D12,0,JTD9+1))</f>
        <v>0</v>
      </c>
      <c r="JTF9" s="26">
        <f>IF(JTF7=0,0,IF(MAX($F9:JTE9)=$D12,0,JTE9+1))</f>
        <v>0</v>
      </c>
      <c r="JTG9" s="26">
        <f>IF(JTG7=0,0,IF(MAX($F9:JTF9)=$D12,0,JTF9+1))</f>
        <v>0</v>
      </c>
      <c r="JTH9" s="26">
        <f>IF(JTH7=0,0,IF(MAX($F9:JTG9)=$D12,0,JTG9+1))</f>
        <v>0</v>
      </c>
      <c r="JTI9" s="26">
        <f>IF(JTI7=0,0,IF(MAX($F9:JTH9)=$D12,0,JTH9+1))</f>
        <v>0</v>
      </c>
      <c r="JTJ9" s="26">
        <f>IF(JTJ7=0,0,IF(MAX($F9:JTI9)=$D12,0,JTI9+1))</f>
        <v>0</v>
      </c>
      <c r="JTK9" s="26">
        <f>IF(JTK7=0,0,IF(MAX($F9:JTJ9)=$D12,0,JTJ9+1))</f>
        <v>0</v>
      </c>
      <c r="JTL9" s="26">
        <f>IF(JTL7=0,0,IF(MAX($F9:JTK9)=$D12,0,JTK9+1))</f>
        <v>0</v>
      </c>
      <c r="JTM9" s="26">
        <f>IF(JTM7=0,0,IF(MAX($F9:JTL9)=$D12,0,JTL9+1))</f>
        <v>0</v>
      </c>
      <c r="JTN9" s="26">
        <f>IF(JTN7=0,0,IF(MAX($F9:JTM9)=$D12,0,JTM9+1))</f>
        <v>0</v>
      </c>
      <c r="JTO9" s="26">
        <f>IF(JTO7=0,0,IF(MAX($F9:JTN9)=$D12,0,JTN9+1))</f>
        <v>0</v>
      </c>
      <c r="JTP9" s="26">
        <f>IF(JTP7=0,0,IF(MAX($F9:JTO9)=$D12,0,JTO9+1))</f>
        <v>0</v>
      </c>
      <c r="JTQ9" s="26">
        <f>IF(JTQ7=0,0,IF(MAX($F9:JTP9)=$D12,0,JTP9+1))</f>
        <v>0</v>
      </c>
      <c r="JTR9" s="26">
        <f>IF(JTR7=0,0,IF(MAX($F9:JTQ9)=$D12,0,JTQ9+1))</f>
        <v>0</v>
      </c>
      <c r="JTS9" s="26">
        <f>IF(JTS7=0,0,IF(MAX($F9:JTR9)=$D12,0,JTR9+1))</f>
        <v>0</v>
      </c>
      <c r="JTT9" s="26">
        <f>IF(JTT7=0,0,IF(MAX($F9:JTS9)=$D12,0,JTS9+1))</f>
        <v>0</v>
      </c>
      <c r="JTU9" s="26">
        <f>IF(JTU7=0,0,IF(MAX($F9:JTT9)=$D12,0,JTT9+1))</f>
        <v>0</v>
      </c>
      <c r="JTV9" s="26">
        <f>IF(JTV7=0,0,IF(MAX($F9:JTU9)=$D12,0,JTU9+1))</f>
        <v>0</v>
      </c>
      <c r="JTW9" s="26">
        <f>IF(JTW7=0,0,IF(MAX($F9:JTV9)=$D12,0,JTV9+1))</f>
        <v>0</v>
      </c>
      <c r="JTX9" s="26">
        <f>IF(JTX7=0,0,IF(MAX($F9:JTW9)=$D12,0,JTW9+1))</f>
        <v>0</v>
      </c>
      <c r="JTY9" s="26">
        <f>IF(JTY7=0,0,IF(MAX($F9:JTX9)=$D12,0,JTX9+1))</f>
        <v>0</v>
      </c>
      <c r="JTZ9" s="26">
        <f>IF(JTZ7=0,0,IF(MAX($F9:JTY9)=$D12,0,JTY9+1))</f>
        <v>0</v>
      </c>
      <c r="JUA9" s="26">
        <f>IF(JUA7=0,0,IF(MAX($F9:JTZ9)=$D12,0,JTZ9+1))</f>
        <v>0</v>
      </c>
      <c r="JUB9" s="26">
        <f>IF(JUB7=0,0,IF(MAX($F9:JUA9)=$D12,0,JUA9+1))</f>
        <v>0</v>
      </c>
      <c r="JUC9" s="26">
        <f>IF(JUC7=0,0,IF(MAX($F9:JUB9)=$D12,0,JUB9+1))</f>
        <v>0</v>
      </c>
      <c r="JUD9" s="26">
        <f>IF(JUD7=0,0,IF(MAX($F9:JUC9)=$D12,0,JUC9+1))</f>
        <v>0</v>
      </c>
      <c r="JUE9" s="26">
        <f>IF(JUE7=0,0,IF(MAX($F9:JUD9)=$D12,0,JUD9+1))</f>
        <v>0</v>
      </c>
      <c r="JUF9" s="26">
        <f>IF(JUF7=0,0,IF(MAX($F9:JUE9)=$D12,0,JUE9+1))</f>
        <v>0</v>
      </c>
      <c r="JUG9" s="26">
        <f>IF(JUG7=0,0,IF(MAX($F9:JUF9)=$D12,0,JUF9+1))</f>
        <v>0</v>
      </c>
      <c r="JUH9" s="26">
        <f>IF(JUH7=0,0,IF(MAX($F9:JUG9)=$D12,0,JUG9+1))</f>
        <v>0</v>
      </c>
      <c r="JUI9" s="26">
        <f>IF(JUI7=0,0,IF(MAX($F9:JUH9)=$D12,0,JUH9+1))</f>
        <v>0</v>
      </c>
      <c r="JUJ9" s="26">
        <f>IF(JUJ7=0,0,IF(MAX($F9:JUI9)=$D12,0,JUI9+1))</f>
        <v>0</v>
      </c>
      <c r="JUK9" s="26">
        <f>IF(JUK7=0,0,IF(MAX($F9:JUJ9)=$D12,0,JUJ9+1))</f>
        <v>0</v>
      </c>
      <c r="JUL9" s="26">
        <f>IF(JUL7=0,0,IF(MAX($F9:JUK9)=$D12,0,JUK9+1))</f>
        <v>0</v>
      </c>
      <c r="JUM9" s="26">
        <f>IF(JUM7=0,0,IF(MAX($F9:JUL9)=$D12,0,JUL9+1))</f>
        <v>0</v>
      </c>
      <c r="JUN9" s="26">
        <f>IF(JUN7=0,0,IF(MAX($F9:JUM9)=$D12,0,JUM9+1))</f>
        <v>0</v>
      </c>
      <c r="JUO9" s="26">
        <f>IF(JUO7=0,0,IF(MAX($F9:JUN9)=$D12,0,JUN9+1))</f>
        <v>0</v>
      </c>
      <c r="JUP9" s="26">
        <f>IF(JUP7=0,0,IF(MAX($F9:JUO9)=$D12,0,JUO9+1))</f>
        <v>0</v>
      </c>
      <c r="JUQ9" s="26">
        <f>IF(JUQ7=0,0,IF(MAX($F9:JUP9)=$D12,0,JUP9+1))</f>
        <v>0</v>
      </c>
      <c r="JUR9" s="26">
        <f>IF(JUR7=0,0,IF(MAX($F9:JUQ9)=$D12,0,JUQ9+1))</f>
        <v>0</v>
      </c>
      <c r="JUS9" s="26">
        <f>IF(JUS7=0,0,IF(MAX($F9:JUR9)=$D12,0,JUR9+1))</f>
        <v>0</v>
      </c>
      <c r="JUT9" s="26">
        <f>IF(JUT7=0,0,IF(MAX($F9:JUS9)=$D12,0,JUS9+1))</f>
        <v>0</v>
      </c>
      <c r="JUU9" s="26">
        <f>IF(JUU7=0,0,IF(MAX($F9:JUT9)=$D12,0,JUT9+1))</f>
        <v>0</v>
      </c>
      <c r="JUV9" s="26">
        <f>IF(JUV7=0,0,IF(MAX($F9:JUU9)=$D12,0,JUU9+1))</f>
        <v>0</v>
      </c>
      <c r="JUW9" s="26">
        <f>IF(JUW7=0,0,IF(MAX($F9:JUV9)=$D12,0,JUV9+1))</f>
        <v>0</v>
      </c>
      <c r="JUX9" s="26">
        <f>IF(JUX7=0,0,IF(MAX($F9:JUW9)=$D12,0,JUW9+1))</f>
        <v>0</v>
      </c>
      <c r="JUY9" s="26">
        <f>IF(JUY7=0,0,IF(MAX($F9:JUX9)=$D12,0,JUX9+1))</f>
        <v>0</v>
      </c>
      <c r="JUZ9" s="26">
        <f>IF(JUZ7=0,0,IF(MAX($F9:JUY9)=$D12,0,JUY9+1))</f>
        <v>0</v>
      </c>
      <c r="JVA9" s="26">
        <f>IF(JVA7=0,0,IF(MAX($F9:JUZ9)=$D12,0,JUZ9+1))</f>
        <v>0</v>
      </c>
      <c r="JVB9" s="26">
        <f>IF(JVB7=0,0,IF(MAX($F9:JVA9)=$D12,0,JVA9+1))</f>
        <v>0</v>
      </c>
      <c r="JVC9" s="26">
        <f>IF(JVC7=0,0,IF(MAX($F9:JVB9)=$D12,0,JVB9+1))</f>
        <v>0</v>
      </c>
      <c r="JVD9" s="26">
        <f>IF(JVD7=0,0,IF(MAX($F9:JVC9)=$D12,0,JVC9+1))</f>
        <v>0</v>
      </c>
      <c r="JVE9" s="26">
        <f>IF(JVE7=0,0,IF(MAX($F9:JVD9)=$D12,0,JVD9+1))</f>
        <v>0</v>
      </c>
      <c r="JVF9" s="26">
        <f>IF(JVF7=0,0,IF(MAX($F9:JVE9)=$D12,0,JVE9+1))</f>
        <v>0</v>
      </c>
      <c r="JVG9" s="26">
        <f>IF(JVG7=0,0,IF(MAX($F9:JVF9)=$D12,0,JVF9+1))</f>
        <v>0</v>
      </c>
      <c r="JVH9" s="26">
        <f>IF(JVH7=0,0,IF(MAX($F9:JVG9)=$D12,0,JVG9+1))</f>
        <v>0</v>
      </c>
      <c r="JVI9" s="26">
        <f>IF(JVI7=0,0,IF(MAX($F9:JVH9)=$D12,0,JVH9+1))</f>
        <v>0</v>
      </c>
      <c r="JVJ9" s="26">
        <f>IF(JVJ7=0,0,IF(MAX($F9:JVI9)=$D12,0,JVI9+1))</f>
        <v>0</v>
      </c>
      <c r="JVK9" s="26">
        <f>IF(JVK7=0,0,IF(MAX($F9:JVJ9)=$D12,0,JVJ9+1))</f>
        <v>0</v>
      </c>
      <c r="JVL9" s="26">
        <f>IF(JVL7=0,0,IF(MAX($F9:JVK9)=$D12,0,JVK9+1))</f>
        <v>0</v>
      </c>
      <c r="JVM9" s="26">
        <f>IF(JVM7=0,0,IF(MAX($F9:JVL9)=$D12,0,JVL9+1))</f>
        <v>0</v>
      </c>
      <c r="JVN9" s="26">
        <f>IF(JVN7=0,0,IF(MAX($F9:JVM9)=$D12,0,JVM9+1))</f>
        <v>0</v>
      </c>
      <c r="JVO9" s="26">
        <f>IF(JVO7=0,0,IF(MAX($F9:JVN9)=$D12,0,JVN9+1))</f>
        <v>0</v>
      </c>
      <c r="JVP9" s="26">
        <f>IF(JVP7=0,0,IF(MAX($F9:JVO9)=$D12,0,JVO9+1))</f>
        <v>0</v>
      </c>
      <c r="JVQ9" s="26">
        <f>IF(JVQ7=0,0,IF(MAX($F9:JVP9)=$D12,0,JVP9+1))</f>
        <v>0</v>
      </c>
      <c r="JVR9" s="26">
        <f>IF(JVR7=0,0,IF(MAX($F9:JVQ9)=$D12,0,JVQ9+1))</f>
        <v>0</v>
      </c>
      <c r="JVS9" s="26">
        <f>IF(JVS7=0,0,IF(MAX($F9:JVR9)=$D12,0,JVR9+1))</f>
        <v>0</v>
      </c>
      <c r="JVT9" s="26">
        <f>IF(JVT7=0,0,IF(MAX($F9:JVS9)=$D12,0,JVS9+1))</f>
        <v>0</v>
      </c>
      <c r="JVU9" s="26">
        <f>IF(JVU7=0,0,IF(MAX($F9:JVT9)=$D12,0,JVT9+1))</f>
        <v>0</v>
      </c>
      <c r="JVV9" s="26">
        <f>IF(JVV7=0,0,IF(MAX($F9:JVU9)=$D12,0,JVU9+1))</f>
        <v>0</v>
      </c>
      <c r="JVW9" s="26">
        <f>IF(JVW7=0,0,IF(MAX($F9:JVV9)=$D12,0,JVV9+1))</f>
        <v>0</v>
      </c>
      <c r="JVX9" s="26">
        <f>IF(JVX7=0,0,IF(MAX($F9:JVW9)=$D12,0,JVW9+1))</f>
        <v>0</v>
      </c>
      <c r="JVY9" s="26">
        <f>IF(JVY7=0,0,IF(MAX($F9:JVX9)=$D12,0,JVX9+1))</f>
        <v>0</v>
      </c>
      <c r="JVZ9" s="26">
        <f>IF(JVZ7=0,0,IF(MAX($F9:JVY9)=$D12,0,JVY9+1))</f>
        <v>0</v>
      </c>
      <c r="JWA9" s="26">
        <f>IF(JWA7=0,0,IF(MAX($F9:JVZ9)=$D12,0,JVZ9+1))</f>
        <v>0</v>
      </c>
      <c r="JWB9" s="26">
        <f>IF(JWB7=0,0,IF(MAX($F9:JWA9)=$D12,0,JWA9+1))</f>
        <v>0</v>
      </c>
      <c r="JWC9" s="26">
        <f>IF(JWC7=0,0,IF(MAX($F9:JWB9)=$D12,0,JWB9+1))</f>
        <v>0</v>
      </c>
      <c r="JWD9" s="26">
        <f>IF(JWD7=0,0,IF(MAX($F9:JWC9)=$D12,0,JWC9+1))</f>
        <v>0</v>
      </c>
      <c r="JWE9" s="26">
        <f>IF(JWE7=0,0,IF(MAX($F9:JWD9)=$D12,0,JWD9+1))</f>
        <v>0</v>
      </c>
      <c r="JWF9" s="26">
        <f>IF(JWF7=0,0,IF(MAX($F9:JWE9)=$D12,0,JWE9+1))</f>
        <v>0</v>
      </c>
      <c r="JWG9" s="26">
        <f>IF(JWG7=0,0,IF(MAX($F9:JWF9)=$D12,0,JWF9+1))</f>
        <v>0</v>
      </c>
      <c r="JWH9" s="26">
        <f>IF(JWH7=0,0,IF(MAX($F9:JWG9)=$D12,0,JWG9+1))</f>
        <v>0</v>
      </c>
      <c r="JWI9" s="26">
        <f>IF(JWI7=0,0,IF(MAX($F9:JWH9)=$D12,0,JWH9+1))</f>
        <v>0</v>
      </c>
      <c r="JWJ9" s="26">
        <f>IF(JWJ7=0,0,IF(MAX($F9:JWI9)=$D12,0,JWI9+1))</f>
        <v>0</v>
      </c>
      <c r="JWK9" s="26">
        <f>IF(JWK7=0,0,IF(MAX($F9:JWJ9)=$D12,0,JWJ9+1))</f>
        <v>0</v>
      </c>
      <c r="JWL9" s="26">
        <f>IF(JWL7=0,0,IF(MAX($F9:JWK9)=$D12,0,JWK9+1))</f>
        <v>0</v>
      </c>
      <c r="JWM9" s="26">
        <f>IF(JWM7=0,0,IF(MAX($F9:JWL9)=$D12,0,JWL9+1))</f>
        <v>0</v>
      </c>
      <c r="JWN9" s="26">
        <f>IF(JWN7=0,0,IF(MAX($F9:JWM9)=$D12,0,JWM9+1))</f>
        <v>0</v>
      </c>
      <c r="JWO9" s="26">
        <f>IF(JWO7=0,0,IF(MAX($F9:JWN9)=$D12,0,JWN9+1))</f>
        <v>0</v>
      </c>
      <c r="JWP9" s="26">
        <f>IF(JWP7=0,0,IF(MAX($F9:JWO9)=$D12,0,JWO9+1))</f>
        <v>0</v>
      </c>
      <c r="JWQ9" s="26">
        <f>IF(JWQ7=0,0,IF(MAX($F9:JWP9)=$D12,0,JWP9+1))</f>
        <v>0</v>
      </c>
      <c r="JWR9" s="26">
        <f>IF(JWR7=0,0,IF(MAX($F9:JWQ9)=$D12,0,JWQ9+1))</f>
        <v>0</v>
      </c>
      <c r="JWS9" s="26">
        <f>IF(JWS7=0,0,IF(MAX($F9:JWR9)=$D12,0,JWR9+1))</f>
        <v>0</v>
      </c>
      <c r="JWT9" s="26">
        <f>IF(JWT7=0,0,IF(MAX($F9:JWS9)=$D12,0,JWS9+1))</f>
        <v>0</v>
      </c>
      <c r="JWU9" s="26">
        <f>IF(JWU7=0,0,IF(MAX($F9:JWT9)=$D12,0,JWT9+1))</f>
        <v>0</v>
      </c>
      <c r="JWV9" s="26">
        <f>IF(JWV7=0,0,IF(MAX($F9:JWU9)=$D12,0,JWU9+1))</f>
        <v>0</v>
      </c>
      <c r="JWW9" s="26">
        <f>IF(JWW7=0,0,IF(MAX($F9:JWV9)=$D12,0,JWV9+1))</f>
        <v>0</v>
      </c>
      <c r="JWX9" s="26">
        <f>IF(JWX7=0,0,IF(MAX($F9:JWW9)=$D12,0,JWW9+1))</f>
        <v>0</v>
      </c>
      <c r="JWY9" s="26">
        <f>IF(JWY7=0,0,IF(MAX($F9:JWX9)=$D12,0,JWX9+1))</f>
        <v>0</v>
      </c>
      <c r="JWZ9" s="26">
        <f>IF(JWZ7=0,0,IF(MAX($F9:JWY9)=$D12,0,JWY9+1))</f>
        <v>0</v>
      </c>
      <c r="JXA9" s="26">
        <f>IF(JXA7=0,0,IF(MAX($F9:JWZ9)=$D12,0,JWZ9+1))</f>
        <v>0</v>
      </c>
      <c r="JXB9" s="26">
        <f>IF(JXB7=0,0,IF(MAX($F9:JXA9)=$D12,0,JXA9+1))</f>
        <v>0</v>
      </c>
      <c r="JXC9" s="26">
        <f>IF(JXC7=0,0,IF(MAX($F9:JXB9)=$D12,0,JXB9+1))</f>
        <v>0</v>
      </c>
      <c r="JXD9" s="26">
        <f>IF(JXD7=0,0,IF(MAX($F9:JXC9)=$D12,0,JXC9+1))</f>
        <v>0</v>
      </c>
      <c r="JXE9" s="26">
        <f>IF(JXE7=0,0,IF(MAX($F9:JXD9)=$D12,0,JXD9+1))</f>
        <v>0</v>
      </c>
      <c r="JXF9" s="26">
        <f>IF(JXF7=0,0,IF(MAX($F9:JXE9)=$D12,0,JXE9+1))</f>
        <v>0</v>
      </c>
      <c r="JXG9" s="26">
        <f>IF(JXG7=0,0,IF(MAX($F9:JXF9)=$D12,0,JXF9+1))</f>
        <v>0</v>
      </c>
      <c r="JXH9" s="26">
        <f>IF(JXH7=0,0,IF(MAX($F9:JXG9)=$D12,0,JXG9+1))</f>
        <v>0</v>
      </c>
      <c r="JXI9" s="26">
        <f>IF(JXI7=0,0,IF(MAX($F9:JXH9)=$D12,0,JXH9+1))</f>
        <v>0</v>
      </c>
      <c r="JXJ9" s="26">
        <f>IF(JXJ7=0,0,IF(MAX($F9:JXI9)=$D12,0,JXI9+1))</f>
        <v>0</v>
      </c>
      <c r="JXK9" s="26">
        <f>IF(JXK7=0,0,IF(MAX($F9:JXJ9)=$D12,0,JXJ9+1))</f>
        <v>0</v>
      </c>
      <c r="JXL9" s="26">
        <f>IF(JXL7=0,0,IF(MAX($F9:JXK9)=$D12,0,JXK9+1))</f>
        <v>0</v>
      </c>
      <c r="JXM9" s="26">
        <f>IF(JXM7=0,0,IF(MAX($F9:JXL9)=$D12,0,JXL9+1))</f>
        <v>0</v>
      </c>
      <c r="JXN9" s="26">
        <f>IF(JXN7=0,0,IF(MAX($F9:JXM9)=$D12,0,JXM9+1))</f>
        <v>0</v>
      </c>
      <c r="JXO9" s="26">
        <f>IF(JXO7=0,0,IF(MAX($F9:JXN9)=$D12,0,JXN9+1))</f>
        <v>0</v>
      </c>
      <c r="JXP9" s="26">
        <f>IF(JXP7=0,0,IF(MAX($F9:JXO9)=$D12,0,JXO9+1))</f>
        <v>0</v>
      </c>
      <c r="JXQ9" s="26">
        <f>IF(JXQ7=0,0,IF(MAX($F9:JXP9)=$D12,0,JXP9+1))</f>
        <v>0</v>
      </c>
      <c r="JXR9" s="26">
        <f>IF(JXR7=0,0,IF(MAX($F9:JXQ9)=$D12,0,JXQ9+1))</f>
        <v>0</v>
      </c>
      <c r="JXS9" s="26">
        <f>IF(JXS7=0,0,IF(MAX($F9:JXR9)=$D12,0,JXR9+1))</f>
        <v>0</v>
      </c>
      <c r="JXT9" s="26">
        <f>IF(JXT7=0,0,IF(MAX($F9:JXS9)=$D12,0,JXS9+1))</f>
        <v>0</v>
      </c>
      <c r="JXU9" s="26">
        <f>IF(JXU7=0,0,IF(MAX($F9:JXT9)=$D12,0,JXT9+1))</f>
        <v>0</v>
      </c>
      <c r="JXV9" s="26">
        <f>IF(JXV7=0,0,IF(MAX($F9:JXU9)=$D12,0,JXU9+1))</f>
        <v>0</v>
      </c>
      <c r="JXW9" s="26">
        <f>IF(JXW7=0,0,IF(MAX($F9:JXV9)=$D12,0,JXV9+1))</f>
        <v>0</v>
      </c>
      <c r="JXX9" s="26">
        <f>IF(JXX7=0,0,IF(MAX($F9:JXW9)=$D12,0,JXW9+1))</f>
        <v>0</v>
      </c>
      <c r="JXY9" s="26">
        <f>IF(JXY7=0,0,IF(MAX($F9:JXX9)=$D12,0,JXX9+1))</f>
        <v>0</v>
      </c>
      <c r="JXZ9" s="26">
        <f>IF(JXZ7=0,0,IF(MAX($F9:JXY9)=$D12,0,JXY9+1))</f>
        <v>0</v>
      </c>
      <c r="JYA9" s="26">
        <f>IF(JYA7=0,0,IF(MAX($F9:JXZ9)=$D12,0,JXZ9+1))</f>
        <v>0</v>
      </c>
      <c r="JYB9" s="26">
        <f>IF(JYB7=0,0,IF(MAX($F9:JYA9)=$D12,0,JYA9+1))</f>
        <v>0</v>
      </c>
      <c r="JYC9" s="26">
        <f>IF(JYC7=0,0,IF(MAX($F9:JYB9)=$D12,0,JYB9+1))</f>
        <v>0</v>
      </c>
      <c r="JYD9" s="26">
        <f>IF(JYD7=0,0,IF(MAX($F9:JYC9)=$D12,0,JYC9+1))</f>
        <v>0</v>
      </c>
      <c r="JYE9" s="26">
        <f>IF(JYE7=0,0,IF(MAX($F9:JYD9)=$D12,0,JYD9+1))</f>
        <v>0</v>
      </c>
      <c r="JYF9" s="26">
        <f>IF(JYF7=0,0,IF(MAX($F9:JYE9)=$D12,0,JYE9+1))</f>
        <v>0</v>
      </c>
      <c r="JYG9" s="26">
        <f>IF(JYG7=0,0,IF(MAX($F9:JYF9)=$D12,0,JYF9+1))</f>
        <v>0</v>
      </c>
      <c r="JYH9" s="26">
        <f>IF(JYH7=0,0,IF(MAX($F9:JYG9)=$D12,0,JYG9+1))</f>
        <v>0</v>
      </c>
      <c r="JYI9" s="26">
        <f>IF(JYI7=0,0,IF(MAX($F9:JYH9)=$D12,0,JYH9+1))</f>
        <v>0</v>
      </c>
      <c r="JYJ9" s="26">
        <f>IF(JYJ7=0,0,IF(MAX($F9:JYI9)=$D12,0,JYI9+1))</f>
        <v>0</v>
      </c>
      <c r="JYK9" s="26">
        <f>IF(JYK7=0,0,IF(MAX($F9:JYJ9)=$D12,0,JYJ9+1))</f>
        <v>0</v>
      </c>
      <c r="JYL9" s="26">
        <f>IF(JYL7=0,0,IF(MAX($F9:JYK9)=$D12,0,JYK9+1))</f>
        <v>0</v>
      </c>
      <c r="JYM9" s="26">
        <f>IF(JYM7=0,0,IF(MAX($F9:JYL9)=$D12,0,JYL9+1))</f>
        <v>0</v>
      </c>
      <c r="JYN9" s="26">
        <f>IF(JYN7=0,0,IF(MAX($F9:JYM9)=$D12,0,JYM9+1))</f>
        <v>0</v>
      </c>
      <c r="JYO9" s="26">
        <f>IF(JYO7=0,0,IF(MAX($F9:JYN9)=$D12,0,JYN9+1))</f>
        <v>0</v>
      </c>
      <c r="JYP9" s="26">
        <f>IF(JYP7=0,0,IF(MAX($F9:JYO9)=$D12,0,JYO9+1))</f>
        <v>0</v>
      </c>
      <c r="JYQ9" s="26">
        <f>IF(JYQ7=0,0,IF(MAX($F9:JYP9)=$D12,0,JYP9+1))</f>
        <v>0</v>
      </c>
      <c r="JYR9" s="26">
        <f>IF(JYR7=0,0,IF(MAX($F9:JYQ9)=$D12,0,JYQ9+1))</f>
        <v>0</v>
      </c>
      <c r="JYS9" s="26">
        <f>IF(JYS7=0,0,IF(MAX($F9:JYR9)=$D12,0,JYR9+1))</f>
        <v>0</v>
      </c>
      <c r="JYT9" s="26">
        <f>IF(JYT7=0,0,IF(MAX($F9:JYS9)=$D12,0,JYS9+1))</f>
        <v>0</v>
      </c>
      <c r="JYU9" s="26">
        <f>IF(JYU7=0,0,IF(MAX($F9:JYT9)=$D12,0,JYT9+1))</f>
        <v>0</v>
      </c>
      <c r="JYV9" s="26">
        <f>IF(JYV7=0,0,IF(MAX($F9:JYU9)=$D12,0,JYU9+1))</f>
        <v>0</v>
      </c>
      <c r="JYW9" s="26">
        <f>IF(JYW7=0,0,IF(MAX($F9:JYV9)=$D12,0,JYV9+1))</f>
        <v>0</v>
      </c>
      <c r="JYX9" s="26">
        <f>IF(JYX7=0,0,IF(MAX($F9:JYW9)=$D12,0,JYW9+1))</f>
        <v>0</v>
      </c>
      <c r="JYY9" s="26">
        <f>IF(JYY7=0,0,IF(MAX($F9:JYX9)=$D12,0,JYX9+1))</f>
        <v>0</v>
      </c>
      <c r="JYZ9" s="26">
        <f>IF(JYZ7=0,0,IF(MAX($F9:JYY9)=$D12,0,JYY9+1))</f>
        <v>0</v>
      </c>
      <c r="JZA9" s="26">
        <f>IF(JZA7=0,0,IF(MAX($F9:JYZ9)=$D12,0,JYZ9+1))</f>
        <v>0</v>
      </c>
      <c r="JZB9" s="26">
        <f>IF(JZB7=0,0,IF(MAX($F9:JZA9)=$D12,0,JZA9+1))</f>
        <v>0</v>
      </c>
      <c r="JZC9" s="26">
        <f>IF(JZC7=0,0,IF(MAX($F9:JZB9)=$D12,0,JZB9+1))</f>
        <v>0</v>
      </c>
      <c r="JZD9" s="26">
        <f>IF(JZD7=0,0,IF(MAX($F9:JZC9)=$D12,0,JZC9+1))</f>
        <v>0</v>
      </c>
      <c r="JZE9" s="26">
        <f>IF(JZE7=0,0,IF(MAX($F9:JZD9)=$D12,0,JZD9+1))</f>
        <v>0</v>
      </c>
      <c r="JZF9" s="26">
        <f>IF(JZF7=0,0,IF(MAX($F9:JZE9)=$D12,0,JZE9+1))</f>
        <v>0</v>
      </c>
      <c r="JZG9" s="26">
        <f>IF(JZG7=0,0,IF(MAX($F9:JZF9)=$D12,0,JZF9+1))</f>
        <v>0</v>
      </c>
      <c r="JZH9" s="26">
        <f>IF(JZH7=0,0,IF(MAX($F9:JZG9)=$D12,0,JZG9+1))</f>
        <v>0</v>
      </c>
      <c r="JZI9" s="26">
        <f>IF(JZI7=0,0,IF(MAX($F9:JZH9)=$D12,0,JZH9+1))</f>
        <v>0</v>
      </c>
      <c r="JZJ9" s="26">
        <f>IF(JZJ7=0,0,IF(MAX($F9:JZI9)=$D12,0,JZI9+1))</f>
        <v>0</v>
      </c>
      <c r="JZK9" s="26">
        <f>IF(JZK7=0,0,IF(MAX($F9:JZJ9)=$D12,0,JZJ9+1))</f>
        <v>0</v>
      </c>
      <c r="JZL9" s="26">
        <f>IF(JZL7=0,0,IF(MAX($F9:JZK9)=$D12,0,JZK9+1))</f>
        <v>0</v>
      </c>
      <c r="JZM9" s="26">
        <f>IF(JZM7=0,0,IF(MAX($F9:JZL9)=$D12,0,JZL9+1))</f>
        <v>0</v>
      </c>
      <c r="JZN9" s="26">
        <f>IF(JZN7=0,0,IF(MAX($F9:JZM9)=$D12,0,JZM9+1))</f>
        <v>0</v>
      </c>
      <c r="JZO9" s="26">
        <f>IF(JZO7=0,0,IF(MAX($F9:JZN9)=$D12,0,JZN9+1))</f>
        <v>0</v>
      </c>
      <c r="JZP9" s="26">
        <f>IF(JZP7=0,0,IF(MAX($F9:JZO9)=$D12,0,JZO9+1))</f>
        <v>0</v>
      </c>
      <c r="JZQ9" s="26">
        <f>IF(JZQ7=0,0,IF(MAX($F9:JZP9)=$D12,0,JZP9+1))</f>
        <v>0</v>
      </c>
      <c r="JZR9" s="26">
        <f>IF(JZR7=0,0,IF(MAX($F9:JZQ9)=$D12,0,JZQ9+1))</f>
        <v>0</v>
      </c>
      <c r="JZS9" s="26">
        <f>IF(JZS7=0,0,IF(MAX($F9:JZR9)=$D12,0,JZR9+1))</f>
        <v>0</v>
      </c>
      <c r="JZT9" s="26">
        <f>IF(JZT7=0,0,IF(MAX($F9:JZS9)=$D12,0,JZS9+1))</f>
        <v>0</v>
      </c>
      <c r="JZU9" s="26">
        <f>IF(JZU7=0,0,IF(MAX($F9:JZT9)=$D12,0,JZT9+1))</f>
        <v>0</v>
      </c>
      <c r="JZV9" s="26">
        <f>IF(JZV7=0,0,IF(MAX($F9:JZU9)=$D12,0,JZU9+1))</f>
        <v>0</v>
      </c>
      <c r="JZW9" s="26">
        <f>IF(JZW7=0,0,IF(MAX($F9:JZV9)=$D12,0,JZV9+1))</f>
        <v>0</v>
      </c>
      <c r="JZX9" s="26">
        <f>IF(JZX7=0,0,IF(MAX($F9:JZW9)=$D12,0,JZW9+1))</f>
        <v>0</v>
      </c>
      <c r="JZY9" s="26">
        <f>IF(JZY7=0,0,IF(MAX($F9:JZX9)=$D12,0,JZX9+1))</f>
        <v>0</v>
      </c>
      <c r="JZZ9" s="26">
        <f>IF(JZZ7=0,0,IF(MAX($F9:JZY9)=$D12,0,JZY9+1))</f>
        <v>0</v>
      </c>
      <c r="KAA9" s="26">
        <f>IF(KAA7=0,0,IF(MAX($F9:JZZ9)=$D12,0,JZZ9+1))</f>
        <v>0</v>
      </c>
      <c r="KAB9" s="26">
        <f>IF(KAB7=0,0,IF(MAX($F9:KAA9)=$D12,0,KAA9+1))</f>
        <v>0</v>
      </c>
      <c r="KAC9" s="26">
        <f>IF(KAC7=0,0,IF(MAX($F9:KAB9)=$D12,0,KAB9+1))</f>
        <v>0</v>
      </c>
      <c r="KAD9" s="26">
        <f>IF(KAD7=0,0,IF(MAX($F9:KAC9)=$D12,0,KAC9+1))</f>
        <v>0</v>
      </c>
      <c r="KAE9" s="26">
        <f>IF(KAE7=0,0,IF(MAX($F9:KAD9)=$D12,0,KAD9+1))</f>
        <v>0</v>
      </c>
      <c r="KAF9" s="26">
        <f>IF(KAF7=0,0,IF(MAX($F9:KAE9)=$D12,0,KAE9+1))</f>
        <v>0</v>
      </c>
      <c r="KAG9" s="26">
        <f>IF(KAG7=0,0,IF(MAX($F9:KAF9)=$D12,0,KAF9+1))</f>
        <v>0</v>
      </c>
      <c r="KAH9" s="26">
        <f>IF(KAH7=0,0,IF(MAX($F9:KAG9)=$D12,0,KAG9+1))</f>
        <v>0</v>
      </c>
      <c r="KAI9" s="26">
        <f>IF(KAI7=0,0,IF(MAX($F9:KAH9)=$D12,0,KAH9+1))</f>
        <v>0</v>
      </c>
      <c r="KAJ9" s="26">
        <f>IF(KAJ7=0,0,IF(MAX($F9:KAI9)=$D12,0,KAI9+1))</f>
        <v>0</v>
      </c>
      <c r="KAK9" s="26">
        <f>IF(KAK7=0,0,IF(MAX($F9:KAJ9)=$D12,0,KAJ9+1))</f>
        <v>0</v>
      </c>
      <c r="KAL9" s="26">
        <f>IF(KAL7=0,0,IF(MAX($F9:KAK9)=$D12,0,KAK9+1))</f>
        <v>0</v>
      </c>
      <c r="KAM9" s="26">
        <f>IF(KAM7=0,0,IF(MAX($F9:KAL9)=$D12,0,KAL9+1))</f>
        <v>0</v>
      </c>
      <c r="KAN9" s="26">
        <f>IF(KAN7=0,0,IF(MAX($F9:KAM9)=$D12,0,KAM9+1))</f>
        <v>0</v>
      </c>
      <c r="KAO9" s="26">
        <f>IF(KAO7=0,0,IF(MAX($F9:KAN9)=$D12,0,KAN9+1))</f>
        <v>0</v>
      </c>
      <c r="KAP9" s="26">
        <f>IF(KAP7=0,0,IF(MAX($F9:KAO9)=$D12,0,KAO9+1))</f>
        <v>0</v>
      </c>
      <c r="KAQ9" s="26">
        <f>IF(KAQ7=0,0,IF(MAX($F9:KAP9)=$D12,0,KAP9+1))</f>
        <v>0</v>
      </c>
      <c r="KAR9" s="26">
        <f>IF(KAR7=0,0,IF(MAX($F9:KAQ9)=$D12,0,KAQ9+1))</f>
        <v>0</v>
      </c>
      <c r="KAS9" s="26">
        <f>IF(KAS7=0,0,IF(MAX($F9:KAR9)=$D12,0,KAR9+1))</f>
        <v>0</v>
      </c>
      <c r="KAT9" s="26">
        <f>IF(KAT7=0,0,IF(MAX($F9:KAS9)=$D12,0,KAS9+1))</f>
        <v>0</v>
      </c>
      <c r="KAU9" s="26">
        <f>IF(KAU7=0,0,IF(MAX($F9:KAT9)=$D12,0,KAT9+1))</f>
        <v>0</v>
      </c>
      <c r="KAV9" s="26">
        <f>IF(KAV7=0,0,IF(MAX($F9:KAU9)=$D12,0,KAU9+1))</f>
        <v>0</v>
      </c>
      <c r="KAW9" s="26">
        <f>IF(KAW7=0,0,IF(MAX($F9:KAV9)=$D12,0,KAV9+1))</f>
        <v>0</v>
      </c>
      <c r="KAX9" s="26">
        <f>IF(KAX7=0,0,IF(MAX($F9:KAW9)=$D12,0,KAW9+1))</f>
        <v>0</v>
      </c>
      <c r="KAY9" s="26">
        <f>IF(KAY7=0,0,IF(MAX($F9:KAX9)=$D12,0,KAX9+1))</f>
        <v>0</v>
      </c>
      <c r="KAZ9" s="26">
        <f>IF(KAZ7=0,0,IF(MAX($F9:KAY9)=$D12,0,KAY9+1))</f>
        <v>0</v>
      </c>
      <c r="KBA9" s="26">
        <f>IF(KBA7=0,0,IF(MAX($F9:KAZ9)=$D12,0,KAZ9+1))</f>
        <v>0</v>
      </c>
      <c r="KBB9" s="26">
        <f>IF(KBB7=0,0,IF(MAX($F9:KBA9)=$D12,0,KBA9+1))</f>
        <v>0</v>
      </c>
      <c r="KBC9" s="26">
        <f>IF(KBC7=0,0,IF(MAX($F9:KBB9)=$D12,0,KBB9+1))</f>
        <v>0</v>
      </c>
      <c r="KBD9" s="26">
        <f>IF(KBD7=0,0,IF(MAX($F9:KBC9)=$D12,0,KBC9+1))</f>
        <v>0</v>
      </c>
      <c r="KBE9" s="26">
        <f>IF(KBE7=0,0,IF(MAX($F9:KBD9)=$D12,0,KBD9+1))</f>
        <v>0</v>
      </c>
      <c r="KBF9" s="26">
        <f>IF(KBF7=0,0,IF(MAX($F9:KBE9)=$D12,0,KBE9+1))</f>
        <v>0</v>
      </c>
      <c r="KBG9" s="26">
        <f>IF(KBG7=0,0,IF(MAX($F9:KBF9)=$D12,0,KBF9+1))</f>
        <v>0</v>
      </c>
      <c r="KBH9" s="26">
        <f>IF(KBH7=0,0,IF(MAX($F9:KBG9)=$D12,0,KBG9+1))</f>
        <v>0</v>
      </c>
      <c r="KBI9" s="26">
        <f>IF(KBI7=0,0,IF(MAX($F9:KBH9)=$D12,0,KBH9+1))</f>
        <v>0</v>
      </c>
      <c r="KBJ9" s="26">
        <f>IF(KBJ7=0,0,IF(MAX($F9:KBI9)=$D12,0,KBI9+1))</f>
        <v>0</v>
      </c>
      <c r="KBK9" s="26">
        <f>IF(KBK7=0,0,IF(MAX($F9:KBJ9)=$D12,0,KBJ9+1))</f>
        <v>0</v>
      </c>
      <c r="KBL9" s="26">
        <f>IF(KBL7=0,0,IF(MAX($F9:KBK9)=$D12,0,KBK9+1))</f>
        <v>0</v>
      </c>
      <c r="KBM9" s="26">
        <f>IF(KBM7=0,0,IF(MAX($F9:KBL9)=$D12,0,KBL9+1))</f>
        <v>0</v>
      </c>
      <c r="KBN9" s="26">
        <f>IF(KBN7=0,0,IF(MAX($F9:KBM9)=$D12,0,KBM9+1))</f>
        <v>0</v>
      </c>
      <c r="KBO9" s="26">
        <f>IF(KBO7=0,0,IF(MAX($F9:KBN9)=$D12,0,KBN9+1))</f>
        <v>0</v>
      </c>
      <c r="KBP9" s="26">
        <f>IF(KBP7=0,0,IF(MAX($F9:KBO9)=$D12,0,KBO9+1))</f>
        <v>0</v>
      </c>
      <c r="KBQ9" s="26">
        <f>IF(KBQ7=0,0,IF(MAX($F9:KBP9)=$D12,0,KBP9+1))</f>
        <v>0</v>
      </c>
      <c r="KBR9" s="26">
        <f>IF(KBR7=0,0,IF(MAX($F9:KBQ9)=$D12,0,KBQ9+1))</f>
        <v>0</v>
      </c>
      <c r="KBS9" s="26">
        <f>IF(KBS7=0,0,IF(MAX($F9:KBR9)=$D12,0,KBR9+1))</f>
        <v>0</v>
      </c>
      <c r="KBT9" s="26">
        <f>IF(KBT7=0,0,IF(MAX($F9:KBS9)=$D12,0,KBS9+1))</f>
        <v>0</v>
      </c>
      <c r="KBU9" s="26">
        <f>IF(KBU7=0,0,IF(MAX($F9:KBT9)=$D12,0,KBT9+1))</f>
        <v>0</v>
      </c>
      <c r="KBV9" s="26">
        <f>IF(KBV7=0,0,IF(MAX($F9:KBU9)=$D12,0,KBU9+1))</f>
        <v>0</v>
      </c>
      <c r="KBW9" s="26">
        <f>IF(KBW7=0,0,IF(MAX($F9:KBV9)=$D12,0,KBV9+1))</f>
        <v>0</v>
      </c>
      <c r="KBX9" s="26">
        <f>IF(KBX7=0,0,IF(MAX($F9:KBW9)=$D12,0,KBW9+1))</f>
        <v>0</v>
      </c>
      <c r="KBY9" s="26">
        <f>IF(KBY7=0,0,IF(MAX($F9:KBX9)=$D12,0,KBX9+1))</f>
        <v>0</v>
      </c>
      <c r="KBZ9" s="26">
        <f>IF(KBZ7=0,0,IF(MAX($F9:KBY9)=$D12,0,KBY9+1))</f>
        <v>0</v>
      </c>
      <c r="KCA9" s="26">
        <f>IF(KCA7=0,0,IF(MAX($F9:KBZ9)=$D12,0,KBZ9+1))</f>
        <v>0</v>
      </c>
      <c r="KCB9" s="26">
        <f>IF(KCB7=0,0,IF(MAX($F9:KCA9)=$D12,0,KCA9+1))</f>
        <v>0</v>
      </c>
      <c r="KCC9" s="26">
        <f>IF(KCC7=0,0,IF(MAX($F9:KCB9)=$D12,0,KCB9+1))</f>
        <v>0</v>
      </c>
      <c r="KCD9" s="26">
        <f>IF(KCD7=0,0,IF(MAX($F9:KCC9)=$D12,0,KCC9+1))</f>
        <v>0</v>
      </c>
      <c r="KCE9" s="26">
        <f>IF(KCE7=0,0,IF(MAX($F9:KCD9)=$D12,0,KCD9+1))</f>
        <v>0</v>
      </c>
      <c r="KCF9" s="26">
        <f>IF(KCF7=0,0,IF(MAX($F9:KCE9)=$D12,0,KCE9+1))</f>
        <v>0</v>
      </c>
      <c r="KCG9" s="26">
        <f>IF(KCG7=0,0,IF(MAX($F9:KCF9)=$D12,0,KCF9+1))</f>
        <v>0</v>
      </c>
      <c r="KCH9" s="26">
        <f>IF(KCH7=0,0,IF(MAX($F9:KCG9)=$D12,0,KCG9+1))</f>
        <v>0</v>
      </c>
      <c r="KCI9" s="26">
        <f>IF(KCI7=0,0,IF(MAX($F9:KCH9)=$D12,0,KCH9+1))</f>
        <v>0</v>
      </c>
      <c r="KCJ9" s="26">
        <f>IF(KCJ7=0,0,IF(MAX($F9:KCI9)=$D12,0,KCI9+1))</f>
        <v>0</v>
      </c>
      <c r="KCK9" s="26">
        <f>IF(KCK7=0,0,IF(MAX($F9:KCJ9)=$D12,0,KCJ9+1))</f>
        <v>0</v>
      </c>
      <c r="KCL9" s="26">
        <f>IF(KCL7=0,0,IF(MAX($F9:KCK9)=$D12,0,KCK9+1))</f>
        <v>0</v>
      </c>
      <c r="KCM9" s="26">
        <f>IF(KCM7=0,0,IF(MAX($F9:KCL9)=$D12,0,KCL9+1))</f>
        <v>0</v>
      </c>
      <c r="KCN9" s="26">
        <f>IF(KCN7=0,0,IF(MAX($F9:KCM9)=$D12,0,KCM9+1))</f>
        <v>0</v>
      </c>
      <c r="KCO9" s="26">
        <f>IF(KCO7=0,0,IF(MAX($F9:KCN9)=$D12,0,KCN9+1))</f>
        <v>0</v>
      </c>
      <c r="KCP9" s="26">
        <f>IF(KCP7=0,0,IF(MAX($F9:KCO9)=$D12,0,KCO9+1))</f>
        <v>0</v>
      </c>
      <c r="KCQ9" s="26">
        <f>IF(KCQ7=0,0,IF(MAX($F9:KCP9)=$D12,0,KCP9+1))</f>
        <v>0</v>
      </c>
      <c r="KCR9" s="26">
        <f>IF(KCR7=0,0,IF(MAX($F9:KCQ9)=$D12,0,KCQ9+1))</f>
        <v>0</v>
      </c>
      <c r="KCS9" s="26">
        <f>IF(KCS7=0,0,IF(MAX($F9:KCR9)=$D12,0,KCR9+1))</f>
        <v>0</v>
      </c>
      <c r="KCT9" s="26">
        <f>IF(KCT7=0,0,IF(MAX($F9:KCS9)=$D12,0,KCS9+1))</f>
        <v>0</v>
      </c>
      <c r="KCU9" s="26">
        <f>IF(KCU7=0,0,IF(MAX($F9:KCT9)=$D12,0,KCT9+1))</f>
        <v>0</v>
      </c>
      <c r="KCV9" s="26">
        <f>IF(KCV7=0,0,IF(MAX($F9:KCU9)=$D12,0,KCU9+1))</f>
        <v>0</v>
      </c>
      <c r="KCW9" s="26">
        <f>IF(KCW7=0,0,IF(MAX($F9:KCV9)=$D12,0,KCV9+1))</f>
        <v>0</v>
      </c>
      <c r="KCX9" s="26">
        <f>IF(KCX7=0,0,IF(MAX($F9:KCW9)=$D12,0,KCW9+1))</f>
        <v>0</v>
      </c>
      <c r="KCY9" s="26">
        <f>IF(KCY7=0,0,IF(MAX($F9:KCX9)=$D12,0,KCX9+1))</f>
        <v>0</v>
      </c>
      <c r="KCZ9" s="26">
        <f>IF(KCZ7=0,0,IF(MAX($F9:KCY9)=$D12,0,KCY9+1))</f>
        <v>0</v>
      </c>
      <c r="KDA9" s="26">
        <f>IF(KDA7=0,0,IF(MAX($F9:KCZ9)=$D12,0,KCZ9+1))</f>
        <v>0</v>
      </c>
      <c r="KDB9" s="26">
        <f>IF(KDB7=0,0,IF(MAX($F9:KDA9)=$D12,0,KDA9+1))</f>
        <v>0</v>
      </c>
      <c r="KDC9" s="26">
        <f>IF(KDC7=0,0,IF(MAX($F9:KDB9)=$D12,0,KDB9+1))</f>
        <v>0</v>
      </c>
      <c r="KDD9" s="26">
        <f>IF(KDD7=0,0,IF(MAX($F9:KDC9)=$D12,0,KDC9+1))</f>
        <v>0</v>
      </c>
      <c r="KDE9" s="26">
        <f>IF(KDE7=0,0,IF(MAX($F9:KDD9)=$D12,0,KDD9+1))</f>
        <v>0</v>
      </c>
      <c r="KDF9" s="26">
        <f>IF(KDF7=0,0,IF(MAX($F9:KDE9)=$D12,0,KDE9+1))</f>
        <v>0</v>
      </c>
      <c r="KDG9" s="26">
        <f>IF(KDG7=0,0,IF(MAX($F9:KDF9)=$D12,0,KDF9+1))</f>
        <v>0</v>
      </c>
      <c r="KDH9" s="26">
        <f>IF(KDH7=0,0,IF(MAX($F9:KDG9)=$D12,0,KDG9+1))</f>
        <v>0</v>
      </c>
      <c r="KDI9" s="26">
        <f>IF(KDI7=0,0,IF(MAX($F9:KDH9)=$D12,0,KDH9+1))</f>
        <v>0</v>
      </c>
      <c r="KDJ9" s="26">
        <f>IF(KDJ7=0,0,IF(MAX($F9:KDI9)=$D12,0,KDI9+1))</f>
        <v>0</v>
      </c>
      <c r="KDK9" s="26">
        <f>IF(KDK7=0,0,IF(MAX($F9:KDJ9)=$D12,0,KDJ9+1))</f>
        <v>0</v>
      </c>
      <c r="KDL9" s="26">
        <f>IF(KDL7=0,0,IF(MAX($F9:KDK9)=$D12,0,KDK9+1))</f>
        <v>0</v>
      </c>
      <c r="KDM9" s="26">
        <f>IF(KDM7=0,0,IF(MAX($F9:KDL9)=$D12,0,KDL9+1))</f>
        <v>0</v>
      </c>
      <c r="KDN9" s="26">
        <f>IF(KDN7=0,0,IF(MAX($F9:KDM9)=$D12,0,KDM9+1))</f>
        <v>0</v>
      </c>
      <c r="KDO9" s="26">
        <f>IF(KDO7=0,0,IF(MAX($F9:KDN9)=$D12,0,KDN9+1))</f>
        <v>0</v>
      </c>
      <c r="KDP9" s="26">
        <f>IF(KDP7=0,0,IF(MAX($F9:KDO9)=$D12,0,KDO9+1))</f>
        <v>0</v>
      </c>
      <c r="KDQ9" s="26">
        <f>IF(KDQ7=0,0,IF(MAX($F9:KDP9)=$D12,0,KDP9+1))</f>
        <v>0</v>
      </c>
      <c r="KDR9" s="26">
        <f>IF(KDR7=0,0,IF(MAX($F9:KDQ9)=$D12,0,KDQ9+1))</f>
        <v>0</v>
      </c>
      <c r="KDS9" s="26">
        <f>IF(KDS7=0,0,IF(MAX($F9:KDR9)=$D12,0,KDR9+1))</f>
        <v>0</v>
      </c>
      <c r="KDT9" s="26">
        <f>IF(KDT7=0,0,IF(MAX($F9:KDS9)=$D12,0,KDS9+1))</f>
        <v>0</v>
      </c>
      <c r="KDU9" s="26">
        <f>IF(KDU7=0,0,IF(MAX($F9:KDT9)=$D12,0,KDT9+1))</f>
        <v>0</v>
      </c>
      <c r="KDV9" s="26">
        <f>IF(KDV7=0,0,IF(MAX($F9:KDU9)=$D12,0,KDU9+1))</f>
        <v>0</v>
      </c>
      <c r="KDW9" s="26">
        <f>IF(KDW7=0,0,IF(MAX($F9:KDV9)=$D12,0,KDV9+1))</f>
        <v>0</v>
      </c>
      <c r="KDX9" s="26">
        <f>IF(KDX7=0,0,IF(MAX($F9:KDW9)=$D12,0,KDW9+1))</f>
        <v>0</v>
      </c>
      <c r="KDY9" s="26">
        <f>IF(KDY7=0,0,IF(MAX($F9:KDX9)=$D12,0,KDX9+1))</f>
        <v>0</v>
      </c>
      <c r="KDZ9" s="26">
        <f>IF(KDZ7=0,0,IF(MAX($F9:KDY9)=$D12,0,KDY9+1))</f>
        <v>0</v>
      </c>
      <c r="KEA9" s="26">
        <f>IF(KEA7=0,0,IF(MAX($F9:KDZ9)=$D12,0,KDZ9+1))</f>
        <v>0</v>
      </c>
      <c r="KEB9" s="26">
        <f>IF(KEB7=0,0,IF(MAX($F9:KEA9)=$D12,0,KEA9+1))</f>
        <v>0</v>
      </c>
      <c r="KEC9" s="26">
        <f>IF(KEC7=0,0,IF(MAX($F9:KEB9)=$D12,0,KEB9+1))</f>
        <v>0</v>
      </c>
      <c r="KED9" s="26">
        <f>IF(KED7=0,0,IF(MAX($F9:KEC9)=$D12,0,KEC9+1))</f>
        <v>0</v>
      </c>
      <c r="KEE9" s="26">
        <f>IF(KEE7=0,0,IF(MAX($F9:KED9)=$D12,0,KED9+1))</f>
        <v>0</v>
      </c>
      <c r="KEF9" s="26">
        <f>IF(KEF7=0,0,IF(MAX($F9:KEE9)=$D12,0,KEE9+1))</f>
        <v>0</v>
      </c>
      <c r="KEG9" s="26">
        <f>IF(KEG7=0,0,IF(MAX($F9:KEF9)=$D12,0,KEF9+1))</f>
        <v>0</v>
      </c>
      <c r="KEH9" s="26">
        <f>IF(KEH7=0,0,IF(MAX($F9:KEG9)=$D12,0,KEG9+1))</f>
        <v>0</v>
      </c>
      <c r="KEI9" s="26">
        <f>IF(KEI7=0,0,IF(MAX($F9:KEH9)=$D12,0,KEH9+1))</f>
        <v>0</v>
      </c>
      <c r="KEJ9" s="26">
        <f>IF(KEJ7=0,0,IF(MAX($F9:KEI9)=$D12,0,KEI9+1))</f>
        <v>0</v>
      </c>
      <c r="KEK9" s="26">
        <f>IF(KEK7=0,0,IF(MAX($F9:KEJ9)=$D12,0,KEJ9+1))</f>
        <v>0</v>
      </c>
      <c r="KEL9" s="26">
        <f>IF(KEL7=0,0,IF(MAX($F9:KEK9)=$D12,0,KEK9+1))</f>
        <v>0</v>
      </c>
      <c r="KEM9" s="26">
        <f>IF(KEM7=0,0,IF(MAX($F9:KEL9)=$D12,0,KEL9+1))</f>
        <v>0</v>
      </c>
      <c r="KEN9" s="26">
        <f>IF(KEN7=0,0,IF(MAX($F9:KEM9)=$D12,0,KEM9+1))</f>
        <v>0</v>
      </c>
      <c r="KEO9" s="26">
        <f>IF(KEO7=0,0,IF(MAX($F9:KEN9)=$D12,0,KEN9+1))</f>
        <v>0</v>
      </c>
      <c r="KEP9" s="26">
        <f>IF(KEP7=0,0,IF(MAX($F9:KEO9)=$D12,0,KEO9+1))</f>
        <v>0</v>
      </c>
      <c r="KEQ9" s="26">
        <f>IF(KEQ7=0,0,IF(MAX($F9:KEP9)=$D12,0,KEP9+1))</f>
        <v>0</v>
      </c>
      <c r="KER9" s="26">
        <f>IF(KER7=0,0,IF(MAX($F9:KEQ9)=$D12,0,KEQ9+1))</f>
        <v>0</v>
      </c>
      <c r="KES9" s="26">
        <f>IF(KES7=0,0,IF(MAX($F9:KER9)=$D12,0,KER9+1))</f>
        <v>0</v>
      </c>
      <c r="KET9" s="26">
        <f>IF(KET7=0,0,IF(MAX($F9:KES9)=$D12,0,KES9+1))</f>
        <v>0</v>
      </c>
      <c r="KEU9" s="26">
        <f>IF(KEU7=0,0,IF(MAX($F9:KET9)=$D12,0,KET9+1))</f>
        <v>0</v>
      </c>
      <c r="KEV9" s="26">
        <f>IF(KEV7=0,0,IF(MAX($F9:KEU9)=$D12,0,KEU9+1))</f>
        <v>0</v>
      </c>
      <c r="KEW9" s="26">
        <f>IF(KEW7=0,0,IF(MAX($F9:KEV9)=$D12,0,KEV9+1))</f>
        <v>0</v>
      </c>
      <c r="KEX9" s="26">
        <f>IF(KEX7=0,0,IF(MAX($F9:KEW9)=$D12,0,KEW9+1))</f>
        <v>0</v>
      </c>
      <c r="KEY9" s="26">
        <f>IF(KEY7=0,0,IF(MAX($F9:KEX9)=$D12,0,KEX9+1))</f>
        <v>0</v>
      </c>
      <c r="KEZ9" s="26">
        <f>IF(KEZ7=0,0,IF(MAX($F9:KEY9)=$D12,0,KEY9+1))</f>
        <v>0</v>
      </c>
      <c r="KFA9" s="26">
        <f>IF(KFA7=0,0,IF(MAX($F9:KEZ9)=$D12,0,KEZ9+1))</f>
        <v>0</v>
      </c>
      <c r="KFB9" s="26">
        <f>IF(KFB7=0,0,IF(MAX($F9:KFA9)=$D12,0,KFA9+1))</f>
        <v>0</v>
      </c>
      <c r="KFC9" s="26">
        <f>IF(KFC7=0,0,IF(MAX($F9:KFB9)=$D12,0,KFB9+1))</f>
        <v>0</v>
      </c>
      <c r="KFD9" s="26">
        <f>IF(KFD7=0,0,IF(MAX($F9:KFC9)=$D12,0,KFC9+1))</f>
        <v>0</v>
      </c>
      <c r="KFE9" s="26">
        <f>IF(KFE7=0,0,IF(MAX($F9:KFD9)=$D12,0,KFD9+1))</f>
        <v>0</v>
      </c>
      <c r="KFF9" s="26">
        <f>IF(KFF7=0,0,IF(MAX($F9:KFE9)=$D12,0,KFE9+1))</f>
        <v>0</v>
      </c>
      <c r="KFG9" s="26">
        <f>IF(KFG7=0,0,IF(MAX($F9:KFF9)=$D12,0,KFF9+1))</f>
        <v>0</v>
      </c>
      <c r="KFH9" s="26">
        <f>IF(KFH7=0,0,IF(MAX($F9:KFG9)=$D12,0,KFG9+1))</f>
        <v>0</v>
      </c>
      <c r="KFI9" s="26">
        <f>IF(KFI7=0,0,IF(MAX($F9:KFH9)=$D12,0,KFH9+1))</f>
        <v>0</v>
      </c>
      <c r="KFJ9" s="26">
        <f>IF(KFJ7=0,0,IF(MAX($F9:KFI9)=$D12,0,KFI9+1))</f>
        <v>0</v>
      </c>
      <c r="KFK9" s="26">
        <f>IF(KFK7=0,0,IF(MAX($F9:KFJ9)=$D12,0,KFJ9+1))</f>
        <v>0</v>
      </c>
      <c r="KFL9" s="26">
        <f>IF(KFL7=0,0,IF(MAX($F9:KFK9)=$D12,0,KFK9+1))</f>
        <v>0</v>
      </c>
      <c r="KFM9" s="26">
        <f>IF(KFM7=0,0,IF(MAX($F9:KFL9)=$D12,0,KFL9+1))</f>
        <v>0</v>
      </c>
      <c r="KFN9" s="26">
        <f>IF(KFN7=0,0,IF(MAX($F9:KFM9)=$D12,0,KFM9+1))</f>
        <v>0</v>
      </c>
      <c r="KFO9" s="26">
        <f>IF(KFO7=0,0,IF(MAX($F9:KFN9)=$D12,0,KFN9+1))</f>
        <v>0</v>
      </c>
      <c r="KFP9" s="26">
        <f>IF(KFP7=0,0,IF(MAX($F9:KFO9)=$D12,0,KFO9+1))</f>
        <v>0</v>
      </c>
      <c r="KFQ9" s="26">
        <f>IF(KFQ7=0,0,IF(MAX($F9:KFP9)=$D12,0,KFP9+1))</f>
        <v>0</v>
      </c>
      <c r="KFR9" s="26">
        <f>IF(KFR7=0,0,IF(MAX($F9:KFQ9)=$D12,0,KFQ9+1))</f>
        <v>0</v>
      </c>
      <c r="KFS9" s="26">
        <f>IF(KFS7=0,0,IF(MAX($F9:KFR9)=$D12,0,KFR9+1))</f>
        <v>0</v>
      </c>
      <c r="KFT9" s="26">
        <f>IF(KFT7=0,0,IF(MAX($F9:KFS9)=$D12,0,KFS9+1))</f>
        <v>0</v>
      </c>
      <c r="KFU9" s="26">
        <f>IF(KFU7=0,0,IF(MAX($F9:KFT9)=$D12,0,KFT9+1))</f>
        <v>0</v>
      </c>
      <c r="KFV9" s="26">
        <f>IF(KFV7=0,0,IF(MAX($F9:KFU9)=$D12,0,KFU9+1))</f>
        <v>0</v>
      </c>
      <c r="KFW9" s="26">
        <f>IF(KFW7=0,0,IF(MAX($F9:KFV9)=$D12,0,KFV9+1))</f>
        <v>0</v>
      </c>
      <c r="KFX9" s="26">
        <f>IF(KFX7=0,0,IF(MAX($F9:KFW9)=$D12,0,KFW9+1))</f>
        <v>0</v>
      </c>
      <c r="KFY9" s="26">
        <f>IF(KFY7=0,0,IF(MAX($F9:KFX9)=$D12,0,KFX9+1))</f>
        <v>0</v>
      </c>
      <c r="KFZ9" s="26">
        <f>IF(KFZ7=0,0,IF(MAX($F9:KFY9)=$D12,0,KFY9+1))</f>
        <v>0</v>
      </c>
      <c r="KGA9" s="26">
        <f>IF(KGA7=0,0,IF(MAX($F9:KFZ9)=$D12,0,KFZ9+1))</f>
        <v>0</v>
      </c>
      <c r="KGB9" s="26">
        <f>IF(KGB7=0,0,IF(MAX($F9:KGA9)=$D12,0,KGA9+1))</f>
        <v>0</v>
      </c>
      <c r="KGC9" s="26">
        <f>IF(KGC7=0,0,IF(MAX($F9:KGB9)=$D12,0,KGB9+1))</f>
        <v>0</v>
      </c>
      <c r="KGD9" s="26">
        <f>IF(KGD7=0,0,IF(MAX($F9:KGC9)=$D12,0,KGC9+1))</f>
        <v>0</v>
      </c>
      <c r="KGE9" s="26">
        <f>IF(KGE7=0,0,IF(MAX($F9:KGD9)=$D12,0,KGD9+1))</f>
        <v>0</v>
      </c>
      <c r="KGF9" s="26">
        <f>IF(KGF7=0,0,IF(MAX($F9:KGE9)=$D12,0,KGE9+1))</f>
        <v>0</v>
      </c>
      <c r="KGG9" s="26">
        <f>IF(KGG7=0,0,IF(MAX($F9:KGF9)=$D12,0,KGF9+1))</f>
        <v>0</v>
      </c>
      <c r="KGH9" s="26">
        <f>IF(KGH7=0,0,IF(MAX($F9:KGG9)=$D12,0,KGG9+1))</f>
        <v>0</v>
      </c>
      <c r="KGI9" s="26">
        <f>IF(KGI7=0,0,IF(MAX($F9:KGH9)=$D12,0,KGH9+1))</f>
        <v>0</v>
      </c>
      <c r="KGJ9" s="26">
        <f>IF(KGJ7=0,0,IF(MAX($F9:KGI9)=$D12,0,KGI9+1))</f>
        <v>0</v>
      </c>
      <c r="KGK9" s="26">
        <f>IF(KGK7=0,0,IF(MAX($F9:KGJ9)=$D12,0,KGJ9+1))</f>
        <v>0</v>
      </c>
      <c r="KGL9" s="26">
        <f>IF(KGL7=0,0,IF(MAX($F9:KGK9)=$D12,0,KGK9+1))</f>
        <v>0</v>
      </c>
      <c r="KGM9" s="26">
        <f>IF(KGM7=0,0,IF(MAX($F9:KGL9)=$D12,0,KGL9+1))</f>
        <v>0</v>
      </c>
      <c r="KGN9" s="26">
        <f>IF(KGN7=0,0,IF(MAX($F9:KGM9)=$D12,0,KGM9+1))</f>
        <v>0</v>
      </c>
      <c r="KGO9" s="26">
        <f>IF(KGO7=0,0,IF(MAX($F9:KGN9)=$D12,0,KGN9+1))</f>
        <v>0</v>
      </c>
      <c r="KGP9" s="26">
        <f>IF(KGP7=0,0,IF(MAX($F9:KGO9)=$D12,0,KGO9+1))</f>
        <v>0</v>
      </c>
      <c r="KGQ9" s="26">
        <f>IF(KGQ7=0,0,IF(MAX($F9:KGP9)=$D12,0,KGP9+1))</f>
        <v>0</v>
      </c>
      <c r="KGR9" s="26">
        <f>IF(KGR7=0,0,IF(MAX($F9:KGQ9)=$D12,0,KGQ9+1))</f>
        <v>0</v>
      </c>
      <c r="KGS9" s="26">
        <f>IF(KGS7=0,0,IF(MAX($F9:KGR9)=$D12,0,KGR9+1))</f>
        <v>0</v>
      </c>
      <c r="KGT9" s="26">
        <f>IF(KGT7=0,0,IF(MAX($F9:KGS9)=$D12,0,KGS9+1))</f>
        <v>0</v>
      </c>
      <c r="KGU9" s="26">
        <f>IF(KGU7=0,0,IF(MAX($F9:KGT9)=$D12,0,KGT9+1))</f>
        <v>0</v>
      </c>
      <c r="KGV9" s="26">
        <f>IF(KGV7=0,0,IF(MAX($F9:KGU9)=$D12,0,KGU9+1))</f>
        <v>0</v>
      </c>
      <c r="KGW9" s="26">
        <f>IF(KGW7=0,0,IF(MAX($F9:KGV9)=$D12,0,KGV9+1))</f>
        <v>0</v>
      </c>
      <c r="KGX9" s="26">
        <f>IF(KGX7=0,0,IF(MAX($F9:KGW9)=$D12,0,KGW9+1))</f>
        <v>0</v>
      </c>
      <c r="KGY9" s="26">
        <f>IF(KGY7=0,0,IF(MAX($F9:KGX9)=$D12,0,KGX9+1))</f>
        <v>0</v>
      </c>
      <c r="KGZ9" s="26">
        <f>IF(KGZ7=0,0,IF(MAX($F9:KGY9)=$D12,0,KGY9+1))</f>
        <v>0</v>
      </c>
      <c r="KHA9" s="26">
        <f>IF(KHA7=0,0,IF(MAX($F9:KGZ9)=$D12,0,KGZ9+1))</f>
        <v>0</v>
      </c>
      <c r="KHB9" s="26">
        <f>IF(KHB7=0,0,IF(MAX($F9:KHA9)=$D12,0,KHA9+1))</f>
        <v>0</v>
      </c>
      <c r="KHC9" s="26">
        <f>IF(KHC7=0,0,IF(MAX($F9:KHB9)=$D12,0,KHB9+1))</f>
        <v>0</v>
      </c>
      <c r="KHD9" s="26">
        <f>IF(KHD7=0,0,IF(MAX($F9:KHC9)=$D12,0,KHC9+1))</f>
        <v>0</v>
      </c>
      <c r="KHE9" s="26">
        <f>IF(KHE7=0,0,IF(MAX($F9:KHD9)=$D12,0,KHD9+1))</f>
        <v>0</v>
      </c>
      <c r="KHF9" s="26">
        <f>IF(KHF7=0,0,IF(MAX($F9:KHE9)=$D12,0,KHE9+1))</f>
        <v>0</v>
      </c>
      <c r="KHG9" s="26">
        <f>IF(KHG7=0,0,IF(MAX($F9:KHF9)=$D12,0,KHF9+1))</f>
        <v>0</v>
      </c>
      <c r="KHH9" s="26">
        <f>IF(KHH7=0,0,IF(MAX($F9:KHG9)=$D12,0,KHG9+1))</f>
        <v>0</v>
      </c>
      <c r="KHI9" s="26">
        <f>IF(KHI7=0,0,IF(MAX($F9:KHH9)=$D12,0,KHH9+1))</f>
        <v>0</v>
      </c>
      <c r="KHJ9" s="26">
        <f>IF(KHJ7=0,0,IF(MAX($F9:KHI9)=$D12,0,KHI9+1))</f>
        <v>0</v>
      </c>
      <c r="KHK9" s="26">
        <f>IF(KHK7=0,0,IF(MAX($F9:KHJ9)=$D12,0,KHJ9+1))</f>
        <v>0</v>
      </c>
      <c r="KHL9" s="26">
        <f>IF(KHL7=0,0,IF(MAX($F9:KHK9)=$D12,0,KHK9+1))</f>
        <v>0</v>
      </c>
      <c r="KHM9" s="26">
        <f>IF(KHM7=0,0,IF(MAX($F9:KHL9)=$D12,0,KHL9+1))</f>
        <v>0</v>
      </c>
      <c r="KHN9" s="26">
        <f>IF(KHN7=0,0,IF(MAX($F9:KHM9)=$D12,0,KHM9+1))</f>
        <v>0</v>
      </c>
      <c r="KHO9" s="26">
        <f>IF(KHO7=0,0,IF(MAX($F9:KHN9)=$D12,0,KHN9+1))</f>
        <v>0</v>
      </c>
      <c r="KHP9" s="26">
        <f>IF(KHP7=0,0,IF(MAX($F9:KHO9)=$D12,0,KHO9+1))</f>
        <v>0</v>
      </c>
      <c r="KHQ9" s="26">
        <f>IF(KHQ7=0,0,IF(MAX($F9:KHP9)=$D12,0,KHP9+1))</f>
        <v>0</v>
      </c>
      <c r="KHR9" s="26">
        <f>IF(KHR7=0,0,IF(MAX($F9:KHQ9)=$D12,0,KHQ9+1))</f>
        <v>0</v>
      </c>
      <c r="KHS9" s="26">
        <f>IF(KHS7=0,0,IF(MAX($F9:KHR9)=$D12,0,KHR9+1))</f>
        <v>0</v>
      </c>
      <c r="KHT9" s="26">
        <f>IF(KHT7=0,0,IF(MAX($F9:KHS9)=$D12,0,KHS9+1))</f>
        <v>0</v>
      </c>
      <c r="KHU9" s="26">
        <f>IF(KHU7=0,0,IF(MAX($F9:KHT9)=$D12,0,KHT9+1))</f>
        <v>0</v>
      </c>
      <c r="KHV9" s="26">
        <f>IF(KHV7=0,0,IF(MAX($F9:KHU9)=$D12,0,KHU9+1))</f>
        <v>0</v>
      </c>
      <c r="KHW9" s="26">
        <f>IF(KHW7=0,0,IF(MAX($F9:KHV9)=$D12,0,KHV9+1))</f>
        <v>0</v>
      </c>
      <c r="KHX9" s="26">
        <f>IF(KHX7=0,0,IF(MAX($F9:KHW9)=$D12,0,KHW9+1))</f>
        <v>0</v>
      </c>
      <c r="KHY9" s="26">
        <f>IF(KHY7=0,0,IF(MAX($F9:KHX9)=$D12,0,KHX9+1))</f>
        <v>0</v>
      </c>
      <c r="KHZ9" s="26">
        <f>IF(KHZ7=0,0,IF(MAX($F9:KHY9)=$D12,0,KHY9+1))</f>
        <v>0</v>
      </c>
      <c r="KIA9" s="26">
        <f>IF(KIA7=0,0,IF(MAX($F9:KHZ9)=$D12,0,KHZ9+1))</f>
        <v>0</v>
      </c>
      <c r="KIB9" s="26">
        <f>IF(KIB7=0,0,IF(MAX($F9:KIA9)=$D12,0,KIA9+1))</f>
        <v>0</v>
      </c>
      <c r="KIC9" s="26">
        <f>IF(KIC7=0,0,IF(MAX($F9:KIB9)=$D12,0,KIB9+1))</f>
        <v>0</v>
      </c>
      <c r="KID9" s="26">
        <f>IF(KID7=0,0,IF(MAX($F9:KIC9)=$D12,0,KIC9+1))</f>
        <v>0</v>
      </c>
      <c r="KIE9" s="26">
        <f>IF(KIE7=0,0,IF(MAX($F9:KID9)=$D12,0,KID9+1))</f>
        <v>0</v>
      </c>
      <c r="KIF9" s="26">
        <f>IF(KIF7=0,0,IF(MAX($F9:KIE9)=$D12,0,KIE9+1))</f>
        <v>0</v>
      </c>
      <c r="KIG9" s="26">
        <f>IF(KIG7=0,0,IF(MAX($F9:KIF9)=$D12,0,KIF9+1))</f>
        <v>0</v>
      </c>
      <c r="KIH9" s="26">
        <f>IF(KIH7=0,0,IF(MAX($F9:KIG9)=$D12,0,KIG9+1))</f>
        <v>0</v>
      </c>
      <c r="KII9" s="26">
        <f>IF(KII7=0,0,IF(MAX($F9:KIH9)=$D12,0,KIH9+1))</f>
        <v>0</v>
      </c>
      <c r="KIJ9" s="26">
        <f>IF(KIJ7=0,0,IF(MAX($F9:KII9)=$D12,0,KII9+1))</f>
        <v>0</v>
      </c>
      <c r="KIK9" s="26">
        <f>IF(KIK7=0,0,IF(MAX($F9:KIJ9)=$D12,0,KIJ9+1))</f>
        <v>0</v>
      </c>
      <c r="KIL9" s="26">
        <f>IF(KIL7=0,0,IF(MAX($F9:KIK9)=$D12,0,KIK9+1))</f>
        <v>0</v>
      </c>
      <c r="KIM9" s="26">
        <f>IF(KIM7=0,0,IF(MAX($F9:KIL9)=$D12,0,KIL9+1))</f>
        <v>0</v>
      </c>
      <c r="KIN9" s="26">
        <f>IF(KIN7=0,0,IF(MAX($F9:KIM9)=$D12,0,KIM9+1))</f>
        <v>0</v>
      </c>
      <c r="KIO9" s="26">
        <f>IF(KIO7=0,0,IF(MAX($F9:KIN9)=$D12,0,KIN9+1))</f>
        <v>0</v>
      </c>
      <c r="KIP9" s="26">
        <f>IF(KIP7=0,0,IF(MAX($F9:KIO9)=$D12,0,KIO9+1))</f>
        <v>0</v>
      </c>
      <c r="KIQ9" s="26">
        <f>IF(KIQ7=0,0,IF(MAX($F9:KIP9)=$D12,0,KIP9+1))</f>
        <v>0</v>
      </c>
      <c r="KIR9" s="26">
        <f>IF(KIR7=0,0,IF(MAX($F9:KIQ9)=$D12,0,KIQ9+1))</f>
        <v>0</v>
      </c>
      <c r="KIS9" s="26">
        <f>IF(KIS7=0,0,IF(MAX($F9:KIR9)=$D12,0,KIR9+1))</f>
        <v>0</v>
      </c>
      <c r="KIT9" s="26">
        <f>IF(KIT7=0,0,IF(MAX($F9:KIS9)=$D12,0,KIS9+1))</f>
        <v>0</v>
      </c>
      <c r="KIU9" s="26">
        <f>IF(KIU7=0,0,IF(MAX($F9:KIT9)=$D12,0,KIT9+1))</f>
        <v>0</v>
      </c>
      <c r="KIV9" s="26">
        <f>IF(KIV7=0,0,IF(MAX($F9:KIU9)=$D12,0,KIU9+1))</f>
        <v>0</v>
      </c>
      <c r="KIW9" s="26">
        <f>IF(KIW7=0,0,IF(MAX($F9:KIV9)=$D12,0,KIV9+1))</f>
        <v>0</v>
      </c>
      <c r="KIX9" s="26">
        <f>IF(KIX7=0,0,IF(MAX($F9:KIW9)=$D12,0,KIW9+1))</f>
        <v>0</v>
      </c>
      <c r="KIY9" s="26">
        <f>IF(KIY7=0,0,IF(MAX($F9:KIX9)=$D12,0,KIX9+1))</f>
        <v>0</v>
      </c>
      <c r="KIZ9" s="26">
        <f>IF(KIZ7=0,0,IF(MAX($F9:KIY9)=$D12,0,KIY9+1))</f>
        <v>0</v>
      </c>
      <c r="KJA9" s="26">
        <f>IF(KJA7=0,0,IF(MAX($F9:KIZ9)=$D12,0,KIZ9+1))</f>
        <v>0</v>
      </c>
      <c r="KJB9" s="26">
        <f>IF(KJB7=0,0,IF(MAX($F9:KJA9)=$D12,0,KJA9+1))</f>
        <v>0</v>
      </c>
      <c r="KJC9" s="26">
        <f>IF(KJC7=0,0,IF(MAX($F9:KJB9)=$D12,0,KJB9+1))</f>
        <v>0</v>
      </c>
      <c r="KJD9" s="26">
        <f>IF(KJD7=0,0,IF(MAX($F9:KJC9)=$D12,0,KJC9+1))</f>
        <v>0</v>
      </c>
      <c r="KJE9" s="26">
        <f>IF(KJE7=0,0,IF(MAX($F9:KJD9)=$D12,0,KJD9+1))</f>
        <v>0</v>
      </c>
      <c r="KJF9" s="26">
        <f>IF(KJF7=0,0,IF(MAX($F9:KJE9)=$D12,0,KJE9+1))</f>
        <v>0</v>
      </c>
      <c r="KJG9" s="26">
        <f>IF(KJG7=0,0,IF(MAX($F9:KJF9)=$D12,0,KJF9+1))</f>
        <v>0</v>
      </c>
      <c r="KJH9" s="26">
        <f>IF(KJH7=0,0,IF(MAX($F9:KJG9)=$D12,0,KJG9+1))</f>
        <v>0</v>
      </c>
      <c r="KJI9" s="26">
        <f>IF(KJI7=0,0,IF(MAX($F9:KJH9)=$D12,0,KJH9+1))</f>
        <v>0</v>
      </c>
      <c r="KJJ9" s="26">
        <f>IF(KJJ7=0,0,IF(MAX($F9:KJI9)=$D12,0,KJI9+1))</f>
        <v>0</v>
      </c>
      <c r="KJK9" s="26">
        <f>IF(KJK7=0,0,IF(MAX($F9:KJJ9)=$D12,0,KJJ9+1))</f>
        <v>0</v>
      </c>
      <c r="KJL9" s="26">
        <f>IF(KJL7=0,0,IF(MAX($F9:KJK9)=$D12,0,KJK9+1))</f>
        <v>0</v>
      </c>
      <c r="KJM9" s="26">
        <f>IF(KJM7=0,0,IF(MAX($F9:KJL9)=$D12,0,KJL9+1))</f>
        <v>0</v>
      </c>
      <c r="KJN9" s="26">
        <f>IF(KJN7=0,0,IF(MAX($F9:KJM9)=$D12,0,KJM9+1))</f>
        <v>0</v>
      </c>
      <c r="KJO9" s="26">
        <f>IF(KJO7=0,0,IF(MAX($F9:KJN9)=$D12,0,KJN9+1))</f>
        <v>0</v>
      </c>
      <c r="KJP9" s="26">
        <f>IF(KJP7=0,0,IF(MAX($F9:KJO9)=$D12,0,KJO9+1))</f>
        <v>0</v>
      </c>
      <c r="KJQ9" s="26">
        <f>IF(KJQ7=0,0,IF(MAX($F9:KJP9)=$D12,0,KJP9+1))</f>
        <v>0</v>
      </c>
      <c r="KJR9" s="26">
        <f>IF(KJR7=0,0,IF(MAX($F9:KJQ9)=$D12,0,KJQ9+1))</f>
        <v>0</v>
      </c>
      <c r="KJS9" s="26">
        <f>IF(KJS7=0,0,IF(MAX($F9:KJR9)=$D12,0,KJR9+1))</f>
        <v>0</v>
      </c>
      <c r="KJT9" s="26">
        <f>IF(KJT7=0,0,IF(MAX($F9:KJS9)=$D12,0,KJS9+1))</f>
        <v>0</v>
      </c>
      <c r="KJU9" s="26">
        <f>IF(KJU7=0,0,IF(MAX($F9:KJT9)=$D12,0,KJT9+1))</f>
        <v>0</v>
      </c>
      <c r="KJV9" s="26">
        <f>IF(KJV7=0,0,IF(MAX($F9:KJU9)=$D12,0,KJU9+1))</f>
        <v>0</v>
      </c>
      <c r="KJW9" s="26">
        <f>IF(KJW7=0,0,IF(MAX($F9:KJV9)=$D12,0,KJV9+1))</f>
        <v>0</v>
      </c>
      <c r="KJX9" s="26">
        <f>IF(KJX7=0,0,IF(MAX($F9:KJW9)=$D12,0,KJW9+1))</f>
        <v>0</v>
      </c>
      <c r="KJY9" s="26">
        <f>IF(KJY7=0,0,IF(MAX($F9:KJX9)=$D12,0,KJX9+1))</f>
        <v>0</v>
      </c>
      <c r="KJZ9" s="26">
        <f>IF(KJZ7=0,0,IF(MAX($F9:KJY9)=$D12,0,KJY9+1))</f>
        <v>0</v>
      </c>
      <c r="KKA9" s="26">
        <f>IF(KKA7=0,0,IF(MAX($F9:KJZ9)=$D12,0,KJZ9+1))</f>
        <v>0</v>
      </c>
      <c r="KKB9" s="26">
        <f>IF(KKB7=0,0,IF(MAX($F9:KKA9)=$D12,0,KKA9+1))</f>
        <v>0</v>
      </c>
      <c r="KKC9" s="26">
        <f>IF(KKC7=0,0,IF(MAX($F9:KKB9)=$D12,0,KKB9+1))</f>
        <v>0</v>
      </c>
      <c r="KKD9" s="26">
        <f>IF(KKD7=0,0,IF(MAX($F9:KKC9)=$D12,0,KKC9+1))</f>
        <v>0</v>
      </c>
      <c r="KKE9" s="26">
        <f>IF(KKE7=0,0,IF(MAX($F9:KKD9)=$D12,0,KKD9+1))</f>
        <v>0</v>
      </c>
      <c r="KKF9" s="26">
        <f>IF(KKF7=0,0,IF(MAX($F9:KKE9)=$D12,0,KKE9+1))</f>
        <v>0</v>
      </c>
      <c r="KKG9" s="26">
        <f>IF(KKG7=0,0,IF(MAX($F9:KKF9)=$D12,0,KKF9+1))</f>
        <v>0</v>
      </c>
      <c r="KKH9" s="26">
        <f>IF(KKH7=0,0,IF(MAX($F9:KKG9)=$D12,0,KKG9+1))</f>
        <v>0</v>
      </c>
      <c r="KKI9" s="26">
        <f>IF(KKI7=0,0,IF(MAX($F9:KKH9)=$D12,0,KKH9+1))</f>
        <v>0</v>
      </c>
      <c r="KKJ9" s="26">
        <f>IF(KKJ7=0,0,IF(MAX($F9:KKI9)=$D12,0,KKI9+1))</f>
        <v>0</v>
      </c>
      <c r="KKK9" s="26">
        <f>IF(KKK7=0,0,IF(MAX($F9:KKJ9)=$D12,0,KKJ9+1))</f>
        <v>0</v>
      </c>
      <c r="KKL9" s="26">
        <f>IF(KKL7=0,0,IF(MAX($F9:KKK9)=$D12,0,KKK9+1))</f>
        <v>0</v>
      </c>
      <c r="KKM9" s="26">
        <f>IF(KKM7=0,0,IF(MAX($F9:KKL9)=$D12,0,KKL9+1))</f>
        <v>0</v>
      </c>
      <c r="KKN9" s="26">
        <f>IF(KKN7=0,0,IF(MAX($F9:KKM9)=$D12,0,KKM9+1))</f>
        <v>0</v>
      </c>
      <c r="KKO9" s="26">
        <f>IF(KKO7=0,0,IF(MAX($F9:KKN9)=$D12,0,KKN9+1))</f>
        <v>0</v>
      </c>
      <c r="KKP9" s="26">
        <f>IF(KKP7=0,0,IF(MAX($F9:KKO9)=$D12,0,KKO9+1))</f>
        <v>0</v>
      </c>
      <c r="KKQ9" s="26">
        <f>IF(KKQ7=0,0,IF(MAX($F9:KKP9)=$D12,0,KKP9+1))</f>
        <v>0</v>
      </c>
      <c r="KKR9" s="26">
        <f>IF(KKR7=0,0,IF(MAX($F9:KKQ9)=$D12,0,KKQ9+1))</f>
        <v>0</v>
      </c>
      <c r="KKS9" s="26">
        <f>IF(KKS7=0,0,IF(MAX($F9:KKR9)=$D12,0,KKR9+1))</f>
        <v>0</v>
      </c>
      <c r="KKT9" s="26">
        <f>IF(KKT7=0,0,IF(MAX($F9:KKS9)=$D12,0,KKS9+1))</f>
        <v>0</v>
      </c>
      <c r="KKU9" s="26">
        <f>IF(KKU7=0,0,IF(MAX($F9:KKT9)=$D12,0,KKT9+1))</f>
        <v>0</v>
      </c>
      <c r="KKV9" s="26">
        <f>IF(KKV7=0,0,IF(MAX($F9:KKU9)=$D12,0,KKU9+1))</f>
        <v>0</v>
      </c>
      <c r="KKW9" s="26">
        <f>IF(KKW7=0,0,IF(MAX($F9:KKV9)=$D12,0,KKV9+1))</f>
        <v>0</v>
      </c>
      <c r="KKX9" s="26">
        <f>IF(KKX7=0,0,IF(MAX($F9:KKW9)=$D12,0,KKW9+1))</f>
        <v>0</v>
      </c>
      <c r="KKY9" s="26">
        <f>IF(KKY7=0,0,IF(MAX($F9:KKX9)=$D12,0,KKX9+1))</f>
        <v>0</v>
      </c>
      <c r="KKZ9" s="26">
        <f>IF(KKZ7=0,0,IF(MAX($F9:KKY9)=$D12,0,KKY9+1))</f>
        <v>0</v>
      </c>
      <c r="KLA9" s="26">
        <f>IF(KLA7=0,0,IF(MAX($F9:KKZ9)=$D12,0,KKZ9+1))</f>
        <v>0</v>
      </c>
      <c r="KLB9" s="26">
        <f>IF(KLB7=0,0,IF(MAX($F9:KLA9)=$D12,0,KLA9+1))</f>
        <v>0</v>
      </c>
      <c r="KLC9" s="26">
        <f>IF(KLC7=0,0,IF(MAX($F9:KLB9)=$D12,0,KLB9+1))</f>
        <v>0</v>
      </c>
      <c r="KLD9" s="26">
        <f>IF(KLD7=0,0,IF(MAX($F9:KLC9)=$D12,0,KLC9+1))</f>
        <v>0</v>
      </c>
      <c r="KLE9" s="26">
        <f>IF(KLE7=0,0,IF(MAX($F9:KLD9)=$D12,0,KLD9+1))</f>
        <v>0</v>
      </c>
      <c r="KLF9" s="26">
        <f>IF(KLF7=0,0,IF(MAX($F9:KLE9)=$D12,0,KLE9+1))</f>
        <v>0</v>
      </c>
      <c r="KLG9" s="26">
        <f>IF(KLG7=0,0,IF(MAX($F9:KLF9)=$D12,0,KLF9+1))</f>
        <v>0</v>
      </c>
      <c r="KLH9" s="26">
        <f>IF(KLH7=0,0,IF(MAX($F9:KLG9)=$D12,0,KLG9+1))</f>
        <v>0</v>
      </c>
      <c r="KLI9" s="26">
        <f>IF(KLI7=0,0,IF(MAX($F9:KLH9)=$D12,0,KLH9+1))</f>
        <v>0</v>
      </c>
      <c r="KLJ9" s="26">
        <f>IF(KLJ7=0,0,IF(MAX($F9:KLI9)=$D12,0,KLI9+1))</f>
        <v>0</v>
      </c>
      <c r="KLK9" s="26">
        <f>IF(KLK7=0,0,IF(MAX($F9:KLJ9)=$D12,0,KLJ9+1))</f>
        <v>0</v>
      </c>
      <c r="KLL9" s="26">
        <f>IF(KLL7=0,0,IF(MAX($F9:KLK9)=$D12,0,KLK9+1))</f>
        <v>0</v>
      </c>
      <c r="KLM9" s="26">
        <f>IF(KLM7=0,0,IF(MAX($F9:KLL9)=$D12,0,KLL9+1))</f>
        <v>0</v>
      </c>
      <c r="KLN9" s="26">
        <f>IF(KLN7=0,0,IF(MAX($F9:KLM9)=$D12,0,KLM9+1))</f>
        <v>0</v>
      </c>
      <c r="KLO9" s="26">
        <f>IF(KLO7=0,0,IF(MAX($F9:KLN9)=$D12,0,KLN9+1))</f>
        <v>0</v>
      </c>
      <c r="KLP9" s="26">
        <f>IF(KLP7=0,0,IF(MAX($F9:KLO9)=$D12,0,KLO9+1))</f>
        <v>0</v>
      </c>
      <c r="KLQ9" s="26">
        <f>IF(KLQ7=0,0,IF(MAX($F9:KLP9)=$D12,0,KLP9+1))</f>
        <v>0</v>
      </c>
      <c r="KLR9" s="26">
        <f>IF(KLR7=0,0,IF(MAX($F9:KLQ9)=$D12,0,KLQ9+1))</f>
        <v>0</v>
      </c>
      <c r="KLS9" s="26">
        <f>IF(KLS7=0,0,IF(MAX($F9:KLR9)=$D12,0,KLR9+1))</f>
        <v>0</v>
      </c>
      <c r="KLT9" s="26">
        <f>IF(KLT7=0,0,IF(MAX($F9:KLS9)=$D12,0,KLS9+1))</f>
        <v>0</v>
      </c>
      <c r="KLU9" s="26">
        <f>IF(KLU7=0,0,IF(MAX($F9:KLT9)=$D12,0,KLT9+1))</f>
        <v>0</v>
      </c>
      <c r="KLV9" s="26">
        <f>IF(KLV7=0,0,IF(MAX($F9:KLU9)=$D12,0,KLU9+1))</f>
        <v>0</v>
      </c>
      <c r="KLW9" s="26">
        <f>IF(KLW7=0,0,IF(MAX($F9:KLV9)=$D12,0,KLV9+1))</f>
        <v>0</v>
      </c>
      <c r="KLX9" s="26">
        <f>IF(KLX7=0,0,IF(MAX($F9:KLW9)=$D12,0,KLW9+1))</f>
        <v>0</v>
      </c>
      <c r="KLY9" s="26">
        <f>IF(KLY7=0,0,IF(MAX($F9:KLX9)=$D12,0,KLX9+1))</f>
        <v>0</v>
      </c>
      <c r="KLZ9" s="26">
        <f>IF(KLZ7=0,0,IF(MAX($F9:KLY9)=$D12,0,KLY9+1))</f>
        <v>0</v>
      </c>
      <c r="KMA9" s="26">
        <f>IF(KMA7=0,0,IF(MAX($F9:KLZ9)=$D12,0,KLZ9+1))</f>
        <v>0</v>
      </c>
      <c r="KMB9" s="26">
        <f>IF(KMB7=0,0,IF(MAX($F9:KMA9)=$D12,0,KMA9+1))</f>
        <v>0</v>
      </c>
      <c r="KMC9" s="26">
        <f>IF(KMC7=0,0,IF(MAX($F9:KMB9)=$D12,0,KMB9+1))</f>
        <v>0</v>
      </c>
      <c r="KMD9" s="26">
        <f>IF(KMD7=0,0,IF(MAX($F9:KMC9)=$D12,0,KMC9+1))</f>
        <v>0</v>
      </c>
      <c r="KME9" s="26">
        <f>IF(KME7=0,0,IF(MAX($F9:KMD9)=$D12,0,KMD9+1))</f>
        <v>0</v>
      </c>
      <c r="KMF9" s="26">
        <f>IF(KMF7=0,0,IF(MAX($F9:KME9)=$D12,0,KME9+1))</f>
        <v>0</v>
      </c>
      <c r="KMG9" s="26">
        <f>IF(KMG7=0,0,IF(MAX($F9:KMF9)=$D12,0,KMF9+1))</f>
        <v>0</v>
      </c>
      <c r="KMH9" s="26">
        <f>IF(KMH7=0,0,IF(MAX($F9:KMG9)=$D12,0,KMG9+1))</f>
        <v>0</v>
      </c>
      <c r="KMI9" s="26">
        <f>IF(KMI7=0,0,IF(MAX($F9:KMH9)=$D12,0,KMH9+1))</f>
        <v>0</v>
      </c>
      <c r="KMJ9" s="26">
        <f>IF(KMJ7=0,0,IF(MAX($F9:KMI9)=$D12,0,KMI9+1))</f>
        <v>0</v>
      </c>
      <c r="KMK9" s="26">
        <f>IF(KMK7=0,0,IF(MAX($F9:KMJ9)=$D12,0,KMJ9+1))</f>
        <v>0</v>
      </c>
      <c r="KML9" s="26">
        <f>IF(KML7=0,0,IF(MAX($F9:KMK9)=$D12,0,KMK9+1))</f>
        <v>0</v>
      </c>
      <c r="KMM9" s="26">
        <f>IF(KMM7=0,0,IF(MAX($F9:KML9)=$D12,0,KML9+1))</f>
        <v>0</v>
      </c>
      <c r="KMN9" s="26">
        <f>IF(KMN7=0,0,IF(MAX($F9:KMM9)=$D12,0,KMM9+1))</f>
        <v>0</v>
      </c>
      <c r="KMO9" s="26">
        <f>IF(KMO7=0,0,IF(MAX($F9:KMN9)=$D12,0,KMN9+1))</f>
        <v>0</v>
      </c>
      <c r="KMP9" s="26">
        <f>IF(KMP7=0,0,IF(MAX($F9:KMO9)=$D12,0,KMO9+1))</f>
        <v>0</v>
      </c>
      <c r="KMQ9" s="26">
        <f>IF(KMQ7=0,0,IF(MAX($F9:KMP9)=$D12,0,KMP9+1))</f>
        <v>0</v>
      </c>
      <c r="KMR9" s="26">
        <f>IF(KMR7=0,0,IF(MAX($F9:KMQ9)=$D12,0,KMQ9+1))</f>
        <v>0</v>
      </c>
      <c r="KMS9" s="26">
        <f>IF(KMS7=0,0,IF(MAX($F9:KMR9)=$D12,0,KMR9+1))</f>
        <v>0</v>
      </c>
      <c r="KMT9" s="26">
        <f>IF(KMT7=0,0,IF(MAX($F9:KMS9)=$D12,0,KMS9+1))</f>
        <v>0</v>
      </c>
      <c r="KMU9" s="26">
        <f>IF(KMU7=0,0,IF(MAX($F9:KMT9)=$D12,0,KMT9+1))</f>
        <v>0</v>
      </c>
      <c r="KMV9" s="26">
        <f>IF(KMV7=0,0,IF(MAX($F9:KMU9)=$D12,0,KMU9+1))</f>
        <v>0</v>
      </c>
      <c r="KMW9" s="26">
        <f>IF(KMW7=0,0,IF(MAX($F9:KMV9)=$D12,0,KMV9+1))</f>
        <v>0</v>
      </c>
      <c r="KMX9" s="26">
        <f>IF(KMX7=0,0,IF(MAX($F9:KMW9)=$D12,0,KMW9+1))</f>
        <v>0</v>
      </c>
      <c r="KMY9" s="26">
        <f>IF(KMY7=0,0,IF(MAX($F9:KMX9)=$D12,0,KMX9+1))</f>
        <v>0</v>
      </c>
      <c r="KMZ9" s="26">
        <f>IF(KMZ7=0,0,IF(MAX($F9:KMY9)=$D12,0,KMY9+1))</f>
        <v>0</v>
      </c>
      <c r="KNA9" s="26">
        <f>IF(KNA7=0,0,IF(MAX($F9:KMZ9)=$D12,0,KMZ9+1))</f>
        <v>0</v>
      </c>
      <c r="KNB9" s="26">
        <f>IF(KNB7=0,0,IF(MAX($F9:KNA9)=$D12,0,KNA9+1))</f>
        <v>0</v>
      </c>
      <c r="KNC9" s="26">
        <f>IF(KNC7=0,0,IF(MAX($F9:KNB9)=$D12,0,KNB9+1))</f>
        <v>0</v>
      </c>
      <c r="KND9" s="26">
        <f>IF(KND7=0,0,IF(MAX($F9:KNC9)=$D12,0,KNC9+1))</f>
        <v>0</v>
      </c>
      <c r="KNE9" s="26">
        <f>IF(KNE7=0,0,IF(MAX($F9:KND9)=$D12,0,KND9+1))</f>
        <v>0</v>
      </c>
      <c r="KNF9" s="26">
        <f>IF(KNF7=0,0,IF(MAX($F9:KNE9)=$D12,0,KNE9+1))</f>
        <v>0</v>
      </c>
      <c r="KNG9" s="26">
        <f>IF(KNG7=0,0,IF(MAX($F9:KNF9)=$D12,0,KNF9+1))</f>
        <v>0</v>
      </c>
      <c r="KNH9" s="26">
        <f>IF(KNH7=0,0,IF(MAX($F9:KNG9)=$D12,0,KNG9+1))</f>
        <v>0</v>
      </c>
      <c r="KNI9" s="26">
        <f>IF(KNI7=0,0,IF(MAX($F9:KNH9)=$D12,0,KNH9+1))</f>
        <v>0</v>
      </c>
      <c r="KNJ9" s="26">
        <f>IF(KNJ7=0,0,IF(MAX($F9:KNI9)=$D12,0,KNI9+1))</f>
        <v>0</v>
      </c>
      <c r="KNK9" s="26">
        <f>IF(KNK7=0,0,IF(MAX($F9:KNJ9)=$D12,0,KNJ9+1))</f>
        <v>0</v>
      </c>
      <c r="KNL9" s="26">
        <f>IF(KNL7=0,0,IF(MAX($F9:KNK9)=$D12,0,KNK9+1))</f>
        <v>0</v>
      </c>
      <c r="KNM9" s="26">
        <f>IF(KNM7=0,0,IF(MAX($F9:KNL9)=$D12,0,KNL9+1))</f>
        <v>0</v>
      </c>
      <c r="KNN9" s="26">
        <f>IF(KNN7=0,0,IF(MAX($F9:KNM9)=$D12,0,KNM9+1))</f>
        <v>0</v>
      </c>
      <c r="KNO9" s="26">
        <f>IF(KNO7=0,0,IF(MAX($F9:KNN9)=$D12,0,KNN9+1))</f>
        <v>0</v>
      </c>
      <c r="KNP9" s="26">
        <f>IF(KNP7=0,0,IF(MAX($F9:KNO9)=$D12,0,KNO9+1))</f>
        <v>0</v>
      </c>
      <c r="KNQ9" s="26">
        <f>IF(KNQ7=0,0,IF(MAX($F9:KNP9)=$D12,0,KNP9+1))</f>
        <v>0</v>
      </c>
      <c r="KNR9" s="26">
        <f>IF(KNR7=0,0,IF(MAX($F9:KNQ9)=$D12,0,KNQ9+1))</f>
        <v>0</v>
      </c>
      <c r="KNS9" s="26">
        <f>IF(KNS7=0,0,IF(MAX($F9:KNR9)=$D12,0,KNR9+1))</f>
        <v>0</v>
      </c>
      <c r="KNT9" s="26">
        <f>IF(KNT7=0,0,IF(MAX($F9:KNS9)=$D12,0,KNS9+1))</f>
        <v>0</v>
      </c>
      <c r="KNU9" s="26">
        <f>IF(KNU7=0,0,IF(MAX($F9:KNT9)=$D12,0,KNT9+1))</f>
        <v>0</v>
      </c>
      <c r="KNV9" s="26">
        <f>IF(KNV7=0,0,IF(MAX($F9:KNU9)=$D12,0,KNU9+1))</f>
        <v>0</v>
      </c>
      <c r="KNW9" s="26">
        <f>IF(KNW7=0,0,IF(MAX($F9:KNV9)=$D12,0,KNV9+1))</f>
        <v>0</v>
      </c>
      <c r="KNX9" s="26">
        <f>IF(KNX7=0,0,IF(MAX($F9:KNW9)=$D12,0,KNW9+1))</f>
        <v>0</v>
      </c>
      <c r="KNY9" s="26">
        <f>IF(KNY7=0,0,IF(MAX($F9:KNX9)=$D12,0,KNX9+1))</f>
        <v>0</v>
      </c>
      <c r="KNZ9" s="26">
        <f>IF(KNZ7=0,0,IF(MAX($F9:KNY9)=$D12,0,KNY9+1))</f>
        <v>0</v>
      </c>
      <c r="KOA9" s="26">
        <f>IF(KOA7=0,0,IF(MAX($F9:KNZ9)=$D12,0,KNZ9+1))</f>
        <v>0</v>
      </c>
      <c r="KOB9" s="26">
        <f>IF(KOB7=0,0,IF(MAX($F9:KOA9)=$D12,0,KOA9+1))</f>
        <v>0</v>
      </c>
      <c r="KOC9" s="26">
        <f>IF(KOC7=0,0,IF(MAX($F9:KOB9)=$D12,0,KOB9+1))</f>
        <v>0</v>
      </c>
      <c r="KOD9" s="26">
        <f>IF(KOD7=0,0,IF(MAX($F9:KOC9)=$D12,0,KOC9+1))</f>
        <v>0</v>
      </c>
      <c r="KOE9" s="26">
        <f>IF(KOE7=0,0,IF(MAX($F9:KOD9)=$D12,0,KOD9+1))</f>
        <v>0</v>
      </c>
      <c r="KOF9" s="26">
        <f>IF(KOF7=0,0,IF(MAX($F9:KOE9)=$D12,0,KOE9+1))</f>
        <v>0</v>
      </c>
      <c r="KOG9" s="26">
        <f>IF(KOG7=0,0,IF(MAX($F9:KOF9)=$D12,0,KOF9+1))</f>
        <v>0</v>
      </c>
      <c r="KOH9" s="26">
        <f>IF(KOH7=0,0,IF(MAX($F9:KOG9)=$D12,0,KOG9+1))</f>
        <v>0</v>
      </c>
      <c r="KOI9" s="26">
        <f>IF(KOI7=0,0,IF(MAX($F9:KOH9)=$D12,0,KOH9+1))</f>
        <v>0</v>
      </c>
      <c r="KOJ9" s="26">
        <f>IF(KOJ7=0,0,IF(MAX($F9:KOI9)=$D12,0,KOI9+1))</f>
        <v>0</v>
      </c>
      <c r="KOK9" s="26">
        <f>IF(KOK7=0,0,IF(MAX($F9:KOJ9)=$D12,0,KOJ9+1))</f>
        <v>0</v>
      </c>
      <c r="KOL9" s="26">
        <f>IF(KOL7=0,0,IF(MAX($F9:KOK9)=$D12,0,KOK9+1))</f>
        <v>0</v>
      </c>
      <c r="KOM9" s="26">
        <f>IF(KOM7=0,0,IF(MAX($F9:KOL9)=$D12,0,KOL9+1))</f>
        <v>0</v>
      </c>
      <c r="KON9" s="26">
        <f>IF(KON7=0,0,IF(MAX($F9:KOM9)=$D12,0,KOM9+1))</f>
        <v>0</v>
      </c>
      <c r="KOO9" s="26">
        <f>IF(KOO7=0,0,IF(MAX($F9:KON9)=$D12,0,KON9+1))</f>
        <v>0</v>
      </c>
      <c r="KOP9" s="26">
        <f>IF(KOP7=0,0,IF(MAX($F9:KOO9)=$D12,0,KOO9+1))</f>
        <v>0</v>
      </c>
      <c r="KOQ9" s="26">
        <f>IF(KOQ7=0,0,IF(MAX($F9:KOP9)=$D12,0,KOP9+1))</f>
        <v>0</v>
      </c>
      <c r="KOR9" s="26">
        <f>IF(KOR7=0,0,IF(MAX($F9:KOQ9)=$D12,0,KOQ9+1))</f>
        <v>0</v>
      </c>
      <c r="KOS9" s="26">
        <f>IF(KOS7=0,0,IF(MAX($F9:KOR9)=$D12,0,KOR9+1))</f>
        <v>0</v>
      </c>
      <c r="KOT9" s="26">
        <f>IF(KOT7=0,0,IF(MAX($F9:KOS9)=$D12,0,KOS9+1))</f>
        <v>0</v>
      </c>
      <c r="KOU9" s="26">
        <f>IF(KOU7=0,0,IF(MAX($F9:KOT9)=$D12,0,KOT9+1))</f>
        <v>0</v>
      </c>
      <c r="KOV9" s="26">
        <f>IF(KOV7=0,0,IF(MAX($F9:KOU9)=$D12,0,KOU9+1))</f>
        <v>0</v>
      </c>
      <c r="KOW9" s="26">
        <f>IF(KOW7=0,0,IF(MAX($F9:KOV9)=$D12,0,KOV9+1))</f>
        <v>0</v>
      </c>
      <c r="KOX9" s="26">
        <f>IF(KOX7=0,0,IF(MAX($F9:KOW9)=$D12,0,KOW9+1))</f>
        <v>0</v>
      </c>
      <c r="KOY9" s="26">
        <f>IF(KOY7=0,0,IF(MAX($F9:KOX9)=$D12,0,KOX9+1))</f>
        <v>0</v>
      </c>
      <c r="KOZ9" s="26">
        <f>IF(KOZ7=0,0,IF(MAX($F9:KOY9)=$D12,0,KOY9+1))</f>
        <v>0</v>
      </c>
      <c r="KPA9" s="26">
        <f>IF(KPA7=0,0,IF(MAX($F9:KOZ9)=$D12,0,KOZ9+1))</f>
        <v>0</v>
      </c>
      <c r="KPB9" s="26">
        <f>IF(KPB7=0,0,IF(MAX($F9:KPA9)=$D12,0,KPA9+1))</f>
        <v>0</v>
      </c>
      <c r="KPC9" s="26">
        <f>IF(KPC7=0,0,IF(MAX($F9:KPB9)=$D12,0,KPB9+1))</f>
        <v>0</v>
      </c>
      <c r="KPD9" s="26">
        <f>IF(KPD7=0,0,IF(MAX($F9:KPC9)=$D12,0,KPC9+1))</f>
        <v>0</v>
      </c>
      <c r="KPE9" s="26">
        <f>IF(KPE7=0,0,IF(MAX($F9:KPD9)=$D12,0,KPD9+1))</f>
        <v>0</v>
      </c>
      <c r="KPF9" s="26">
        <f>IF(KPF7=0,0,IF(MAX($F9:KPE9)=$D12,0,KPE9+1))</f>
        <v>0</v>
      </c>
      <c r="KPG9" s="26">
        <f>IF(KPG7=0,0,IF(MAX($F9:KPF9)=$D12,0,KPF9+1))</f>
        <v>0</v>
      </c>
      <c r="KPH9" s="26">
        <f>IF(KPH7=0,0,IF(MAX($F9:KPG9)=$D12,0,KPG9+1))</f>
        <v>0</v>
      </c>
      <c r="KPI9" s="26">
        <f>IF(KPI7=0,0,IF(MAX($F9:KPH9)=$D12,0,KPH9+1))</f>
        <v>0</v>
      </c>
      <c r="KPJ9" s="26">
        <f>IF(KPJ7=0,0,IF(MAX($F9:KPI9)=$D12,0,KPI9+1))</f>
        <v>0</v>
      </c>
      <c r="KPK9" s="26">
        <f>IF(KPK7=0,0,IF(MAX($F9:KPJ9)=$D12,0,KPJ9+1))</f>
        <v>0</v>
      </c>
      <c r="KPL9" s="26">
        <f>IF(KPL7=0,0,IF(MAX($F9:KPK9)=$D12,0,KPK9+1))</f>
        <v>0</v>
      </c>
      <c r="KPM9" s="26">
        <f>IF(KPM7=0,0,IF(MAX($F9:KPL9)=$D12,0,KPL9+1))</f>
        <v>0</v>
      </c>
      <c r="KPN9" s="26">
        <f>IF(KPN7=0,0,IF(MAX($F9:KPM9)=$D12,0,KPM9+1))</f>
        <v>0</v>
      </c>
      <c r="KPO9" s="26">
        <f>IF(KPO7=0,0,IF(MAX($F9:KPN9)=$D12,0,KPN9+1))</f>
        <v>0</v>
      </c>
      <c r="KPP9" s="26">
        <f>IF(KPP7=0,0,IF(MAX($F9:KPO9)=$D12,0,KPO9+1))</f>
        <v>0</v>
      </c>
      <c r="KPQ9" s="26">
        <f>IF(KPQ7=0,0,IF(MAX($F9:KPP9)=$D12,0,KPP9+1))</f>
        <v>0</v>
      </c>
      <c r="KPR9" s="26">
        <f>IF(KPR7=0,0,IF(MAX($F9:KPQ9)=$D12,0,KPQ9+1))</f>
        <v>0</v>
      </c>
      <c r="KPS9" s="26">
        <f>IF(KPS7=0,0,IF(MAX($F9:KPR9)=$D12,0,KPR9+1))</f>
        <v>0</v>
      </c>
      <c r="KPT9" s="26">
        <f>IF(KPT7=0,0,IF(MAX($F9:KPS9)=$D12,0,KPS9+1))</f>
        <v>0</v>
      </c>
      <c r="KPU9" s="26">
        <f>IF(KPU7=0,0,IF(MAX($F9:KPT9)=$D12,0,KPT9+1))</f>
        <v>0</v>
      </c>
      <c r="KPV9" s="26">
        <f>IF(KPV7=0,0,IF(MAX($F9:KPU9)=$D12,0,KPU9+1))</f>
        <v>0</v>
      </c>
      <c r="KPW9" s="26">
        <f>IF(KPW7=0,0,IF(MAX($F9:KPV9)=$D12,0,KPV9+1))</f>
        <v>0</v>
      </c>
      <c r="KPX9" s="26">
        <f>IF(KPX7=0,0,IF(MAX($F9:KPW9)=$D12,0,KPW9+1))</f>
        <v>0</v>
      </c>
      <c r="KPY9" s="26">
        <f>IF(KPY7=0,0,IF(MAX($F9:KPX9)=$D12,0,KPX9+1))</f>
        <v>0</v>
      </c>
      <c r="KPZ9" s="26">
        <f>IF(KPZ7=0,0,IF(MAX($F9:KPY9)=$D12,0,KPY9+1))</f>
        <v>0</v>
      </c>
      <c r="KQA9" s="26">
        <f>IF(KQA7=0,0,IF(MAX($F9:KPZ9)=$D12,0,KPZ9+1))</f>
        <v>0</v>
      </c>
      <c r="KQB9" s="26">
        <f>IF(KQB7=0,0,IF(MAX($F9:KQA9)=$D12,0,KQA9+1))</f>
        <v>0</v>
      </c>
      <c r="KQC9" s="26">
        <f>IF(KQC7=0,0,IF(MAX($F9:KQB9)=$D12,0,KQB9+1))</f>
        <v>0</v>
      </c>
      <c r="KQD9" s="26">
        <f>IF(KQD7=0,0,IF(MAX($F9:KQC9)=$D12,0,KQC9+1))</f>
        <v>0</v>
      </c>
      <c r="KQE9" s="26">
        <f>IF(KQE7=0,0,IF(MAX($F9:KQD9)=$D12,0,KQD9+1))</f>
        <v>0</v>
      </c>
      <c r="KQF9" s="26">
        <f>IF(KQF7=0,0,IF(MAX($F9:KQE9)=$D12,0,KQE9+1))</f>
        <v>0</v>
      </c>
      <c r="KQG9" s="26">
        <f>IF(KQG7=0,0,IF(MAX($F9:KQF9)=$D12,0,KQF9+1))</f>
        <v>0</v>
      </c>
      <c r="KQH9" s="26">
        <f>IF(KQH7=0,0,IF(MAX($F9:KQG9)=$D12,0,KQG9+1))</f>
        <v>0</v>
      </c>
      <c r="KQI9" s="26">
        <f>IF(KQI7=0,0,IF(MAX($F9:KQH9)=$D12,0,KQH9+1))</f>
        <v>0</v>
      </c>
      <c r="KQJ9" s="26">
        <f>IF(KQJ7=0,0,IF(MAX($F9:KQI9)=$D12,0,KQI9+1))</f>
        <v>0</v>
      </c>
      <c r="KQK9" s="26">
        <f>IF(KQK7=0,0,IF(MAX($F9:KQJ9)=$D12,0,KQJ9+1))</f>
        <v>0</v>
      </c>
      <c r="KQL9" s="26">
        <f>IF(KQL7=0,0,IF(MAX($F9:KQK9)=$D12,0,KQK9+1))</f>
        <v>0</v>
      </c>
      <c r="KQM9" s="26">
        <f>IF(KQM7=0,0,IF(MAX($F9:KQL9)=$D12,0,KQL9+1))</f>
        <v>0</v>
      </c>
      <c r="KQN9" s="26">
        <f>IF(KQN7=0,0,IF(MAX($F9:KQM9)=$D12,0,KQM9+1))</f>
        <v>0</v>
      </c>
      <c r="KQO9" s="26">
        <f>IF(KQO7=0,0,IF(MAX($F9:KQN9)=$D12,0,KQN9+1))</f>
        <v>0</v>
      </c>
      <c r="KQP9" s="26">
        <f>IF(KQP7=0,0,IF(MAX($F9:KQO9)=$D12,0,KQO9+1))</f>
        <v>0</v>
      </c>
      <c r="KQQ9" s="26">
        <f>IF(KQQ7=0,0,IF(MAX($F9:KQP9)=$D12,0,KQP9+1))</f>
        <v>0</v>
      </c>
      <c r="KQR9" s="26">
        <f>IF(KQR7=0,0,IF(MAX($F9:KQQ9)=$D12,0,KQQ9+1))</f>
        <v>0</v>
      </c>
      <c r="KQS9" s="26">
        <f>IF(KQS7=0,0,IF(MAX($F9:KQR9)=$D12,0,KQR9+1))</f>
        <v>0</v>
      </c>
      <c r="KQT9" s="26">
        <f>IF(KQT7=0,0,IF(MAX($F9:KQS9)=$D12,0,KQS9+1))</f>
        <v>0</v>
      </c>
      <c r="KQU9" s="26">
        <f>IF(KQU7=0,0,IF(MAX($F9:KQT9)=$D12,0,KQT9+1))</f>
        <v>0</v>
      </c>
      <c r="KQV9" s="26">
        <f>IF(KQV7=0,0,IF(MAX($F9:KQU9)=$D12,0,KQU9+1))</f>
        <v>0</v>
      </c>
      <c r="KQW9" s="26">
        <f>IF(KQW7=0,0,IF(MAX($F9:KQV9)=$D12,0,KQV9+1))</f>
        <v>0</v>
      </c>
      <c r="KQX9" s="26">
        <f>IF(KQX7=0,0,IF(MAX($F9:KQW9)=$D12,0,KQW9+1))</f>
        <v>0</v>
      </c>
      <c r="KQY9" s="26">
        <f>IF(KQY7=0,0,IF(MAX($F9:KQX9)=$D12,0,KQX9+1))</f>
        <v>0</v>
      </c>
      <c r="KQZ9" s="26">
        <f>IF(KQZ7=0,0,IF(MAX($F9:KQY9)=$D12,0,KQY9+1))</f>
        <v>0</v>
      </c>
      <c r="KRA9" s="26">
        <f>IF(KRA7=0,0,IF(MAX($F9:KQZ9)=$D12,0,KQZ9+1))</f>
        <v>0</v>
      </c>
      <c r="KRB9" s="26">
        <f>IF(KRB7=0,0,IF(MAX($F9:KRA9)=$D12,0,KRA9+1))</f>
        <v>0</v>
      </c>
      <c r="KRC9" s="26">
        <f>IF(KRC7=0,0,IF(MAX($F9:KRB9)=$D12,0,KRB9+1))</f>
        <v>0</v>
      </c>
      <c r="KRD9" s="26">
        <f>IF(KRD7=0,0,IF(MAX($F9:KRC9)=$D12,0,KRC9+1))</f>
        <v>0</v>
      </c>
      <c r="KRE9" s="26">
        <f>IF(KRE7=0,0,IF(MAX($F9:KRD9)=$D12,0,KRD9+1))</f>
        <v>0</v>
      </c>
      <c r="KRF9" s="26">
        <f>IF(KRF7=0,0,IF(MAX($F9:KRE9)=$D12,0,KRE9+1))</f>
        <v>0</v>
      </c>
      <c r="KRG9" s="26">
        <f>IF(KRG7=0,0,IF(MAX($F9:KRF9)=$D12,0,KRF9+1))</f>
        <v>0</v>
      </c>
      <c r="KRH9" s="26">
        <f>IF(KRH7=0,0,IF(MAX($F9:KRG9)=$D12,0,KRG9+1))</f>
        <v>0</v>
      </c>
      <c r="KRI9" s="26">
        <f>IF(KRI7=0,0,IF(MAX($F9:KRH9)=$D12,0,KRH9+1))</f>
        <v>0</v>
      </c>
      <c r="KRJ9" s="26">
        <f>IF(KRJ7=0,0,IF(MAX($F9:KRI9)=$D12,0,KRI9+1))</f>
        <v>0</v>
      </c>
      <c r="KRK9" s="26">
        <f>IF(KRK7=0,0,IF(MAX($F9:KRJ9)=$D12,0,KRJ9+1))</f>
        <v>0</v>
      </c>
      <c r="KRL9" s="26">
        <f>IF(KRL7=0,0,IF(MAX($F9:KRK9)=$D12,0,KRK9+1))</f>
        <v>0</v>
      </c>
      <c r="KRM9" s="26">
        <f>IF(KRM7=0,0,IF(MAX($F9:KRL9)=$D12,0,KRL9+1))</f>
        <v>0</v>
      </c>
      <c r="KRN9" s="26">
        <f>IF(KRN7=0,0,IF(MAX($F9:KRM9)=$D12,0,KRM9+1))</f>
        <v>0</v>
      </c>
      <c r="KRO9" s="26">
        <f>IF(KRO7=0,0,IF(MAX($F9:KRN9)=$D12,0,KRN9+1))</f>
        <v>0</v>
      </c>
      <c r="KRP9" s="26">
        <f>IF(KRP7=0,0,IF(MAX($F9:KRO9)=$D12,0,KRO9+1))</f>
        <v>0</v>
      </c>
      <c r="KRQ9" s="26">
        <f>IF(KRQ7=0,0,IF(MAX($F9:KRP9)=$D12,0,KRP9+1))</f>
        <v>0</v>
      </c>
      <c r="KRR9" s="26">
        <f>IF(KRR7=0,0,IF(MAX($F9:KRQ9)=$D12,0,KRQ9+1))</f>
        <v>0</v>
      </c>
      <c r="KRS9" s="26">
        <f>IF(KRS7=0,0,IF(MAX($F9:KRR9)=$D12,0,KRR9+1))</f>
        <v>0</v>
      </c>
      <c r="KRT9" s="26">
        <f>IF(KRT7=0,0,IF(MAX($F9:KRS9)=$D12,0,KRS9+1))</f>
        <v>0</v>
      </c>
      <c r="KRU9" s="26">
        <f>IF(KRU7=0,0,IF(MAX($F9:KRT9)=$D12,0,KRT9+1))</f>
        <v>0</v>
      </c>
      <c r="KRV9" s="26">
        <f>IF(KRV7=0,0,IF(MAX($F9:KRU9)=$D12,0,KRU9+1))</f>
        <v>0</v>
      </c>
      <c r="KRW9" s="26">
        <f>IF(KRW7=0,0,IF(MAX($F9:KRV9)=$D12,0,KRV9+1))</f>
        <v>0</v>
      </c>
      <c r="KRX9" s="26">
        <f>IF(KRX7=0,0,IF(MAX($F9:KRW9)=$D12,0,KRW9+1))</f>
        <v>0</v>
      </c>
      <c r="KRY9" s="26">
        <f>IF(KRY7=0,0,IF(MAX($F9:KRX9)=$D12,0,KRX9+1))</f>
        <v>0</v>
      </c>
      <c r="KRZ9" s="26">
        <f>IF(KRZ7=0,0,IF(MAX($F9:KRY9)=$D12,0,KRY9+1))</f>
        <v>0</v>
      </c>
      <c r="KSA9" s="26">
        <f>IF(KSA7=0,0,IF(MAX($F9:KRZ9)=$D12,0,KRZ9+1))</f>
        <v>0</v>
      </c>
      <c r="KSB9" s="26">
        <f>IF(KSB7=0,0,IF(MAX($F9:KSA9)=$D12,0,KSA9+1))</f>
        <v>0</v>
      </c>
      <c r="KSC9" s="26">
        <f>IF(KSC7=0,0,IF(MAX($F9:KSB9)=$D12,0,KSB9+1))</f>
        <v>0</v>
      </c>
      <c r="KSD9" s="26">
        <f>IF(KSD7=0,0,IF(MAX($F9:KSC9)=$D12,0,KSC9+1))</f>
        <v>0</v>
      </c>
      <c r="KSE9" s="26">
        <f>IF(KSE7=0,0,IF(MAX($F9:KSD9)=$D12,0,KSD9+1))</f>
        <v>0</v>
      </c>
      <c r="KSF9" s="26">
        <f>IF(KSF7=0,0,IF(MAX($F9:KSE9)=$D12,0,KSE9+1))</f>
        <v>0</v>
      </c>
      <c r="KSG9" s="26">
        <f>IF(KSG7=0,0,IF(MAX($F9:KSF9)=$D12,0,KSF9+1))</f>
        <v>0</v>
      </c>
      <c r="KSH9" s="26">
        <f>IF(KSH7=0,0,IF(MAX($F9:KSG9)=$D12,0,KSG9+1))</f>
        <v>0</v>
      </c>
      <c r="KSI9" s="26">
        <f>IF(KSI7=0,0,IF(MAX($F9:KSH9)=$D12,0,KSH9+1))</f>
        <v>0</v>
      </c>
      <c r="KSJ9" s="26">
        <f>IF(KSJ7=0,0,IF(MAX($F9:KSI9)=$D12,0,KSI9+1))</f>
        <v>0</v>
      </c>
      <c r="KSK9" s="26">
        <f>IF(KSK7=0,0,IF(MAX($F9:KSJ9)=$D12,0,KSJ9+1))</f>
        <v>0</v>
      </c>
      <c r="KSL9" s="26">
        <f>IF(KSL7=0,0,IF(MAX($F9:KSK9)=$D12,0,KSK9+1))</f>
        <v>0</v>
      </c>
      <c r="KSM9" s="26">
        <f>IF(KSM7=0,0,IF(MAX($F9:KSL9)=$D12,0,KSL9+1))</f>
        <v>0</v>
      </c>
      <c r="KSN9" s="26">
        <f>IF(KSN7=0,0,IF(MAX($F9:KSM9)=$D12,0,KSM9+1))</f>
        <v>0</v>
      </c>
      <c r="KSO9" s="26">
        <f>IF(KSO7=0,0,IF(MAX($F9:KSN9)=$D12,0,KSN9+1))</f>
        <v>0</v>
      </c>
      <c r="KSP9" s="26">
        <f>IF(KSP7=0,0,IF(MAX($F9:KSO9)=$D12,0,KSO9+1))</f>
        <v>0</v>
      </c>
      <c r="KSQ9" s="26">
        <f>IF(KSQ7=0,0,IF(MAX($F9:KSP9)=$D12,0,KSP9+1))</f>
        <v>0</v>
      </c>
      <c r="KSR9" s="26">
        <f>IF(KSR7=0,0,IF(MAX($F9:KSQ9)=$D12,0,KSQ9+1))</f>
        <v>0</v>
      </c>
      <c r="KSS9" s="26">
        <f>IF(KSS7=0,0,IF(MAX($F9:KSR9)=$D12,0,KSR9+1))</f>
        <v>0</v>
      </c>
      <c r="KST9" s="26">
        <f>IF(KST7=0,0,IF(MAX($F9:KSS9)=$D12,0,KSS9+1))</f>
        <v>0</v>
      </c>
      <c r="KSU9" s="26">
        <f>IF(KSU7=0,0,IF(MAX($F9:KST9)=$D12,0,KST9+1))</f>
        <v>0</v>
      </c>
      <c r="KSV9" s="26">
        <f>IF(KSV7=0,0,IF(MAX($F9:KSU9)=$D12,0,KSU9+1))</f>
        <v>0</v>
      </c>
      <c r="KSW9" s="26">
        <f>IF(KSW7=0,0,IF(MAX($F9:KSV9)=$D12,0,KSV9+1))</f>
        <v>0</v>
      </c>
      <c r="KSX9" s="26">
        <f>IF(KSX7=0,0,IF(MAX($F9:KSW9)=$D12,0,KSW9+1))</f>
        <v>0</v>
      </c>
      <c r="KSY9" s="26">
        <f>IF(KSY7=0,0,IF(MAX($F9:KSX9)=$D12,0,KSX9+1))</f>
        <v>0</v>
      </c>
      <c r="KSZ9" s="26">
        <f>IF(KSZ7=0,0,IF(MAX($F9:KSY9)=$D12,0,KSY9+1))</f>
        <v>0</v>
      </c>
      <c r="KTA9" s="26">
        <f>IF(KTA7=0,0,IF(MAX($F9:KSZ9)=$D12,0,KSZ9+1))</f>
        <v>0</v>
      </c>
      <c r="KTB9" s="26">
        <f>IF(KTB7=0,0,IF(MAX($F9:KTA9)=$D12,0,KTA9+1))</f>
        <v>0</v>
      </c>
      <c r="KTC9" s="26">
        <f>IF(KTC7=0,0,IF(MAX($F9:KTB9)=$D12,0,KTB9+1))</f>
        <v>0</v>
      </c>
      <c r="KTD9" s="26">
        <f>IF(KTD7=0,0,IF(MAX($F9:KTC9)=$D12,0,KTC9+1))</f>
        <v>0</v>
      </c>
      <c r="KTE9" s="26">
        <f>IF(KTE7=0,0,IF(MAX($F9:KTD9)=$D12,0,KTD9+1))</f>
        <v>0</v>
      </c>
      <c r="KTF9" s="26">
        <f>IF(KTF7=0,0,IF(MAX($F9:KTE9)=$D12,0,KTE9+1))</f>
        <v>0</v>
      </c>
      <c r="KTG9" s="26">
        <f>IF(KTG7=0,0,IF(MAX($F9:KTF9)=$D12,0,KTF9+1))</f>
        <v>0</v>
      </c>
      <c r="KTH9" s="26">
        <f>IF(KTH7=0,0,IF(MAX($F9:KTG9)=$D12,0,KTG9+1))</f>
        <v>0</v>
      </c>
      <c r="KTI9" s="26">
        <f>IF(KTI7=0,0,IF(MAX($F9:KTH9)=$D12,0,KTH9+1))</f>
        <v>0</v>
      </c>
      <c r="KTJ9" s="26">
        <f>IF(KTJ7=0,0,IF(MAX($F9:KTI9)=$D12,0,KTI9+1))</f>
        <v>0</v>
      </c>
      <c r="KTK9" s="26">
        <f>IF(KTK7=0,0,IF(MAX($F9:KTJ9)=$D12,0,KTJ9+1))</f>
        <v>0</v>
      </c>
      <c r="KTL9" s="26">
        <f>IF(KTL7=0,0,IF(MAX($F9:KTK9)=$D12,0,KTK9+1))</f>
        <v>0</v>
      </c>
      <c r="KTM9" s="26">
        <f>IF(KTM7=0,0,IF(MAX($F9:KTL9)=$D12,0,KTL9+1))</f>
        <v>0</v>
      </c>
      <c r="KTN9" s="26">
        <f>IF(KTN7=0,0,IF(MAX($F9:KTM9)=$D12,0,KTM9+1))</f>
        <v>0</v>
      </c>
      <c r="KTO9" s="26">
        <f>IF(KTO7=0,0,IF(MAX($F9:KTN9)=$D12,0,KTN9+1))</f>
        <v>0</v>
      </c>
      <c r="KTP9" s="26">
        <f>IF(KTP7=0,0,IF(MAX($F9:KTO9)=$D12,0,KTO9+1))</f>
        <v>0</v>
      </c>
      <c r="KTQ9" s="26">
        <f>IF(KTQ7=0,0,IF(MAX($F9:KTP9)=$D12,0,KTP9+1))</f>
        <v>0</v>
      </c>
      <c r="KTR9" s="26">
        <f>IF(KTR7=0,0,IF(MAX($F9:KTQ9)=$D12,0,KTQ9+1))</f>
        <v>0</v>
      </c>
      <c r="KTS9" s="26">
        <f>IF(KTS7=0,0,IF(MAX($F9:KTR9)=$D12,0,KTR9+1))</f>
        <v>0</v>
      </c>
      <c r="KTT9" s="26">
        <f>IF(KTT7=0,0,IF(MAX($F9:KTS9)=$D12,0,KTS9+1))</f>
        <v>0</v>
      </c>
      <c r="KTU9" s="26">
        <f>IF(KTU7=0,0,IF(MAX($F9:KTT9)=$D12,0,KTT9+1))</f>
        <v>0</v>
      </c>
      <c r="KTV9" s="26">
        <f>IF(KTV7=0,0,IF(MAX($F9:KTU9)=$D12,0,KTU9+1))</f>
        <v>0</v>
      </c>
      <c r="KTW9" s="26">
        <f>IF(KTW7=0,0,IF(MAX($F9:KTV9)=$D12,0,KTV9+1))</f>
        <v>0</v>
      </c>
      <c r="KTX9" s="26">
        <f>IF(KTX7=0,0,IF(MAX($F9:KTW9)=$D12,0,KTW9+1))</f>
        <v>0</v>
      </c>
      <c r="KTY9" s="26">
        <f>IF(KTY7=0,0,IF(MAX($F9:KTX9)=$D12,0,KTX9+1))</f>
        <v>0</v>
      </c>
      <c r="KTZ9" s="26">
        <f>IF(KTZ7=0,0,IF(MAX($F9:KTY9)=$D12,0,KTY9+1))</f>
        <v>0</v>
      </c>
      <c r="KUA9" s="26">
        <f>IF(KUA7=0,0,IF(MAX($F9:KTZ9)=$D12,0,KTZ9+1))</f>
        <v>0</v>
      </c>
      <c r="KUB9" s="26">
        <f>IF(KUB7=0,0,IF(MAX($F9:KUA9)=$D12,0,KUA9+1))</f>
        <v>0</v>
      </c>
      <c r="KUC9" s="26">
        <f>IF(KUC7=0,0,IF(MAX($F9:KUB9)=$D12,0,KUB9+1))</f>
        <v>0</v>
      </c>
      <c r="KUD9" s="26">
        <f>IF(KUD7=0,0,IF(MAX($F9:KUC9)=$D12,0,KUC9+1))</f>
        <v>0</v>
      </c>
      <c r="KUE9" s="26">
        <f>IF(KUE7=0,0,IF(MAX($F9:KUD9)=$D12,0,KUD9+1))</f>
        <v>0</v>
      </c>
      <c r="KUF9" s="26">
        <f>IF(KUF7=0,0,IF(MAX($F9:KUE9)=$D12,0,KUE9+1))</f>
        <v>0</v>
      </c>
      <c r="KUG9" s="26">
        <f>IF(KUG7=0,0,IF(MAX($F9:KUF9)=$D12,0,KUF9+1))</f>
        <v>0</v>
      </c>
      <c r="KUH9" s="26">
        <f>IF(KUH7=0,0,IF(MAX($F9:KUG9)=$D12,0,KUG9+1))</f>
        <v>0</v>
      </c>
      <c r="KUI9" s="26">
        <f>IF(KUI7=0,0,IF(MAX($F9:KUH9)=$D12,0,KUH9+1))</f>
        <v>0</v>
      </c>
      <c r="KUJ9" s="26">
        <f>IF(KUJ7=0,0,IF(MAX($F9:KUI9)=$D12,0,KUI9+1))</f>
        <v>0</v>
      </c>
      <c r="KUK9" s="26">
        <f>IF(KUK7=0,0,IF(MAX($F9:KUJ9)=$D12,0,KUJ9+1))</f>
        <v>0</v>
      </c>
      <c r="KUL9" s="26">
        <f>IF(KUL7=0,0,IF(MAX($F9:KUK9)=$D12,0,KUK9+1))</f>
        <v>0</v>
      </c>
      <c r="KUM9" s="26">
        <f>IF(KUM7=0,0,IF(MAX($F9:KUL9)=$D12,0,KUL9+1))</f>
        <v>0</v>
      </c>
      <c r="KUN9" s="26">
        <f>IF(KUN7=0,0,IF(MAX($F9:KUM9)=$D12,0,KUM9+1))</f>
        <v>0</v>
      </c>
      <c r="KUO9" s="26">
        <f>IF(KUO7=0,0,IF(MAX($F9:KUN9)=$D12,0,KUN9+1))</f>
        <v>0</v>
      </c>
      <c r="KUP9" s="26">
        <f>IF(KUP7=0,0,IF(MAX($F9:KUO9)=$D12,0,KUO9+1))</f>
        <v>0</v>
      </c>
      <c r="KUQ9" s="26">
        <f>IF(KUQ7=0,0,IF(MAX($F9:KUP9)=$D12,0,KUP9+1))</f>
        <v>0</v>
      </c>
      <c r="KUR9" s="26">
        <f>IF(KUR7=0,0,IF(MAX($F9:KUQ9)=$D12,0,KUQ9+1))</f>
        <v>0</v>
      </c>
      <c r="KUS9" s="26">
        <f>IF(KUS7=0,0,IF(MAX($F9:KUR9)=$D12,0,KUR9+1))</f>
        <v>0</v>
      </c>
      <c r="KUT9" s="26">
        <f>IF(KUT7=0,0,IF(MAX($F9:KUS9)=$D12,0,KUS9+1))</f>
        <v>0</v>
      </c>
      <c r="KUU9" s="26">
        <f>IF(KUU7=0,0,IF(MAX($F9:KUT9)=$D12,0,KUT9+1))</f>
        <v>0</v>
      </c>
      <c r="KUV9" s="26">
        <f>IF(KUV7=0,0,IF(MAX($F9:KUU9)=$D12,0,KUU9+1))</f>
        <v>0</v>
      </c>
      <c r="KUW9" s="26">
        <f>IF(KUW7=0,0,IF(MAX($F9:KUV9)=$D12,0,KUV9+1))</f>
        <v>0</v>
      </c>
      <c r="KUX9" s="26">
        <f>IF(KUX7=0,0,IF(MAX($F9:KUW9)=$D12,0,KUW9+1))</f>
        <v>0</v>
      </c>
      <c r="KUY9" s="26">
        <f>IF(KUY7=0,0,IF(MAX($F9:KUX9)=$D12,0,KUX9+1))</f>
        <v>0</v>
      </c>
      <c r="KUZ9" s="26">
        <f>IF(KUZ7=0,0,IF(MAX($F9:KUY9)=$D12,0,KUY9+1))</f>
        <v>0</v>
      </c>
      <c r="KVA9" s="26">
        <f>IF(KVA7=0,0,IF(MAX($F9:KUZ9)=$D12,0,KUZ9+1))</f>
        <v>0</v>
      </c>
      <c r="KVB9" s="26">
        <f>IF(KVB7=0,0,IF(MAX($F9:KVA9)=$D12,0,KVA9+1))</f>
        <v>0</v>
      </c>
      <c r="KVC9" s="26">
        <f>IF(KVC7=0,0,IF(MAX($F9:KVB9)=$D12,0,KVB9+1))</f>
        <v>0</v>
      </c>
      <c r="KVD9" s="26">
        <f>IF(KVD7=0,0,IF(MAX($F9:KVC9)=$D12,0,KVC9+1))</f>
        <v>0</v>
      </c>
      <c r="KVE9" s="26">
        <f>IF(KVE7=0,0,IF(MAX($F9:KVD9)=$D12,0,KVD9+1))</f>
        <v>0</v>
      </c>
      <c r="KVF9" s="26">
        <f>IF(KVF7=0,0,IF(MAX($F9:KVE9)=$D12,0,KVE9+1))</f>
        <v>0</v>
      </c>
      <c r="KVG9" s="26">
        <f>IF(KVG7=0,0,IF(MAX($F9:KVF9)=$D12,0,KVF9+1))</f>
        <v>0</v>
      </c>
      <c r="KVH9" s="26">
        <f>IF(KVH7=0,0,IF(MAX($F9:KVG9)=$D12,0,KVG9+1))</f>
        <v>0</v>
      </c>
      <c r="KVI9" s="26">
        <f>IF(KVI7=0,0,IF(MAX($F9:KVH9)=$D12,0,KVH9+1))</f>
        <v>0</v>
      </c>
      <c r="KVJ9" s="26">
        <f>IF(KVJ7=0,0,IF(MAX($F9:KVI9)=$D12,0,KVI9+1))</f>
        <v>0</v>
      </c>
      <c r="KVK9" s="26">
        <f>IF(KVK7=0,0,IF(MAX($F9:KVJ9)=$D12,0,KVJ9+1))</f>
        <v>0</v>
      </c>
      <c r="KVL9" s="26">
        <f>IF(KVL7=0,0,IF(MAX($F9:KVK9)=$D12,0,KVK9+1))</f>
        <v>0</v>
      </c>
      <c r="KVM9" s="26">
        <f>IF(KVM7=0,0,IF(MAX($F9:KVL9)=$D12,0,KVL9+1))</f>
        <v>0</v>
      </c>
      <c r="KVN9" s="26">
        <f>IF(KVN7=0,0,IF(MAX($F9:KVM9)=$D12,0,KVM9+1))</f>
        <v>0</v>
      </c>
      <c r="KVO9" s="26">
        <f>IF(KVO7=0,0,IF(MAX($F9:KVN9)=$D12,0,KVN9+1))</f>
        <v>0</v>
      </c>
      <c r="KVP9" s="26">
        <f>IF(KVP7=0,0,IF(MAX($F9:KVO9)=$D12,0,KVO9+1))</f>
        <v>0</v>
      </c>
      <c r="KVQ9" s="26">
        <f>IF(KVQ7=0,0,IF(MAX($F9:KVP9)=$D12,0,KVP9+1))</f>
        <v>0</v>
      </c>
      <c r="KVR9" s="26">
        <f>IF(KVR7=0,0,IF(MAX($F9:KVQ9)=$D12,0,KVQ9+1))</f>
        <v>0</v>
      </c>
      <c r="KVS9" s="26">
        <f>IF(KVS7=0,0,IF(MAX($F9:KVR9)=$D12,0,KVR9+1))</f>
        <v>0</v>
      </c>
      <c r="KVT9" s="26">
        <f>IF(KVT7=0,0,IF(MAX($F9:KVS9)=$D12,0,KVS9+1))</f>
        <v>0</v>
      </c>
      <c r="KVU9" s="26">
        <f>IF(KVU7=0,0,IF(MAX($F9:KVT9)=$D12,0,KVT9+1))</f>
        <v>0</v>
      </c>
      <c r="KVV9" s="26">
        <f>IF(KVV7=0,0,IF(MAX($F9:KVU9)=$D12,0,KVU9+1))</f>
        <v>0</v>
      </c>
      <c r="KVW9" s="26">
        <f>IF(KVW7=0,0,IF(MAX($F9:KVV9)=$D12,0,KVV9+1))</f>
        <v>0</v>
      </c>
      <c r="KVX9" s="26">
        <f>IF(KVX7=0,0,IF(MAX($F9:KVW9)=$D12,0,KVW9+1))</f>
        <v>0</v>
      </c>
      <c r="KVY9" s="26">
        <f>IF(KVY7=0,0,IF(MAX($F9:KVX9)=$D12,0,KVX9+1))</f>
        <v>0</v>
      </c>
      <c r="KVZ9" s="26">
        <f>IF(KVZ7=0,0,IF(MAX($F9:KVY9)=$D12,0,KVY9+1))</f>
        <v>0</v>
      </c>
      <c r="KWA9" s="26">
        <f>IF(KWA7=0,0,IF(MAX($F9:KVZ9)=$D12,0,KVZ9+1))</f>
        <v>0</v>
      </c>
      <c r="KWB9" s="26">
        <f>IF(KWB7=0,0,IF(MAX($F9:KWA9)=$D12,0,KWA9+1))</f>
        <v>0</v>
      </c>
      <c r="KWC9" s="26">
        <f>IF(KWC7=0,0,IF(MAX($F9:KWB9)=$D12,0,KWB9+1))</f>
        <v>0</v>
      </c>
      <c r="KWD9" s="26">
        <f>IF(KWD7=0,0,IF(MAX($F9:KWC9)=$D12,0,KWC9+1))</f>
        <v>0</v>
      </c>
      <c r="KWE9" s="26">
        <f>IF(KWE7=0,0,IF(MAX($F9:KWD9)=$D12,0,KWD9+1))</f>
        <v>0</v>
      </c>
      <c r="KWF9" s="26">
        <f>IF(KWF7=0,0,IF(MAX($F9:KWE9)=$D12,0,KWE9+1))</f>
        <v>0</v>
      </c>
      <c r="KWG9" s="26">
        <f>IF(KWG7=0,0,IF(MAX($F9:KWF9)=$D12,0,KWF9+1))</f>
        <v>0</v>
      </c>
      <c r="KWH9" s="26">
        <f>IF(KWH7=0,0,IF(MAX($F9:KWG9)=$D12,0,KWG9+1))</f>
        <v>0</v>
      </c>
      <c r="KWI9" s="26">
        <f>IF(KWI7=0,0,IF(MAX($F9:KWH9)=$D12,0,KWH9+1))</f>
        <v>0</v>
      </c>
      <c r="KWJ9" s="26">
        <f>IF(KWJ7=0,0,IF(MAX($F9:KWI9)=$D12,0,KWI9+1))</f>
        <v>0</v>
      </c>
      <c r="KWK9" s="26">
        <f>IF(KWK7=0,0,IF(MAX($F9:KWJ9)=$D12,0,KWJ9+1))</f>
        <v>0</v>
      </c>
      <c r="KWL9" s="26">
        <f>IF(KWL7=0,0,IF(MAX($F9:KWK9)=$D12,0,KWK9+1))</f>
        <v>0</v>
      </c>
      <c r="KWM9" s="26">
        <f>IF(KWM7=0,0,IF(MAX($F9:KWL9)=$D12,0,KWL9+1))</f>
        <v>0</v>
      </c>
      <c r="KWN9" s="26">
        <f>IF(KWN7=0,0,IF(MAX($F9:KWM9)=$D12,0,KWM9+1))</f>
        <v>0</v>
      </c>
      <c r="KWO9" s="26">
        <f>IF(KWO7=0,0,IF(MAX($F9:KWN9)=$D12,0,KWN9+1))</f>
        <v>0</v>
      </c>
      <c r="KWP9" s="26">
        <f>IF(KWP7=0,0,IF(MAX($F9:KWO9)=$D12,0,KWO9+1))</f>
        <v>0</v>
      </c>
      <c r="KWQ9" s="26">
        <f>IF(KWQ7=0,0,IF(MAX($F9:KWP9)=$D12,0,KWP9+1))</f>
        <v>0</v>
      </c>
      <c r="KWR9" s="26">
        <f>IF(KWR7=0,0,IF(MAX($F9:KWQ9)=$D12,0,KWQ9+1))</f>
        <v>0</v>
      </c>
      <c r="KWS9" s="26">
        <f>IF(KWS7=0,0,IF(MAX($F9:KWR9)=$D12,0,KWR9+1))</f>
        <v>0</v>
      </c>
      <c r="KWT9" s="26">
        <f>IF(KWT7=0,0,IF(MAX($F9:KWS9)=$D12,0,KWS9+1))</f>
        <v>0</v>
      </c>
      <c r="KWU9" s="26">
        <f>IF(KWU7=0,0,IF(MAX($F9:KWT9)=$D12,0,KWT9+1))</f>
        <v>0</v>
      </c>
      <c r="KWV9" s="26">
        <f>IF(KWV7=0,0,IF(MAX($F9:KWU9)=$D12,0,KWU9+1))</f>
        <v>0</v>
      </c>
      <c r="KWW9" s="26">
        <f>IF(KWW7=0,0,IF(MAX($F9:KWV9)=$D12,0,KWV9+1))</f>
        <v>0</v>
      </c>
      <c r="KWX9" s="26">
        <f>IF(KWX7=0,0,IF(MAX($F9:KWW9)=$D12,0,KWW9+1))</f>
        <v>0</v>
      </c>
      <c r="KWY9" s="26">
        <f>IF(KWY7=0,0,IF(MAX($F9:KWX9)=$D12,0,KWX9+1))</f>
        <v>0</v>
      </c>
      <c r="KWZ9" s="26">
        <f>IF(KWZ7=0,0,IF(MAX($F9:KWY9)=$D12,0,KWY9+1))</f>
        <v>0</v>
      </c>
      <c r="KXA9" s="26">
        <f>IF(KXA7=0,0,IF(MAX($F9:KWZ9)=$D12,0,KWZ9+1))</f>
        <v>0</v>
      </c>
      <c r="KXB9" s="26">
        <f>IF(KXB7=0,0,IF(MAX($F9:KXA9)=$D12,0,KXA9+1))</f>
        <v>0</v>
      </c>
      <c r="KXC9" s="26">
        <f>IF(KXC7=0,0,IF(MAX($F9:KXB9)=$D12,0,KXB9+1))</f>
        <v>0</v>
      </c>
      <c r="KXD9" s="26">
        <f>IF(KXD7=0,0,IF(MAX($F9:KXC9)=$D12,0,KXC9+1))</f>
        <v>0</v>
      </c>
      <c r="KXE9" s="26">
        <f>IF(KXE7=0,0,IF(MAX($F9:KXD9)=$D12,0,KXD9+1))</f>
        <v>0</v>
      </c>
      <c r="KXF9" s="26">
        <f>IF(KXF7=0,0,IF(MAX($F9:KXE9)=$D12,0,KXE9+1))</f>
        <v>0</v>
      </c>
      <c r="KXG9" s="26">
        <f>IF(KXG7=0,0,IF(MAX($F9:KXF9)=$D12,0,KXF9+1))</f>
        <v>0</v>
      </c>
      <c r="KXH9" s="26">
        <f>IF(KXH7=0,0,IF(MAX($F9:KXG9)=$D12,0,KXG9+1))</f>
        <v>0</v>
      </c>
      <c r="KXI9" s="26">
        <f>IF(KXI7=0,0,IF(MAX($F9:KXH9)=$D12,0,KXH9+1))</f>
        <v>0</v>
      </c>
      <c r="KXJ9" s="26">
        <f>IF(KXJ7=0,0,IF(MAX($F9:KXI9)=$D12,0,KXI9+1))</f>
        <v>0</v>
      </c>
      <c r="KXK9" s="26">
        <f>IF(KXK7=0,0,IF(MAX($F9:KXJ9)=$D12,0,KXJ9+1))</f>
        <v>0</v>
      </c>
      <c r="KXL9" s="26">
        <f>IF(KXL7=0,0,IF(MAX($F9:KXK9)=$D12,0,KXK9+1))</f>
        <v>0</v>
      </c>
      <c r="KXM9" s="26">
        <f>IF(KXM7=0,0,IF(MAX($F9:KXL9)=$D12,0,KXL9+1))</f>
        <v>0</v>
      </c>
      <c r="KXN9" s="26">
        <f>IF(KXN7=0,0,IF(MAX($F9:KXM9)=$D12,0,KXM9+1))</f>
        <v>0</v>
      </c>
      <c r="KXO9" s="26">
        <f>IF(KXO7=0,0,IF(MAX($F9:KXN9)=$D12,0,KXN9+1))</f>
        <v>0</v>
      </c>
      <c r="KXP9" s="26">
        <f>IF(KXP7=0,0,IF(MAX($F9:KXO9)=$D12,0,KXO9+1))</f>
        <v>0</v>
      </c>
      <c r="KXQ9" s="26">
        <f>IF(KXQ7=0,0,IF(MAX($F9:KXP9)=$D12,0,KXP9+1))</f>
        <v>0</v>
      </c>
      <c r="KXR9" s="26">
        <f>IF(KXR7=0,0,IF(MAX($F9:KXQ9)=$D12,0,KXQ9+1))</f>
        <v>0</v>
      </c>
      <c r="KXS9" s="26">
        <f>IF(KXS7=0,0,IF(MAX($F9:KXR9)=$D12,0,KXR9+1))</f>
        <v>0</v>
      </c>
      <c r="KXT9" s="26">
        <f>IF(KXT7=0,0,IF(MAX($F9:KXS9)=$D12,0,KXS9+1))</f>
        <v>0</v>
      </c>
      <c r="KXU9" s="26">
        <f>IF(KXU7=0,0,IF(MAX($F9:KXT9)=$D12,0,KXT9+1))</f>
        <v>0</v>
      </c>
      <c r="KXV9" s="26">
        <f>IF(KXV7=0,0,IF(MAX($F9:KXU9)=$D12,0,KXU9+1))</f>
        <v>0</v>
      </c>
      <c r="KXW9" s="26">
        <f>IF(KXW7=0,0,IF(MAX($F9:KXV9)=$D12,0,KXV9+1))</f>
        <v>0</v>
      </c>
      <c r="KXX9" s="26">
        <f>IF(KXX7=0,0,IF(MAX($F9:KXW9)=$D12,0,KXW9+1))</f>
        <v>0</v>
      </c>
      <c r="KXY9" s="26">
        <f>IF(KXY7=0,0,IF(MAX($F9:KXX9)=$D12,0,KXX9+1))</f>
        <v>0</v>
      </c>
      <c r="KXZ9" s="26">
        <f>IF(KXZ7=0,0,IF(MAX($F9:KXY9)=$D12,0,KXY9+1))</f>
        <v>0</v>
      </c>
      <c r="KYA9" s="26">
        <f>IF(KYA7=0,0,IF(MAX($F9:KXZ9)=$D12,0,KXZ9+1))</f>
        <v>0</v>
      </c>
      <c r="KYB9" s="26">
        <f>IF(KYB7=0,0,IF(MAX($F9:KYA9)=$D12,0,KYA9+1))</f>
        <v>0</v>
      </c>
      <c r="KYC9" s="26">
        <f>IF(KYC7=0,0,IF(MAX($F9:KYB9)=$D12,0,KYB9+1))</f>
        <v>0</v>
      </c>
      <c r="KYD9" s="26">
        <f>IF(KYD7=0,0,IF(MAX($F9:KYC9)=$D12,0,KYC9+1))</f>
        <v>0</v>
      </c>
      <c r="KYE9" s="26">
        <f>IF(KYE7=0,0,IF(MAX($F9:KYD9)=$D12,0,KYD9+1))</f>
        <v>0</v>
      </c>
      <c r="KYF9" s="26">
        <f>IF(KYF7=0,0,IF(MAX($F9:KYE9)=$D12,0,KYE9+1))</f>
        <v>0</v>
      </c>
      <c r="KYG9" s="26">
        <f>IF(KYG7=0,0,IF(MAX($F9:KYF9)=$D12,0,KYF9+1))</f>
        <v>0</v>
      </c>
      <c r="KYH9" s="26">
        <f>IF(KYH7=0,0,IF(MAX($F9:KYG9)=$D12,0,KYG9+1))</f>
        <v>0</v>
      </c>
      <c r="KYI9" s="26">
        <f>IF(KYI7=0,0,IF(MAX($F9:KYH9)=$D12,0,KYH9+1))</f>
        <v>0</v>
      </c>
      <c r="KYJ9" s="26">
        <f>IF(KYJ7=0,0,IF(MAX($F9:KYI9)=$D12,0,KYI9+1))</f>
        <v>0</v>
      </c>
      <c r="KYK9" s="26">
        <f>IF(KYK7=0,0,IF(MAX($F9:KYJ9)=$D12,0,KYJ9+1))</f>
        <v>0</v>
      </c>
      <c r="KYL9" s="26">
        <f>IF(KYL7=0,0,IF(MAX($F9:KYK9)=$D12,0,KYK9+1))</f>
        <v>0</v>
      </c>
      <c r="KYM9" s="26">
        <f>IF(KYM7=0,0,IF(MAX($F9:KYL9)=$D12,0,KYL9+1))</f>
        <v>0</v>
      </c>
      <c r="KYN9" s="26">
        <f>IF(KYN7=0,0,IF(MAX($F9:KYM9)=$D12,0,KYM9+1))</f>
        <v>0</v>
      </c>
      <c r="KYO9" s="26">
        <f>IF(KYO7=0,0,IF(MAX($F9:KYN9)=$D12,0,KYN9+1))</f>
        <v>0</v>
      </c>
      <c r="KYP9" s="26">
        <f>IF(KYP7=0,0,IF(MAX($F9:KYO9)=$D12,0,KYO9+1))</f>
        <v>0</v>
      </c>
      <c r="KYQ9" s="26">
        <f>IF(KYQ7=0,0,IF(MAX($F9:KYP9)=$D12,0,KYP9+1))</f>
        <v>0</v>
      </c>
      <c r="KYR9" s="26">
        <f>IF(KYR7=0,0,IF(MAX($F9:KYQ9)=$D12,0,KYQ9+1))</f>
        <v>0</v>
      </c>
      <c r="KYS9" s="26">
        <f>IF(KYS7=0,0,IF(MAX($F9:KYR9)=$D12,0,KYR9+1))</f>
        <v>0</v>
      </c>
      <c r="KYT9" s="26">
        <f>IF(KYT7=0,0,IF(MAX($F9:KYS9)=$D12,0,KYS9+1))</f>
        <v>0</v>
      </c>
      <c r="KYU9" s="26">
        <f>IF(KYU7=0,0,IF(MAX($F9:KYT9)=$D12,0,KYT9+1))</f>
        <v>0</v>
      </c>
      <c r="KYV9" s="26">
        <f>IF(KYV7=0,0,IF(MAX($F9:KYU9)=$D12,0,KYU9+1))</f>
        <v>0</v>
      </c>
      <c r="KYW9" s="26">
        <f>IF(KYW7=0,0,IF(MAX($F9:KYV9)=$D12,0,KYV9+1))</f>
        <v>0</v>
      </c>
      <c r="KYX9" s="26">
        <f>IF(KYX7=0,0,IF(MAX($F9:KYW9)=$D12,0,KYW9+1))</f>
        <v>0</v>
      </c>
      <c r="KYY9" s="26">
        <f>IF(KYY7=0,0,IF(MAX($F9:KYX9)=$D12,0,KYX9+1))</f>
        <v>0</v>
      </c>
      <c r="KYZ9" s="26">
        <f>IF(KYZ7=0,0,IF(MAX($F9:KYY9)=$D12,0,KYY9+1))</f>
        <v>0</v>
      </c>
      <c r="KZA9" s="26">
        <f>IF(KZA7=0,0,IF(MAX($F9:KYZ9)=$D12,0,KYZ9+1))</f>
        <v>0</v>
      </c>
      <c r="KZB9" s="26">
        <f>IF(KZB7=0,0,IF(MAX($F9:KZA9)=$D12,0,KZA9+1))</f>
        <v>0</v>
      </c>
      <c r="KZC9" s="26">
        <f>IF(KZC7=0,0,IF(MAX($F9:KZB9)=$D12,0,KZB9+1))</f>
        <v>0</v>
      </c>
      <c r="KZD9" s="26">
        <f>IF(KZD7=0,0,IF(MAX($F9:KZC9)=$D12,0,KZC9+1))</f>
        <v>0</v>
      </c>
      <c r="KZE9" s="26">
        <f>IF(KZE7=0,0,IF(MAX($F9:KZD9)=$D12,0,KZD9+1))</f>
        <v>0</v>
      </c>
      <c r="KZF9" s="26">
        <f>IF(KZF7=0,0,IF(MAX($F9:KZE9)=$D12,0,KZE9+1))</f>
        <v>0</v>
      </c>
      <c r="KZG9" s="26">
        <f>IF(KZG7=0,0,IF(MAX($F9:KZF9)=$D12,0,KZF9+1))</f>
        <v>0</v>
      </c>
      <c r="KZH9" s="26">
        <f>IF(KZH7=0,0,IF(MAX($F9:KZG9)=$D12,0,KZG9+1))</f>
        <v>0</v>
      </c>
      <c r="KZI9" s="26">
        <f>IF(KZI7=0,0,IF(MAX($F9:KZH9)=$D12,0,KZH9+1))</f>
        <v>0</v>
      </c>
      <c r="KZJ9" s="26">
        <f>IF(KZJ7=0,0,IF(MAX($F9:KZI9)=$D12,0,KZI9+1))</f>
        <v>0</v>
      </c>
      <c r="KZK9" s="26">
        <f>IF(KZK7=0,0,IF(MAX($F9:KZJ9)=$D12,0,KZJ9+1))</f>
        <v>0</v>
      </c>
      <c r="KZL9" s="26">
        <f>IF(KZL7=0,0,IF(MAX($F9:KZK9)=$D12,0,KZK9+1))</f>
        <v>0</v>
      </c>
      <c r="KZM9" s="26">
        <f>IF(KZM7=0,0,IF(MAX($F9:KZL9)=$D12,0,KZL9+1))</f>
        <v>0</v>
      </c>
      <c r="KZN9" s="26">
        <f>IF(KZN7=0,0,IF(MAX($F9:KZM9)=$D12,0,KZM9+1))</f>
        <v>0</v>
      </c>
      <c r="KZO9" s="26">
        <f>IF(KZO7=0,0,IF(MAX($F9:KZN9)=$D12,0,KZN9+1))</f>
        <v>0</v>
      </c>
      <c r="KZP9" s="26">
        <f>IF(KZP7=0,0,IF(MAX($F9:KZO9)=$D12,0,KZO9+1))</f>
        <v>0</v>
      </c>
      <c r="KZQ9" s="26">
        <f>IF(KZQ7=0,0,IF(MAX($F9:KZP9)=$D12,0,KZP9+1))</f>
        <v>0</v>
      </c>
      <c r="KZR9" s="26">
        <f>IF(KZR7=0,0,IF(MAX($F9:KZQ9)=$D12,0,KZQ9+1))</f>
        <v>0</v>
      </c>
      <c r="KZS9" s="26">
        <f>IF(KZS7=0,0,IF(MAX($F9:KZR9)=$D12,0,KZR9+1))</f>
        <v>0</v>
      </c>
      <c r="KZT9" s="26">
        <f>IF(KZT7=0,0,IF(MAX($F9:KZS9)=$D12,0,KZS9+1))</f>
        <v>0</v>
      </c>
      <c r="KZU9" s="26">
        <f>IF(KZU7=0,0,IF(MAX($F9:KZT9)=$D12,0,KZT9+1))</f>
        <v>0</v>
      </c>
      <c r="KZV9" s="26">
        <f>IF(KZV7=0,0,IF(MAX($F9:KZU9)=$D12,0,KZU9+1))</f>
        <v>0</v>
      </c>
      <c r="KZW9" s="26">
        <f>IF(KZW7=0,0,IF(MAX($F9:KZV9)=$D12,0,KZV9+1))</f>
        <v>0</v>
      </c>
      <c r="KZX9" s="26">
        <f>IF(KZX7=0,0,IF(MAX($F9:KZW9)=$D12,0,KZW9+1))</f>
        <v>0</v>
      </c>
      <c r="KZY9" s="26">
        <f>IF(KZY7=0,0,IF(MAX($F9:KZX9)=$D12,0,KZX9+1))</f>
        <v>0</v>
      </c>
      <c r="KZZ9" s="26">
        <f>IF(KZZ7=0,0,IF(MAX($F9:KZY9)=$D12,0,KZY9+1))</f>
        <v>0</v>
      </c>
      <c r="LAA9" s="26">
        <f>IF(LAA7=0,0,IF(MAX($F9:KZZ9)=$D12,0,KZZ9+1))</f>
        <v>0</v>
      </c>
      <c r="LAB9" s="26">
        <f>IF(LAB7=0,0,IF(MAX($F9:LAA9)=$D12,0,LAA9+1))</f>
        <v>0</v>
      </c>
      <c r="LAC9" s="26">
        <f>IF(LAC7=0,0,IF(MAX($F9:LAB9)=$D12,0,LAB9+1))</f>
        <v>0</v>
      </c>
      <c r="LAD9" s="26">
        <f>IF(LAD7=0,0,IF(MAX($F9:LAC9)=$D12,0,LAC9+1))</f>
        <v>0</v>
      </c>
      <c r="LAE9" s="26">
        <f>IF(LAE7=0,0,IF(MAX($F9:LAD9)=$D12,0,LAD9+1))</f>
        <v>0</v>
      </c>
      <c r="LAF9" s="26">
        <f>IF(LAF7=0,0,IF(MAX($F9:LAE9)=$D12,0,LAE9+1))</f>
        <v>0</v>
      </c>
      <c r="LAG9" s="26">
        <f>IF(LAG7=0,0,IF(MAX($F9:LAF9)=$D12,0,LAF9+1))</f>
        <v>0</v>
      </c>
      <c r="LAH9" s="26">
        <f>IF(LAH7=0,0,IF(MAX($F9:LAG9)=$D12,0,LAG9+1))</f>
        <v>0</v>
      </c>
      <c r="LAI9" s="26">
        <f>IF(LAI7=0,0,IF(MAX($F9:LAH9)=$D12,0,LAH9+1))</f>
        <v>0</v>
      </c>
      <c r="LAJ9" s="26">
        <f>IF(LAJ7=0,0,IF(MAX($F9:LAI9)=$D12,0,LAI9+1))</f>
        <v>0</v>
      </c>
      <c r="LAK9" s="26">
        <f>IF(LAK7=0,0,IF(MAX($F9:LAJ9)=$D12,0,LAJ9+1))</f>
        <v>0</v>
      </c>
      <c r="LAL9" s="26">
        <f>IF(LAL7=0,0,IF(MAX($F9:LAK9)=$D12,0,LAK9+1))</f>
        <v>0</v>
      </c>
      <c r="LAM9" s="26">
        <f>IF(LAM7=0,0,IF(MAX($F9:LAL9)=$D12,0,LAL9+1))</f>
        <v>0</v>
      </c>
      <c r="LAN9" s="26">
        <f>IF(LAN7=0,0,IF(MAX($F9:LAM9)=$D12,0,LAM9+1))</f>
        <v>0</v>
      </c>
      <c r="LAO9" s="26">
        <f>IF(LAO7=0,0,IF(MAX($F9:LAN9)=$D12,0,LAN9+1))</f>
        <v>0</v>
      </c>
      <c r="LAP9" s="26">
        <f>IF(LAP7=0,0,IF(MAX($F9:LAO9)=$D12,0,LAO9+1))</f>
        <v>0</v>
      </c>
      <c r="LAQ9" s="26">
        <f>IF(LAQ7=0,0,IF(MAX($F9:LAP9)=$D12,0,LAP9+1))</f>
        <v>0</v>
      </c>
      <c r="LAR9" s="26">
        <f>IF(LAR7=0,0,IF(MAX($F9:LAQ9)=$D12,0,LAQ9+1))</f>
        <v>0</v>
      </c>
      <c r="LAS9" s="26">
        <f>IF(LAS7=0,0,IF(MAX($F9:LAR9)=$D12,0,LAR9+1))</f>
        <v>0</v>
      </c>
      <c r="LAT9" s="26">
        <f>IF(LAT7=0,0,IF(MAX($F9:LAS9)=$D12,0,LAS9+1))</f>
        <v>0</v>
      </c>
      <c r="LAU9" s="26">
        <f>IF(LAU7=0,0,IF(MAX($F9:LAT9)=$D12,0,LAT9+1))</f>
        <v>0</v>
      </c>
      <c r="LAV9" s="26">
        <f>IF(LAV7=0,0,IF(MAX($F9:LAU9)=$D12,0,LAU9+1))</f>
        <v>0</v>
      </c>
      <c r="LAW9" s="26">
        <f>IF(LAW7=0,0,IF(MAX($F9:LAV9)=$D12,0,LAV9+1))</f>
        <v>0</v>
      </c>
      <c r="LAX9" s="26">
        <f>IF(LAX7=0,0,IF(MAX($F9:LAW9)=$D12,0,LAW9+1))</f>
        <v>0</v>
      </c>
      <c r="LAY9" s="26">
        <f>IF(LAY7=0,0,IF(MAX($F9:LAX9)=$D12,0,LAX9+1))</f>
        <v>0</v>
      </c>
      <c r="LAZ9" s="26">
        <f>IF(LAZ7=0,0,IF(MAX($F9:LAY9)=$D12,0,LAY9+1))</f>
        <v>0</v>
      </c>
      <c r="LBA9" s="26">
        <f>IF(LBA7=0,0,IF(MAX($F9:LAZ9)=$D12,0,LAZ9+1))</f>
        <v>0</v>
      </c>
      <c r="LBB9" s="26">
        <f>IF(LBB7=0,0,IF(MAX($F9:LBA9)=$D12,0,LBA9+1))</f>
        <v>0</v>
      </c>
      <c r="LBC9" s="26">
        <f>IF(LBC7=0,0,IF(MAX($F9:LBB9)=$D12,0,LBB9+1))</f>
        <v>0</v>
      </c>
      <c r="LBD9" s="26">
        <f>IF(LBD7=0,0,IF(MAX($F9:LBC9)=$D12,0,LBC9+1))</f>
        <v>0</v>
      </c>
      <c r="LBE9" s="26">
        <f>IF(LBE7=0,0,IF(MAX($F9:LBD9)=$D12,0,LBD9+1))</f>
        <v>0</v>
      </c>
      <c r="LBF9" s="26">
        <f>IF(LBF7=0,0,IF(MAX($F9:LBE9)=$D12,0,LBE9+1))</f>
        <v>0</v>
      </c>
      <c r="LBG9" s="26">
        <f>IF(LBG7=0,0,IF(MAX($F9:LBF9)=$D12,0,LBF9+1))</f>
        <v>0</v>
      </c>
      <c r="LBH9" s="26">
        <f>IF(LBH7=0,0,IF(MAX($F9:LBG9)=$D12,0,LBG9+1))</f>
        <v>0</v>
      </c>
      <c r="LBI9" s="26">
        <f>IF(LBI7=0,0,IF(MAX($F9:LBH9)=$D12,0,LBH9+1))</f>
        <v>0</v>
      </c>
      <c r="LBJ9" s="26">
        <f>IF(LBJ7=0,0,IF(MAX($F9:LBI9)=$D12,0,LBI9+1))</f>
        <v>0</v>
      </c>
      <c r="LBK9" s="26">
        <f>IF(LBK7=0,0,IF(MAX($F9:LBJ9)=$D12,0,LBJ9+1))</f>
        <v>0</v>
      </c>
      <c r="LBL9" s="26">
        <f>IF(LBL7=0,0,IF(MAX($F9:LBK9)=$D12,0,LBK9+1))</f>
        <v>0</v>
      </c>
      <c r="LBM9" s="26">
        <f>IF(LBM7=0,0,IF(MAX($F9:LBL9)=$D12,0,LBL9+1))</f>
        <v>0</v>
      </c>
      <c r="LBN9" s="26">
        <f>IF(LBN7=0,0,IF(MAX($F9:LBM9)=$D12,0,LBM9+1))</f>
        <v>0</v>
      </c>
      <c r="LBO9" s="26">
        <f>IF(LBO7=0,0,IF(MAX($F9:LBN9)=$D12,0,LBN9+1))</f>
        <v>0</v>
      </c>
      <c r="LBP9" s="26">
        <f>IF(LBP7=0,0,IF(MAX($F9:LBO9)=$D12,0,LBO9+1))</f>
        <v>0</v>
      </c>
      <c r="LBQ9" s="26">
        <f>IF(LBQ7=0,0,IF(MAX($F9:LBP9)=$D12,0,LBP9+1))</f>
        <v>0</v>
      </c>
      <c r="LBR9" s="26">
        <f>IF(LBR7=0,0,IF(MAX($F9:LBQ9)=$D12,0,LBQ9+1))</f>
        <v>0</v>
      </c>
      <c r="LBS9" s="26">
        <f>IF(LBS7=0,0,IF(MAX($F9:LBR9)=$D12,0,LBR9+1))</f>
        <v>0</v>
      </c>
      <c r="LBT9" s="26">
        <f>IF(LBT7=0,0,IF(MAX($F9:LBS9)=$D12,0,LBS9+1))</f>
        <v>0</v>
      </c>
      <c r="LBU9" s="26">
        <f>IF(LBU7=0,0,IF(MAX($F9:LBT9)=$D12,0,LBT9+1))</f>
        <v>0</v>
      </c>
      <c r="LBV9" s="26">
        <f>IF(LBV7=0,0,IF(MAX($F9:LBU9)=$D12,0,LBU9+1))</f>
        <v>0</v>
      </c>
      <c r="LBW9" s="26">
        <f>IF(LBW7=0,0,IF(MAX($F9:LBV9)=$D12,0,LBV9+1))</f>
        <v>0</v>
      </c>
      <c r="LBX9" s="26">
        <f>IF(LBX7=0,0,IF(MAX($F9:LBW9)=$D12,0,LBW9+1))</f>
        <v>0</v>
      </c>
      <c r="LBY9" s="26">
        <f>IF(LBY7=0,0,IF(MAX($F9:LBX9)=$D12,0,LBX9+1))</f>
        <v>0</v>
      </c>
      <c r="LBZ9" s="26">
        <f>IF(LBZ7=0,0,IF(MAX($F9:LBY9)=$D12,0,LBY9+1))</f>
        <v>0</v>
      </c>
      <c r="LCA9" s="26">
        <f>IF(LCA7=0,0,IF(MAX($F9:LBZ9)=$D12,0,LBZ9+1))</f>
        <v>0</v>
      </c>
      <c r="LCB9" s="26">
        <f>IF(LCB7=0,0,IF(MAX($F9:LCA9)=$D12,0,LCA9+1))</f>
        <v>0</v>
      </c>
      <c r="LCC9" s="26">
        <f>IF(LCC7=0,0,IF(MAX($F9:LCB9)=$D12,0,LCB9+1))</f>
        <v>0</v>
      </c>
      <c r="LCD9" s="26">
        <f>IF(LCD7=0,0,IF(MAX($F9:LCC9)=$D12,0,LCC9+1))</f>
        <v>0</v>
      </c>
      <c r="LCE9" s="26">
        <f>IF(LCE7=0,0,IF(MAX($F9:LCD9)=$D12,0,LCD9+1))</f>
        <v>0</v>
      </c>
      <c r="LCF9" s="26">
        <f>IF(LCF7=0,0,IF(MAX($F9:LCE9)=$D12,0,LCE9+1))</f>
        <v>0</v>
      </c>
      <c r="LCG9" s="26">
        <f>IF(LCG7=0,0,IF(MAX($F9:LCF9)=$D12,0,LCF9+1))</f>
        <v>0</v>
      </c>
      <c r="LCH9" s="26">
        <f>IF(LCH7=0,0,IF(MAX($F9:LCG9)=$D12,0,LCG9+1))</f>
        <v>0</v>
      </c>
      <c r="LCI9" s="26">
        <f>IF(LCI7=0,0,IF(MAX($F9:LCH9)=$D12,0,LCH9+1))</f>
        <v>0</v>
      </c>
      <c r="LCJ9" s="26">
        <f>IF(LCJ7=0,0,IF(MAX($F9:LCI9)=$D12,0,LCI9+1))</f>
        <v>0</v>
      </c>
      <c r="LCK9" s="26">
        <f>IF(LCK7=0,0,IF(MAX($F9:LCJ9)=$D12,0,LCJ9+1))</f>
        <v>0</v>
      </c>
      <c r="LCL9" s="26">
        <f>IF(LCL7=0,0,IF(MAX($F9:LCK9)=$D12,0,LCK9+1))</f>
        <v>0</v>
      </c>
      <c r="LCM9" s="26">
        <f>IF(LCM7=0,0,IF(MAX($F9:LCL9)=$D12,0,LCL9+1))</f>
        <v>0</v>
      </c>
      <c r="LCN9" s="26">
        <f>IF(LCN7=0,0,IF(MAX($F9:LCM9)=$D12,0,LCM9+1))</f>
        <v>0</v>
      </c>
      <c r="LCO9" s="26">
        <f>IF(LCO7=0,0,IF(MAX($F9:LCN9)=$D12,0,LCN9+1))</f>
        <v>0</v>
      </c>
      <c r="LCP9" s="26">
        <f>IF(LCP7=0,0,IF(MAX($F9:LCO9)=$D12,0,LCO9+1))</f>
        <v>0</v>
      </c>
      <c r="LCQ9" s="26">
        <f>IF(LCQ7=0,0,IF(MAX($F9:LCP9)=$D12,0,LCP9+1))</f>
        <v>0</v>
      </c>
      <c r="LCR9" s="26">
        <f>IF(LCR7=0,0,IF(MAX($F9:LCQ9)=$D12,0,LCQ9+1))</f>
        <v>0</v>
      </c>
      <c r="LCS9" s="26">
        <f>IF(LCS7=0,0,IF(MAX($F9:LCR9)=$D12,0,LCR9+1))</f>
        <v>0</v>
      </c>
      <c r="LCT9" s="26">
        <f>IF(LCT7=0,0,IF(MAX($F9:LCS9)=$D12,0,LCS9+1))</f>
        <v>0</v>
      </c>
      <c r="LCU9" s="26">
        <f>IF(LCU7=0,0,IF(MAX($F9:LCT9)=$D12,0,LCT9+1))</f>
        <v>0</v>
      </c>
      <c r="LCV9" s="26">
        <f>IF(LCV7=0,0,IF(MAX($F9:LCU9)=$D12,0,LCU9+1))</f>
        <v>0</v>
      </c>
      <c r="LCW9" s="26">
        <f>IF(LCW7=0,0,IF(MAX($F9:LCV9)=$D12,0,LCV9+1))</f>
        <v>0</v>
      </c>
      <c r="LCX9" s="26">
        <f>IF(LCX7=0,0,IF(MAX($F9:LCW9)=$D12,0,LCW9+1))</f>
        <v>0</v>
      </c>
      <c r="LCY9" s="26">
        <f>IF(LCY7=0,0,IF(MAX($F9:LCX9)=$D12,0,LCX9+1))</f>
        <v>0</v>
      </c>
      <c r="LCZ9" s="26">
        <f>IF(LCZ7=0,0,IF(MAX($F9:LCY9)=$D12,0,LCY9+1))</f>
        <v>0</v>
      </c>
      <c r="LDA9" s="26">
        <f>IF(LDA7=0,0,IF(MAX($F9:LCZ9)=$D12,0,LCZ9+1))</f>
        <v>0</v>
      </c>
      <c r="LDB9" s="26">
        <f>IF(LDB7=0,0,IF(MAX($F9:LDA9)=$D12,0,LDA9+1))</f>
        <v>0</v>
      </c>
      <c r="LDC9" s="26">
        <f>IF(LDC7=0,0,IF(MAX($F9:LDB9)=$D12,0,LDB9+1))</f>
        <v>0</v>
      </c>
      <c r="LDD9" s="26">
        <f>IF(LDD7=0,0,IF(MAX($F9:LDC9)=$D12,0,LDC9+1))</f>
        <v>0</v>
      </c>
      <c r="LDE9" s="26">
        <f>IF(LDE7=0,0,IF(MAX($F9:LDD9)=$D12,0,LDD9+1))</f>
        <v>0</v>
      </c>
      <c r="LDF9" s="26">
        <f>IF(LDF7=0,0,IF(MAX($F9:LDE9)=$D12,0,LDE9+1))</f>
        <v>0</v>
      </c>
      <c r="LDG9" s="26">
        <f>IF(LDG7=0,0,IF(MAX($F9:LDF9)=$D12,0,LDF9+1))</f>
        <v>0</v>
      </c>
      <c r="LDH9" s="26">
        <f>IF(LDH7=0,0,IF(MAX($F9:LDG9)=$D12,0,LDG9+1))</f>
        <v>0</v>
      </c>
      <c r="LDI9" s="26">
        <f>IF(LDI7=0,0,IF(MAX($F9:LDH9)=$D12,0,LDH9+1))</f>
        <v>0</v>
      </c>
      <c r="LDJ9" s="26">
        <f>IF(LDJ7=0,0,IF(MAX($F9:LDI9)=$D12,0,LDI9+1))</f>
        <v>0</v>
      </c>
      <c r="LDK9" s="26">
        <f>IF(LDK7=0,0,IF(MAX($F9:LDJ9)=$D12,0,LDJ9+1))</f>
        <v>0</v>
      </c>
      <c r="LDL9" s="26">
        <f>IF(LDL7=0,0,IF(MAX($F9:LDK9)=$D12,0,LDK9+1))</f>
        <v>0</v>
      </c>
      <c r="LDM9" s="26">
        <f>IF(LDM7=0,0,IF(MAX($F9:LDL9)=$D12,0,LDL9+1))</f>
        <v>0</v>
      </c>
      <c r="LDN9" s="26">
        <f>IF(LDN7=0,0,IF(MAX($F9:LDM9)=$D12,0,LDM9+1))</f>
        <v>0</v>
      </c>
      <c r="LDO9" s="26">
        <f>IF(LDO7=0,0,IF(MAX($F9:LDN9)=$D12,0,LDN9+1))</f>
        <v>0</v>
      </c>
      <c r="LDP9" s="26">
        <f>IF(LDP7=0,0,IF(MAX($F9:LDO9)=$D12,0,LDO9+1))</f>
        <v>0</v>
      </c>
      <c r="LDQ9" s="26">
        <f>IF(LDQ7=0,0,IF(MAX($F9:LDP9)=$D12,0,LDP9+1))</f>
        <v>0</v>
      </c>
      <c r="LDR9" s="26">
        <f>IF(LDR7=0,0,IF(MAX($F9:LDQ9)=$D12,0,LDQ9+1))</f>
        <v>0</v>
      </c>
      <c r="LDS9" s="26">
        <f>IF(LDS7=0,0,IF(MAX($F9:LDR9)=$D12,0,LDR9+1))</f>
        <v>0</v>
      </c>
      <c r="LDT9" s="26">
        <f>IF(LDT7=0,0,IF(MAX($F9:LDS9)=$D12,0,LDS9+1))</f>
        <v>0</v>
      </c>
      <c r="LDU9" s="26">
        <f>IF(LDU7=0,0,IF(MAX($F9:LDT9)=$D12,0,LDT9+1))</f>
        <v>0</v>
      </c>
      <c r="LDV9" s="26">
        <f>IF(LDV7=0,0,IF(MAX($F9:LDU9)=$D12,0,LDU9+1))</f>
        <v>0</v>
      </c>
      <c r="LDW9" s="26">
        <f>IF(LDW7=0,0,IF(MAX($F9:LDV9)=$D12,0,LDV9+1))</f>
        <v>0</v>
      </c>
      <c r="LDX9" s="26">
        <f>IF(LDX7=0,0,IF(MAX($F9:LDW9)=$D12,0,LDW9+1))</f>
        <v>0</v>
      </c>
      <c r="LDY9" s="26">
        <f>IF(LDY7=0,0,IF(MAX($F9:LDX9)=$D12,0,LDX9+1))</f>
        <v>0</v>
      </c>
      <c r="LDZ9" s="26">
        <f>IF(LDZ7=0,0,IF(MAX($F9:LDY9)=$D12,0,LDY9+1))</f>
        <v>0</v>
      </c>
      <c r="LEA9" s="26">
        <f>IF(LEA7=0,0,IF(MAX($F9:LDZ9)=$D12,0,LDZ9+1))</f>
        <v>0</v>
      </c>
      <c r="LEB9" s="26">
        <f>IF(LEB7=0,0,IF(MAX($F9:LEA9)=$D12,0,LEA9+1))</f>
        <v>0</v>
      </c>
      <c r="LEC9" s="26">
        <f>IF(LEC7=0,0,IF(MAX($F9:LEB9)=$D12,0,LEB9+1))</f>
        <v>0</v>
      </c>
      <c r="LED9" s="26">
        <f>IF(LED7=0,0,IF(MAX($F9:LEC9)=$D12,0,LEC9+1))</f>
        <v>0</v>
      </c>
      <c r="LEE9" s="26">
        <f>IF(LEE7=0,0,IF(MAX($F9:LED9)=$D12,0,LED9+1))</f>
        <v>0</v>
      </c>
      <c r="LEF9" s="26">
        <f>IF(LEF7=0,0,IF(MAX($F9:LEE9)=$D12,0,LEE9+1))</f>
        <v>0</v>
      </c>
      <c r="LEG9" s="26">
        <f>IF(LEG7=0,0,IF(MAX($F9:LEF9)=$D12,0,LEF9+1))</f>
        <v>0</v>
      </c>
      <c r="LEH9" s="26">
        <f>IF(LEH7=0,0,IF(MAX($F9:LEG9)=$D12,0,LEG9+1))</f>
        <v>0</v>
      </c>
      <c r="LEI9" s="26">
        <f>IF(LEI7=0,0,IF(MAX($F9:LEH9)=$D12,0,LEH9+1))</f>
        <v>0</v>
      </c>
      <c r="LEJ9" s="26">
        <f>IF(LEJ7=0,0,IF(MAX($F9:LEI9)=$D12,0,LEI9+1))</f>
        <v>0</v>
      </c>
      <c r="LEK9" s="26">
        <f>IF(LEK7=0,0,IF(MAX($F9:LEJ9)=$D12,0,LEJ9+1))</f>
        <v>0</v>
      </c>
      <c r="LEL9" s="26">
        <f>IF(LEL7=0,0,IF(MAX($F9:LEK9)=$D12,0,LEK9+1))</f>
        <v>0</v>
      </c>
      <c r="LEM9" s="26">
        <f>IF(LEM7=0,0,IF(MAX($F9:LEL9)=$D12,0,LEL9+1))</f>
        <v>0</v>
      </c>
      <c r="LEN9" s="26">
        <f>IF(LEN7=0,0,IF(MAX($F9:LEM9)=$D12,0,LEM9+1))</f>
        <v>0</v>
      </c>
      <c r="LEO9" s="26">
        <f>IF(LEO7=0,0,IF(MAX($F9:LEN9)=$D12,0,LEN9+1))</f>
        <v>0</v>
      </c>
      <c r="LEP9" s="26">
        <f>IF(LEP7=0,0,IF(MAX($F9:LEO9)=$D12,0,LEO9+1))</f>
        <v>0</v>
      </c>
      <c r="LEQ9" s="26">
        <f>IF(LEQ7=0,0,IF(MAX($F9:LEP9)=$D12,0,LEP9+1))</f>
        <v>0</v>
      </c>
      <c r="LER9" s="26">
        <f>IF(LER7=0,0,IF(MAX($F9:LEQ9)=$D12,0,LEQ9+1))</f>
        <v>0</v>
      </c>
      <c r="LES9" s="26">
        <f>IF(LES7=0,0,IF(MAX($F9:LER9)=$D12,0,LER9+1))</f>
        <v>0</v>
      </c>
      <c r="LET9" s="26">
        <f>IF(LET7=0,0,IF(MAX($F9:LES9)=$D12,0,LES9+1))</f>
        <v>0</v>
      </c>
      <c r="LEU9" s="26">
        <f>IF(LEU7=0,0,IF(MAX($F9:LET9)=$D12,0,LET9+1))</f>
        <v>0</v>
      </c>
      <c r="LEV9" s="26">
        <f>IF(LEV7=0,0,IF(MAX($F9:LEU9)=$D12,0,LEU9+1))</f>
        <v>0</v>
      </c>
      <c r="LEW9" s="26">
        <f>IF(LEW7=0,0,IF(MAX($F9:LEV9)=$D12,0,LEV9+1))</f>
        <v>0</v>
      </c>
      <c r="LEX9" s="26">
        <f>IF(LEX7=0,0,IF(MAX($F9:LEW9)=$D12,0,LEW9+1))</f>
        <v>0</v>
      </c>
      <c r="LEY9" s="26">
        <f>IF(LEY7=0,0,IF(MAX($F9:LEX9)=$D12,0,LEX9+1))</f>
        <v>0</v>
      </c>
      <c r="LEZ9" s="26">
        <f>IF(LEZ7=0,0,IF(MAX($F9:LEY9)=$D12,0,LEY9+1))</f>
        <v>0</v>
      </c>
      <c r="LFA9" s="26">
        <f>IF(LFA7=0,0,IF(MAX($F9:LEZ9)=$D12,0,LEZ9+1))</f>
        <v>0</v>
      </c>
      <c r="LFB9" s="26">
        <f>IF(LFB7=0,0,IF(MAX($F9:LFA9)=$D12,0,LFA9+1))</f>
        <v>0</v>
      </c>
      <c r="LFC9" s="26">
        <f>IF(LFC7=0,0,IF(MAX($F9:LFB9)=$D12,0,LFB9+1))</f>
        <v>0</v>
      </c>
      <c r="LFD9" s="26">
        <f>IF(LFD7=0,0,IF(MAX($F9:LFC9)=$D12,0,LFC9+1))</f>
        <v>0</v>
      </c>
      <c r="LFE9" s="26">
        <f>IF(LFE7=0,0,IF(MAX($F9:LFD9)=$D12,0,LFD9+1))</f>
        <v>0</v>
      </c>
      <c r="LFF9" s="26">
        <f>IF(LFF7=0,0,IF(MAX($F9:LFE9)=$D12,0,LFE9+1))</f>
        <v>0</v>
      </c>
      <c r="LFG9" s="26">
        <f>IF(LFG7=0,0,IF(MAX($F9:LFF9)=$D12,0,LFF9+1))</f>
        <v>0</v>
      </c>
      <c r="LFH9" s="26">
        <f>IF(LFH7=0,0,IF(MAX($F9:LFG9)=$D12,0,LFG9+1))</f>
        <v>0</v>
      </c>
      <c r="LFI9" s="26">
        <f>IF(LFI7=0,0,IF(MAX($F9:LFH9)=$D12,0,LFH9+1))</f>
        <v>0</v>
      </c>
      <c r="LFJ9" s="26">
        <f>IF(LFJ7=0,0,IF(MAX($F9:LFI9)=$D12,0,LFI9+1))</f>
        <v>0</v>
      </c>
      <c r="LFK9" s="26">
        <f>IF(LFK7=0,0,IF(MAX($F9:LFJ9)=$D12,0,LFJ9+1))</f>
        <v>0</v>
      </c>
      <c r="LFL9" s="26">
        <f>IF(LFL7=0,0,IF(MAX($F9:LFK9)=$D12,0,LFK9+1))</f>
        <v>0</v>
      </c>
      <c r="LFM9" s="26">
        <f>IF(LFM7=0,0,IF(MAX($F9:LFL9)=$D12,0,LFL9+1))</f>
        <v>0</v>
      </c>
      <c r="LFN9" s="26">
        <f>IF(LFN7=0,0,IF(MAX($F9:LFM9)=$D12,0,LFM9+1))</f>
        <v>0</v>
      </c>
      <c r="LFO9" s="26">
        <f>IF(LFO7=0,0,IF(MAX($F9:LFN9)=$D12,0,LFN9+1))</f>
        <v>0</v>
      </c>
      <c r="LFP9" s="26">
        <f>IF(LFP7=0,0,IF(MAX($F9:LFO9)=$D12,0,LFO9+1))</f>
        <v>0</v>
      </c>
      <c r="LFQ9" s="26">
        <f>IF(LFQ7=0,0,IF(MAX($F9:LFP9)=$D12,0,LFP9+1))</f>
        <v>0</v>
      </c>
      <c r="LFR9" s="26">
        <f>IF(LFR7=0,0,IF(MAX($F9:LFQ9)=$D12,0,LFQ9+1))</f>
        <v>0</v>
      </c>
      <c r="LFS9" s="26">
        <f>IF(LFS7=0,0,IF(MAX($F9:LFR9)=$D12,0,LFR9+1))</f>
        <v>0</v>
      </c>
      <c r="LFT9" s="26">
        <f>IF(LFT7=0,0,IF(MAX($F9:LFS9)=$D12,0,LFS9+1))</f>
        <v>0</v>
      </c>
      <c r="LFU9" s="26">
        <f>IF(LFU7=0,0,IF(MAX($F9:LFT9)=$D12,0,LFT9+1))</f>
        <v>0</v>
      </c>
      <c r="LFV9" s="26">
        <f>IF(LFV7=0,0,IF(MAX($F9:LFU9)=$D12,0,LFU9+1))</f>
        <v>0</v>
      </c>
      <c r="LFW9" s="26">
        <f>IF(LFW7=0,0,IF(MAX($F9:LFV9)=$D12,0,LFV9+1))</f>
        <v>0</v>
      </c>
      <c r="LFX9" s="26">
        <f>IF(LFX7=0,0,IF(MAX($F9:LFW9)=$D12,0,LFW9+1))</f>
        <v>0</v>
      </c>
      <c r="LFY9" s="26">
        <f>IF(LFY7=0,0,IF(MAX($F9:LFX9)=$D12,0,LFX9+1))</f>
        <v>0</v>
      </c>
      <c r="LFZ9" s="26">
        <f>IF(LFZ7=0,0,IF(MAX($F9:LFY9)=$D12,0,LFY9+1))</f>
        <v>0</v>
      </c>
      <c r="LGA9" s="26">
        <f>IF(LGA7=0,0,IF(MAX($F9:LFZ9)=$D12,0,LFZ9+1))</f>
        <v>0</v>
      </c>
      <c r="LGB9" s="26">
        <f>IF(LGB7=0,0,IF(MAX($F9:LGA9)=$D12,0,LGA9+1))</f>
        <v>0</v>
      </c>
      <c r="LGC9" s="26">
        <f>IF(LGC7=0,0,IF(MAX($F9:LGB9)=$D12,0,LGB9+1))</f>
        <v>0</v>
      </c>
      <c r="LGD9" s="26">
        <f>IF(LGD7=0,0,IF(MAX($F9:LGC9)=$D12,0,LGC9+1))</f>
        <v>0</v>
      </c>
      <c r="LGE9" s="26">
        <f>IF(LGE7=0,0,IF(MAX($F9:LGD9)=$D12,0,LGD9+1))</f>
        <v>0</v>
      </c>
      <c r="LGF9" s="26">
        <f>IF(LGF7=0,0,IF(MAX($F9:LGE9)=$D12,0,LGE9+1))</f>
        <v>0</v>
      </c>
      <c r="LGG9" s="26">
        <f>IF(LGG7=0,0,IF(MAX($F9:LGF9)=$D12,0,LGF9+1))</f>
        <v>0</v>
      </c>
      <c r="LGH9" s="26">
        <f>IF(LGH7=0,0,IF(MAX($F9:LGG9)=$D12,0,LGG9+1))</f>
        <v>0</v>
      </c>
      <c r="LGI9" s="26">
        <f>IF(LGI7=0,0,IF(MAX($F9:LGH9)=$D12,0,LGH9+1))</f>
        <v>0</v>
      </c>
      <c r="LGJ9" s="26">
        <f>IF(LGJ7=0,0,IF(MAX($F9:LGI9)=$D12,0,LGI9+1))</f>
        <v>0</v>
      </c>
      <c r="LGK9" s="26">
        <f>IF(LGK7=0,0,IF(MAX($F9:LGJ9)=$D12,0,LGJ9+1))</f>
        <v>0</v>
      </c>
      <c r="LGL9" s="26">
        <f>IF(LGL7=0,0,IF(MAX($F9:LGK9)=$D12,0,LGK9+1))</f>
        <v>0</v>
      </c>
      <c r="LGM9" s="26">
        <f>IF(LGM7=0,0,IF(MAX($F9:LGL9)=$D12,0,LGL9+1))</f>
        <v>0</v>
      </c>
      <c r="LGN9" s="26">
        <f>IF(LGN7=0,0,IF(MAX($F9:LGM9)=$D12,0,LGM9+1))</f>
        <v>0</v>
      </c>
      <c r="LGO9" s="26">
        <f>IF(LGO7=0,0,IF(MAX($F9:LGN9)=$D12,0,LGN9+1))</f>
        <v>0</v>
      </c>
      <c r="LGP9" s="26">
        <f>IF(LGP7=0,0,IF(MAX($F9:LGO9)=$D12,0,LGO9+1))</f>
        <v>0</v>
      </c>
      <c r="LGQ9" s="26">
        <f>IF(LGQ7=0,0,IF(MAX($F9:LGP9)=$D12,0,LGP9+1))</f>
        <v>0</v>
      </c>
      <c r="LGR9" s="26">
        <f>IF(LGR7=0,0,IF(MAX($F9:LGQ9)=$D12,0,LGQ9+1))</f>
        <v>0</v>
      </c>
      <c r="LGS9" s="26">
        <f>IF(LGS7=0,0,IF(MAX($F9:LGR9)=$D12,0,LGR9+1))</f>
        <v>0</v>
      </c>
      <c r="LGT9" s="26">
        <f>IF(LGT7=0,0,IF(MAX($F9:LGS9)=$D12,0,LGS9+1))</f>
        <v>0</v>
      </c>
      <c r="LGU9" s="26">
        <f>IF(LGU7=0,0,IF(MAX($F9:LGT9)=$D12,0,LGT9+1))</f>
        <v>0</v>
      </c>
      <c r="LGV9" s="26">
        <f>IF(LGV7=0,0,IF(MAX($F9:LGU9)=$D12,0,LGU9+1))</f>
        <v>0</v>
      </c>
      <c r="LGW9" s="26">
        <f>IF(LGW7=0,0,IF(MAX($F9:LGV9)=$D12,0,LGV9+1))</f>
        <v>0</v>
      </c>
      <c r="LGX9" s="26">
        <f>IF(LGX7=0,0,IF(MAX($F9:LGW9)=$D12,0,LGW9+1))</f>
        <v>0</v>
      </c>
      <c r="LGY9" s="26">
        <f>IF(LGY7=0,0,IF(MAX($F9:LGX9)=$D12,0,LGX9+1))</f>
        <v>0</v>
      </c>
      <c r="LGZ9" s="26">
        <f>IF(LGZ7=0,0,IF(MAX($F9:LGY9)=$D12,0,LGY9+1))</f>
        <v>0</v>
      </c>
      <c r="LHA9" s="26">
        <f>IF(LHA7=0,0,IF(MAX($F9:LGZ9)=$D12,0,LGZ9+1))</f>
        <v>0</v>
      </c>
      <c r="LHB9" s="26">
        <f>IF(LHB7=0,0,IF(MAX($F9:LHA9)=$D12,0,LHA9+1))</f>
        <v>0</v>
      </c>
      <c r="LHC9" s="26">
        <f>IF(LHC7=0,0,IF(MAX($F9:LHB9)=$D12,0,LHB9+1))</f>
        <v>0</v>
      </c>
      <c r="LHD9" s="26">
        <f>IF(LHD7=0,0,IF(MAX($F9:LHC9)=$D12,0,LHC9+1))</f>
        <v>0</v>
      </c>
      <c r="LHE9" s="26">
        <f>IF(LHE7=0,0,IF(MAX($F9:LHD9)=$D12,0,LHD9+1))</f>
        <v>0</v>
      </c>
      <c r="LHF9" s="26">
        <f>IF(LHF7=0,0,IF(MAX($F9:LHE9)=$D12,0,LHE9+1))</f>
        <v>0</v>
      </c>
      <c r="LHG9" s="26">
        <f>IF(LHG7=0,0,IF(MAX($F9:LHF9)=$D12,0,LHF9+1))</f>
        <v>0</v>
      </c>
      <c r="LHH9" s="26">
        <f>IF(LHH7=0,0,IF(MAX($F9:LHG9)=$D12,0,LHG9+1))</f>
        <v>0</v>
      </c>
      <c r="LHI9" s="26">
        <f>IF(LHI7=0,0,IF(MAX($F9:LHH9)=$D12,0,LHH9+1))</f>
        <v>0</v>
      </c>
      <c r="LHJ9" s="26">
        <f>IF(LHJ7=0,0,IF(MAX($F9:LHI9)=$D12,0,LHI9+1))</f>
        <v>0</v>
      </c>
      <c r="LHK9" s="26">
        <f>IF(LHK7=0,0,IF(MAX($F9:LHJ9)=$D12,0,LHJ9+1))</f>
        <v>0</v>
      </c>
      <c r="LHL9" s="26">
        <f>IF(LHL7=0,0,IF(MAX($F9:LHK9)=$D12,0,LHK9+1))</f>
        <v>0</v>
      </c>
      <c r="LHM9" s="26">
        <f>IF(LHM7=0,0,IF(MAX($F9:LHL9)=$D12,0,LHL9+1))</f>
        <v>0</v>
      </c>
      <c r="LHN9" s="26">
        <f>IF(LHN7=0,0,IF(MAX($F9:LHM9)=$D12,0,LHM9+1))</f>
        <v>0</v>
      </c>
      <c r="LHO9" s="26">
        <f>IF(LHO7=0,0,IF(MAX($F9:LHN9)=$D12,0,LHN9+1))</f>
        <v>0</v>
      </c>
      <c r="LHP9" s="26">
        <f>IF(LHP7=0,0,IF(MAX($F9:LHO9)=$D12,0,LHO9+1))</f>
        <v>0</v>
      </c>
      <c r="LHQ9" s="26">
        <f>IF(LHQ7=0,0,IF(MAX($F9:LHP9)=$D12,0,LHP9+1))</f>
        <v>0</v>
      </c>
      <c r="LHR9" s="26">
        <f>IF(LHR7=0,0,IF(MAX($F9:LHQ9)=$D12,0,LHQ9+1))</f>
        <v>0</v>
      </c>
      <c r="LHS9" s="26">
        <f>IF(LHS7=0,0,IF(MAX($F9:LHR9)=$D12,0,LHR9+1))</f>
        <v>0</v>
      </c>
      <c r="LHT9" s="26">
        <f>IF(LHT7=0,0,IF(MAX($F9:LHS9)=$D12,0,LHS9+1))</f>
        <v>0</v>
      </c>
      <c r="LHU9" s="26">
        <f>IF(LHU7=0,0,IF(MAX($F9:LHT9)=$D12,0,LHT9+1))</f>
        <v>0</v>
      </c>
      <c r="LHV9" s="26">
        <f>IF(LHV7=0,0,IF(MAX($F9:LHU9)=$D12,0,LHU9+1))</f>
        <v>0</v>
      </c>
      <c r="LHW9" s="26">
        <f>IF(LHW7=0,0,IF(MAX($F9:LHV9)=$D12,0,LHV9+1))</f>
        <v>0</v>
      </c>
      <c r="LHX9" s="26">
        <f>IF(LHX7=0,0,IF(MAX($F9:LHW9)=$D12,0,LHW9+1))</f>
        <v>0</v>
      </c>
      <c r="LHY9" s="26">
        <f>IF(LHY7=0,0,IF(MAX($F9:LHX9)=$D12,0,LHX9+1))</f>
        <v>0</v>
      </c>
      <c r="LHZ9" s="26">
        <f>IF(LHZ7=0,0,IF(MAX($F9:LHY9)=$D12,0,LHY9+1))</f>
        <v>0</v>
      </c>
      <c r="LIA9" s="26">
        <f>IF(LIA7=0,0,IF(MAX($F9:LHZ9)=$D12,0,LHZ9+1))</f>
        <v>0</v>
      </c>
      <c r="LIB9" s="26">
        <f>IF(LIB7=0,0,IF(MAX($F9:LIA9)=$D12,0,LIA9+1))</f>
        <v>0</v>
      </c>
      <c r="LIC9" s="26">
        <f>IF(LIC7=0,0,IF(MAX($F9:LIB9)=$D12,0,LIB9+1))</f>
        <v>0</v>
      </c>
      <c r="LID9" s="26">
        <f>IF(LID7=0,0,IF(MAX($F9:LIC9)=$D12,0,LIC9+1))</f>
        <v>0</v>
      </c>
      <c r="LIE9" s="26">
        <f>IF(LIE7=0,0,IF(MAX($F9:LID9)=$D12,0,LID9+1))</f>
        <v>0</v>
      </c>
      <c r="LIF9" s="26">
        <f>IF(LIF7=0,0,IF(MAX($F9:LIE9)=$D12,0,LIE9+1))</f>
        <v>0</v>
      </c>
      <c r="LIG9" s="26">
        <f>IF(LIG7=0,0,IF(MAX($F9:LIF9)=$D12,0,LIF9+1))</f>
        <v>0</v>
      </c>
      <c r="LIH9" s="26">
        <f>IF(LIH7=0,0,IF(MAX($F9:LIG9)=$D12,0,LIG9+1))</f>
        <v>0</v>
      </c>
      <c r="LII9" s="26">
        <f>IF(LII7=0,0,IF(MAX($F9:LIH9)=$D12,0,LIH9+1))</f>
        <v>0</v>
      </c>
      <c r="LIJ9" s="26">
        <f>IF(LIJ7=0,0,IF(MAX($F9:LII9)=$D12,0,LII9+1))</f>
        <v>0</v>
      </c>
      <c r="LIK9" s="26">
        <f>IF(LIK7=0,0,IF(MAX($F9:LIJ9)=$D12,0,LIJ9+1))</f>
        <v>0</v>
      </c>
      <c r="LIL9" s="26">
        <f>IF(LIL7=0,0,IF(MAX($F9:LIK9)=$D12,0,LIK9+1))</f>
        <v>0</v>
      </c>
      <c r="LIM9" s="26">
        <f>IF(LIM7=0,0,IF(MAX($F9:LIL9)=$D12,0,LIL9+1))</f>
        <v>0</v>
      </c>
      <c r="LIN9" s="26">
        <f>IF(LIN7=0,0,IF(MAX($F9:LIM9)=$D12,0,LIM9+1))</f>
        <v>0</v>
      </c>
      <c r="LIO9" s="26">
        <f>IF(LIO7=0,0,IF(MAX($F9:LIN9)=$D12,0,LIN9+1))</f>
        <v>0</v>
      </c>
      <c r="LIP9" s="26">
        <f>IF(LIP7=0,0,IF(MAX($F9:LIO9)=$D12,0,LIO9+1))</f>
        <v>0</v>
      </c>
      <c r="LIQ9" s="26">
        <f>IF(LIQ7=0,0,IF(MAX($F9:LIP9)=$D12,0,LIP9+1))</f>
        <v>0</v>
      </c>
      <c r="LIR9" s="26">
        <f>IF(LIR7=0,0,IF(MAX($F9:LIQ9)=$D12,0,LIQ9+1))</f>
        <v>0</v>
      </c>
      <c r="LIS9" s="26">
        <f>IF(LIS7=0,0,IF(MAX($F9:LIR9)=$D12,0,LIR9+1))</f>
        <v>0</v>
      </c>
      <c r="LIT9" s="26">
        <f>IF(LIT7=0,0,IF(MAX($F9:LIS9)=$D12,0,LIS9+1))</f>
        <v>0</v>
      </c>
      <c r="LIU9" s="26">
        <f>IF(LIU7=0,0,IF(MAX($F9:LIT9)=$D12,0,LIT9+1))</f>
        <v>0</v>
      </c>
      <c r="LIV9" s="26">
        <f>IF(LIV7=0,0,IF(MAX($F9:LIU9)=$D12,0,LIU9+1))</f>
        <v>0</v>
      </c>
      <c r="LIW9" s="26">
        <f>IF(LIW7=0,0,IF(MAX($F9:LIV9)=$D12,0,LIV9+1))</f>
        <v>0</v>
      </c>
      <c r="LIX9" s="26">
        <f>IF(LIX7=0,0,IF(MAX($F9:LIW9)=$D12,0,LIW9+1))</f>
        <v>0</v>
      </c>
      <c r="LIY9" s="26">
        <f>IF(LIY7=0,0,IF(MAX($F9:LIX9)=$D12,0,LIX9+1))</f>
        <v>0</v>
      </c>
      <c r="LIZ9" s="26">
        <f>IF(LIZ7=0,0,IF(MAX($F9:LIY9)=$D12,0,LIY9+1))</f>
        <v>0</v>
      </c>
      <c r="LJA9" s="26">
        <f>IF(LJA7=0,0,IF(MAX($F9:LIZ9)=$D12,0,LIZ9+1))</f>
        <v>0</v>
      </c>
      <c r="LJB9" s="26">
        <f>IF(LJB7=0,0,IF(MAX($F9:LJA9)=$D12,0,LJA9+1))</f>
        <v>0</v>
      </c>
      <c r="LJC9" s="26">
        <f>IF(LJC7=0,0,IF(MAX($F9:LJB9)=$D12,0,LJB9+1))</f>
        <v>0</v>
      </c>
      <c r="LJD9" s="26">
        <f>IF(LJD7=0,0,IF(MAX($F9:LJC9)=$D12,0,LJC9+1))</f>
        <v>0</v>
      </c>
      <c r="LJE9" s="26">
        <f>IF(LJE7=0,0,IF(MAX($F9:LJD9)=$D12,0,LJD9+1))</f>
        <v>0</v>
      </c>
      <c r="LJF9" s="26">
        <f>IF(LJF7=0,0,IF(MAX($F9:LJE9)=$D12,0,LJE9+1))</f>
        <v>0</v>
      </c>
      <c r="LJG9" s="26">
        <f>IF(LJG7=0,0,IF(MAX($F9:LJF9)=$D12,0,LJF9+1))</f>
        <v>0</v>
      </c>
      <c r="LJH9" s="26">
        <f>IF(LJH7=0,0,IF(MAX($F9:LJG9)=$D12,0,LJG9+1))</f>
        <v>0</v>
      </c>
      <c r="LJI9" s="26">
        <f>IF(LJI7=0,0,IF(MAX($F9:LJH9)=$D12,0,LJH9+1))</f>
        <v>0</v>
      </c>
      <c r="LJJ9" s="26">
        <f>IF(LJJ7=0,0,IF(MAX($F9:LJI9)=$D12,0,LJI9+1))</f>
        <v>0</v>
      </c>
      <c r="LJK9" s="26">
        <f>IF(LJK7=0,0,IF(MAX($F9:LJJ9)=$D12,0,LJJ9+1))</f>
        <v>0</v>
      </c>
      <c r="LJL9" s="26">
        <f>IF(LJL7=0,0,IF(MAX($F9:LJK9)=$D12,0,LJK9+1))</f>
        <v>0</v>
      </c>
      <c r="LJM9" s="26">
        <f>IF(LJM7=0,0,IF(MAX($F9:LJL9)=$D12,0,LJL9+1))</f>
        <v>0</v>
      </c>
      <c r="LJN9" s="26">
        <f>IF(LJN7=0,0,IF(MAX($F9:LJM9)=$D12,0,LJM9+1))</f>
        <v>0</v>
      </c>
      <c r="LJO9" s="26">
        <f>IF(LJO7=0,0,IF(MAX($F9:LJN9)=$D12,0,LJN9+1))</f>
        <v>0</v>
      </c>
      <c r="LJP9" s="26">
        <f>IF(LJP7=0,0,IF(MAX($F9:LJO9)=$D12,0,LJO9+1))</f>
        <v>0</v>
      </c>
      <c r="LJQ9" s="26">
        <f>IF(LJQ7=0,0,IF(MAX($F9:LJP9)=$D12,0,LJP9+1))</f>
        <v>0</v>
      </c>
      <c r="LJR9" s="26">
        <f>IF(LJR7=0,0,IF(MAX($F9:LJQ9)=$D12,0,LJQ9+1))</f>
        <v>0</v>
      </c>
      <c r="LJS9" s="26">
        <f>IF(LJS7=0,0,IF(MAX($F9:LJR9)=$D12,0,LJR9+1))</f>
        <v>0</v>
      </c>
      <c r="LJT9" s="26">
        <f>IF(LJT7=0,0,IF(MAX($F9:LJS9)=$D12,0,LJS9+1))</f>
        <v>0</v>
      </c>
      <c r="LJU9" s="26">
        <f>IF(LJU7=0,0,IF(MAX($F9:LJT9)=$D12,0,LJT9+1))</f>
        <v>0</v>
      </c>
      <c r="LJV9" s="26">
        <f>IF(LJV7=0,0,IF(MAX($F9:LJU9)=$D12,0,LJU9+1))</f>
        <v>0</v>
      </c>
      <c r="LJW9" s="26">
        <f>IF(LJW7=0,0,IF(MAX($F9:LJV9)=$D12,0,LJV9+1))</f>
        <v>0</v>
      </c>
      <c r="LJX9" s="26">
        <f>IF(LJX7=0,0,IF(MAX($F9:LJW9)=$D12,0,LJW9+1))</f>
        <v>0</v>
      </c>
      <c r="LJY9" s="26">
        <f>IF(LJY7=0,0,IF(MAX($F9:LJX9)=$D12,0,LJX9+1))</f>
        <v>0</v>
      </c>
      <c r="LJZ9" s="26">
        <f>IF(LJZ7=0,0,IF(MAX($F9:LJY9)=$D12,0,LJY9+1))</f>
        <v>0</v>
      </c>
      <c r="LKA9" s="26">
        <f>IF(LKA7=0,0,IF(MAX($F9:LJZ9)=$D12,0,LJZ9+1))</f>
        <v>0</v>
      </c>
      <c r="LKB9" s="26">
        <f>IF(LKB7=0,0,IF(MAX($F9:LKA9)=$D12,0,LKA9+1))</f>
        <v>0</v>
      </c>
      <c r="LKC9" s="26">
        <f>IF(LKC7=0,0,IF(MAX($F9:LKB9)=$D12,0,LKB9+1))</f>
        <v>0</v>
      </c>
      <c r="LKD9" s="26">
        <f>IF(LKD7=0,0,IF(MAX($F9:LKC9)=$D12,0,LKC9+1))</f>
        <v>0</v>
      </c>
      <c r="LKE9" s="26">
        <f>IF(LKE7=0,0,IF(MAX($F9:LKD9)=$D12,0,LKD9+1))</f>
        <v>0</v>
      </c>
      <c r="LKF9" s="26">
        <f>IF(LKF7=0,0,IF(MAX($F9:LKE9)=$D12,0,LKE9+1))</f>
        <v>0</v>
      </c>
      <c r="LKG9" s="26">
        <f>IF(LKG7=0,0,IF(MAX($F9:LKF9)=$D12,0,LKF9+1))</f>
        <v>0</v>
      </c>
      <c r="LKH9" s="26">
        <f>IF(LKH7=0,0,IF(MAX($F9:LKG9)=$D12,0,LKG9+1))</f>
        <v>0</v>
      </c>
      <c r="LKI9" s="26">
        <f>IF(LKI7=0,0,IF(MAX($F9:LKH9)=$D12,0,LKH9+1))</f>
        <v>0</v>
      </c>
      <c r="LKJ9" s="26">
        <f>IF(LKJ7=0,0,IF(MAX($F9:LKI9)=$D12,0,LKI9+1))</f>
        <v>0</v>
      </c>
      <c r="LKK9" s="26">
        <f>IF(LKK7=0,0,IF(MAX($F9:LKJ9)=$D12,0,LKJ9+1))</f>
        <v>0</v>
      </c>
      <c r="LKL9" s="26">
        <f>IF(LKL7=0,0,IF(MAX($F9:LKK9)=$D12,0,LKK9+1))</f>
        <v>0</v>
      </c>
      <c r="LKM9" s="26">
        <f>IF(LKM7=0,0,IF(MAX($F9:LKL9)=$D12,0,LKL9+1))</f>
        <v>0</v>
      </c>
      <c r="LKN9" s="26">
        <f>IF(LKN7=0,0,IF(MAX($F9:LKM9)=$D12,0,LKM9+1))</f>
        <v>0</v>
      </c>
      <c r="LKO9" s="26">
        <f>IF(LKO7=0,0,IF(MAX($F9:LKN9)=$D12,0,LKN9+1))</f>
        <v>0</v>
      </c>
      <c r="LKP9" s="26">
        <f>IF(LKP7=0,0,IF(MAX($F9:LKO9)=$D12,0,LKO9+1))</f>
        <v>0</v>
      </c>
      <c r="LKQ9" s="26">
        <f>IF(LKQ7=0,0,IF(MAX($F9:LKP9)=$D12,0,LKP9+1))</f>
        <v>0</v>
      </c>
      <c r="LKR9" s="26">
        <f>IF(LKR7=0,0,IF(MAX($F9:LKQ9)=$D12,0,LKQ9+1))</f>
        <v>0</v>
      </c>
      <c r="LKS9" s="26">
        <f>IF(LKS7=0,0,IF(MAX($F9:LKR9)=$D12,0,LKR9+1))</f>
        <v>0</v>
      </c>
      <c r="LKT9" s="26">
        <f>IF(LKT7=0,0,IF(MAX($F9:LKS9)=$D12,0,LKS9+1))</f>
        <v>0</v>
      </c>
      <c r="LKU9" s="26">
        <f>IF(LKU7=0,0,IF(MAX($F9:LKT9)=$D12,0,LKT9+1))</f>
        <v>0</v>
      </c>
      <c r="LKV9" s="26">
        <f>IF(LKV7=0,0,IF(MAX($F9:LKU9)=$D12,0,LKU9+1))</f>
        <v>0</v>
      </c>
      <c r="LKW9" s="26">
        <f>IF(LKW7=0,0,IF(MAX($F9:LKV9)=$D12,0,LKV9+1))</f>
        <v>0</v>
      </c>
      <c r="LKX9" s="26">
        <f>IF(LKX7=0,0,IF(MAX($F9:LKW9)=$D12,0,LKW9+1))</f>
        <v>0</v>
      </c>
      <c r="LKY9" s="26">
        <f>IF(LKY7=0,0,IF(MAX($F9:LKX9)=$D12,0,LKX9+1))</f>
        <v>0</v>
      </c>
      <c r="LKZ9" s="26">
        <f>IF(LKZ7=0,0,IF(MAX($F9:LKY9)=$D12,0,LKY9+1))</f>
        <v>0</v>
      </c>
      <c r="LLA9" s="26">
        <f>IF(LLA7=0,0,IF(MAX($F9:LKZ9)=$D12,0,LKZ9+1))</f>
        <v>0</v>
      </c>
      <c r="LLB9" s="26">
        <f>IF(LLB7=0,0,IF(MAX($F9:LLA9)=$D12,0,LLA9+1))</f>
        <v>0</v>
      </c>
      <c r="LLC9" s="26">
        <f>IF(LLC7=0,0,IF(MAX($F9:LLB9)=$D12,0,LLB9+1))</f>
        <v>0</v>
      </c>
      <c r="LLD9" s="26">
        <f>IF(LLD7=0,0,IF(MAX($F9:LLC9)=$D12,0,LLC9+1))</f>
        <v>0</v>
      </c>
      <c r="LLE9" s="26">
        <f>IF(LLE7=0,0,IF(MAX($F9:LLD9)=$D12,0,LLD9+1))</f>
        <v>0</v>
      </c>
      <c r="LLF9" s="26">
        <f>IF(LLF7=0,0,IF(MAX($F9:LLE9)=$D12,0,LLE9+1))</f>
        <v>0</v>
      </c>
      <c r="LLG9" s="26">
        <f>IF(LLG7=0,0,IF(MAX($F9:LLF9)=$D12,0,LLF9+1))</f>
        <v>0</v>
      </c>
      <c r="LLH9" s="26">
        <f>IF(LLH7=0,0,IF(MAX($F9:LLG9)=$D12,0,LLG9+1))</f>
        <v>0</v>
      </c>
      <c r="LLI9" s="26">
        <f>IF(LLI7=0,0,IF(MAX($F9:LLH9)=$D12,0,LLH9+1))</f>
        <v>0</v>
      </c>
      <c r="LLJ9" s="26">
        <f>IF(LLJ7=0,0,IF(MAX($F9:LLI9)=$D12,0,LLI9+1))</f>
        <v>0</v>
      </c>
      <c r="LLK9" s="26">
        <f>IF(LLK7=0,0,IF(MAX($F9:LLJ9)=$D12,0,LLJ9+1))</f>
        <v>0</v>
      </c>
      <c r="LLL9" s="26">
        <f>IF(LLL7=0,0,IF(MAX($F9:LLK9)=$D12,0,LLK9+1))</f>
        <v>0</v>
      </c>
      <c r="LLM9" s="26">
        <f>IF(LLM7=0,0,IF(MAX($F9:LLL9)=$D12,0,LLL9+1))</f>
        <v>0</v>
      </c>
      <c r="LLN9" s="26">
        <f>IF(LLN7=0,0,IF(MAX($F9:LLM9)=$D12,0,LLM9+1))</f>
        <v>0</v>
      </c>
      <c r="LLO9" s="26">
        <f>IF(LLO7=0,0,IF(MAX($F9:LLN9)=$D12,0,LLN9+1))</f>
        <v>0</v>
      </c>
      <c r="LLP9" s="26">
        <f>IF(LLP7=0,0,IF(MAX($F9:LLO9)=$D12,0,LLO9+1))</f>
        <v>0</v>
      </c>
      <c r="LLQ9" s="26">
        <f>IF(LLQ7=0,0,IF(MAX($F9:LLP9)=$D12,0,LLP9+1))</f>
        <v>0</v>
      </c>
      <c r="LLR9" s="26">
        <f>IF(LLR7=0,0,IF(MAX($F9:LLQ9)=$D12,0,LLQ9+1))</f>
        <v>0</v>
      </c>
      <c r="LLS9" s="26">
        <f>IF(LLS7=0,0,IF(MAX($F9:LLR9)=$D12,0,LLR9+1))</f>
        <v>0</v>
      </c>
      <c r="LLT9" s="26">
        <f>IF(LLT7=0,0,IF(MAX($F9:LLS9)=$D12,0,LLS9+1))</f>
        <v>0</v>
      </c>
      <c r="LLU9" s="26">
        <f>IF(LLU7=0,0,IF(MAX($F9:LLT9)=$D12,0,LLT9+1))</f>
        <v>0</v>
      </c>
      <c r="LLV9" s="26">
        <f>IF(LLV7=0,0,IF(MAX($F9:LLU9)=$D12,0,LLU9+1))</f>
        <v>0</v>
      </c>
      <c r="LLW9" s="26">
        <f>IF(LLW7=0,0,IF(MAX($F9:LLV9)=$D12,0,LLV9+1))</f>
        <v>0</v>
      </c>
      <c r="LLX9" s="26">
        <f>IF(LLX7=0,0,IF(MAX($F9:LLW9)=$D12,0,LLW9+1))</f>
        <v>0</v>
      </c>
      <c r="LLY9" s="26">
        <f>IF(LLY7=0,0,IF(MAX($F9:LLX9)=$D12,0,LLX9+1))</f>
        <v>0</v>
      </c>
      <c r="LLZ9" s="26">
        <f>IF(LLZ7=0,0,IF(MAX($F9:LLY9)=$D12,0,LLY9+1))</f>
        <v>0</v>
      </c>
      <c r="LMA9" s="26">
        <f>IF(LMA7=0,0,IF(MAX($F9:LLZ9)=$D12,0,LLZ9+1))</f>
        <v>0</v>
      </c>
      <c r="LMB9" s="26">
        <f>IF(LMB7=0,0,IF(MAX($F9:LMA9)=$D12,0,LMA9+1))</f>
        <v>0</v>
      </c>
      <c r="LMC9" s="26">
        <f>IF(LMC7=0,0,IF(MAX($F9:LMB9)=$D12,0,LMB9+1))</f>
        <v>0</v>
      </c>
      <c r="LMD9" s="26">
        <f>IF(LMD7=0,0,IF(MAX($F9:LMC9)=$D12,0,LMC9+1))</f>
        <v>0</v>
      </c>
      <c r="LME9" s="26">
        <f>IF(LME7=0,0,IF(MAX($F9:LMD9)=$D12,0,LMD9+1))</f>
        <v>0</v>
      </c>
      <c r="LMF9" s="26">
        <f>IF(LMF7=0,0,IF(MAX($F9:LME9)=$D12,0,LME9+1))</f>
        <v>0</v>
      </c>
      <c r="LMG9" s="26">
        <f>IF(LMG7=0,0,IF(MAX($F9:LMF9)=$D12,0,LMF9+1))</f>
        <v>0</v>
      </c>
      <c r="LMH9" s="26">
        <f>IF(LMH7=0,0,IF(MAX($F9:LMG9)=$D12,0,LMG9+1))</f>
        <v>0</v>
      </c>
      <c r="LMI9" s="26">
        <f>IF(LMI7=0,0,IF(MAX($F9:LMH9)=$D12,0,LMH9+1))</f>
        <v>0</v>
      </c>
      <c r="LMJ9" s="26">
        <f>IF(LMJ7=0,0,IF(MAX($F9:LMI9)=$D12,0,LMI9+1))</f>
        <v>0</v>
      </c>
      <c r="LMK9" s="26">
        <f>IF(LMK7=0,0,IF(MAX($F9:LMJ9)=$D12,0,LMJ9+1))</f>
        <v>0</v>
      </c>
      <c r="LML9" s="26">
        <f>IF(LML7=0,0,IF(MAX($F9:LMK9)=$D12,0,LMK9+1))</f>
        <v>0</v>
      </c>
      <c r="LMM9" s="26">
        <f>IF(LMM7=0,0,IF(MAX($F9:LML9)=$D12,0,LML9+1))</f>
        <v>0</v>
      </c>
      <c r="LMN9" s="26">
        <f>IF(LMN7=0,0,IF(MAX($F9:LMM9)=$D12,0,LMM9+1))</f>
        <v>0</v>
      </c>
      <c r="LMO9" s="26">
        <f>IF(LMO7=0,0,IF(MAX($F9:LMN9)=$D12,0,LMN9+1))</f>
        <v>0</v>
      </c>
      <c r="LMP9" s="26">
        <f>IF(LMP7=0,0,IF(MAX($F9:LMO9)=$D12,0,LMO9+1))</f>
        <v>0</v>
      </c>
      <c r="LMQ9" s="26">
        <f>IF(LMQ7=0,0,IF(MAX($F9:LMP9)=$D12,0,LMP9+1))</f>
        <v>0</v>
      </c>
      <c r="LMR9" s="26">
        <f>IF(LMR7=0,0,IF(MAX($F9:LMQ9)=$D12,0,LMQ9+1))</f>
        <v>0</v>
      </c>
      <c r="LMS9" s="26">
        <f>IF(LMS7=0,0,IF(MAX($F9:LMR9)=$D12,0,LMR9+1))</f>
        <v>0</v>
      </c>
      <c r="LMT9" s="26">
        <f>IF(LMT7=0,0,IF(MAX($F9:LMS9)=$D12,0,LMS9+1))</f>
        <v>0</v>
      </c>
      <c r="LMU9" s="26">
        <f>IF(LMU7=0,0,IF(MAX($F9:LMT9)=$D12,0,LMT9+1))</f>
        <v>0</v>
      </c>
      <c r="LMV9" s="26">
        <f>IF(LMV7=0,0,IF(MAX($F9:LMU9)=$D12,0,LMU9+1))</f>
        <v>0</v>
      </c>
      <c r="LMW9" s="26">
        <f>IF(LMW7=0,0,IF(MAX($F9:LMV9)=$D12,0,LMV9+1))</f>
        <v>0</v>
      </c>
      <c r="LMX9" s="26">
        <f>IF(LMX7=0,0,IF(MAX($F9:LMW9)=$D12,0,LMW9+1))</f>
        <v>0</v>
      </c>
      <c r="LMY9" s="26">
        <f>IF(LMY7=0,0,IF(MAX($F9:LMX9)=$D12,0,LMX9+1))</f>
        <v>0</v>
      </c>
      <c r="LMZ9" s="26">
        <f>IF(LMZ7=0,0,IF(MAX($F9:LMY9)=$D12,0,LMY9+1))</f>
        <v>0</v>
      </c>
      <c r="LNA9" s="26">
        <f>IF(LNA7=0,0,IF(MAX($F9:LMZ9)=$D12,0,LMZ9+1))</f>
        <v>0</v>
      </c>
      <c r="LNB9" s="26">
        <f>IF(LNB7=0,0,IF(MAX($F9:LNA9)=$D12,0,LNA9+1))</f>
        <v>0</v>
      </c>
      <c r="LNC9" s="26">
        <f>IF(LNC7=0,0,IF(MAX($F9:LNB9)=$D12,0,LNB9+1))</f>
        <v>0</v>
      </c>
      <c r="LND9" s="26">
        <f>IF(LND7=0,0,IF(MAX($F9:LNC9)=$D12,0,LNC9+1))</f>
        <v>0</v>
      </c>
      <c r="LNE9" s="26">
        <f>IF(LNE7=0,0,IF(MAX($F9:LND9)=$D12,0,LND9+1))</f>
        <v>0</v>
      </c>
      <c r="LNF9" s="26">
        <f>IF(LNF7=0,0,IF(MAX($F9:LNE9)=$D12,0,LNE9+1))</f>
        <v>0</v>
      </c>
      <c r="LNG9" s="26">
        <f>IF(LNG7=0,0,IF(MAX($F9:LNF9)=$D12,0,LNF9+1))</f>
        <v>0</v>
      </c>
      <c r="LNH9" s="26">
        <f>IF(LNH7=0,0,IF(MAX($F9:LNG9)=$D12,0,LNG9+1))</f>
        <v>0</v>
      </c>
      <c r="LNI9" s="26">
        <f>IF(LNI7=0,0,IF(MAX($F9:LNH9)=$D12,0,LNH9+1))</f>
        <v>0</v>
      </c>
      <c r="LNJ9" s="26">
        <f>IF(LNJ7=0,0,IF(MAX($F9:LNI9)=$D12,0,LNI9+1))</f>
        <v>0</v>
      </c>
      <c r="LNK9" s="26">
        <f>IF(LNK7=0,0,IF(MAX($F9:LNJ9)=$D12,0,LNJ9+1))</f>
        <v>0</v>
      </c>
      <c r="LNL9" s="26">
        <f>IF(LNL7=0,0,IF(MAX($F9:LNK9)=$D12,0,LNK9+1))</f>
        <v>0</v>
      </c>
      <c r="LNM9" s="26">
        <f>IF(LNM7=0,0,IF(MAX($F9:LNL9)=$D12,0,LNL9+1))</f>
        <v>0</v>
      </c>
      <c r="LNN9" s="26">
        <f>IF(LNN7=0,0,IF(MAX($F9:LNM9)=$D12,0,LNM9+1))</f>
        <v>0</v>
      </c>
      <c r="LNO9" s="26">
        <f>IF(LNO7=0,0,IF(MAX($F9:LNN9)=$D12,0,LNN9+1))</f>
        <v>0</v>
      </c>
      <c r="LNP9" s="26">
        <f>IF(LNP7=0,0,IF(MAX($F9:LNO9)=$D12,0,LNO9+1))</f>
        <v>0</v>
      </c>
      <c r="LNQ9" s="26">
        <f>IF(LNQ7=0,0,IF(MAX($F9:LNP9)=$D12,0,LNP9+1))</f>
        <v>0</v>
      </c>
      <c r="LNR9" s="26">
        <f>IF(LNR7=0,0,IF(MAX($F9:LNQ9)=$D12,0,LNQ9+1))</f>
        <v>0</v>
      </c>
      <c r="LNS9" s="26">
        <f>IF(LNS7=0,0,IF(MAX($F9:LNR9)=$D12,0,LNR9+1))</f>
        <v>0</v>
      </c>
      <c r="LNT9" s="26">
        <f>IF(LNT7=0,0,IF(MAX($F9:LNS9)=$D12,0,LNS9+1))</f>
        <v>0</v>
      </c>
      <c r="LNU9" s="26">
        <f>IF(LNU7=0,0,IF(MAX($F9:LNT9)=$D12,0,LNT9+1))</f>
        <v>0</v>
      </c>
      <c r="LNV9" s="26">
        <f>IF(LNV7=0,0,IF(MAX($F9:LNU9)=$D12,0,LNU9+1))</f>
        <v>0</v>
      </c>
      <c r="LNW9" s="26">
        <f>IF(LNW7=0,0,IF(MAX($F9:LNV9)=$D12,0,LNV9+1))</f>
        <v>0</v>
      </c>
      <c r="LNX9" s="26">
        <f>IF(LNX7=0,0,IF(MAX($F9:LNW9)=$D12,0,LNW9+1))</f>
        <v>0</v>
      </c>
      <c r="LNY9" s="26">
        <f>IF(LNY7=0,0,IF(MAX($F9:LNX9)=$D12,0,LNX9+1))</f>
        <v>0</v>
      </c>
      <c r="LNZ9" s="26">
        <f>IF(LNZ7=0,0,IF(MAX($F9:LNY9)=$D12,0,LNY9+1))</f>
        <v>0</v>
      </c>
      <c r="LOA9" s="26">
        <f>IF(LOA7=0,0,IF(MAX($F9:LNZ9)=$D12,0,LNZ9+1))</f>
        <v>0</v>
      </c>
      <c r="LOB9" s="26">
        <f>IF(LOB7=0,0,IF(MAX($F9:LOA9)=$D12,0,LOA9+1))</f>
        <v>0</v>
      </c>
      <c r="LOC9" s="26">
        <f>IF(LOC7=0,0,IF(MAX($F9:LOB9)=$D12,0,LOB9+1))</f>
        <v>0</v>
      </c>
      <c r="LOD9" s="26">
        <f>IF(LOD7=0,0,IF(MAX($F9:LOC9)=$D12,0,LOC9+1))</f>
        <v>0</v>
      </c>
      <c r="LOE9" s="26">
        <f>IF(LOE7=0,0,IF(MAX($F9:LOD9)=$D12,0,LOD9+1))</f>
        <v>0</v>
      </c>
      <c r="LOF9" s="26">
        <f>IF(LOF7=0,0,IF(MAX($F9:LOE9)=$D12,0,LOE9+1))</f>
        <v>0</v>
      </c>
      <c r="LOG9" s="26">
        <f>IF(LOG7=0,0,IF(MAX($F9:LOF9)=$D12,0,LOF9+1))</f>
        <v>0</v>
      </c>
      <c r="LOH9" s="26">
        <f>IF(LOH7=0,0,IF(MAX($F9:LOG9)=$D12,0,LOG9+1))</f>
        <v>0</v>
      </c>
      <c r="LOI9" s="26">
        <f>IF(LOI7=0,0,IF(MAX($F9:LOH9)=$D12,0,LOH9+1))</f>
        <v>0</v>
      </c>
      <c r="LOJ9" s="26">
        <f>IF(LOJ7=0,0,IF(MAX($F9:LOI9)=$D12,0,LOI9+1))</f>
        <v>0</v>
      </c>
      <c r="LOK9" s="26">
        <f>IF(LOK7=0,0,IF(MAX($F9:LOJ9)=$D12,0,LOJ9+1))</f>
        <v>0</v>
      </c>
      <c r="LOL9" s="26">
        <f>IF(LOL7=0,0,IF(MAX($F9:LOK9)=$D12,0,LOK9+1))</f>
        <v>0</v>
      </c>
      <c r="LOM9" s="26">
        <f>IF(LOM7=0,0,IF(MAX($F9:LOL9)=$D12,0,LOL9+1))</f>
        <v>0</v>
      </c>
      <c r="LON9" s="26">
        <f>IF(LON7=0,0,IF(MAX($F9:LOM9)=$D12,0,LOM9+1))</f>
        <v>0</v>
      </c>
      <c r="LOO9" s="26">
        <f>IF(LOO7=0,0,IF(MAX($F9:LON9)=$D12,0,LON9+1))</f>
        <v>0</v>
      </c>
      <c r="LOP9" s="26">
        <f>IF(LOP7=0,0,IF(MAX($F9:LOO9)=$D12,0,LOO9+1))</f>
        <v>0</v>
      </c>
      <c r="LOQ9" s="26">
        <f>IF(LOQ7=0,0,IF(MAX($F9:LOP9)=$D12,0,LOP9+1))</f>
        <v>0</v>
      </c>
      <c r="LOR9" s="26">
        <f>IF(LOR7=0,0,IF(MAX($F9:LOQ9)=$D12,0,LOQ9+1))</f>
        <v>0</v>
      </c>
      <c r="LOS9" s="26">
        <f>IF(LOS7=0,0,IF(MAX($F9:LOR9)=$D12,0,LOR9+1))</f>
        <v>0</v>
      </c>
      <c r="LOT9" s="26">
        <f>IF(LOT7=0,0,IF(MAX($F9:LOS9)=$D12,0,LOS9+1))</f>
        <v>0</v>
      </c>
      <c r="LOU9" s="26">
        <f>IF(LOU7=0,0,IF(MAX($F9:LOT9)=$D12,0,LOT9+1))</f>
        <v>0</v>
      </c>
      <c r="LOV9" s="26">
        <f>IF(LOV7=0,0,IF(MAX($F9:LOU9)=$D12,0,LOU9+1))</f>
        <v>0</v>
      </c>
      <c r="LOW9" s="26">
        <f>IF(LOW7=0,0,IF(MAX($F9:LOV9)=$D12,0,LOV9+1))</f>
        <v>0</v>
      </c>
      <c r="LOX9" s="26">
        <f>IF(LOX7=0,0,IF(MAX($F9:LOW9)=$D12,0,LOW9+1))</f>
        <v>0</v>
      </c>
      <c r="LOY9" s="26">
        <f>IF(LOY7=0,0,IF(MAX($F9:LOX9)=$D12,0,LOX9+1))</f>
        <v>0</v>
      </c>
      <c r="LOZ9" s="26">
        <f>IF(LOZ7=0,0,IF(MAX($F9:LOY9)=$D12,0,LOY9+1))</f>
        <v>0</v>
      </c>
      <c r="LPA9" s="26">
        <f>IF(LPA7=0,0,IF(MAX($F9:LOZ9)=$D12,0,LOZ9+1))</f>
        <v>0</v>
      </c>
      <c r="LPB9" s="26">
        <f>IF(LPB7=0,0,IF(MAX($F9:LPA9)=$D12,0,LPA9+1))</f>
        <v>0</v>
      </c>
      <c r="LPC9" s="26">
        <f>IF(LPC7=0,0,IF(MAX($F9:LPB9)=$D12,0,LPB9+1))</f>
        <v>0</v>
      </c>
      <c r="LPD9" s="26">
        <f>IF(LPD7=0,0,IF(MAX($F9:LPC9)=$D12,0,LPC9+1))</f>
        <v>0</v>
      </c>
      <c r="LPE9" s="26">
        <f>IF(LPE7=0,0,IF(MAX($F9:LPD9)=$D12,0,LPD9+1))</f>
        <v>0</v>
      </c>
      <c r="LPF9" s="26">
        <f>IF(LPF7=0,0,IF(MAX($F9:LPE9)=$D12,0,LPE9+1))</f>
        <v>0</v>
      </c>
      <c r="LPG9" s="26">
        <f>IF(LPG7=0,0,IF(MAX($F9:LPF9)=$D12,0,LPF9+1))</f>
        <v>0</v>
      </c>
      <c r="LPH9" s="26">
        <f>IF(LPH7=0,0,IF(MAX($F9:LPG9)=$D12,0,LPG9+1))</f>
        <v>0</v>
      </c>
      <c r="LPI9" s="26">
        <f>IF(LPI7=0,0,IF(MAX($F9:LPH9)=$D12,0,LPH9+1))</f>
        <v>0</v>
      </c>
      <c r="LPJ9" s="26">
        <f>IF(LPJ7=0,0,IF(MAX($F9:LPI9)=$D12,0,LPI9+1))</f>
        <v>0</v>
      </c>
      <c r="LPK9" s="26">
        <f>IF(LPK7=0,0,IF(MAX($F9:LPJ9)=$D12,0,LPJ9+1))</f>
        <v>0</v>
      </c>
      <c r="LPL9" s="26">
        <f>IF(LPL7=0,0,IF(MAX($F9:LPK9)=$D12,0,LPK9+1))</f>
        <v>0</v>
      </c>
      <c r="LPM9" s="26">
        <f>IF(LPM7=0,0,IF(MAX($F9:LPL9)=$D12,0,LPL9+1))</f>
        <v>0</v>
      </c>
      <c r="LPN9" s="26">
        <f>IF(LPN7=0,0,IF(MAX($F9:LPM9)=$D12,0,LPM9+1))</f>
        <v>0</v>
      </c>
      <c r="LPO9" s="26">
        <f>IF(LPO7=0,0,IF(MAX($F9:LPN9)=$D12,0,LPN9+1))</f>
        <v>0</v>
      </c>
      <c r="LPP9" s="26">
        <f>IF(LPP7=0,0,IF(MAX($F9:LPO9)=$D12,0,LPO9+1))</f>
        <v>0</v>
      </c>
      <c r="LPQ9" s="26">
        <f>IF(LPQ7=0,0,IF(MAX($F9:LPP9)=$D12,0,LPP9+1))</f>
        <v>0</v>
      </c>
      <c r="LPR9" s="26">
        <f>IF(LPR7=0,0,IF(MAX($F9:LPQ9)=$D12,0,LPQ9+1))</f>
        <v>0</v>
      </c>
      <c r="LPS9" s="26">
        <f>IF(LPS7=0,0,IF(MAX($F9:LPR9)=$D12,0,LPR9+1))</f>
        <v>0</v>
      </c>
      <c r="LPT9" s="26">
        <f>IF(LPT7=0,0,IF(MAX($F9:LPS9)=$D12,0,LPS9+1))</f>
        <v>0</v>
      </c>
      <c r="LPU9" s="26">
        <f>IF(LPU7=0,0,IF(MAX($F9:LPT9)=$D12,0,LPT9+1))</f>
        <v>0</v>
      </c>
      <c r="LPV9" s="26">
        <f>IF(LPV7=0,0,IF(MAX($F9:LPU9)=$D12,0,LPU9+1))</f>
        <v>0</v>
      </c>
      <c r="LPW9" s="26">
        <f>IF(LPW7=0,0,IF(MAX($F9:LPV9)=$D12,0,LPV9+1))</f>
        <v>0</v>
      </c>
      <c r="LPX9" s="26">
        <f>IF(LPX7=0,0,IF(MAX($F9:LPW9)=$D12,0,LPW9+1))</f>
        <v>0</v>
      </c>
      <c r="LPY9" s="26">
        <f>IF(LPY7=0,0,IF(MAX($F9:LPX9)=$D12,0,LPX9+1))</f>
        <v>0</v>
      </c>
      <c r="LPZ9" s="26">
        <f>IF(LPZ7=0,0,IF(MAX($F9:LPY9)=$D12,0,LPY9+1))</f>
        <v>0</v>
      </c>
      <c r="LQA9" s="26">
        <f>IF(LQA7=0,0,IF(MAX($F9:LPZ9)=$D12,0,LPZ9+1))</f>
        <v>0</v>
      </c>
      <c r="LQB9" s="26">
        <f>IF(LQB7=0,0,IF(MAX($F9:LQA9)=$D12,0,LQA9+1))</f>
        <v>0</v>
      </c>
      <c r="LQC9" s="26">
        <f>IF(LQC7=0,0,IF(MAX($F9:LQB9)=$D12,0,LQB9+1))</f>
        <v>0</v>
      </c>
      <c r="LQD9" s="26">
        <f>IF(LQD7=0,0,IF(MAX($F9:LQC9)=$D12,0,LQC9+1))</f>
        <v>0</v>
      </c>
      <c r="LQE9" s="26">
        <f>IF(LQE7=0,0,IF(MAX($F9:LQD9)=$D12,0,LQD9+1))</f>
        <v>0</v>
      </c>
      <c r="LQF9" s="26">
        <f>IF(LQF7=0,0,IF(MAX($F9:LQE9)=$D12,0,LQE9+1))</f>
        <v>0</v>
      </c>
      <c r="LQG9" s="26">
        <f>IF(LQG7=0,0,IF(MAX($F9:LQF9)=$D12,0,LQF9+1))</f>
        <v>0</v>
      </c>
      <c r="LQH9" s="26">
        <f>IF(LQH7=0,0,IF(MAX($F9:LQG9)=$D12,0,LQG9+1))</f>
        <v>0</v>
      </c>
      <c r="LQI9" s="26">
        <f>IF(LQI7=0,0,IF(MAX($F9:LQH9)=$D12,0,LQH9+1))</f>
        <v>0</v>
      </c>
      <c r="LQJ9" s="26">
        <f>IF(LQJ7=0,0,IF(MAX($F9:LQI9)=$D12,0,LQI9+1))</f>
        <v>0</v>
      </c>
      <c r="LQK9" s="26">
        <f>IF(LQK7=0,0,IF(MAX($F9:LQJ9)=$D12,0,LQJ9+1))</f>
        <v>0</v>
      </c>
      <c r="LQL9" s="26">
        <f>IF(LQL7=0,0,IF(MAX($F9:LQK9)=$D12,0,LQK9+1))</f>
        <v>0</v>
      </c>
      <c r="LQM9" s="26">
        <f>IF(LQM7=0,0,IF(MAX($F9:LQL9)=$D12,0,LQL9+1))</f>
        <v>0</v>
      </c>
      <c r="LQN9" s="26">
        <f>IF(LQN7=0,0,IF(MAX($F9:LQM9)=$D12,0,LQM9+1))</f>
        <v>0</v>
      </c>
      <c r="LQO9" s="26">
        <f>IF(LQO7=0,0,IF(MAX($F9:LQN9)=$D12,0,LQN9+1))</f>
        <v>0</v>
      </c>
      <c r="LQP9" s="26">
        <f>IF(LQP7=0,0,IF(MAX($F9:LQO9)=$D12,0,LQO9+1))</f>
        <v>0</v>
      </c>
      <c r="LQQ9" s="26">
        <f>IF(LQQ7=0,0,IF(MAX($F9:LQP9)=$D12,0,LQP9+1))</f>
        <v>0</v>
      </c>
      <c r="LQR9" s="26">
        <f>IF(LQR7=0,0,IF(MAX($F9:LQQ9)=$D12,0,LQQ9+1))</f>
        <v>0</v>
      </c>
      <c r="LQS9" s="26">
        <f>IF(LQS7=0,0,IF(MAX($F9:LQR9)=$D12,0,LQR9+1))</f>
        <v>0</v>
      </c>
      <c r="LQT9" s="26">
        <f>IF(LQT7=0,0,IF(MAX($F9:LQS9)=$D12,0,LQS9+1))</f>
        <v>0</v>
      </c>
      <c r="LQU9" s="26">
        <f>IF(LQU7=0,0,IF(MAX($F9:LQT9)=$D12,0,LQT9+1))</f>
        <v>0</v>
      </c>
      <c r="LQV9" s="26">
        <f>IF(LQV7=0,0,IF(MAX($F9:LQU9)=$D12,0,LQU9+1))</f>
        <v>0</v>
      </c>
      <c r="LQW9" s="26">
        <f>IF(LQW7=0,0,IF(MAX($F9:LQV9)=$D12,0,LQV9+1))</f>
        <v>0</v>
      </c>
      <c r="LQX9" s="26">
        <f>IF(LQX7=0,0,IF(MAX($F9:LQW9)=$D12,0,LQW9+1))</f>
        <v>0</v>
      </c>
      <c r="LQY9" s="26">
        <f>IF(LQY7=0,0,IF(MAX($F9:LQX9)=$D12,0,LQX9+1))</f>
        <v>0</v>
      </c>
      <c r="LQZ9" s="26">
        <f>IF(LQZ7=0,0,IF(MAX($F9:LQY9)=$D12,0,LQY9+1))</f>
        <v>0</v>
      </c>
      <c r="LRA9" s="26">
        <f>IF(LRA7=0,0,IF(MAX($F9:LQZ9)=$D12,0,LQZ9+1))</f>
        <v>0</v>
      </c>
      <c r="LRB9" s="26">
        <f>IF(LRB7=0,0,IF(MAX($F9:LRA9)=$D12,0,LRA9+1))</f>
        <v>0</v>
      </c>
      <c r="LRC9" s="26">
        <f>IF(LRC7=0,0,IF(MAX($F9:LRB9)=$D12,0,LRB9+1))</f>
        <v>0</v>
      </c>
      <c r="LRD9" s="26">
        <f>IF(LRD7=0,0,IF(MAX($F9:LRC9)=$D12,0,LRC9+1))</f>
        <v>0</v>
      </c>
      <c r="LRE9" s="26">
        <f>IF(LRE7=0,0,IF(MAX($F9:LRD9)=$D12,0,LRD9+1))</f>
        <v>0</v>
      </c>
      <c r="LRF9" s="26">
        <f>IF(LRF7=0,0,IF(MAX($F9:LRE9)=$D12,0,LRE9+1))</f>
        <v>0</v>
      </c>
      <c r="LRG9" s="26">
        <f>IF(LRG7=0,0,IF(MAX($F9:LRF9)=$D12,0,LRF9+1))</f>
        <v>0</v>
      </c>
      <c r="LRH9" s="26">
        <f>IF(LRH7=0,0,IF(MAX($F9:LRG9)=$D12,0,LRG9+1))</f>
        <v>0</v>
      </c>
      <c r="LRI9" s="26">
        <f>IF(LRI7=0,0,IF(MAX($F9:LRH9)=$D12,0,LRH9+1))</f>
        <v>0</v>
      </c>
      <c r="LRJ9" s="26">
        <f>IF(LRJ7=0,0,IF(MAX($F9:LRI9)=$D12,0,LRI9+1))</f>
        <v>0</v>
      </c>
      <c r="LRK9" s="26">
        <f>IF(LRK7=0,0,IF(MAX($F9:LRJ9)=$D12,0,LRJ9+1))</f>
        <v>0</v>
      </c>
      <c r="LRL9" s="26">
        <f>IF(LRL7=0,0,IF(MAX($F9:LRK9)=$D12,0,LRK9+1))</f>
        <v>0</v>
      </c>
      <c r="LRM9" s="26">
        <f>IF(LRM7=0,0,IF(MAX($F9:LRL9)=$D12,0,LRL9+1))</f>
        <v>0</v>
      </c>
      <c r="LRN9" s="26">
        <f>IF(LRN7=0,0,IF(MAX($F9:LRM9)=$D12,0,LRM9+1))</f>
        <v>0</v>
      </c>
      <c r="LRO9" s="26">
        <f>IF(LRO7=0,0,IF(MAX($F9:LRN9)=$D12,0,LRN9+1))</f>
        <v>0</v>
      </c>
      <c r="LRP9" s="26">
        <f>IF(LRP7=0,0,IF(MAX($F9:LRO9)=$D12,0,LRO9+1))</f>
        <v>0</v>
      </c>
      <c r="LRQ9" s="26">
        <f>IF(LRQ7=0,0,IF(MAX($F9:LRP9)=$D12,0,LRP9+1))</f>
        <v>0</v>
      </c>
      <c r="LRR9" s="26">
        <f>IF(LRR7=0,0,IF(MAX($F9:LRQ9)=$D12,0,LRQ9+1))</f>
        <v>0</v>
      </c>
      <c r="LRS9" s="26">
        <f>IF(LRS7=0,0,IF(MAX($F9:LRR9)=$D12,0,LRR9+1))</f>
        <v>0</v>
      </c>
      <c r="LRT9" s="26">
        <f>IF(LRT7=0,0,IF(MAX($F9:LRS9)=$D12,0,LRS9+1))</f>
        <v>0</v>
      </c>
      <c r="LRU9" s="26">
        <f>IF(LRU7=0,0,IF(MAX($F9:LRT9)=$D12,0,LRT9+1))</f>
        <v>0</v>
      </c>
      <c r="LRV9" s="26">
        <f>IF(LRV7=0,0,IF(MAX($F9:LRU9)=$D12,0,LRU9+1))</f>
        <v>0</v>
      </c>
      <c r="LRW9" s="26">
        <f>IF(LRW7=0,0,IF(MAX($F9:LRV9)=$D12,0,LRV9+1))</f>
        <v>0</v>
      </c>
      <c r="LRX9" s="26">
        <f>IF(LRX7=0,0,IF(MAX($F9:LRW9)=$D12,0,LRW9+1))</f>
        <v>0</v>
      </c>
      <c r="LRY9" s="26">
        <f>IF(LRY7=0,0,IF(MAX($F9:LRX9)=$D12,0,LRX9+1))</f>
        <v>0</v>
      </c>
      <c r="LRZ9" s="26">
        <f>IF(LRZ7=0,0,IF(MAX($F9:LRY9)=$D12,0,LRY9+1))</f>
        <v>0</v>
      </c>
      <c r="LSA9" s="26">
        <f>IF(LSA7=0,0,IF(MAX($F9:LRZ9)=$D12,0,LRZ9+1))</f>
        <v>0</v>
      </c>
      <c r="LSB9" s="26">
        <f>IF(LSB7=0,0,IF(MAX($F9:LSA9)=$D12,0,LSA9+1))</f>
        <v>0</v>
      </c>
      <c r="LSC9" s="26">
        <f>IF(LSC7=0,0,IF(MAX($F9:LSB9)=$D12,0,LSB9+1))</f>
        <v>0</v>
      </c>
      <c r="LSD9" s="26">
        <f>IF(LSD7=0,0,IF(MAX($F9:LSC9)=$D12,0,LSC9+1))</f>
        <v>0</v>
      </c>
      <c r="LSE9" s="26">
        <f>IF(LSE7=0,0,IF(MAX($F9:LSD9)=$D12,0,LSD9+1))</f>
        <v>0</v>
      </c>
      <c r="LSF9" s="26">
        <f>IF(LSF7=0,0,IF(MAX($F9:LSE9)=$D12,0,LSE9+1))</f>
        <v>0</v>
      </c>
      <c r="LSG9" s="26">
        <f>IF(LSG7=0,0,IF(MAX($F9:LSF9)=$D12,0,LSF9+1))</f>
        <v>0</v>
      </c>
      <c r="LSH9" s="26">
        <f>IF(LSH7=0,0,IF(MAX($F9:LSG9)=$D12,0,LSG9+1))</f>
        <v>0</v>
      </c>
      <c r="LSI9" s="26">
        <f>IF(LSI7=0,0,IF(MAX($F9:LSH9)=$D12,0,LSH9+1))</f>
        <v>0</v>
      </c>
      <c r="LSJ9" s="26">
        <f>IF(LSJ7=0,0,IF(MAX($F9:LSI9)=$D12,0,LSI9+1))</f>
        <v>0</v>
      </c>
      <c r="LSK9" s="26">
        <f>IF(LSK7=0,0,IF(MAX($F9:LSJ9)=$D12,0,LSJ9+1))</f>
        <v>0</v>
      </c>
      <c r="LSL9" s="26">
        <f>IF(LSL7=0,0,IF(MAX($F9:LSK9)=$D12,0,LSK9+1))</f>
        <v>0</v>
      </c>
      <c r="LSM9" s="26">
        <f>IF(LSM7=0,0,IF(MAX($F9:LSL9)=$D12,0,LSL9+1))</f>
        <v>0</v>
      </c>
      <c r="LSN9" s="26">
        <f>IF(LSN7=0,0,IF(MAX($F9:LSM9)=$D12,0,LSM9+1))</f>
        <v>0</v>
      </c>
      <c r="LSO9" s="26">
        <f>IF(LSO7=0,0,IF(MAX($F9:LSN9)=$D12,0,LSN9+1))</f>
        <v>0</v>
      </c>
      <c r="LSP9" s="26">
        <f>IF(LSP7=0,0,IF(MAX($F9:LSO9)=$D12,0,LSO9+1))</f>
        <v>0</v>
      </c>
      <c r="LSQ9" s="26">
        <f>IF(LSQ7=0,0,IF(MAX($F9:LSP9)=$D12,0,LSP9+1))</f>
        <v>0</v>
      </c>
      <c r="LSR9" s="26">
        <f>IF(LSR7=0,0,IF(MAX($F9:LSQ9)=$D12,0,LSQ9+1))</f>
        <v>0</v>
      </c>
      <c r="LSS9" s="26">
        <f>IF(LSS7=0,0,IF(MAX($F9:LSR9)=$D12,0,LSR9+1))</f>
        <v>0</v>
      </c>
      <c r="LST9" s="26">
        <f>IF(LST7=0,0,IF(MAX($F9:LSS9)=$D12,0,LSS9+1))</f>
        <v>0</v>
      </c>
      <c r="LSU9" s="26">
        <f>IF(LSU7=0,0,IF(MAX($F9:LST9)=$D12,0,LST9+1))</f>
        <v>0</v>
      </c>
      <c r="LSV9" s="26">
        <f>IF(LSV7=0,0,IF(MAX($F9:LSU9)=$D12,0,LSU9+1))</f>
        <v>0</v>
      </c>
      <c r="LSW9" s="26">
        <f>IF(LSW7=0,0,IF(MAX($F9:LSV9)=$D12,0,LSV9+1))</f>
        <v>0</v>
      </c>
      <c r="LSX9" s="26">
        <f>IF(LSX7=0,0,IF(MAX($F9:LSW9)=$D12,0,LSW9+1))</f>
        <v>0</v>
      </c>
      <c r="LSY9" s="26">
        <f>IF(LSY7=0,0,IF(MAX($F9:LSX9)=$D12,0,LSX9+1))</f>
        <v>0</v>
      </c>
      <c r="LSZ9" s="26">
        <f>IF(LSZ7=0,0,IF(MAX($F9:LSY9)=$D12,0,LSY9+1))</f>
        <v>0</v>
      </c>
      <c r="LTA9" s="26">
        <f>IF(LTA7=0,0,IF(MAX($F9:LSZ9)=$D12,0,LSZ9+1))</f>
        <v>0</v>
      </c>
      <c r="LTB9" s="26">
        <f>IF(LTB7=0,0,IF(MAX($F9:LTA9)=$D12,0,LTA9+1))</f>
        <v>0</v>
      </c>
      <c r="LTC9" s="26">
        <f>IF(LTC7=0,0,IF(MAX($F9:LTB9)=$D12,0,LTB9+1))</f>
        <v>0</v>
      </c>
      <c r="LTD9" s="26">
        <f>IF(LTD7=0,0,IF(MAX($F9:LTC9)=$D12,0,LTC9+1))</f>
        <v>0</v>
      </c>
      <c r="LTE9" s="26">
        <f>IF(LTE7=0,0,IF(MAX($F9:LTD9)=$D12,0,LTD9+1))</f>
        <v>0</v>
      </c>
      <c r="LTF9" s="26">
        <f>IF(LTF7=0,0,IF(MAX($F9:LTE9)=$D12,0,LTE9+1))</f>
        <v>0</v>
      </c>
      <c r="LTG9" s="26">
        <f>IF(LTG7=0,0,IF(MAX($F9:LTF9)=$D12,0,LTF9+1))</f>
        <v>0</v>
      </c>
      <c r="LTH9" s="26">
        <f>IF(LTH7=0,0,IF(MAX($F9:LTG9)=$D12,0,LTG9+1))</f>
        <v>0</v>
      </c>
      <c r="LTI9" s="26">
        <f>IF(LTI7=0,0,IF(MAX($F9:LTH9)=$D12,0,LTH9+1))</f>
        <v>0</v>
      </c>
      <c r="LTJ9" s="26">
        <f>IF(LTJ7=0,0,IF(MAX($F9:LTI9)=$D12,0,LTI9+1))</f>
        <v>0</v>
      </c>
      <c r="LTK9" s="26">
        <f>IF(LTK7=0,0,IF(MAX($F9:LTJ9)=$D12,0,LTJ9+1))</f>
        <v>0</v>
      </c>
      <c r="LTL9" s="26">
        <f>IF(LTL7=0,0,IF(MAX($F9:LTK9)=$D12,0,LTK9+1))</f>
        <v>0</v>
      </c>
      <c r="LTM9" s="26">
        <f>IF(LTM7=0,0,IF(MAX($F9:LTL9)=$D12,0,LTL9+1))</f>
        <v>0</v>
      </c>
      <c r="LTN9" s="26">
        <f>IF(LTN7=0,0,IF(MAX($F9:LTM9)=$D12,0,LTM9+1))</f>
        <v>0</v>
      </c>
      <c r="LTO9" s="26">
        <f>IF(LTO7=0,0,IF(MAX($F9:LTN9)=$D12,0,LTN9+1))</f>
        <v>0</v>
      </c>
      <c r="LTP9" s="26">
        <f>IF(LTP7=0,0,IF(MAX($F9:LTO9)=$D12,0,LTO9+1))</f>
        <v>0</v>
      </c>
      <c r="LTQ9" s="26">
        <f>IF(LTQ7=0,0,IF(MAX($F9:LTP9)=$D12,0,LTP9+1))</f>
        <v>0</v>
      </c>
      <c r="LTR9" s="26">
        <f>IF(LTR7=0,0,IF(MAX($F9:LTQ9)=$D12,0,LTQ9+1))</f>
        <v>0</v>
      </c>
      <c r="LTS9" s="26">
        <f>IF(LTS7=0,0,IF(MAX($F9:LTR9)=$D12,0,LTR9+1))</f>
        <v>0</v>
      </c>
      <c r="LTT9" s="26">
        <f>IF(LTT7=0,0,IF(MAX($F9:LTS9)=$D12,0,LTS9+1))</f>
        <v>0</v>
      </c>
      <c r="LTU9" s="26">
        <f>IF(LTU7=0,0,IF(MAX($F9:LTT9)=$D12,0,LTT9+1))</f>
        <v>0</v>
      </c>
      <c r="LTV9" s="26">
        <f>IF(LTV7=0,0,IF(MAX($F9:LTU9)=$D12,0,LTU9+1))</f>
        <v>0</v>
      </c>
      <c r="LTW9" s="26">
        <f>IF(LTW7=0,0,IF(MAX($F9:LTV9)=$D12,0,LTV9+1))</f>
        <v>0</v>
      </c>
      <c r="LTX9" s="26">
        <f>IF(LTX7=0,0,IF(MAX($F9:LTW9)=$D12,0,LTW9+1))</f>
        <v>0</v>
      </c>
      <c r="LTY9" s="26">
        <f>IF(LTY7=0,0,IF(MAX($F9:LTX9)=$D12,0,LTX9+1))</f>
        <v>0</v>
      </c>
      <c r="LTZ9" s="26">
        <f>IF(LTZ7=0,0,IF(MAX($F9:LTY9)=$D12,0,LTY9+1))</f>
        <v>0</v>
      </c>
      <c r="LUA9" s="26">
        <f>IF(LUA7=0,0,IF(MAX($F9:LTZ9)=$D12,0,LTZ9+1))</f>
        <v>0</v>
      </c>
      <c r="LUB9" s="26">
        <f>IF(LUB7=0,0,IF(MAX($F9:LUA9)=$D12,0,LUA9+1))</f>
        <v>0</v>
      </c>
      <c r="LUC9" s="26">
        <f>IF(LUC7=0,0,IF(MAX($F9:LUB9)=$D12,0,LUB9+1))</f>
        <v>0</v>
      </c>
      <c r="LUD9" s="26">
        <f>IF(LUD7=0,0,IF(MAX($F9:LUC9)=$D12,0,LUC9+1))</f>
        <v>0</v>
      </c>
      <c r="LUE9" s="26">
        <f>IF(LUE7=0,0,IF(MAX($F9:LUD9)=$D12,0,LUD9+1))</f>
        <v>0</v>
      </c>
      <c r="LUF9" s="26">
        <f>IF(LUF7=0,0,IF(MAX($F9:LUE9)=$D12,0,LUE9+1))</f>
        <v>0</v>
      </c>
      <c r="LUG9" s="26">
        <f>IF(LUG7=0,0,IF(MAX($F9:LUF9)=$D12,0,LUF9+1))</f>
        <v>0</v>
      </c>
      <c r="LUH9" s="26">
        <f>IF(LUH7=0,0,IF(MAX($F9:LUG9)=$D12,0,LUG9+1))</f>
        <v>0</v>
      </c>
      <c r="LUI9" s="26">
        <f>IF(LUI7=0,0,IF(MAX($F9:LUH9)=$D12,0,LUH9+1))</f>
        <v>0</v>
      </c>
      <c r="LUJ9" s="26">
        <f>IF(LUJ7=0,0,IF(MAX($F9:LUI9)=$D12,0,LUI9+1))</f>
        <v>0</v>
      </c>
      <c r="LUK9" s="26">
        <f>IF(LUK7=0,0,IF(MAX($F9:LUJ9)=$D12,0,LUJ9+1))</f>
        <v>0</v>
      </c>
      <c r="LUL9" s="26">
        <f>IF(LUL7=0,0,IF(MAX($F9:LUK9)=$D12,0,LUK9+1))</f>
        <v>0</v>
      </c>
      <c r="LUM9" s="26">
        <f>IF(LUM7=0,0,IF(MAX($F9:LUL9)=$D12,0,LUL9+1))</f>
        <v>0</v>
      </c>
      <c r="LUN9" s="26">
        <f>IF(LUN7=0,0,IF(MAX($F9:LUM9)=$D12,0,LUM9+1))</f>
        <v>0</v>
      </c>
      <c r="LUO9" s="26">
        <f>IF(LUO7=0,0,IF(MAX($F9:LUN9)=$D12,0,LUN9+1))</f>
        <v>0</v>
      </c>
      <c r="LUP9" s="26">
        <f>IF(LUP7=0,0,IF(MAX($F9:LUO9)=$D12,0,LUO9+1))</f>
        <v>0</v>
      </c>
      <c r="LUQ9" s="26">
        <f>IF(LUQ7=0,0,IF(MAX($F9:LUP9)=$D12,0,LUP9+1))</f>
        <v>0</v>
      </c>
      <c r="LUR9" s="26">
        <f>IF(LUR7=0,0,IF(MAX($F9:LUQ9)=$D12,0,LUQ9+1))</f>
        <v>0</v>
      </c>
      <c r="LUS9" s="26">
        <f>IF(LUS7=0,0,IF(MAX($F9:LUR9)=$D12,0,LUR9+1))</f>
        <v>0</v>
      </c>
      <c r="LUT9" s="26">
        <f>IF(LUT7=0,0,IF(MAX($F9:LUS9)=$D12,0,LUS9+1))</f>
        <v>0</v>
      </c>
      <c r="LUU9" s="26">
        <f>IF(LUU7=0,0,IF(MAX($F9:LUT9)=$D12,0,LUT9+1))</f>
        <v>0</v>
      </c>
      <c r="LUV9" s="26">
        <f>IF(LUV7=0,0,IF(MAX($F9:LUU9)=$D12,0,LUU9+1))</f>
        <v>0</v>
      </c>
      <c r="LUW9" s="26">
        <f>IF(LUW7=0,0,IF(MAX($F9:LUV9)=$D12,0,LUV9+1))</f>
        <v>0</v>
      </c>
      <c r="LUX9" s="26">
        <f>IF(LUX7=0,0,IF(MAX($F9:LUW9)=$D12,0,LUW9+1))</f>
        <v>0</v>
      </c>
      <c r="LUY9" s="26">
        <f>IF(LUY7=0,0,IF(MAX($F9:LUX9)=$D12,0,LUX9+1))</f>
        <v>0</v>
      </c>
      <c r="LUZ9" s="26">
        <f>IF(LUZ7=0,0,IF(MAX($F9:LUY9)=$D12,0,LUY9+1))</f>
        <v>0</v>
      </c>
      <c r="LVA9" s="26">
        <f>IF(LVA7=0,0,IF(MAX($F9:LUZ9)=$D12,0,LUZ9+1))</f>
        <v>0</v>
      </c>
      <c r="LVB9" s="26">
        <f>IF(LVB7=0,0,IF(MAX($F9:LVA9)=$D12,0,LVA9+1))</f>
        <v>0</v>
      </c>
      <c r="LVC9" s="26">
        <f>IF(LVC7=0,0,IF(MAX($F9:LVB9)=$D12,0,LVB9+1))</f>
        <v>0</v>
      </c>
      <c r="LVD9" s="26">
        <f>IF(LVD7=0,0,IF(MAX($F9:LVC9)=$D12,0,LVC9+1))</f>
        <v>0</v>
      </c>
      <c r="LVE9" s="26">
        <f>IF(LVE7=0,0,IF(MAX($F9:LVD9)=$D12,0,LVD9+1))</f>
        <v>0</v>
      </c>
      <c r="LVF9" s="26">
        <f>IF(LVF7=0,0,IF(MAX($F9:LVE9)=$D12,0,LVE9+1))</f>
        <v>0</v>
      </c>
      <c r="LVG9" s="26">
        <f>IF(LVG7=0,0,IF(MAX($F9:LVF9)=$D12,0,LVF9+1))</f>
        <v>0</v>
      </c>
      <c r="LVH9" s="26">
        <f>IF(LVH7=0,0,IF(MAX($F9:LVG9)=$D12,0,LVG9+1))</f>
        <v>0</v>
      </c>
      <c r="LVI9" s="26">
        <f>IF(LVI7=0,0,IF(MAX($F9:LVH9)=$D12,0,LVH9+1))</f>
        <v>0</v>
      </c>
      <c r="LVJ9" s="26">
        <f>IF(LVJ7=0,0,IF(MAX($F9:LVI9)=$D12,0,LVI9+1))</f>
        <v>0</v>
      </c>
      <c r="LVK9" s="26">
        <f>IF(LVK7=0,0,IF(MAX($F9:LVJ9)=$D12,0,LVJ9+1))</f>
        <v>0</v>
      </c>
      <c r="LVL9" s="26">
        <f>IF(LVL7=0,0,IF(MAX($F9:LVK9)=$D12,0,LVK9+1))</f>
        <v>0</v>
      </c>
      <c r="LVM9" s="26">
        <f>IF(LVM7=0,0,IF(MAX($F9:LVL9)=$D12,0,LVL9+1))</f>
        <v>0</v>
      </c>
      <c r="LVN9" s="26">
        <f>IF(LVN7=0,0,IF(MAX($F9:LVM9)=$D12,0,LVM9+1))</f>
        <v>0</v>
      </c>
      <c r="LVO9" s="26">
        <f>IF(LVO7=0,0,IF(MAX($F9:LVN9)=$D12,0,LVN9+1))</f>
        <v>0</v>
      </c>
      <c r="LVP9" s="26">
        <f>IF(LVP7=0,0,IF(MAX($F9:LVO9)=$D12,0,LVO9+1))</f>
        <v>0</v>
      </c>
      <c r="LVQ9" s="26">
        <f>IF(LVQ7=0,0,IF(MAX($F9:LVP9)=$D12,0,LVP9+1))</f>
        <v>0</v>
      </c>
      <c r="LVR9" s="26">
        <f>IF(LVR7=0,0,IF(MAX($F9:LVQ9)=$D12,0,LVQ9+1))</f>
        <v>0</v>
      </c>
      <c r="LVS9" s="26">
        <f>IF(LVS7=0,0,IF(MAX($F9:LVR9)=$D12,0,LVR9+1))</f>
        <v>0</v>
      </c>
      <c r="LVT9" s="26">
        <f>IF(LVT7=0,0,IF(MAX($F9:LVS9)=$D12,0,LVS9+1))</f>
        <v>0</v>
      </c>
      <c r="LVU9" s="26">
        <f>IF(LVU7=0,0,IF(MAX($F9:LVT9)=$D12,0,LVT9+1))</f>
        <v>0</v>
      </c>
      <c r="LVV9" s="26">
        <f>IF(LVV7=0,0,IF(MAX($F9:LVU9)=$D12,0,LVU9+1))</f>
        <v>0</v>
      </c>
      <c r="LVW9" s="26">
        <f>IF(LVW7=0,0,IF(MAX($F9:LVV9)=$D12,0,LVV9+1))</f>
        <v>0</v>
      </c>
      <c r="LVX9" s="26">
        <f>IF(LVX7=0,0,IF(MAX($F9:LVW9)=$D12,0,LVW9+1))</f>
        <v>0</v>
      </c>
      <c r="LVY9" s="26">
        <f>IF(LVY7=0,0,IF(MAX($F9:LVX9)=$D12,0,LVX9+1))</f>
        <v>0</v>
      </c>
      <c r="LVZ9" s="26">
        <f>IF(LVZ7=0,0,IF(MAX($F9:LVY9)=$D12,0,LVY9+1))</f>
        <v>0</v>
      </c>
      <c r="LWA9" s="26">
        <f>IF(LWA7=0,0,IF(MAX($F9:LVZ9)=$D12,0,LVZ9+1))</f>
        <v>0</v>
      </c>
      <c r="LWB9" s="26">
        <f>IF(LWB7=0,0,IF(MAX($F9:LWA9)=$D12,0,LWA9+1))</f>
        <v>0</v>
      </c>
      <c r="LWC9" s="26">
        <f>IF(LWC7=0,0,IF(MAX($F9:LWB9)=$D12,0,LWB9+1))</f>
        <v>0</v>
      </c>
      <c r="LWD9" s="26">
        <f>IF(LWD7=0,0,IF(MAX($F9:LWC9)=$D12,0,LWC9+1))</f>
        <v>0</v>
      </c>
      <c r="LWE9" s="26">
        <f>IF(LWE7=0,0,IF(MAX($F9:LWD9)=$D12,0,LWD9+1))</f>
        <v>0</v>
      </c>
      <c r="LWF9" s="26">
        <f>IF(LWF7=0,0,IF(MAX($F9:LWE9)=$D12,0,LWE9+1))</f>
        <v>0</v>
      </c>
      <c r="LWG9" s="26">
        <f>IF(LWG7=0,0,IF(MAX($F9:LWF9)=$D12,0,LWF9+1))</f>
        <v>0</v>
      </c>
      <c r="LWH9" s="26">
        <f>IF(LWH7=0,0,IF(MAX($F9:LWG9)=$D12,0,LWG9+1))</f>
        <v>0</v>
      </c>
      <c r="LWI9" s="26">
        <f>IF(LWI7=0,0,IF(MAX($F9:LWH9)=$D12,0,LWH9+1))</f>
        <v>0</v>
      </c>
      <c r="LWJ9" s="26">
        <f>IF(LWJ7=0,0,IF(MAX($F9:LWI9)=$D12,0,LWI9+1))</f>
        <v>0</v>
      </c>
      <c r="LWK9" s="26">
        <f>IF(LWK7=0,0,IF(MAX($F9:LWJ9)=$D12,0,LWJ9+1))</f>
        <v>0</v>
      </c>
      <c r="LWL9" s="26">
        <f>IF(LWL7=0,0,IF(MAX($F9:LWK9)=$D12,0,LWK9+1))</f>
        <v>0</v>
      </c>
      <c r="LWM9" s="26">
        <f>IF(LWM7=0,0,IF(MAX($F9:LWL9)=$D12,0,LWL9+1))</f>
        <v>0</v>
      </c>
      <c r="LWN9" s="26">
        <f>IF(LWN7=0,0,IF(MAX($F9:LWM9)=$D12,0,LWM9+1))</f>
        <v>0</v>
      </c>
      <c r="LWO9" s="26">
        <f>IF(LWO7=0,0,IF(MAX($F9:LWN9)=$D12,0,LWN9+1))</f>
        <v>0</v>
      </c>
      <c r="LWP9" s="26">
        <f>IF(LWP7=0,0,IF(MAX($F9:LWO9)=$D12,0,LWO9+1))</f>
        <v>0</v>
      </c>
      <c r="LWQ9" s="26">
        <f>IF(LWQ7=0,0,IF(MAX($F9:LWP9)=$D12,0,LWP9+1))</f>
        <v>0</v>
      </c>
      <c r="LWR9" s="26">
        <f>IF(LWR7=0,0,IF(MAX($F9:LWQ9)=$D12,0,LWQ9+1))</f>
        <v>0</v>
      </c>
      <c r="LWS9" s="26">
        <f>IF(LWS7=0,0,IF(MAX($F9:LWR9)=$D12,0,LWR9+1))</f>
        <v>0</v>
      </c>
      <c r="LWT9" s="26">
        <f>IF(LWT7=0,0,IF(MAX($F9:LWS9)=$D12,0,LWS9+1))</f>
        <v>0</v>
      </c>
      <c r="LWU9" s="26">
        <f>IF(LWU7=0,0,IF(MAX($F9:LWT9)=$D12,0,LWT9+1))</f>
        <v>0</v>
      </c>
      <c r="LWV9" s="26">
        <f>IF(LWV7=0,0,IF(MAX($F9:LWU9)=$D12,0,LWU9+1))</f>
        <v>0</v>
      </c>
      <c r="LWW9" s="26">
        <f>IF(LWW7=0,0,IF(MAX($F9:LWV9)=$D12,0,LWV9+1))</f>
        <v>0</v>
      </c>
      <c r="LWX9" s="26">
        <f>IF(LWX7=0,0,IF(MAX($F9:LWW9)=$D12,0,LWW9+1))</f>
        <v>0</v>
      </c>
      <c r="LWY9" s="26">
        <f>IF(LWY7=0,0,IF(MAX($F9:LWX9)=$D12,0,LWX9+1))</f>
        <v>0</v>
      </c>
      <c r="LWZ9" s="26">
        <f>IF(LWZ7=0,0,IF(MAX($F9:LWY9)=$D12,0,LWY9+1))</f>
        <v>0</v>
      </c>
      <c r="LXA9" s="26">
        <f>IF(LXA7=0,0,IF(MAX($F9:LWZ9)=$D12,0,LWZ9+1))</f>
        <v>0</v>
      </c>
      <c r="LXB9" s="26">
        <f>IF(LXB7=0,0,IF(MAX($F9:LXA9)=$D12,0,LXA9+1))</f>
        <v>0</v>
      </c>
      <c r="LXC9" s="26">
        <f>IF(LXC7=0,0,IF(MAX($F9:LXB9)=$D12,0,LXB9+1))</f>
        <v>0</v>
      </c>
      <c r="LXD9" s="26">
        <f>IF(LXD7=0,0,IF(MAX($F9:LXC9)=$D12,0,LXC9+1))</f>
        <v>0</v>
      </c>
      <c r="LXE9" s="26">
        <f>IF(LXE7=0,0,IF(MAX($F9:LXD9)=$D12,0,LXD9+1))</f>
        <v>0</v>
      </c>
      <c r="LXF9" s="26">
        <f>IF(LXF7=0,0,IF(MAX($F9:LXE9)=$D12,0,LXE9+1))</f>
        <v>0</v>
      </c>
      <c r="LXG9" s="26">
        <f>IF(LXG7=0,0,IF(MAX($F9:LXF9)=$D12,0,LXF9+1))</f>
        <v>0</v>
      </c>
      <c r="LXH9" s="26">
        <f>IF(LXH7=0,0,IF(MAX($F9:LXG9)=$D12,0,LXG9+1))</f>
        <v>0</v>
      </c>
      <c r="LXI9" s="26">
        <f>IF(LXI7=0,0,IF(MAX($F9:LXH9)=$D12,0,LXH9+1))</f>
        <v>0</v>
      </c>
      <c r="LXJ9" s="26">
        <f>IF(LXJ7=0,0,IF(MAX($F9:LXI9)=$D12,0,LXI9+1))</f>
        <v>0</v>
      </c>
      <c r="LXK9" s="26">
        <f>IF(LXK7=0,0,IF(MAX($F9:LXJ9)=$D12,0,LXJ9+1))</f>
        <v>0</v>
      </c>
      <c r="LXL9" s="26">
        <f>IF(LXL7=0,0,IF(MAX($F9:LXK9)=$D12,0,LXK9+1))</f>
        <v>0</v>
      </c>
      <c r="LXM9" s="26">
        <f>IF(LXM7=0,0,IF(MAX($F9:LXL9)=$D12,0,LXL9+1))</f>
        <v>0</v>
      </c>
      <c r="LXN9" s="26">
        <f>IF(LXN7=0,0,IF(MAX($F9:LXM9)=$D12,0,LXM9+1))</f>
        <v>0</v>
      </c>
      <c r="LXO9" s="26">
        <f>IF(LXO7=0,0,IF(MAX($F9:LXN9)=$D12,0,LXN9+1))</f>
        <v>0</v>
      </c>
      <c r="LXP9" s="26">
        <f>IF(LXP7=0,0,IF(MAX($F9:LXO9)=$D12,0,LXO9+1))</f>
        <v>0</v>
      </c>
      <c r="LXQ9" s="26">
        <f>IF(LXQ7=0,0,IF(MAX($F9:LXP9)=$D12,0,LXP9+1))</f>
        <v>0</v>
      </c>
      <c r="LXR9" s="26">
        <f>IF(LXR7=0,0,IF(MAX($F9:LXQ9)=$D12,0,LXQ9+1))</f>
        <v>0</v>
      </c>
      <c r="LXS9" s="26">
        <f>IF(LXS7=0,0,IF(MAX($F9:LXR9)=$D12,0,LXR9+1))</f>
        <v>0</v>
      </c>
      <c r="LXT9" s="26">
        <f>IF(LXT7=0,0,IF(MAX($F9:LXS9)=$D12,0,LXS9+1))</f>
        <v>0</v>
      </c>
      <c r="LXU9" s="26">
        <f>IF(LXU7=0,0,IF(MAX($F9:LXT9)=$D12,0,LXT9+1))</f>
        <v>0</v>
      </c>
      <c r="LXV9" s="26">
        <f>IF(LXV7=0,0,IF(MAX($F9:LXU9)=$D12,0,LXU9+1))</f>
        <v>0</v>
      </c>
      <c r="LXW9" s="26">
        <f>IF(LXW7=0,0,IF(MAX($F9:LXV9)=$D12,0,LXV9+1))</f>
        <v>0</v>
      </c>
      <c r="LXX9" s="26">
        <f>IF(LXX7=0,0,IF(MAX($F9:LXW9)=$D12,0,LXW9+1))</f>
        <v>0</v>
      </c>
      <c r="LXY9" s="26">
        <f>IF(LXY7=0,0,IF(MAX($F9:LXX9)=$D12,0,LXX9+1))</f>
        <v>0</v>
      </c>
      <c r="LXZ9" s="26">
        <f>IF(LXZ7=0,0,IF(MAX($F9:LXY9)=$D12,0,LXY9+1))</f>
        <v>0</v>
      </c>
      <c r="LYA9" s="26">
        <f>IF(LYA7=0,0,IF(MAX($F9:LXZ9)=$D12,0,LXZ9+1))</f>
        <v>0</v>
      </c>
      <c r="LYB9" s="26">
        <f>IF(LYB7=0,0,IF(MAX($F9:LYA9)=$D12,0,LYA9+1))</f>
        <v>0</v>
      </c>
      <c r="LYC9" s="26">
        <f>IF(LYC7=0,0,IF(MAX($F9:LYB9)=$D12,0,LYB9+1))</f>
        <v>0</v>
      </c>
      <c r="LYD9" s="26">
        <f>IF(LYD7=0,0,IF(MAX($F9:LYC9)=$D12,0,LYC9+1))</f>
        <v>0</v>
      </c>
      <c r="LYE9" s="26">
        <f>IF(LYE7=0,0,IF(MAX($F9:LYD9)=$D12,0,LYD9+1))</f>
        <v>0</v>
      </c>
      <c r="LYF9" s="26">
        <f>IF(LYF7=0,0,IF(MAX($F9:LYE9)=$D12,0,LYE9+1))</f>
        <v>0</v>
      </c>
      <c r="LYG9" s="26">
        <f>IF(LYG7=0,0,IF(MAX($F9:LYF9)=$D12,0,LYF9+1))</f>
        <v>0</v>
      </c>
      <c r="LYH9" s="26">
        <f>IF(LYH7=0,0,IF(MAX($F9:LYG9)=$D12,0,LYG9+1))</f>
        <v>0</v>
      </c>
      <c r="LYI9" s="26">
        <f>IF(LYI7=0,0,IF(MAX($F9:LYH9)=$D12,0,LYH9+1))</f>
        <v>0</v>
      </c>
      <c r="LYJ9" s="26">
        <f>IF(LYJ7=0,0,IF(MAX($F9:LYI9)=$D12,0,LYI9+1))</f>
        <v>0</v>
      </c>
      <c r="LYK9" s="26">
        <f>IF(LYK7=0,0,IF(MAX($F9:LYJ9)=$D12,0,LYJ9+1))</f>
        <v>0</v>
      </c>
      <c r="LYL9" s="26">
        <f>IF(LYL7=0,0,IF(MAX($F9:LYK9)=$D12,0,LYK9+1))</f>
        <v>0</v>
      </c>
      <c r="LYM9" s="26">
        <f>IF(LYM7=0,0,IF(MAX($F9:LYL9)=$D12,0,LYL9+1))</f>
        <v>0</v>
      </c>
      <c r="LYN9" s="26">
        <f>IF(LYN7=0,0,IF(MAX($F9:LYM9)=$D12,0,LYM9+1))</f>
        <v>0</v>
      </c>
      <c r="LYO9" s="26">
        <f>IF(LYO7=0,0,IF(MAX($F9:LYN9)=$D12,0,LYN9+1))</f>
        <v>0</v>
      </c>
      <c r="LYP9" s="26">
        <f>IF(LYP7=0,0,IF(MAX($F9:LYO9)=$D12,0,LYO9+1))</f>
        <v>0</v>
      </c>
      <c r="LYQ9" s="26">
        <f>IF(LYQ7=0,0,IF(MAX($F9:LYP9)=$D12,0,LYP9+1))</f>
        <v>0</v>
      </c>
      <c r="LYR9" s="26">
        <f>IF(LYR7=0,0,IF(MAX($F9:LYQ9)=$D12,0,LYQ9+1))</f>
        <v>0</v>
      </c>
      <c r="LYS9" s="26">
        <f>IF(LYS7=0,0,IF(MAX($F9:LYR9)=$D12,0,LYR9+1))</f>
        <v>0</v>
      </c>
      <c r="LYT9" s="26">
        <f>IF(LYT7=0,0,IF(MAX($F9:LYS9)=$D12,0,LYS9+1))</f>
        <v>0</v>
      </c>
      <c r="LYU9" s="26">
        <f>IF(LYU7=0,0,IF(MAX($F9:LYT9)=$D12,0,LYT9+1))</f>
        <v>0</v>
      </c>
      <c r="LYV9" s="26">
        <f>IF(LYV7=0,0,IF(MAX($F9:LYU9)=$D12,0,LYU9+1))</f>
        <v>0</v>
      </c>
      <c r="LYW9" s="26">
        <f>IF(LYW7=0,0,IF(MAX($F9:LYV9)=$D12,0,LYV9+1))</f>
        <v>0</v>
      </c>
      <c r="LYX9" s="26">
        <f>IF(LYX7=0,0,IF(MAX($F9:LYW9)=$D12,0,LYW9+1))</f>
        <v>0</v>
      </c>
      <c r="LYY9" s="26">
        <f>IF(LYY7=0,0,IF(MAX($F9:LYX9)=$D12,0,LYX9+1))</f>
        <v>0</v>
      </c>
      <c r="LYZ9" s="26">
        <f>IF(LYZ7=0,0,IF(MAX($F9:LYY9)=$D12,0,LYY9+1))</f>
        <v>0</v>
      </c>
      <c r="LZA9" s="26">
        <f>IF(LZA7=0,0,IF(MAX($F9:LYZ9)=$D12,0,LYZ9+1))</f>
        <v>0</v>
      </c>
      <c r="LZB9" s="26">
        <f>IF(LZB7=0,0,IF(MAX($F9:LZA9)=$D12,0,LZA9+1))</f>
        <v>0</v>
      </c>
      <c r="LZC9" s="26">
        <f>IF(LZC7=0,0,IF(MAX($F9:LZB9)=$D12,0,LZB9+1))</f>
        <v>0</v>
      </c>
      <c r="LZD9" s="26">
        <f>IF(LZD7=0,0,IF(MAX($F9:LZC9)=$D12,0,LZC9+1))</f>
        <v>0</v>
      </c>
      <c r="LZE9" s="26">
        <f>IF(LZE7=0,0,IF(MAX($F9:LZD9)=$D12,0,LZD9+1))</f>
        <v>0</v>
      </c>
      <c r="LZF9" s="26">
        <f>IF(LZF7=0,0,IF(MAX($F9:LZE9)=$D12,0,LZE9+1))</f>
        <v>0</v>
      </c>
      <c r="LZG9" s="26">
        <f>IF(LZG7=0,0,IF(MAX($F9:LZF9)=$D12,0,LZF9+1))</f>
        <v>0</v>
      </c>
      <c r="LZH9" s="26">
        <f>IF(LZH7=0,0,IF(MAX($F9:LZG9)=$D12,0,LZG9+1))</f>
        <v>0</v>
      </c>
      <c r="LZI9" s="26">
        <f>IF(LZI7=0,0,IF(MAX($F9:LZH9)=$D12,0,LZH9+1))</f>
        <v>0</v>
      </c>
      <c r="LZJ9" s="26">
        <f>IF(LZJ7=0,0,IF(MAX($F9:LZI9)=$D12,0,LZI9+1))</f>
        <v>0</v>
      </c>
      <c r="LZK9" s="26">
        <f>IF(LZK7=0,0,IF(MAX($F9:LZJ9)=$D12,0,LZJ9+1))</f>
        <v>0</v>
      </c>
      <c r="LZL9" s="26">
        <f>IF(LZL7=0,0,IF(MAX($F9:LZK9)=$D12,0,LZK9+1))</f>
        <v>0</v>
      </c>
      <c r="LZM9" s="26">
        <f>IF(LZM7=0,0,IF(MAX($F9:LZL9)=$D12,0,LZL9+1))</f>
        <v>0</v>
      </c>
      <c r="LZN9" s="26">
        <f>IF(LZN7=0,0,IF(MAX($F9:LZM9)=$D12,0,LZM9+1))</f>
        <v>0</v>
      </c>
      <c r="LZO9" s="26">
        <f>IF(LZO7=0,0,IF(MAX($F9:LZN9)=$D12,0,LZN9+1))</f>
        <v>0</v>
      </c>
      <c r="LZP9" s="26">
        <f>IF(LZP7=0,0,IF(MAX($F9:LZO9)=$D12,0,LZO9+1))</f>
        <v>0</v>
      </c>
      <c r="LZQ9" s="26">
        <f>IF(LZQ7=0,0,IF(MAX($F9:LZP9)=$D12,0,LZP9+1))</f>
        <v>0</v>
      </c>
      <c r="LZR9" s="26">
        <f>IF(LZR7=0,0,IF(MAX($F9:LZQ9)=$D12,0,LZQ9+1))</f>
        <v>0</v>
      </c>
      <c r="LZS9" s="26">
        <f>IF(LZS7=0,0,IF(MAX($F9:LZR9)=$D12,0,LZR9+1))</f>
        <v>0</v>
      </c>
      <c r="LZT9" s="26">
        <f>IF(LZT7=0,0,IF(MAX($F9:LZS9)=$D12,0,LZS9+1))</f>
        <v>0</v>
      </c>
      <c r="LZU9" s="26">
        <f>IF(LZU7=0,0,IF(MAX($F9:LZT9)=$D12,0,LZT9+1))</f>
        <v>0</v>
      </c>
      <c r="LZV9" s="26">
        <f>IF(LZV7=0,0,IF(MAX($F9:LZU9)=$D12,0,LZU9+1))</f>
        <v>0</v>
      </c>
      <c r="LZW9" s="26">
        <f>IF(LZW7=0,0,IF(MAX($F9:LZV9)=$D12,0,LZV9+1))</f>
        <v>0</v>
      </c>
      <c r="LZX9" s="26">
        <f>IF(LZX7=0,0,IF(MAX($F9:LZW9)=$D12,0,LZW9+1))</f>
        <v>0</v>
      </c>
      <c r="LZY9" s="26">
        <f>IF(LZY7=0,0,IF(MAX($F9:LZX9)=$D12,0,LZX9+1))</f>
        <v>0</v>
      </c>
      <c r="LZZ9" s="26">
        <f>IF(LZZ7=0,0,IF(MAX($F9:LZY9)=$D12,0,LZY9+1))</f>
        <v>0</v>
      </c>
      <c r="MAA9" s="26">
        <f>IF(MAA7=0,0,IF(MAX($F9:LZZ9)=$D12,0,LZZ9+1))</f>
        <v>0</v>
      </c>
      <c r="MAB9" s="26">
        <f>IF(MAB7=0,0,IF(MAX($F9:MAA9)=$D12,0,MAA9+1))</f>
        <v>0</v>
      </c>
      <c r="MAC9" s="26">
        <f>IF(MAC7=0,0,IF(MAX($F9:MAB9)=$D12,0,MAB9+1))</f>
        <v>0</v>
      </c>
      <c r="MAD9" s="26">
        <f>IF(MAD7=0,0,IF(MAX($F9:MAC9)=$D12,0,MAC9+1))</f>
        <v>0</v>
      </c>
      <c r="MAE9" s="26">
        <f>IF(MAE7=0,0,IF(MAX($F9:MAD9)=$D12,0,MAD9+1))</f>
        <v>0</v>
      </c>
      <c r="MAF9" s="26">
        <f>IF(MAF7=0,0,IF(MAX($F9:MAE9)=$D12,0,MAE9+1))</f>
        <v>0</v>
      </c>
      <c r="MAG9" s="26">
        <f>IF(MAG7=0,0,IF(MAX($F9:MAF9)=$D12,0,MAF9+1))</f>
        <v>0</v>
      </c>
      <c r="MAH9" s="26">
        <f>IF(MAH7=0,0,IF(MAX($F9:MAG9)=$D12,0,MAG9+1))</f>
        <v>0</v>
      </c>
      <c r="MAI9" s="26">
        <f>IF(MAI7=0,0,IF(MAX($F9:MAH9)=$D12,0,MAH9+1))</f>
        <v>0</v>
      </c>
      <c r="MAJ9" s="26">
        <f>IF(MAJ7=0,0,IF(MAX($F9:MAI9)=$D12,0,MAI9+1))</f>
        <v>0</v>
      </c>
      <c r="MAK9" s="26">
        <f>IF(MAK7=0,0,IF(MAX($F9:MAJ9)=$D12,0,MAJ9+1))</f>
        <v>0</v>
      </c>
      <c r="MAL9" s="26">
        <f>IF(MAL7=0,0,IF(MAX($F9:MAK9)=$D12,0,MAK9+1))</f>
        <v>0</v>
      </c>
      <c r="MAM9" s="26">
        <f>IF(MAM7=0,0,IF(MAX($F9:MAL9)=$D12,0,MAL9+1))</f>
        <v>0</v>
      </c>
      <c r="MAN9" s="26">
        <f>IF(MAN7=0,0,IF(MAX($F9:MAM9)=$D12,0,MAM9+1))</f>
        <v>0</v>
      </c>
      <c r="MAO9" s="26">
        <f>IF(MAO7=0,0,IF(MAX($F9:MAN9)=$D12,0,MAN9+1))</f>
        <v>0</v>
      </c>
      <c r="MAP9" s="26">
        <f>IF(MAP7=0,0,IF(MAX($F9:MAO9)=$D12,0,MAO9+1))</f>
        <v>0</v>
      </c>
      <c r="MAQ9" s="26">
        <f>IF(MAQ7=0,0,IF(MAX($F9:MAP9)=$D12,0,MAP9+1))</f>
        <v>0</v>
      </c>
      <c r="MAR9" s="26">
        <f>IF(MAR7=0,0,IF(MAX($F9:MAQ9)=$D12,0,MAQ9+1))</f>
        <v>0</v>
      </c>
      <c r="MAS9" s="26">
        <f>IF(MAS7=0,0,IF(MAX($F9:MAR9)=$D12,0,MAR9+1))</f>
        <v>0</v>
      </c>
      <c r="MAT9" s="26">
        <f>IF(MAT7=0,0,IF(MAX($F9:MAS9)=$D12,0,MAS9+1))</f>
        <v>0</v>
      </c>
      <c r="MAU9" s="26">
        <f>IF(MAU7=0,0,IF(MAX($F9:MAT9)=$D12,0,MAT9+1))</f>
        <v>0</v>
      </c>
      <c r="MAV9" s="26">
        <f>IF(MAV7=0,0,IF(MAX($F9:MAU9)=$D12,0,MAU9+1))</f>
        <v>0</v>
      </c>
      <c r="MAW9" s="26">
        <f>IF(MAW7=0,0,IF(MAX($F9:MAV9)=$D12,0,MAV9+1))</f>
        <v>0</v>
      </c>
      <c r="MAX9" s="26">
        <f>IF(MAX7=0,0,IF(MAX($F9:MAW9)=$D12,0,MAW9+1))</f>
        <v>0</v>
      </c>
      <c r="MAY9" s="26">
        <f>IF(MAY7=0,0,IF(MAX($F9:MAX9)=$D12,0,MAX9+1))</f>
        <v>0</v>
      </c>
      <c r="MAZ9" s="26">
        <f>IF(MAZ7=0,0,IF(MAX($F9:MAY9)=$D12,0,MAY9+1))</f>
        <v>0</v>
      </c>
      <c r="MBA9" s="26">
        <f>IF(MBA7=0,0,IF(MAX($F9:MAZ9)=$D12,0,MAZ9+1))</f>
        <v>0</v>
      </c>
      <c r="MBB9" s="26">
        <f>IF(MBB7=0,0,IF(MAX($F9:MBA9)=$D12,0,MBA9+1))</f>
        <v>0</v>
      </c>
      <c r="MBC9" s="26">
        <f>IF(MBC7=0,0,IF(MAX($F9:MBB9)=$D12,0,MBB9+1))</f>
        <v>0</v>
      </c>
      <c r="MBD9" s="26">
        <f>IF(MBD7=0,0,IF(MAX($F9:MBC9)=$D12,0,MBC9+1))</f>
        <v>0</v>
      </c>
      <c r="MBE9" s="26">
        <f>IF(MBE7=0,0,IF(MAX($F9:MBD9)=$D12,0,MBD9+1))</f>
        <v>0</v>
      </c>
      <c r="MBF9" s="26">
        <f>IF(MBF7=0,0,IF(MAX($F9:MBE9)=$D12,0,MBE9+1))</f>
        <v>0</v>
      </c>
      <c r="MBG9" s="26">
        <f>IF(MBG7=0,0,IF(MAX($F9:MBF9)=$D12,0,MBF9+1))</f>
        <v>0</v>
      </c>
      <c r="MBH9" s="26">
        <f>IF(MBH7=0,0,IF(MAX($F9:MBG9)=$D12,0,MBG9+1))</f>
        <v>0</v>
      </c>
      <c r="MBI9" s="26">
        <f>IF(MBI7=0,0,IF(MAX($F9:MBH9)=$D12,0,MBH9+1))</f>
        <v>0</v>
      </c>
      <c r="MBJ9" s="26">
        <f>IF(MBJ7=0,0,IF(MAX($F9:MBI9)=$D12,0,MBI9+1))</f>
        <v>0</v>
      </c>
      <c r="MBK9" s="26">
        <f>IF(MBK7=0,0,IF(MAX($F9:MBJ9)=$D12,0,MBJ9+1))</f>
        <v>0</v>
      </c>
      <c r="MBL9" s="26">
        <f>IF(MBL7=0,0,IF(MAX($F9:MBK9)=$D12,0,MBK9+1))</f>
        <v>0</v>
      </c>
      <c r="MBM9" s="26">
        <f>IF(MBM7=0,0,IF(MAX($F9:MBL9)=$D12,0,MBL9+1))</f>
        <v>0</v>
      </c>
      <c r="MBN9" s="26">
        <f>IF(MBN7=0,0,IF(MAX($F9:MBM9)=$D12,0,MBM9+1))</f>
        <v>0</v>
      </c>
      <c r="MBO9" s="26">
        <f>IF(MBO7=0,0,IF(MAX($F9:MBN9)=$D12,0,MBN9+1))</f>
        <v>0</v>
      </c>
      <c r="MBP9" s="26">
        <f>IF(MBP7=0,0,IF(MAX($F9:MBO9)=$D12,0,MBO9+1))</f>
        <v>0</v>
      </c>
      <c r="MBQ9" s="26">
        <f>IF(MBQ7=0,0,IF(MAX($F9:MBP9)=$D12,0,MBP9+1))</f>
        <v>0</v>
      </c>
      <c r="MBR9" s="26">
        <f>IF(MBR7=0,0,IF(MAX($F9:MBQ9)=$D12,0,MBQ9+1))</f>
        <v>0</v>
      </c>
      <c r="MBS9" s="26">
        <f>IF(MBS7=0,0,IF(MAX($F9:MBR9)=$D12,0,MBR9+1))</f>
        <v>0</v>
      </c>
      <c r="MBT9" s="26">
        <f>IF(MBT7=0,0,IF(MAX($F9:MBS9)=$D12,0,MBS9+1))</f>
        <v>0</v>
      </c>
      <c r="MBU9" s="26">
        <f>IF(MBU7=0,0,IF(MAX($F9:MBT9)=$D12,0,MBT9+1))</f>
        <v>0</v>
      </c>
      <c r="MBV9" s="26">
        <f>IF(MBV7=0,0,IF(MAX($F9:MBU9)=$D12,0,MBU9+1))</f>
        <v>0</v>
      </c>
      <c r="MBW9" s="26">
        <f>IF(MBW7=0,0,IF(MAX($F9:MBV9)=$D12,0,MBV9+1))</f>
        <v>0</v>
      </c>
      <c r="MBX9" s="26">
        <f>IF(MBX7=0,0,IF(MAX($F9:MBW9)=$D12,0,MBW9+1))</f>
        <v>0</v>
      </c>
      <c r="MBY9" s="26">
        <f>IF(MBY7=0,0,IF(MAX($F9:MBX9)=$D12,0,MBX9+1))</f>
        <v>0</v>
      </c>
      <c r="MBZ9" s="26">
        <f>IF(MBZ7=0,0,IF(MAX($F9:MBY9)=$D12,0,MBY9+1))</f>
        <v>0</v>
      </c>
      <c r="MCA9" s="26">
        <f>IF(MCA7=0,0,IF(MAX($F9:MBZ9)=$D12,0,MBZ9+1))</f>
        <v>0</v>
      </c>
      <c r="MCB9" s="26">
        <f>IF(MCB7=0,0,IF(MAX($F9:MCA9)=$D12,0,MCA9+1))</f>
        <v>0</v>
      </c>
      <c r="MCC9" s="26">
        <f>IF(MCC7=0,0,IF(MAX($F9:MCB9)=$D12,0,MCB9+1))</f>
        <v>0</v>
      </c>
      <c r="MCD9" s="26">
        <f>IF(MCD7=0,0,IF(MAX($F9:MCC9)=$D12,0,MCC9+1))</f>
        <v>0</v>
      </c>
      <c r="MCE9" s="26">
        <f>IF(MCE7=0,0,IF(MAX($F9:MCD9)=$D12,0,MCD9+1))</f>
        <v>0</v>
      </c>
      <c r="MCF9" s="26">
        <f>IF(MCF7=0,0,IF(MAX($F9:MCE9)=$D12,0,MCE9+1))</f>
        <v>0</v>
      </c>
      <c r="MCG9" s="26">
        <f>IF(MCG7=0,0,IF(MAX($F9:MCF9)=$D12,0,MCF9+1))</f>
        <v>0</v>
      </c>
      <c r="MCH9" s="26">
        <f>IF(MCH7=0,0,IF(MAX($F9:MCG9)=$D12,0,MCG9+1))</f>
        <v>0</v>
      </c>
      <c r="MCI9" s="26">
        <f>IF(MCI7=0,0,IF(MAX($F9:MCH9)=$D12,0,MCH9+1))</f>
        <v>0</v>
      </c>
      <c r="MCJ9" s="26">
        <f>IF(MCJ7=0,0,IF(MAX($F9:MCI9)=$D12,0,MCI9+1))</f>
        <v>0</v>
      </c>
      <c r="MCK9" s="26">
        <f>IF(MCK7=0,0,IF(MAX($F9:MCJ9)=$D12,0,MCJ9+1))</f>
        <v>0</v>
      </c>
      <c r="MCL9" s="26">
        <f>IF(MCL7=0,0,IF(MAX($F9:MCK9)=$D12,0,MCK9+1))</f>
        <v>0</v>
      </c>
      <c r="MCM9" s="26">
        <f>IF(MCM7=0,0,IF(MAX($F9:MCL9)=$D12,0,MCL9+1))</f>
        <v>0</v>
      </c>
      <c r="MCN9" s="26">
        <f>IF(MCN7=0,0,IF(MAX($F9:MCM9)=$D12,0,MCM9+1))</f>
        <v>0</v>
      </c>
      <c r="MCO9" s="26">
        <f>IF(MCO7=0,0,IF(MAX($F9:MCN9)=$D12,0,MCN9+1))</f>
        <v>0</v>
      </c>
      <c r="MCP9" s="26">
        <f>IF(MCP7=0,0,IF(MAX($F9:MCO9)=$D12,0,MCO9+1))</f>
        <v>0</v>
      </c>
      <c r="MCQ9" s="26">
        <f>IF(MCQ7=0,0,IF(MAX($F9:MCP9)=$D12,0,MCP9+1))</f>
        <v>0</v>
      </c>
      <c r="MCR9" s="26">
        <f>IF(MCR7=0,0,IF(MAX($F9:MCQ9)=$D12,0,MCQ9+1))</f>
        <v>0</v>
      </c>
      <c r="MCS9" s="26">
        <f>IF(MCS7=0,0,IF(MAX($F9:MCR9)=$D12,0,MCR9+1))</f>
        <v>0</v>
      </c>
      <c r="MCT9" s="26">
        <f>IF(MCT7=0,0,IF(MAX($F9:MCS9)=$D12,0,MCS9+1))</f>
        <v>0</v>
      </c>
      <c r="MCU9" s="26">
        <f>IF(MCU7=0,0,IF(MAX($F9:MCT9)=$D12,0,MCT9+1))</f>
        <v>0</v>
      </c>
      <c r="MCV9" s="26">
        <f>IF(MCV7=0,0,IF(MAX($F9:MCU9)=$D12,0,MCU9+1))</f>
        <v>0</v>
      </c>
      <c r="MCW9" s="26">
        <f>IF(MCW7=0,0,IF(MAX($F9:MCV9)=$D12,0,MCV9+1))</f>
        <v>0</v>
      </c>
      <c r="MCX9" s="26">
        <f>IF(MCX7=0,0,IF(MAX($F9:MCW9)=$D12,0,MCW9+1))</f>
        <v>0</v>
      </c>
      <c r="MCY9" s="26">
        <f>IF(MCY7=0,0,IF(MAX($F9:MCX9)=$D12,0,MCX9+1))</f>
        <v>0</v>
      </c>
      <c r="MCZ9" s="26">
        <f>IF(MCZ7=0,0,IF(MAX($F9:MCY9)=$D12,0,MCY9+1))</f>
        <v>0</v>
      </c>
      <c r="MDA9" s="26">
        <f>IF(MDA7=0,0,IF(MAX($F9:MCZ9)=$D12,0,MCZ9+1))</f>
        <v>0</v>
      </c>
      <c r="MDB9" s="26">
        <f>IF(MDB7=0,0,IF(MAX($F9:MDA9)=$D12,0,MDA9+1))</f>
        <v>0</v>
      </c>
      <c r="MDC9" s="26">
        <f>IF(MDC7=0,0,IF(MAX($F9:MDB9)=$D12,0,MDB9+1))</f>
        <v>0</v>
      </c>
      <c r="MDD9" s="26">
        <f>IF(MDD7=0,0,IF(MAX($F9:MDC9)=$D12,0,MDC9+1))</f>
        <v>0</v>
      </c>
      <c r="MDE9" s="26">
        <f>IF(MDE7=0,0,IF(MAX($F9:MDD9)=$D12,0,MDD9+1))</f>
        <v>0</v>
      </c>
      <c r="MDF9" s="26">
        <f>IF(MDF7=0,0,IF(MAX($F9:MDE9)=$D12,0,MDE9+1))</f>
        <v>0</v>
      </c>
      <c r="MDG9" s="26">
        <f>IF(MDG7=0,0,IF(MAX($F9:MDF9)=$D12,0,MDF9+1))</f>
        <v>0</v>
      </c>
      <c r="MDH9" s="26">
        <f>IF(MDH7=0,0,IF(MAX($F9:MDG9)=$D12,0,MDG9+1))</f>
        <v>0</v>
      </c>
      <c r="MDI9" s="26">
        <f>IF(MDI7=0,0,IF(MAX($F9:MDH9)=$D12,0,MDH9+1))</f>
        <v>0</v>
      </c>
      <c r="MDJ9" s="26">
        <f>IF(MDJ7=0,0,IF(MAX($F9:MDI9)=$D12,0,MDI9+1))</f>
        <v>0</v>
      </c>
      <c r="MDK9" s="26">
        <f>IF(MDK7=0,0,IF(MAX($F9:MDJ9)=$D12,0,MDJ9+1))</f>
        <v>0</v>
      </c>
      <c r="MDL9" s="26">
        <f>IF(MDL7=0,0,IF(MAX($F9:MDK9)=$D12,0,MDK9+1))</f>
        <v>0</v>
      </c>
      <c r="MDM9" s="26">
        <f>IF(MDM7=0,0,IF(MAX($F9:MDL9)=$D12,0,MDL9+1))</f>
        <v>0</v>
      </c>
      <c r="MDN9" s="26">
        <f>IF(MDN7=0,0,IF(MAX($F9:MDM9)=$D12,0,MDM9+1))</f>
        <v>0</v>
      </c>
      <c r="MDO9" s="26">
        <f>IF(MDO7=0,0,IF(MAX($F9:MDN9)=$D12,0,MDN9+1))</f>
        <v>0</v>
      </c>
      <c r="MDP9" s="26">
        <f>IF(MDP7=0,0,IF(MAX($F9:MDO9)=$D12,0,MDO9+1))</f>
        <v>0</v>
      </c>
      <c r="MDQ9" s="26">
        <f>IF(MDQ7=0,0,IF(MAX($F9:MDP9)=$D12,0,MDP9+1))</f>
        <v>0</v>
      </c>
      <c r="MDR9" s="26">
        <f>IF(MDR7=0,0,IF(MAX($F9:MDQ9)=$D12,0,MDQ9+1))</f>
        <v>0</v>
      </c>
      <c r="MDS9" s="26">
        <f>IF(MDS7=0,0,IF(MAX($F9:MDR9)=$D12,0,MDR9+1))</f>
        <v>0</v>
      </c>
      <c r="MDT9" s="26">
        <f>IF(MDT7=0,0,IF(MAX($F9:MDS9)=$D12,0,MDS9+1))</f>
        <v>0</v>
      </c>
      <c r="MDU9" s="26">
        <f>IF(MDU7=0,0,IF(MAX($F9:MDT9)=$D12,0,MDT9+1))</f>
        <v>0</v>
      </c>
      <c r="MDV9" s="26">
        <f>IF(MDV7=0,0,IF(MAX($F9:MDU9)=$D12,0,MDU9+1))</f>
        <v>0</v>
      </c>
      <c r="MDW9" s="26">
        <f>IF(MDW7=0,0,IF(MAX($F9:MDV9)=$D12,0,MDV9+1))</f>
        <v>0</v>
      </c>
      <c r="MDX9" s="26">
        <f>IF(MDX7=0,0,IF(MAX($F9:MDW9)=$D12,0,MDW9+1))</f>
        <v>0</v>
      </c>
      <c r="MDY9" s="26">
        <f>IF(MDY7=0,0,IF(MAX($F9:MDX9)=$D12,0,MDX9+1))</f>
        <v>0</v>
      </c>
      <c r="MDZ9" s="26">
        <f>IF(MDZ7=0,0,IF(MAX($F9:MDY9)=$D12,0,MDY9+1))</f>
        <v>0</v>
      </c>
      <c r="MEA9" s="26">
        <f>IF(MEA7=0,0,IF(MAX($F9:MDZ9)=$D12,0,MDZ9+1))</f>
        <v>0</v>
      </c>
      <c r="MEB9" s="26">
        <f>IF(MEB7=0,0,IF(MAX($F9:MEA9)=$D12,0,MEA9+1))</f>
        <v>0</v>
      </c>
      <c r="MEC9" s="26">
        <f>IF(MEC7=0,0,IF(MAX($F9:MEB9)=$D12,0,MEB9+1))</f>
        <v>0</v>
      </c>
      <c r="MED9" s="26">
        <f>IF(MED7=0,0,IF(MAX($F9:MEC9)=$D12,0,MEC9+1))</f>
        <v>0</v>
      </c>
      <c r="MEE9" s="26">
        <f>IF(MEE7=0,0,IF(MAX($F9:MED9)=$D12,0,MED9+1))</f>
        <v>0</v>
      </c>
      <c r="MEF9" s="26">
        <f>IF(MEF7=0,0,IF(MAX($F9:MEE9)=$D12,0,MEE9+1))</f>
        <v>0</v>
      </c>
      <c r="MEG9" s="26">
        <f>IF(MEG7=0,0,IF(MAX($F9:MEF9)=$D12,0,MEF9+1))</f>
        <v>0</v>
      </c>
      <c r="MEH9" s="26">
        <f>IF(MEH7=0,0,IF(MAX($F9:MEG9)=$D12,0,MEG9+1))</f>
        <v>0</v>
      </c>
      <c r="MEI9" s="26">
        <f>IF(MEI7=0,0,IF(MAX($F9:MEH9)=$D12,0,MEH9+1))</f>
        <v>0</v>
      </c>
      <c r="MEJ9" s="26">
        <f>IF(MEJ7=0,0,IF(MAX($F9:MEI9)=$D12,0,MEI9+1))</f>
        <v>0</v>
      </c>
      <c r="MEK9" s="26">
        <f>IF(MEK7=0,0,IF(MAX($F9:MEJ9)=$D12,0,MEJ9+1))</f>
        <v>0</v>
      </c>
      <c r="MEL9" s="26">
        <f>IF(MEL7=0,0,IF(MAX($F9:MEK9)=$D12,0,MEK9+1))</f>
        <v>0</v>
      </c>
      <c r="MEM9" s="26">
        <f>IF(MEM7=0,0,IF(MAX($F9:MEL9)=$D12,0,MEL9+1))</f>
        <v>0</v>
      </c>
      <c r="MEN9" s="26">
        <f>IF(MEN7=0,0,IF(MAX($F9:MEM9)=$D12,0,MEM9+1))</f>
        <v>0</v>
      </c>
      <c r="MEO9" s="26">
        <f>IF(MEO7=0,0,IF(MAX($F9:MEN9)=$D12,0,MEN9+1))</f>
        <v>0</v>
      </c>
      <c r="MEP9" s="26">
        <f>IF(MEP7=0,0,IF(MAX($F9:MEO9)=$D12,0,MEO9+1))</f>
        <v>0</v>
      </c>
      <c r="MEQ9" s="26">
        <f>IF(MEQ7=0,0,IF(MAX($F9:MEP9)=$D12,0,MEP9+1))</f>
        <v>0</v>
      </c>
      <c r="MER9" s="26">
        <f>IF(MER7=0,0,IF(MAX($F9:MEQ9)=$D12,0,MEQ9+1))</f>
        <v>0</v>
      </c>
      <c r="MES9" s="26">
        <f>IF(MES7=0,0,IF(MAX($F9:MER9)=$D12,0,MER9+1))</f>
        <v>0</v>
      </c>
      <c r="MET9" s="26">
        <f>IF(MET7=0,0,IF(MAX($F9:MES9)=$D12,0,MES9+1))</f>
        <v>0</v>
      </c>
      <c r="MEU9" s="26">
        <f>IF(MEU7=0,0,IF(MAX($F9:MET9)=$D12,0,MET9+1))</f>
        <v>0</v>
      </c>
      <c r="MEV9" s="26">
        <f>IF(MEV7=0,0,IF(MAX($F9:MEU9)=$D12,0,MEU9+1))</f>
        <v>0</v>
      </c>
      <c r="MEW9" s="26">
        <f>IF(MEW7=0,0,IF(MAX($F9:MEV9)=$D12,0,MEV9+1))</f>
        <v>0</v>
      </c>
      <c r="MEX9" s="26">
        <f>IF(MEX7=0,0,IF(MAX($F9:MEW9)=$D12,0,MEW9+1))</f>
        <v>0</v>
      </c>
      <c r="MEY9" s="26">
        <f>IF(MEY7=0,0,IF(MAX($F9:MEX9)=$D12,0,MEX9+1))</f>
        <v>0</v>
      </c>
      <c r="MEZ9" s="26">
        <f>IF(MEZ7=0,0,IF(MAX($F9:MEY9)=$D12,0,MEY9+1))</f>
        <v>0</v>
      </c>
      <c r="MFA9" s="26">
        <f>IF(MFA7=0,0,IF(MAX($F9:MEZ9)=$D12,0,MEZ9+1))</f>
        <v>0</v>
      </c>
      <c r="MFB9" s="26">
        <f>IF(MFB7=0,0,IF(MAX($F9:MFA9)=$D12,0,MFA9+1))</f>
        <v>0</v>
      </c>
      <c r="MFC9" s="26">
        <f>IF(MFC7=0,0,IF(MAX($F9:MFB9)=$D12,0,MFB9+1))</f>
        <v>0</v>
      </c>
      <c r="MFD9" s="26">
        <f>IF(MFD7=0,0,IF(MAX($F9:MFC9)=$D12,0,MFC9+1))</f>
        <v>0</v>
      </c>
      <c r="MFE9" s="26">
        <f>IF(MFE7=0,0,IF(MAX($F9:MFD9)=$D12,0,MFD9+1))</f>
        <v>0</v>
      </c>
      <c r="MFF9" s="26">
        <f>IF(MFF7=0,0,IF(MAX($F9:MFE9)=$D12,0,MFE9+1))</f>
        <v>0</v>
      </c>
      <c r="MFG9" s="26">
        <f>IF(MFG7=0,0,IF(MAX($F9:MFF9)=$D12,0,MFF9+1))</f>
        <v>0</v>
      </c>
      <c r="MFH9" s="26">
        <f>IF(MFH7=0,0,IF(MAX($F9:MFG9)=$D12,0,MFG9+1))</f>
        <v>0</v>
      </c>
      <c r="MFI9" s="26">
        <f>IF(MFI7=0,0,IF(MAX($F9:MFH9)=$D12,0,MFH9+1))</f>
        <v>0</v>
      </c>
      <c r="MFJ9" s="26">
        <f>IF(MFJ7=0,0,IF(MAX($F9:MFI9)=$D12,0,MFI9+1))</f>
        <v>0</v>
      </c>
      <c r="MFK9" s="26">
        <f>IF(MFK7=0,0,IF(MAX($F9:MFJ9)=$D12,0,MFJ9+1))</f>
        <v>0</v>
      </c>
      <c r="MFL9" s="26">
        <f>IF(MFL7=0,0,IF(MAX($F9:MFK9)=$D12,0,MFK9+1))</f>
        <v>0</v>
      </c>
      <c r="MFM9" s="26">
        <f>IF(MFM7=0,0,IF(MAX($F9:MFL9)=$D12,0,MFL9+1))</f>
        <v>0</v>
      </c>
      <c r="MFN9" s="26">
        <f>IF(MFN7=0,0,IF(MAX($F9:MFM9)=$D12,0,MFM9+1))</f>
        <v>0</v>
      </c>
      <c r="MFO9" s="26">
        <f>IF(MFO7=0,0,IF(MAX($F9:MFN9)=$D12,0,MFN9+1))</f>
        <v>0</v>
      </c>
      <c r="MFP9" s="26">
        <f>IF(MFP7=0,0,IF(MAX($F9:MFO9)=$D12,0,MFO9+1))</f>
        <v>0</v>
      </c>
      <c r="MFQ9" s="26">
        <f>IF(MFQ7=0,0,IF(MAX($F9:MFP9)=$D12,0,MFP9+1))</f>
        <v>0</v>
      </c>
      <c r="MFR9" s="26">
        <f>IF(MFR7=0,0,IF(MAX($F9:MFQ9)=$D12,0,MFQ9+1))</f>
        <v>0</v>
      </c>
      <c r="MFS9" s="26">
        <f>IF(MFS7=0,0,IF(MAX($F9:MFR9)=$D12,0,MFR9+1))</f>
        <v>0</v>
      </c>
      <c r="MFT9" s="26">
        <f>IF(MFT7=0,0,IF(MAX($F9:MFS9)=$D12,0,MFS9+1))</f>
        <v>0</v>
      </c>
      <c r="MFU9" s="26">
        <f>IF(MFU7=0,0,IF(MAX($F9:MFT9)=$D12,0,MFT9+1))</f>
        <v>0</v>
      </c>
      <c r="MFV9" s="26">
        <f>IF(MFV7=0,0,IF(MAX($F9:MFU9)=$D12,0,MFU9+1))</f>
        <v>0</v>
      </c>
      <c r="MFW9" s="26">
        <f>IF(MFW7=0,0,IF(MAX($F9:MFV9)=$D12,0,MFV9+1))</f>
        <v>0</v>
      </c>
      <c r="MFX9" s="26">
        <f>IF(MFX7=0,0,IF(MAX($F9:MFW9)=$D12,0,MFW9+1))</f>
        <v>0</v>
      </c>
      <c r="MFY9" s="26">
        <f>IF(MFY7=0,0,IF(MAX($F9:MFX9)=$D12,0,MFX9+1))</f>
        <v>0</v>
      </c>
      <c r="MFZ9" s="26">
        <f>IF(MFZ7=0,0,IF(MAX($F9:MFY9)=$D12,0,MFY9+1))</f>
        <v>0</v>
      </c>
      <c r="MGA9" s="26">
        <f>IF(MGA7=0,0,IF(MAX($F9:MFZ9)=$D12,0,MFZ9+1))</f>
        <v>0</v>
      </c>
      <c r="MGB9" s="26">
        <f>IF(MGB7=0,0,IF(MAX($F9:MGA9)=$D12,0,MGA9+1))</f>
        <v>0</v>
      </c>
      <c r="MGC9" s="26">
        <f>IF(MGC7=0,0,IF(MAX($F9:MGB9)=$D12,0,MGB9+1))</f>
        <v>0</v>
      </c>
      <c r="MGD9" s="26">
        <f>IF(MGD7=0,0,IF(MAX($F9:MGC9)=$D12,0,MGC9+1))</f>
        <v>0</v>
      </c>
      <c r="MGE9" s="26">
        <f>IF(MGE7=0,0,IF(MAX($F9:MGD9)=$D12,0,MGD9+1))</f>
        <v>0</v>
      </c>
      <c r="MGF9" s="26">
        <f>IF(MGF7=0,0,IF(MAX($F9:MGE9)=$D12,0,MGE9+1))</f>
        <v>0</v>
      </c>
      <c r="MGG9" s="26">
        <f>IF(MGG7=0,0,IF(MAX($F9:MGF9)=$D12,0,MGF9+1))</f>
        <v>0</v>
      </c>
      <c r="MGH9" s="26">
        <f>IF(MGH7=0,0,IF(MAX($F9:MGG9)=$D12,0,MGG9+1))</f>
        <v>0</v>
      </c>
      <c r="MGI9" s="26">
        <f>IF(MGI7=0,0,IF(MAX($F9:MGH9)=$D12,0,MGH9+1))</f>
        <v>0</v>
      </c>
      <c r="MGJ9" s="26">
        <f>IF(MGJ7=0,0,IF(MAX($F9:MGI9)=$D12,0,MGI9+1))</f>
        <v>0</v>
      </c>
      <c r="MGK9" s="26">
        <f>IF(MGK7=0,0,IF(MAX($F9:MGJ9)=$D12,0,MGJ9+1))</f>
        <v>0</v>
      </c>
      <c r="MGL9" s="26">
        <f>IF(MGL7=0,0,IF(MAX($F9:MGK9)=$D12,0,MGK9+1))</f>
        <v>0</v>
      </c>
      <c r="MGM9" s="26">
        <f>IF(MGM7=0,0,IF(MAX($F9:MGL9)=$D12,0,MGL9+1))</f>
        <v>0</v>
      </c>
      <c r="MGN9" s="26">
        <f>IF(MGN7=0,0,IF(MAX($F9:MGM9)=$D12,0,MGM9+1))</f>
        <v>0</v>
      </c>
      <c r="MGO9" s="26">
        <f>IF(MGO7=0,0,IF(MAX($F9:MGN9)=$D12,0,MGN9+1))</f>
        <v>0</v>
      </c>
      <c r="MGP9" s="26">
        <f>IF(MGP7=0,0,IF(MAX($F9:MGO9)=$D12,0,MGO9+1))</f>
        <v>0</v>
      </c>
      <c r="MGQ9" s="26">
        <f>IF(MGQ7=0,0,IF(MAX($F9:MGP9)=$D12,0,MGP9+1))</f>
        <v>0</v>
      </c>
      <c r="MGR9" s="26">
        <f>IF(MGR7=0,0,IF(MAX($F9:MGQ9)=$D12,0,MGQ9+1))</f>
        <v>0</v>
      </c>
      <c r="MGS9" s="26">
        <f>IF(MGS7=0,0,IF(MAX($F9:MGR9)=$D12,0,MGR9+1))</f>
        <v>0</v>
      </c>
      <c r="MGT9" s="26">
        <f>IF(MGT7=0,0,IF(MAX($F9:MGS9)=$D12,0,MGS9+1))</f>
        <v>0</v>
      </c>
      <c r="MGU9" s="26">
        <f>IF(MGU7=0,0,IF(MAX($F9:MGT9)=$D12,0,MGT9+1))</f>
        <v>0</v>
      </c>
      <c r="MGV9" s="26">
        <f>IF(MGV7=0,0,IF(MAX($F9:MGU9)=$D12,0,MGU9+1))</f>
        <v>0</v>
      </c>
      <c r="MGW9" s="26">
        <f>IF(MGW7=0,0,IF(MAX($F9:MGV9)=$D12,0,MGV9+1))</f>
        <v>0</v>
      </c>
      <c r="MGX9" s="26">
        <f>IF(MGX7=0,0,IF(MAX($F9:MGW9)=$D12,0,MGW9+1))</f>
        <v>0</v>
      </c>
      <c r="MGY9" s="26">
        <f>IF(MGY7=0,0,IF(MAX($F9:MGX9)=$D12,0,MGX9+1))</f>
        <v>0</v>
      </c>
      <c r="MGZ9" s="26">
        <f>IF(MGZ7=0,0,IF(MAX($F9:MGY9)=$D12,0,MGY9+1))</f>
        <v>0</v>
      </c>
      <c r="MHA9" s="26">
        <f>IF(MHA7=0,0,IF(MAX($F9:MGZ9)=$D12,0,MGZ9+1))</f>
        <v>0</v>
      </c>
      <c r="MHB9" s="26">
        <f>IF(MHB7=0,0,IF(MAX($F9:MHA9)=$D12,0,MHA9+1))</f>
        <v>0</v>
      </c>
      <c r="MHC9" s="26">
        <f>IF(MHC7=0,0,IF(MAX($F9:MHB9)=$D12,0,MHB9+1))</f>
        <v>0</v>
      </c>
      <c r="MHD9" s="26">
        <f>IF(MHD7=0,0,IF(MAX($F9:MHC9)=$D12,0,MHC9+1))</f>
        <v>0</v>
      </c>
      <c r="MHE9" s="26">
        <f>IF(MHE7=0,0,IF(MAX($F9:MHD9)=$D12,0,MHD9+1))</f>
        <v>0</v>
      </c>
      <c r="MHF9" s="26">
        <f>IF(MHF7=0,0,IF(MAX($F9:MHE9)=$D12,0,MHE9+1))</f>
        <v>0</v>
      </c>
      <c r="MHG9" s="26">
        <f>IF(MHG7=0,0,IF(MAX($F9:MHF9)=$D12,0,MHF9+1))</f>
        <v>0</v>
      </c>
      <c r="MHH9" s="26">
        <f>IF(MHH7=0,0,IF(MAX($F9:MHG9)=$D12,0,MHG9+1))</f>
        <v>0</v>
      </c>
      <c r="MHI9" s="26">
        <f>IF(MHI7=0,0,IF(MAX($F9:MHH9)=$D12,0,MHH9+1))</f>
        <v>0</v>
      </c>
      <c r="MHJ9" s="26">
        <f>IF(MHJ7=0,0,IF(MAX($F9:MHI9)=$D12,0,MHI9+1))</f>
        <v>0</v>
      </c>
      <c r="MHK9" s="26">
        <f>IF(MHK7=0,0,IF(MAX($F9:MHJ9)=$D12,0,MHJ9+1))</f>
        <v>0</v>
      </c>
      <c r="MHL9" s="26">
        <f>IF(MHL7=0,0,IF(MAX($F9:MHK9)=$D12,0,MHK9+1))</f>
        <v>0</v>
      </c>
      <c r="MHM9" s="26">
        <f>IF(MHM7=0,0,IF(MAX($F9:MHL9)=$D12,0,MHL9+1))</f>
        <v>0</v>
      </c>
      <c r="MHN9" s="26">
        <f>IF(MHN7=0,0,IF(MAX($F9:MHM9)=$D12,0,MHM9+1))</f>
        <v>0</v>
      </c>
      <c r="MHO9" s="26">
        <f>IF(MHO7=0,0,IF(MAX($F9:MHN9)=$D12,0,MHN9+1))</f>
        <v>0</v>
      </c>
      <c r="MHP9" s="26">
        <f>IF(MHP7=0,0,IF(MAX($F9:MHO9)=$D12,0,MHO9+1))</f>
        <v>0</v>
      </c>
      <c r="MHQ9" s="26">
        <f>IF(MHQ7=0,0,IF(MAX($F9:MHP9)=$D12,0,MHP9+1))</f>
        <v>0</v>
      </c>
      <c r="MHR9" s="26">
        <f>IF(MHR7=0,0,IF(MAX($F9:MHQ9)=$D12,0,MHQ9+1))</f>
        <v>0</v>
      </c>
      <c r="MHS9" s="26">
        <f>IF(MHS7=0,0,IF(MAX($F9:MHR9)=$D12,0,MHR9+1))</f>
        <v>0</v>
      </c>
      <c r="MHT9" s="26">
        <f>IF(MHT7=0,0,IF(MAX($F9:MHS9)=$D12,0,MHS9+1))</f>
        <v>0</v>
      </c>
      <c r="MHU9" s="26">
        <f>IF(MHU7=0,0,IF(MAX($F9:MHT9)=$D12,0,MHT9+1))</f>
        <v>0</v>
      </c>
      <c r="MHV9" s="26">
        <f>IF(MHV7=0,0,IF(MAX($F9:MHU9)=$D12,0,MHU9+1))</f>
        <v>0</v>
      </c>
      <c r="MHW9" s="26">
        <f>IF(MHW7=0,0,IF(MAX($F9:MHV9)=$D12,0,MHV9+1))</f>
        <v>0</v>
      </c>
      <c r="MHX9" s="26">
        <f>IF(MHX7=0,0,IF(MAX($F9:MHW9)=$D12,0,MHW9+1))</f>
        <v>0</v>
      </c>
      <c r="MHY9" s="26">
        <f>IF(MHY7=0,0,IF(MAX($F9:MHX9)=$D12,0,MHX9+1))</f>
        <v>0</v>
      </c>
      <c r="MHZ9" s="26">
        <f>IF(MHZ7=0,0,IF(MAX($F9:MHY9)=$D12,0,MHY9+1))</f>
        <v>0</v>
      </c>
      <c r="MIA9" s="26">
        <f>IF(MIA7=0,0,IF(MAX($F9:MHZ9)=$D12,0,MHZ9+1))</f>
        <v>0</v>
      </c>
      <c r="MIB9" s="26">
        <f>IF(MIB7=0,0,IF(MAX($F9:MIA9)=$D12,0,MIA9+1))</f>
        <v>0</v>
      </c>
      <c r="MIC9" s="26">
        <f>IF(MIC7=0,0,IF(MAX($F9:MIB9)=$D12,0,MIB9+1))</f>
        <v>0</v>
      </c>
      <c r="MID9" s="26">
        <f>IF(MID7=0,0,IF(MAX($F9:MIC9)=$D12,0,MIC9+1))</f>
        <v>0</v>
      </c>
      <c r="MIE9" s="26">
        <f>IF(MIE7=0,0,IF(MAX($F9:MID9)=$D12,0,MID9+1))</f>
        <v>0</v>
      </c>
      <c r="MIF9" s="26">
        <f>IF(MIF7=0,0,IF(MAX($F9:MIE9)=$D12,0,MIE9+1))</f>
        <v>0</v>
      </c>
      <c r="MIG9" s="26">
        <f>IF(MIG7=0,0,IF(MAX($F9:MIF9)=$D12,0,MIF9+1))</f>
        <v>0</v>
      </c>
      <c r="MIH9" s="26">
        <f>IF(MIH7=0,0,IF(MAX($F9:MIG9)=$D12,0,MIG9+1))</f>
        <v>0</v>
      </c>
      <c r="MII9" s="26">
        <f>IF(MII7=0,0,IF(MAX($F9:MIH9)=$D12,0,MIH9+1))</f>
        <v>0</v>
      </c>
      <c r="MIJ9" s="26">
        <f>IF(MIJ7=0,0,IF(MAX($F9:MII9)=$D12,0,MII9+1))</f>
        <v>0</v>
      </c>
      <c r="MIK9" s="26">
        <f>IF(MIK7=0,0,IF(MAX($F9:MIJ9)=$D12,0,MIJ9+1))</f>
        <v>0</v>
      </c>
      <c r="MIL9" s="26">
        <f>IF(MIL7=0,0,IF(MAX($F9:MIK9)=$D12,0,MIK9+1))</f>
        <v>0</v>
      </c>
      <c r="MIM9" s="26">
        <f>IF(MIM7=0,0,IF(MAX($F9:MIL9)=$D12,0,MIL9+1))</f>
        <v>0</v>
      </c>
      <c r="MIN9" s="26">
        <f>IF(MIN7=0,0,IF(MAX($F9:MIM9)=$D12,0,MIM9+1))</f>
        <v>0</v>
      </c>
      <c r="MIO9" s="26">
        <f>IF(MIO7=0,0,IF(MAX($F9:MIN9)=$D12,0,MIN9+1))</f>
        <v>0</v>
      </c>
      <c r="MIP9" s="26">
        <f>IF(MIP7=0,0,IF(MAX($F9:MIO9)=$D12,0,MIO9+1))</f>
        <v>0</v>
      </c>
      <c r="MIQ9" s="26">
        <f>IF(MIQ7=0,0,IF(MAX($F9:MIP9)=$D12,0,MIP9+1))</f>
        <v>0</v>
      </c>
      <c r="MIR9" s="26">
        <f>IF(MIR7=0,0,IF(MAX($F9:MIQ9)=$D12,0,MIQ9+1))</f>
        <v>0</v>
      </c>
      <c r="MIS9" s="26">
        <f>IF(MIS7=0,0,IF(MAX($F9:MIR9)=$D12,0,MIR9+1))</f>
        <v>0</v>
      </c>
      <c r="MIT9" s="26">
        <f>IF(MIT7=0,0,IF(MAX($F9:MIS9)=$D12,0,MIS9+1))</f>
        <v>0</v>
      </c>
      <c r="MIU9" s="26">
        <f>IF(MIU7=0,0,IF(MAX($F9:MIT9)=$D12,0,MIT9+1))</f>
        <v>0</v>
      </c>
      <c r="MIV9" s="26">
        <f>IF(MIV7=0,0,IF(MAX($F9:MIU9)=$D12,0,MIU9+1))</f>
        <v>0</v>
      </c>
      <c r="MIW9" s="26">
        <f>IF(MIW7=0,0,IF(MAX($F9:MIV9)=$D12,0,MIV9+1))</f>
        <v>0</v>
      </c>
      <c r="MIX9" s="26">
        <f>IF(MIX7=0,0,IF(MAX($F9:MIW9)=$D12,0,MIW9+1))</f>
        <v>0</v>
      </c>
      <c r="MIY9" s="26">
        <f>IF(MIY7=0,0,IF(MAX($F9:MIX9)=$D12,0,MIX9+1))</f>
        <v>0</v>
      </c>
      <c r="MIZ9" s="26">
        <f>IF(MIZ7=0,0,IF(MAX($F9:MIY9)=$D12,0,MIY9+1))</f>
        <v>0</v>
      </c>
      <c r="MJA9" s="26">
        <f>IF(MJA7=0,0,IF(MAX($F9:MIZ9)=$D12,0,MIZ9+1))</f>
        <v>0</v>
      </c>
      <c r="MJB9" s="26">
        <f>IF(MJB7=0,0,IF(MAX($F9:MJA9)=$D12,0,MJA9+1))</f>
        <v>0</v>
      </c>
      <c r="MJC9" s="26">
        <f>IF(MJC7=0,0,IF(MAX($F9:MJB9)=$D12,0,MJB9+1))</f>
        <v>0</v>
      </c>
      <c r="MJD9" s="26">
        <f>IF(MJD7=0,0,IF(MAX($F9:MJC9)=$D12,0,MJC9+1))</f>
        <v>0</v>
      </c>
      <c r="MJE9" s="26">
        <f>IF(MJE7=0,0,IF(MAX($F9:MJD9)=$D12,0,MJD9+1))</f>
        <v>0</v>
      </c>
      <c r="MJF9" s="26">
        <f>IF(MJF7=0,0,IF(MAX($F9:MJE9)=$D12,0,MJE9+1))</f>
        <v>0</v>
      </c>
      <c r="MJG9" s="26">
        <f>IF(MJG7=0,0,IF(MAX($F9:MJF9)=$D12,0,MJF9+1))</f>
        <v>0</v>
      </c>
      <c r="MJH9" s="26">
        <f>IF(MJH7=0,0,IF(MAX($F9:MJG9)=$D12,0,MJG9+1))</f>
        <v>0</v>
      </c>
      <c r="MJI9" s="26">
        <f>IF(MJI7=0,0,IF(MAX($F9:MJH9)=$D12,0,MJH9+1))</f>
        <v>0</v>
      </c>
      <c r="MJJ9" s="26">
        <f>IF(MJJ7=0,0,IF(MAX($F9:MJI9)=$D12,0,MJI9+1))</f>
        <v>0</v>
      </c>
      <c r="MJK9" s="26">
        <f>IF(MJK7=0,0,IF(MAX($F9:MJJ9)=$D12,0,MJJ9+1))</f>
        <v>0</v>
      </c>
      <c r="MJL9" s="26">
        <f>IF(MJL7=0,0,IF(MAX($F9:MJK9)=$D12,0,MJK9+1))</f>
        <v>0</v>
      </c>
      <c r="MJM9" s="26">
        <f>IF(MJM7=0,0,IF(MAX($F9:MJL9)=$D12,0,MJL9+1))</f>
        <v>0</v>
      </c>
      <c r="MJN9" s="26">
        <f>IF(MJN7=0,0,IF(MAX($F9:MJM9)=$D12,0,MJM9+1))</f>
        <v>0</v>
      </c>
      <c r="MJO9" s="26">
        <f>IF(MJO7=0,0,IF(MAX($F9:MJN9)=$D12,0,MJN9+1))</f>
        <v>0</v>
      </c>
      <c r="MJP9" s="26">
        <f>IF(MJP7=0,0,IF(MAX($F9:MJO9)=$D12,0,MJO9+1))</f>
        <v>0</v>
      </c>
      <c r="MJQ9" s="26">
        <f>IF(MJQ7=0,0,IF(MAX($F9:MJP9)=$D12,0,MJP9+1))</f>
        <v>0</v>
      </c>
      <c r="MJR9" s="26">
        <f>IF(MJR7=0,0,IF(MAX($F9:MJQ9)=$D12,0,MJQ9+1))</f>
        <v>0</v>
      </c>
      <c r="MJS9" s="26">
        <f>IF(MJS7=0,0,IF(MAX($F9:MJR9)=$D12,0,MJR9+1))</f>
        <v>0</v>
      </c>
      <c r="MJT9" s="26">
        <f>IF(MJT7=0,0,IF(MAX($F9:MJS9)=$D12,0,MJS9+1))</f>
        <v>0</v>
      </c>
      <c r="MJU9" s="26">
        <f>IF(MJU7=0,0,IF(MAX($F9:MJT9)=$D12,0,MJT9+1))</f>
        <v>0</v>
      </c>
      <c r="MJV9" s="26">
        <f>IF(MJV7=0,0,IF(MAX($F9:MJU9)=$D12,0,MJU9+1))</f>
        <v>0</v>
      </c>
      <c r="MJW9" s="26">
        <f>IF(MJW7=0,0,IF(MAX($F9:MJV9)=$D12,0,MJV9+1))</f>
        <v>0</v>
      </c>
      <c r="MJX9" s="26">
        <f>IF(MJX7=0,0,IF(MAX($F9:MJW9)=$D12,0,MJW9+1))</f>
        <v>0</v>
      </c>
      <c r="MJY9" s="26">
        <f>IF(MJY7=0,0,IF(MAX($F9:MJX9)=$D12,0,MJX9+1))</f>
        <v>0</v>
      </c>
      <c r="MJZ9" s="26">
        <f>IF(MJZ7=0,0,IF(MAX($F9:MJY9)=$D12,0,MJY9+1))</f>
        <v>0</v>
      </c>
      <c r="MKA9" s="26">
        <f>IF(MKA7=0,0,IF(MAX($F9:MJZ9)=$D12,0,MJZ9+1))</f>
        <v>0</v>
      </c>
      <c r="MKB9" s="26">
        <f>IF(MKB7=0,0,IF(MAX($F9:MKA9)=$D12,0,MKA9+1))</f>
        <v>0</v>
      </c>
      <c r="MKC9" s="26">
        <f>IF(MKC7=0,0,IF(MAX($F9:MKB9)=$D12,0,MKB9+1))</f>
        <v>0</v>
      </c>
      <c r="MKD9" s="26">
        <f>IF(MKD7=0,0,IF(MAX($F9:MKC9)=$D12,0,MKC9+1))</f>
        <v>0</v>
      </c>
      <c r="MKE9" s="26">
        <f>IF(MKE7=0,0,IF(MAX($F9:MKD9)=$D12,0,MKD9+1))</f>
        <v>0</v>
      </c>
      <c r="MKF9" s="26">
        <f>IF(MKF7=0,0,IF(MAX($F9:MKE9)=$D12,0,MKE9+1))</f>
        <v>0</v>
      </c>
      <c r="MKG9" s="26">
        <f>IF(MKG7=0,0,IF(MAX($F9:MKF9)=$D12,0,MKF9+1))</f>
        <v>0</v>
      </c>
      <c r="MKH9" s="26">
        <f>IF(MKH7=0,0,IF(MAX($F9:MKG9)=$D12,0,MKG9+1))</f>
        <v>0</v>
      </c>
      <c r="MKI9" s="26">
        <f>IF(MKI7=0,0,IF(MAX($F9:MKH9)=$D12,0,MKH9+1))</f>
        <v>0</v>
      </c>
      <c r="MKJ9" s="26">
        <f>IF(MKJ7=0,0,IF(MAX($F9:MKI9)=$D12,0,MKI9+1))</f>
        <v>0</v>
      </c>
      <c r="MKK9" s="26">
        <f>IF(MKK7=0,0,IF(MAX($F9:MKJ9)=$D12,0,MKJ9+1))</f>
        <v>0</v>
      </c>
      <c r="MKL9" s="26">
        <f>IF(MKL7=0,0,IF(MAX($F9:MKK9)=$D12,0,MKK9+1))</f>
        <v>0</v>
      </c>
      <c r="MKM9" s="26">
        <f>IF(MKM7=0,0,IF(MAX($F9:MKL9)=$D12,0,MKL9+1))</f>
        <v>0</v>
      </c>
      <c r="MKN9" s="26">
        <f>IF(MKN7=0,0,IF(MAX($F9:MKM9)=$D12,0,MKM9+1))</f>
        <v>0</v>
      </c>
      <c r="MKO9" s="26">
        <f>IF(MKO7=0,0,IF(MAX($F9:MKN9)=$D12,0,MKN9+1))</f>
        <v>0</v>
      </c>
      <c r="MKP9" s="26">
        <f>IF(MKP7=0,0,IF(MAX($F9:MKO9)=$D12,0,MKO9+1))</f>
        <v>0</v>
      </c>
      <c r="MKQ9" s="26">
        <f>IF(MKQ7=0,0,IF(MAX($F9:MKP9)=$D12,0,MKP9+1))</f>
        <v>0</v>
      </c>
      <c r="MKR9" s="26">
        <f>IF(MKR7=0,0,IF(MAX($F9:MKQ9)=$D12,0,MKQ9+1))</f>
        <v>0</v>
      </c>
      <c r="MKS9" s="26">
        <f>IF(MKS7=0,0,IF(MAX($F9:MKR9)=$D12,0,MKR9+1))</f>
        <v>0</v>
      </c>
      <c r="MKT9" s="26">
        <f>IF(MKT7=0,0,IF(MAX($F9:MKS9)=$D12,0,MKS9+1))</f>
        <v>0</v>
      </c>
      <c r="MKU9" s="26">
        <f>IF(MKU7=0,0,IF(MAX($F9:MKT9)=$D12,0,MKT9+1))</f>
        <v>0</v>
      </c>
      <c r="MKV9" s="26">
        <f>IF(MKV7=0,0,IF(MAX($F9:MKU9)=$D12,0,MKU9+1))</f>
        <v>0</v>
      </c>
      <c r="MKW9" s="26">
        <f>IF(MKW7=0,0,IF(MAX($F9:MKV9)=$D12,0,MKV9+1))</f>
        <v>0</v>
      </c>
      <c r="MKX9" s="26">
        <f>IF(MKX7=0,0,IF(MAX($F9:MKW9)=$D12,0,MKW9+1))</f>
        <v>0</v>
      </c>
      <c r="MKY9" s="26">
        <f>IF(MKY7=0,0,IF(MAX($F9:MKX9)=$D12,0,MKX9+1))</f>
        <v>0</v>
      </c>
      <c r="MKZ9" s="26">
        <f>IF(MKZ7=0,0,IF(MAX($F9:MKY9)=$D12,0,MKY9+1))</f>
        <v>0</v>
      </c>
      <c r="MLA9" s="26">
        <f>IF(MLA7=0,0,IF(MAX($F9:MKZ9)=$D12,0,MKZ9+1))</f>
        <v>0</v>
      </c>
      <c r="MLB9" s="26">
        <f>IF(MLB7=0,0,IF(MAX($F9:MLA9)=$D12,0,MLA9+1))</f>
        <v>0</v>
      </c>
      <c r="MLC9" s="26">
        <f>IF(MLC7=0,0,IF(MAX($F9:MLB9)=$D12,0,MLB9+1))</f>
        <v>0</v>
      </c>
      <c r="MLD9" s="26">
        <f>IF(MLD7=0,0,IF(MAX($F9:MLC9)=$D12,0,MLC9+1))</f>
        <v>0</v>
      </c>
      <c r="MLE9" s="26">
        <f>IF(MLE7=0,0,IF(MAX($F9:MLD9)=$D12,0,MLD9+1))</f>
        <v>0</v>
      </c>
      <c r="MLF9" s="26">
        <f>IF(MLF7=0,0,IF(MAX($F9:MLE9)=$D12,0,MLE9+1))</f>
        <v>0</v>
      </c>
      <c r="MLG9" s="26">
        <f>IF(MLG7=0,0,IF(MAX($F9:MLF9)=$D12,0,MLF9+1))</f>
        <v>0</v>
      </c>
      <c r="MLH9" s="26">
        <f>IF(MLH7=0,0,IF(MAX($F9:MLG9)=$D12,0,MLG9+1))</f>
        <v>0</v>
      </c>
      <c r="MLI9" s="26">
        <f>IF(MLI7=0,0,IF(MAX($F9:MLH9)=$D12,0,MLH9+1))</f>
        <v>0</v>
      </c>
      <c r="MLJ9" s="26">
        <f>IF(MLJ7=0,0,IF(MAX($F9:MLI9)=$D12,0,MLI9+1))</f>
        <v>0</v>
      </c>
      <c r="MLK9" s="26">
        <f>IF(MLK7=0,0,IF(MAX($F9:MLJ9)=$D12,0,MLJ9+1))</f>
        <v>0</v>
      </c>
      <c r="MLL9" s="26">
        <f>IF(MLL7=0,0,IF(MAX($F9:MLK9)=$D12,0,MLK9+1))</f>
        <v>0</v>
      </c>
      <c r="MLM9" s="26">
        <f>IF(MLM7=0,0,IF(MAX($F9:MLL9)=$D12,0,MLL9+1))</f>
        <v>0</v>
      </c>
      <c r="MLN9" s="26">
        <f>IF(MLN7=0,0,IF(MAX($F9:MLM9)=$D12,0,MLM9+1))</f>
        <v>0</v>
      </c>
      <c r="MLO9" s="26">
        <f>IF(MLO7=0,0,IF(MAX($F9:MLN9)=$D12,0,MLN9+1))</f>
        <v>0</v>
      </c>
      <c r="MLP9" s="26">
        <f>IF(MLP7=0,0,IF(MAX($F9:MLO9)=$D12,0,MLO9+1))</f>
        <v>0</v>
      </c>
      <c r="MLQ9" s="26">
        <f>IF(MLQ7=0,0,IF(MAX($F9:MLP9)=$D12,0,MLP9+1))</f>
        <v>0</v>
      </c>
      <c r="MLR9" s="26">
        <f>IF(MLR7=0,0,IF(MAX($F9:MLQ9)=$D12,0,MLQ9+1))</f>
        <v>0</v>
      </c>
      <c r="MLS9" s="26">
        <f>IF(MLS7=0,0,IF(MAX($F9:MLR9)=$D12,0,MLR9+1))</f>
        <v>0</v>
      </c>
      <c r="MLT9" s="26">
        <f>IF(MLT7=0,0,IF(MAX($F9:MLS9)=$D12,0,MLS9+1))</f>
        <v>0</v>
      </c>
      <c r="MLU9" s="26">
        <f>IF(MLU7=0,0,IF(MAX($F9:MLT9)=$D12,0,MLT9+1))</f>
        <v>0</v>
      </c>
      <c r="MLV9" s="26">
        <f>IF(MLV7=0,0,IF(MAX($F9:MLU9)=$D12,0,MLU9+1))</f>
        <v>0</v>
      </c>
      <c r="MLW9" s="26">
        <f>IF(MLW7=0,0,IF(MAX($F9:MLV9)=$D12,0,MLV9+1))</f>
        <v>0</v>
      </c>
      <c r="MLX9" s="26">
        <f>IF(MLX7=0,0,IF(MAX($F9:MLW9)=$D12,0,MLW9+1))</f>
        <v>0</v>
      </c>
      <c r="MLY9" s="26">
        <f>IF(MLY7=0,0,IF(MAX($F9:MLX9)=$D12,0,MLX9+1))</f>
        <v>0</v>
      </c>
      <c r="MLZ9" s="26">
        <f>IF(MLZ7=0,0,IF(MAX($F9:MLY9)=$D12,0,MLY9+1))</f>
        <v>0</v>
      </c>
      <c r="MMA9" s="26">
        <f>IF(MMA7=0,0,IF(MAX($F9:MLZ9)=$D12,0,MLZ9+1))</f>
        <v>0</v>
      </c>
      <c r="MMB9" s="26">
        <f>IF(MMB7=0,0,IF(MAX($F9:MMA9)=$D12,0,MMA9+1))</f>
        <v>0</v>
      </c>
      <c r="MMC9" s="26">
        <f>IF(MMC7=0,0,IF(MAX($F9:MMB9)=$D12,0,MMB9+1))</f>
        <v>0</v>
      </c>
      <c r="MMD9" s="26">
        <f>IF(MMD7=0,0,IF(MAX($F9:MMC9)=$D12,0,MMC9+1))</f>
        <v>0</v>
      </c>
      <c r="MME9" s="26">
        <f>IF(MME7=0,0,IF(MAX($F9:MMD9)=$D12,0,MMD9+1))</f>
        <v>0</v>
      </c>
      <c r="MMF9" s="26">
        <f>IF(MMF7=0,0,IF(MAX($F9:MME9)=$D12,0,MME9+1))</f>
        <v>0</v>
      </c>
      <c r="MMG9" s="26">
        <f>IF(MMG7=0,0,IF(MAX($F9:MMF9)=$D12,0,MMF9+1))</f>
        <v>0</v>
      </c>
      <c r="MMH9" s="26">
        <f>IF(MMH7=0,0,IF(MAX($F9:MMG9)=$D12,0,MMG9+1))</f>
        <v>0</v>
      </c>
      <c r="MMI9" s="26">
        <f>IF(MMI7=0,0,IF(MAX($F9:MMH9)=$D12,0,MMH9+1))</f>
        <v>0</v>
      </c>
      <c r="MMJ9" s="26">
        <f>IF(MMJ7=0,0,IF(MAX($F9:MMI9)=$D12,0,MMI9+1))</f>
        <v>0</v>
      </c>
      <c r="MMK9" s="26">
        <f>IF(MMK7=0,0,IF(MAX($F9:MMJ9)=$D12,0,MMJ9+1))</f>
        <v>0</v>
      </c>
      <c r="MML9" s="26">
        <f>IF(MML7=0,0,IF(MAX($F9:MMK9)=$D12,0,MMK9+1))</f>
        <v>0</v>
      </c>
      <c r="MMM9" s="26">
        <f>IF(MMM7=0,0,IF(MAX($F9:MML9)=$D12,0,MML9+1))</f>
        <v>0</v>
      </c>
      <c r="MMN9" s="26">
        <f>IF(MMN7=0,0,IF(MAX($F9:MMM9)=$D12,0,MMM9+1))</f>
        <v>0</v>
      </c>
      <c r="MMO9" s="26">
        <f>IF(MMO7=0,0,IF(MAX($F9:MMN9)=$D12,0,MMN9+1))</f>
        <v>0</v>
      </c>
      <c r="MMP9" s="26">
        <f>IF(MMP7=0,0,IF(MAX($F9:MMO9)=$D12,0,MMO9+1))</f>
        <v>0</v>
      </c>
      <c r="MMQ9" s="26">
        <f>IF(MMQ7=0,0,IF(MAX($F9:MMP9)=$D12,0,MMP9+1))</f>
        <v>0</v>
      </c>
      <c r="MMR9" s="26">
        <f>IF(MMR7=0,0,IF(MAX($F9:MMQ9)=$D12,0,MMQ9+1))</f>
        <v>0</v>
      </c>
      <c r="MMS9" s="26">
        <f>IF(MMS7=0,0,IF(MAX($F9:MMR9)=$D12,0,MMR9+1))</f>
        <v>0</v>
      </c>
      <c r="MMT9" s="26">
        <f>IF(MMT7=0,0,IF(MAX($F9:MMS9)=$D12,0,MMS9+1))</f>
        <v>0</v>
      </c>
      <c r="MMU9" s="26">
        <f>IF(MMU7=0,0,IF(MAX($F9:MMT9)=$D12,0,MMT9+1))</f>
        <v>0</v>
      </c>
      <c r="MMV9" s="26">
        <f>IF(MMV7=0,0,IF(MAX($F9:MMU9)=$D12,0,MMU9+1))</f>
        <v>0</v>
      </c>
      <c r="MMW9" s="26">
        <f>IF(MMW7=0,0,IF(MAX($F9:MMV9)=$D12,0,MMV9+1))</f>
        <v>0</v>
      </c>
      <c r="MMX9" s="26">
        <f>IF(MMX7=0,0,IF(MAX($F9:MMW9)=$D12,0,MMW9+1))</f>
        <v>0</v>
      </c>
      <c r="MMY9" s="26">
        <f>IF(MMY7=0,0,IF(MAX($F9:MMX9)=$D12,0,MMX9+1))</f>
        <v>0</v>
      </c>
      <c r="MMZ9" s="26">
        <f>IF(MMZ7=0,0,IF(MAX($F9:MMY9)=$D12,0,MMY9+1))</f>
        <v>0</v>
      </c>
      <c r="MNA9" s="26">
        <f>IF(MNA7=0,0,IF(MAX($F9:MMZ9)=$D12,0,MMZ9+1))</f>
        <v>0</v>
      </c>
      <c r="MNB9" s="26">
        <f>IF(MNB7=0,0,IF(MAX($F9:MNA9)=$D12,0,MNA9+1))</f>
        <v>0</v>
      </c>
      <c r="MNC9" s="26">
        <f>IF(MNC7=0,0,IF(MAX($F9:MNB9)=$D12,0,MNB9+1))</f>
        <v>0</v>
      </c>
      <c r="MND9" s="26">
        <f>IF(MND7=0,0,IF(MAX($F9:MNC9)=$D12,0,MNC9+1))</f>
        <v>0</v>
      </c>
      <c r="MNE9" s="26">
        <f>IF(MNE7=0,0,IF(MAX($F9:MND9)=$D12,0,MND9+1))</f>
        <v>0</v>
      </c>
      <c r="MNF9" s="26">
        <f>IF(MNF7=0,0,IF(MAX($F9:MNE9)=$D12,0,MNE9+1))</f>
        <v>0</v>
      </c>
      <c r="MNG9" s="26">
        <f>IF(MNG7=0,0,IF(MAX($F9:MNF9)=$D12,0,MNF9+1))</f>
        <v>0</v>
      </c>
      <c r="MNH9" s="26">
        <f>IF(MNH7=0,0,IF(MAX($F9:MNG9)=$D12,0,MNG9+1))</f>
        <v>0</v>
      </c>
      <c r="MNI9" s="26">
        <f>IF(MNI7=0,0,IF(MAX($F9:MNH9)=$D12,0,MNH9+1))</f>
        <v>0</v>
      </c>
      <c r="MNJ9" s="26">
        <f>IF(MNJ7=0,0,IF(MAX($F9:MNI9)=$D12,0,MNI9+1))</f>
        <v>0</v>
      </c>
      <c r="MNK9" s="26">
        <f>IF(MNK7=0,0,IF(MAX($F9:MNJ9)=$D12,0,MNJ9+1))</f>
        <v>0</v>
      </c>
      <c r="MNL9" s="26">
        <f>IF(MNL7=0,0,IF(MAX($F9:MNK9)=$D12,0,MNK9+1))</f>
        <v>0</v>
      </c>
      <c r="MNM9" s="26">
        <f>IF(MNM7=0,0,IF(MAX($F9:MNL9)=$D12,0,MNL9+1))</f>
        <v>0</v>
      </c>
      <c r="MNN9" s="26">
        <f>IF(MNN7=0,0,IF(MAX($F9:MNM9)=$D12,0,MNM9+1))</f>
        <v>0</v>
      </c>
      <c r="MNO9" s="26">
        <f>IF(MNO7=0,0,IF(MAX($F9:MNN9)=$D12,0,MNN9+1))</f>
        <v>0</v>
      </c>
      <c r="MNP9" s="26">
        <f>IF(MNP7=0,0,IF(MAX($F9:MNO9)=$D12,0,MNO9+1))</f>
        <v>0</v>
      </c>
      <c r="MNQ9" s="26">
        <f>IF(MNQ7=0,0,IF(MAX($F9:MNP9)=$D12,0,MNP9+1))</f>
        <v>0</v>
      </c>
      <c r="MNR9" s="26">
        <f>IF(MNR7=0,0,IF(MAX($F9:MNQ9)=$D12,0,MNQ9+1))</f>
        <v>0</v>
      </c>
      <c r="MNS9" s="26">
        <f>IF(MNS7=0,0,IF(MAX($F9:MNR9)=$D12,0,MNR9+1))</f>
        <v>0</v>
      </c>
      <c r="MNT9" s="26">
        <f>IF(MNT7=0,0,IF(MAX($F9:MNS9)=$D12,0,MNS9+1))</f>
        <v>0</v>
      </c>
      <c r="MNU9" s="26">
        <f>IF(MNU7=0,0,IF(MAX($F9:MNT9)=$D12,0,MNT9+1))</f>
        <v>0</v>
      </c>
      <c r="MNV9" s="26">
        <f>IF(MNV7=0,0,IF(MAX($F9:MNU9)=$D12,0,MNU9+1))</f>
        <v>0</v>
      </c>
      <c r="MNW9" s="26">
        <f>IF(MNW7=0,0,IF(MAX($F9:MNV9)=$D12,0,MNV9+1))</f>
        <v>0</v>
      </c>
      <c r="MNX9" s="26">
        <f>IF(MNX7=0,0,IF(MAX($F9:MNW9)=$D12,0,MNW9+1))</f>
        <v>0</v>
      </c>
      <c r="MNY9" s="26">
        <f>IF(MNY7=0,0,IF(MAX($F9:MNX9)=$D12,0,MNX9+1))</f>
        <v>0</v>
      </c>
      <c r="MNZ9" s="26">
        <f>IF(MNZ7=0,0,IF(MAX($F9:MNY9)=$D12,0,MNY9+1))</f>
        <v>0</v>
      </c>
      <c r="MOA9" s="26">
        <f>IF(MOA7=0,0,IF(MAX($F9:MNZ9)=$D12,0,MNZ9+1))</f>
        <v>0</v>
      </c>
      <c r="MOB9" s="26">
        <f>IF(MOB7=0,0,IF(MAX($F9:MOA9)=$D12,0,MOA9+1))</f>
        <v>0</v>
      </c>
      <c r="MOC9" s="26">
        <f>IF(MOC7=0,0,IF(MAX($F9:MOB9)=$D12,0,MOB9+1))</f>
        <v>0</v>
      </c>
      <c r="MOD9" s="26">
        <f>IF(MOD7=0,0,IF(MAX($F9:MOC9)=$D12,0,MOC9+1))</f>
        <v>0</v>
      </c>
      <c r="MOE9" s="26">
        <f>IF(MOE7=0,0,IF(MAX($F9:MOD9)=$D12,0,MOD9+1))</f>
        <v>0</v>
      </c>
      <c r="MOF9" s="26">
        <f>IF(MOF7=0,0,IF(MAX($F9:MOE9)=$D12,0,MOE9+1))</f>
        <v>0</v>
      </c>
      <c r="MOG9" s="26">
        <f>IF(MOG7=0,0,IF(MAX($F9:MOF9)=$D12,0,MOF9+1))</f>
        <v>0</v>
      </c>
      <c r="MOH9" s="26">
        <f>IF(MOH7=0,0,IF(MAX($F9:MOG9)=$D12,0,MOG9+1))</f>
        <v>0</v>
      </c>
      <c r="MOI9" s="26">
        <f>IF(MOI7=0,0,IF(MAX($F9:MOH9)=$D12,0,MOH9+1))</f>
        <v>0</v>
      </c>
      <c r="MOJ9" s="26">
        <f>IF(MOJ7=0,0,IF(MAX($F9:MOI9)=$D12,0,MOI9+1))</f>
        <v>0</v>
      </c>
      <c r="MOK9" s="26">
        <f>IF(MOK7=0,0,IF(MAX($F9:MOJ9)=$D12,0,MOJ9+1))</f>
        <v>0</v>
      </c>
      <c r="MOL9" s="26">
        <f>IF(MOL7=0,0,IF(MAX($F9:MOK9)=$D12,0,MOK9+1))</f>
        <v>0</v>
      </c>
      <c r="MOM9" s="26">
        <f>IF(MOM7=0,0,IF(MAX($F9:MOL9)=$D12,0,MOL9+1))</f>
        <v>0</v>
      </c>
      <c r="MON9" s="26">
        <f>IF(MON7=0,0,IF(MAX($F9:MOM9)=$D12,0,MOM9+1))</f>
        <v>0</v>
      </c>
      <c r="MOO9" s="26">
        <f>IF(MOO7=0,0,IF(MAX($F9:MON9)=$D12,0,MON9+1))</f>
        <v>0</v>
      </c>
      <c r="MOP9" s="26">
        <f>IF(MOP7=0,0,IF(MAX($F9:MOO9)=$D12,0,MOO9+1))</f>
        <v>0</v>
      </c>
      <c r="MOQ9" s="26">
        <f>IF(MOQ7=0,0,IF(MAX($F9:MOP9)=$D12,0,MOP9+1))</f>
        <v>0</v>
      </c>
      <c r="MOR9" s="26">
        <f>IF(MOR7=0,0,IF(MAX($F9:MOQ9)=$D12,0,MOQ9+1))</f>
        <v>0</v>
      </c>
      <c r="MOS9" s="26">
        <f>IF(MOS7=0,0,IF(MAX($F9:MOR9)=$D12,0,MOR9+1))</f>
        <v>0</v>
      </c>
      <c r="MOT9" s="26">
        <f>IF(MOT7=0,0,IF(MAX($F9:MOS9)=$D12,0,MOS9+1))</f>
        <v>0</v>
      </c>
      <c r="MOU9" s="26">
        <f>IF(MOU7=0,0,IF(MAX($F9:MOT9)=$D12,0,MOT9+1))</f>
        <v>0</v>
      </c>
      <c r="MOV9" s="26">
        <f>IF(MOV7=0,0,IF(MAX($F9:MOU9)=$D12,0,MOU9+1))</f>
        <v>0</v>
      </c>
      <c r="MOW9" s="26">
        <f>IF(MOW7=0,0,IF(MAX($F9:MOV9)=$D12,0,MOV9+1))</f>
        <v>0</v>
      </c>
      <c r="MOX9" s="26">
        <f>IF(MOX7=0,0,IF(MAX($F9:MOW9)=$D12,0,MOW9+1))</f>
        <v>0</v>
      </c>
      <c r="MOY9" s="26">
        <f>IF(MOY7=0,0,IF(MAX($F9:MOX9)=$D12,0,MOX9+1))</f>
        <v>0</v>
      </c>
      <c r="MOZ9" s="26">
        <f>IF(MOZ7=0,0,IF(MAX($F9:MOY9)=$D12,0,MOY9+1))</f>
        <v>0</v>
      </c>
      <c r="MPA9" s="26">
        <f>IF(MPA7=0,0,IF(MAX($F9:MOZ9)=$D12,0,MOZ9+1))</f>
        <v>0</v>
      </c>
      <c r="MPB9" s="26">
        <f>IF(MPB7=0,0,IF(MAX($F9:MPA9)=$D12,0,MPA9+1))</f>
        <v>0</v>
      </c>
      <c r="MPC9" s="26">
        <f>IF(MPC7=0,0,IF(MAX($F9:MPB9)=$D12,0,MPB9+1))</f>
        <v>0</v>
      </c>
      <c r="MPD9" s="26">
        <f>IF(MPD7=0,0,IF(MAX($F9:MPC9)=$D12,0,MPC9+1))</f>
        <v>0</v>
      </c>
      <c r="MPE9" s="26">
        <f>IF(MPE7=0,0,IF(MAX($F9:MPD9)=$D12,0,MPD9+1))</f>
        <v>0</v>
      </c>
      <c r="MPF9" s="26">
        <f>IF(MPF7=0,0,IF(MAX($F9:MPE9)=$D12,0,MPE9+1))</f>
        <v>0</v>
      </c>
      <c r="MPG9" s="26">
        <f>IF(MPG7=0,0,IF(MAX($F9:MPF9)=$D12,0,MPF9+1))</f>
        <v>0</v>
      </c>
      <c r="MPH9" s="26">
        <f>IF(MPH7=0,0,IF(MAX($F9:MPG9)=$D12,0,MPG9+1))</f>
        <v>0</v>
      </c>
      <c r="MPI9" s="26">
        <f>IF(MPI7=0,0,IF(MAX($F9:MPH9)=$D12,0,MPH9+1))</f>
        <v>0</v>
      </c>
      <c r="MPJ9" s="26">
        <f>IF(MPJ7=0,0,IF(MAX($F9:MPI9)=$D12,0,MPI9+1))</f>
        <v>0</v>
      </c>
      <c r="MPK9" s="26">
        <f>IF(MPK7=0,0,IF(MAX($F9:MPJ9)=$D12,0,MPJ9+1))</f>
        <v>0</v>
      </c>
      <c r="MPL9" s="26">
        <f>IF(MPL7=0,0,IF(MAX($F9:MPK9)=$D12,0,MPK9+1))</f>
        <v>0</v>
      </c>
      <c r="MPM9" s="26">
        <f>IF(MPM7=0,0,IF(MAX($F9:MPL9)=$D12,0,MPL9+1))</f>
        <v>0</v>
      </c>
      <c r="MPN9" s="26">
        <f>IF(MPN7=0,0,IF(MAX($F9:MPM9)=$D12,0,MPM9+1))</f>
        <v>0</v>
      </c>
      <c r="MPO9" s="26">
        <f>IF(MPO7=0,0,IF(MAX($F9:MPN9)=$D12,0,MPN9+1))</f>
        <v>0</v>
      </c>
      <c r="MPP9" s="26">
        <f>IF(MPP7=0,0,IF(MAX($F9:MPO9)=$D12,0,MPO9+1))</f>
        <v>0</v>
      </c>
      <c r="MPQ9" s="26">
        <f>IF(MPQ7=0,0,IF(MAX($F9:MPP9)=$D12,0,MPP9+1))</f>
        <v>0</v>
      </c>
      <c r="MPR9" s="26">
        <f>IF(MPR7=0,0,IF(MAX($F9:MPQ9)=$D12,0,MPQ9+1))</f>
        <v>0</v>
      </c>
      <c r="MPS9" s="26">
        <f>IF(MPS7=0,0,IF(MAX($F9:MPR9)=$D12,0,MPR9+1))</f>
        <v>0</v>
      </c>
      <c r="MPT9" s="26">
        <f>IF(MPT7=0,0,IF(MAX($F9:MPS9)=$D12,0,MPS9+1))</f>
        <v>0</v>
      </c>
      <c r="MPU9" s="26">
        <f>IF(MPU7=0,0,IF(MAX($F9:MPT9)=$D12,0,MPT9+1))</f>
        <v>0</v>
      </c>
      <c r="MPV9" s="26">
        <f>IF(MPV7=0,0,IF(MAX($F9:MPU9)=$D12,0,MPU9+1))</f>
        <v>0</v>
      </c>
      <c r="MPW9" s="26">
        <f>IF(MPW7=0,0,IF(MAX($F9:MPV9)=$D12,0,MPV9+1))</f>
        <v>0</v>
      </c>
      <c r="MPX9" s="26">
        <f>IF(MPX7=0,0,IF(MAX($F9:MPW9)=$D12,0,MPW9+1))</f>
        <v>0</v>
      </c>
      <c r="MPY9" s="26">
        <f>IF(MPY7=0,0,IF(MAX($F9:MPX9)=$D12,0,MPX9+1))</f>
        <v>0</v>
      </c>
      <c r="MPZ9" s="26">
        <f>IF(MPZ7=0,0,IF(MAX($F9:MPY9)=$D12,0,MPY9+1))</f>
        <v>0</v>
      </c>
      <c r="MQA9" s="26">
        <f>IF(MQA7=0,0,IF(MAX($F9:MPZ9)=$D12,0,MPZ9+1))</f>
        <v>0</v>
      </c>
      <c r="MQB9" s="26">
        <f>IF(MQB7=0,0,IF(MAX($F9:MQA9)=$D12,0,MQA9+1))</f>
        <v>0</v>
      </c>
      <c r="MQC9" s="26">
        <f>IF(MQC7=0,0,IF(MAX($F9:MQB9)=$D12,0,MQB9+1))</f>
        <v>0</v>
      </c>
      <c r="MQD9" s="26">
        <f>IF(MQD7=0,0,IF(MAX($F9:MQC9)=$D12,0,MQC9+1))</f>
        <v>0</v>
      </c>
      <c r="MQE9" s="26">
        <f>IF(MQE7=0,0,IF(MAX($F9:MQD9)=$D12,0,MQD9+1))</f>
        <v>0</v>
      </c>
      <c r="MQF9" s="26">
        <f>IF(MQF7=0,0,IF(MAX($F9:MQE9)=$D12,0,MQE9+1))</f>
        <v>0</v>
      </c>
      <c r="MQG9" s="26">
        <f>IF(MQG7=0,0,IF(MAX($F9:MQF9)=$D12,0,MQF9+1))</f>
        <v>0</v>
      </c>
      <c r="MQH9" s="26">
        <f>IF(MQH7=0,0,IF(MAX($F9:MQG9)=$D12,0,MQG9+1))</f>
        <v>0</v>
      </c>
      <c r="MQI9" s="26">
        <f>IF(MQI7=0,0,IF(MAX($F9:MQH9)=$D12,0,MQH9+1))</f>
        <v>0</v>
      </c>
      <c r="MQJ9" s="26">
        <f>IF(MQJ7=0,0,IF(MAX($F9:MQI9)=$D12,0,MQI9+1))</f>
        <v>0</v>
      </c>
      <c r="MQK9" s="26">
        <f>IF(MQK7=0,0,IF(MAX($F9:MQJ9)=$D12,0,MQJ9+1))</f>
        <v>0</v>
      </c>
      <c r="MQL9" s="26">
        <f>IF(MQL7=0,0,IF(MAX($F9:MQK9)=$D12,0,MQK9+1))</f>
        <v>0</v>
      </c>
      <c r="MQM9" s="26">
        <f>IF(MQM7=0,0,IF(MAX($F9:MQL9)=$D12,0,MQL9+1))</f>
        <v>0</v>
      </c>
      <c r="MQN9" s="26">
        <f>IF(MQN7=0,0,IF(MAX($F9:MQM9)=$D12,0,MQM9+1))</f>
        <v>0</v>
      </c>
      <c r="MQO9" s="26">
        <f>IF(MQO7=0,0,IF(MAX($F9:MQN9)=$D12,0,MQN9+1))</f>
        <v>0</v>
      </c>
      <c r="MQP9" s="26">
        <f>IF(MQP7=0,0,IF(MAX($F9:MQO9)=$D12,0,MQO9+1))</f>
        <v>0</v>
      </c>
      <c r="MQQ9" s="26">
        <f>IF(MQQ7=0,0,IF(MAX($F9:MQP9)=$D12,0,MQP9+1))</f>
        <v>0</v>
      </c>
      <c r="MQR9" s="26">
        <f>IF(MQR7=0,0,IF(MAX($F9:MQQ9)=$D12,0,MQQ9+1))</f>
        <v>0</v>
      </c>
      <c r="MQS9" s="26">
        <f>IF(MQS7=0,0,IF(MAX($F9:MQR9)=$D12,0,MQR9+1))</f>
        <v>0</v>
      </c>
      <c r="MQT9" s="26">
        <f>IF(MQT7=0,0,IF(MAX($F9:MQS9)=$D12,0,MQS9+1))</f>
        <v>0</v>
      </c>
      <c r="MQU9" s="26">
        <f>IF(MQU7=0,0,IF(MAX($F9:MQT9)=$D12,0,MQT9+1))</f>
        <v>0</v>
      </c>
      <c r="MQV9" s="26">
        <f>IF(MQV7=0,0,IF(MAX($F9:MQU9)=$D12,0,MQU9+1))</f>
        <v>0</v>
      </c>
      <c r="MQW9" s="26">
        <f>IF(MQW7=0,0,IF(MAX($F9:MQV9)=$D12,0,MQV9+1))</f>
        <v>0</v>
      </c>
      <c r="MQX9" s="26">
        <f>IF(MQX7=0,0,IF(MAX($F9:MQW9)=$D12,0,MQW9+1))</f>
        <v>0</v>
      </c>
      <c r="MQY9" s="26">
        <f>IF(MQY7=0,0,IF(MAX($F9:MQX9)=$D12,0,MQX9+1))</f>
        <v>0</v>
      </c>
      <c r="MQZ9" s="26">
        <f>IF(MQZ7=0,0,IF(MAX($F9:MQY9)=$D12,0,MQY9+1))</f>
        <v>0</v>
      </c>
      <c r="MRA9" s="26">
        <f>IF(MRA7=0,0,IF(MAX($F9:MQZ9)=$D12,0,MQZ9+1))</f>
        <v>0</v>
      </c>
      <c r="MRB9" s="26">
        <f>IF(MRB7=0,0,IF(MAX($F9:MRA9)=$D12,0,MRA9+1))</f>
        <v>0</v>
      </c>
      <c r="MRC9" s="26">
        <f>IF(MRC7=0,0,IF(MAX($F9:MRB9)=$D12,0,MRB9+1))</f>
        <v>0</v>
      </c>
      <c r="MRD9" s="26">
        <f>IF(MRD7=0,0,IF(MAX($F9:MRC9)=$D12,0,MRC9+1))</f>
        <v>0</v>
      </c>
      <c r="MRE9" s="26">
        <f>IF(MRE7=0,0,IF(MAX($F9:MRD9)=$D12,0,MRD9+1))</f>
        <v>0</v>
      </c>
      <c r="MRF9" s="26">
        <f>IF(MRF7=0,0,IF(MAX($F9:MRE9)=$D12,0,MRE9+1))</f>
        <v>0</v>
      </c>
      <c r="MRG9" s="26">
        <f>IF(MRG7=0,0,IF(MAX($F9:MRF9)=$D12,0,MRF9+1))</f>
        <v>0</v>
      </c>
      <c r="MRH9" s="26">
        <f>IF(MRH7=0,0,IF(MAX($F9:MRG9)=$D12,0,MRG9+1))</f>
        <v>0</v>
      </c>
      <c r="MRI9" s="26">
        <f>IF(MRI7=0,0,IF(MAX($F9:MRH9)=$D12,0,MRH9+1))</f>
        <v>0</v>
      </c>
      <c r="MRJ9" s="26">
        <f>IF(MRJ7=0,0,IF(MAX($F9:MRI9)=$D12,0,MRI9+1))</f>
        <v>0</v>
      </c>
      <c r="MRK9" s="26">
        <f>IF(MRK7=0,0,IF(MAX($F9:MRJ9)=$D12,0,MRJ9+1))</f>
        <v>0</v>
      </c>
      <c r="MRL9" s="26">
        <f>IF(MRL7=0,0,IF(MAX($F9:MRK9)=$D12,0,MRK9+1))</f>
        <v>0</v>
      </c>
      <c r="MRM9" s="26">
        <f>IF(MRM7=0,0,IF(MAX($F9:MRL9)=$D12,0,MRL9+1))</f>
        <v>0</v>
      </c>
      <c r="MRN9" s="26">
        <f>IF(MRN7=0,0,IF(MAX($F9:MRM9)=$D12,0,MRM9+1))</f>
        <v>0</v>
      </c>
      <c r="MRO9" s="26">
        <f>IF(MRO7=0,0,IF(MAX($F9:MRN9)=$D12,0,MRN9+1))</f>
        <v>0</v>
      </c>
      <c r="MRP9" s="26">
        <f>IF(MRP7=0,0,IF(MAX($F9:MRO9)=$D12,0,MRO9+1))</f>
        <v>0</v>
      </c>
      <c r="MRQ9" s="26">
        <f>IF(MRQ7=0,0,IF(MAX($F9:MRP9)=$D12,0,MRP9+1))</f>
        <v>0</v>
      </c>
      <c r="MRR9" s="26">
        <f>IF(MRR7=0,0,IF(MAX($F9:MRQ9)=$D12,0,MRQ9+1))</f>
        <v>0</v>
      </c>
      <c r="MRS9" s="26">
        <f>IF(MRS7=0,0,IF(MAX($F9:MRR9)=$D12,0,MRR9+1))</f>
        <v>0</v>
      </c>
      <c r="MRT9" s="26">
        <f>IF(MRT7=0,0,IF(MAX($F9:MRS9)=$D12,0,MRS9+1))</f>
        <v>0</v>
      </c>
      <c r="MRU9" s="26">
        <f>IF(MRU7=0,0,IF(MAX($F9:MRT9)=$D12,0,MRT9+1))</f>
        <v>0</v>
      </c>
      <c r="MRV9" s="26">
        <f>IF(MRV7=0,0,IF(MAX($F9:MRU9)=$D12,0,MRU9+1))</f>
        <v>0</v>
      </c>
      <c r="MRW9" s="26">
        <f>IF(MRW7=0,0,IF(MAX($F9:MRV9)=$D12,0,MRV9+1))</f>
        <v>0</v>
      </c>
      <c r="MRX9" s="26">
        <f>IF(MRX7=0,0,IF(MAX($F9:MRW9)=$D12,0,MRW9+1))</f>
        <v>0</v>
      </c>
      <c r="MRY9" s="26">
        <f>IF(MRY7=0,0,IF(MAX($F9:MRX9)=$D12,0,MRX9+1))</f>
        <v>0</v>
      </c>
      <c r="MRZ9" s="26">
        <f>IF(MRZ7=0,0,IF(MAX($F9:MRY9)=$D12,0,MRY9+1))</f>
        <v>0</v>
      </c>
      <c r="MSA9" s="26">
        <f>IF(MSA7=0,0,IF(MAX($F9:MRZ9)=$D12,0,MRZ9+1))</f>
        <v>0</v>
      </c>
      <c r="MSB9" s="26">
        <f>IF(MSB7=0,0,IF(MAX($F9:MSA9)=$D12,0,MSA9+1))</f>
        <v>0</v>
      </c>
      <c r="MSC9" s="26">
        <f>IF(MSC7=0,0,IF(MAX($F9:MSB9)=$D12,0,MSB9+1))</f>
        <v>0</v>
      </c>
      <c r="MSD9" s="26">
        <f>IF(MSD7=0,0,IF(MAX($F9:MSC9)=$D12,0,MSC9+1))</f>
        <v>0</v>
      </c>
      <c r="MSE9" s="26">
        <f>IF(MSE7=0,0,IF(MAX($F9:MSD9)=$D12,0,MSD9+1))</f>
        <v>0</v>
      </c>
      <c r="MSF9" s="26">
        <f>IF(MSF7=0,0,IF(MAX($F9:MSE9)=$D12,0,MSE9+1))</f>
        <v>0</v>
      </c>
      <c r="MSG9" s="26">
        <f>IF(MSG7=0,0,IF(MAX($F9:MSF9)=$D12,0,MSF9+1))</f>
        <v>0</v>
      </c>
      <c r="MSH9" s="26">
        <f>IF(MSH7=0,0,IF(MAX($F9:MSG9)=$D12,0,MSG9+1))</f>
        <v>0</v>
      </c>
      <c r="MSI9" s="26">
        <f>IF(MSI7=0,0,IF(MAX($F9:MSH9)=$D12,0,MSH9+1))</f>
        <v>0</v>
      </c>
      <c r="MSJ9" s="26">
        <f>IF(MSJ7=0,0,IF(MAX($F9:MSI9)=$D12,0,MSI9+1))</f>
        <v>0</v>
      </c>
      <c r="MSK9" s="26">
        <f>IF(MSK7=0,0,IF(MAX($F9:MSJ9)=$D12,0,MSJ9+1))</f>
        <v>0</v>
      </c>
      <c r="MSL9" s="26">
        <f>IF(MSL7=0,0,IF(MAX($F9:MSK9)=$D12,0,MSK9+1))</f>
        <v>0</v>
      </c>
      <c r="MSM9" s="26">
        <f>IF(MSM7=0,0,IF(MAX($F9:MSL9)=$D12,0,MSL9+1))</f>
        <v>0</v>
      </c>
      <c r="MSN9" s="26">
        <f>IF(MSN7=0,0,IF(MAX($F9:MSM9)=$D12,0,MSM9+1))</f>
        <v>0</v>
      </c>
      <c r="MSO9" s="26">
        <f>IF(MSO7=0,0,IF(MAX($F9:MSN9)=$D12,0,MSN9+1))</f>
        <v>0</v>
      </c>
      <c r="MSP9" s="26">
        <f>IF(MSP7=0,0,IF(MAX($F9:MSO9)=$D12,0,MSO9+1))</f>
        <v>0</v>
      </c>
      <c r="MSQ9" s="26">
        <f>IF(MSQ7=0,0,IF(MAX($F9:MSP9)=$D12,0,MSP9+1))</f>
        <v>0</v>
      </c>
      <c r="MSR9" s="26">
        <f>IF(MSR7=0,0,IF(MAX($F9:MSQ9)=$D12,0,MSQ9+1))</f>
        <v>0</v>
      </c>
      <c r="MSS9" s="26">
        <f>IF(MSS7=0,0,IF(MAX($F9:MSR9)=$D12,0,MSR9+1))</f>
        <v>0</v>
      </c>
      <c r="MST9" s="26">
        <f>IF(MST7=0,0,IF(MAX($F9:MSS9)=$D12,0,MSS9+1))</f>
        <v>0</v>
      </c>
      <c r="MSU9" s="26">
        <f>IF(MSU7=0,0,IF(MAX($F9:MST9)=$D12,0,MST9+1))</f>
        <v>0</v>
      </c>
      <c r="MSV9" s="26">
        <f>IF(MSV7=0,0,IF(MAX($F9:MSU9)=$D12,0,MSU9+1))</f>
        <v>0</v>
      </c>
      <c r="MSW9" s="26">
        <f>IF(MSW7=0,0,IF(MAX($F9:MSV9)=$D12,0,MSV9+1))</f>
        <v>0</v>
      </c>
      <c r="MSX9" s="26">
        <f>IF(MSX7=0,0,IF(MAX($F9:MSW9)=$D12,0,MSW9+1))</f>
        <v>0</v>
      </c>
      <c r="MSY9" s="26">
        <f>IF(MSY7=0,0,IF(MAX($F9:MSX9)=$D12,0,MSX9+1))</f>
        <v>0</v>
      </c>
      <c r="MSZ9" s="26">
        <f>IF(MSZ7=0,0,IF(MAX($F9:MSY9)=$D12,0,MSY9+1))</f>
        <v>0</v>
      </c>
      <c r="MTA9" s="26">
        <f>IF(MTA7=0,0,IF(MAX($F9:MSZ9)=$D12,0,MSZ9+1))</f>
        <v>0</v>
      </c>
      <c r="MTB9" s="26">
        <f>IF(MTB7=0,0,IF(MAX($F9:MTA9)=$D12,0,MTA9+1))</f>
        <v>0</v>
      </c>
      <c r="MTC9" s="26">
        <f>IF(MTC7=0,0,IF(MAX($F9:MTB9)=$D12,0,MTB9+1))</f>
        <v>0</v>
      </c>
      <c r="MTD9" s="26">
        <f>IF(MTD7=0,0,IF(MAX($F9:MTC9)=$D12,0,MTC9+1))</f>
        <v>0</v>
      </c>
      <c r="MTE9" s="26">
        <f>IF(MTE7=0,0,IF(MAX($F9:MTD9)=$D12,0,MTD9+1))</f>
        <v>0</v>
      </c>
      <c r="MTF9" s="26">
        <f>IF(MTF7=0,0,IF(MAX($F9:MTE9)=$D12,0,MTE9+1))</f>
        <v>0</v>
      </c>
      <c r="MTG9" s="26">
        <f>IF(MTG7=0,0,IF(MAX($F9:MTF9)=$D12,0,MTF9+1))</f>
        <v>0</v>
      </c>
      <c r="MTH9" s="26">
        <f>IF(MTH7=0,0,IF(MAX($F9:MTG9)=$D12,0,MTG9+1))</f>
        <v>0</v>
      </c>
      <c r="MTI9" s="26">
        <f>IF(MTI7=0,0,IF(MAX($F9:MTH9)=$D12,0,MTH9+1))</f>
        <v>0</v>
      </c>
      <c r="MTJ9" s="26">
        <f>IF(MTJ7=0,0,IF(MAX($F9:MTI9)=$D12,0,MTI9+1))</f>
        <v>0</v>
      </c>
      <c r="MTK9" s="26">
        <f>IF(MTK7=0,0,IF(MAX($F9:MTJ9)=$D12,0,MTJ9+1))</f>
        <v>0</v>
      </c>
      <c r="MTL9" s="26">
        <f>IF(MTL7=0,0,IF(MAX($F9:MTK9)=$D12,0,MTK9+1))</f>
        <v>0</v>
      </c>
      <c r="MTM9" s="26">
        <f>IF(MTM7=0,0,IF(MAX($F9:MTL9)=$D12,0,MTL9+1))</f>
        <v>0</v>
      </c>
      <c r="MTN9" s="26">
        <f>IF(MTN7=0,0,IF(MAX($F9:MTM9)=$D12,0,MTM9+1))</f>
        <v>0</v>
      </c>
      <c r="MTO9" s="26">
        <f>IF(MTO7=0,0,IF(MAX($F9:MTN9)=$D12,0,MTN9+1))</f>
        <v>0</v>
      </c>
      <c r="MTP9" s="26">
        <f>IF(MTP7=0,0,IF(MAX($F9:MTO9)=$D12,0,MTO9+1))</f>
        <v>0</v>
      </c>
      <c r="MTQ9" s="26">
        <f>IF(MTQ7=0,0,IF(MAX($F9:MTP9)=$D12,0,MTP9+1))</f>
        <v>0</v>
      </c>
      <c r="MTR9" s="26">
        <f>IF(MTR7=0,0,IF(MAX($F9:MTQ9)=$D12,0,MTQ9+1))</f>
        <v>0</v>
      </c>
      <c r="MTS9" s="26">
        <f>IF(MTS7=0,0,IF(MAX($F9:MTR9)=$D12,0,MTR9+1))</f>
        <v>0</v>
      </c>
      <c r="MTT9" s="26">
        <f>IF(MTT7=0,0,IF(MAX($F9:MTS9)=$D12,0,MTS9+1))</f>
        <v>0</v>
      </c>
      <c r="MTU9" s="26">
        <f>IF(MTU7=0,0,IF(MAX($F9:MTT9)=$D12,0,MTT9+1))</f>
        <v>0</v>
      </c>
      <c r="MTV9" s="26">
        <f>IF(MTV7=0,0,IF(MAX($F9:MTU9)=$D12,0,MTU9+1))</f>
        <v>0</v>
      </c>
      <c r="MTW9" s="26">
        <f>IF(MTW7=0,0,IF(MAX($F9:MTV9)=$D12,0,MTV9+1))</f>
        <v>0</v>
      </c>
      <c r="MTX9" s="26">
        <f>IF(MTX7=0,0,IF(MAX($F9:MTW9)=$D12,0,MTW9+1))</f>
        <v>0</v>
      </c>
      <c r="MTY9" s="26">
        <f>IF(MTY7=0,0,IF(MAX($F9:MTX9)=$D12,0,MTX9+1))</f>
        <v>0</v>
      </c>
      <c r="MTZ9" s="26">
        <f>IF(MTZ7=0,0,IF(MAX($F9:MTY9)=$D12,0,MTY9+1))</f>
        <v>0</v>
      </c>
      <c r="MUA9" s="26">
        <f>IF(MUA7=0,0,IF(MAX($F9:MTZ9)=$D12,0,MTZ9+1))</f>
        <v>0</v>
      </c>
      <c r="MUB9" s="26">
        <f>IF(MUB7=0,0,IF(MAX($F9:MUA9)=$D12,0,MUA9+1))</f>
        <v>0</v>
      </c>
      <c r="MUC9" s="26">
        <f>IF(MUC7=0,0,IF(MAX($F9:MUB9)=$D12,0,MUB9+1))</f>
        <v>0</v>
      </c>
      <c r="MUD9" s="26">
        <f>IF(MUD7=0,0,IF(MAX($F9:MUC9)=$D12,0,MUC9+1))</f>
        <v>0</v>
      </c>
      <c r="MUE9" s="26">
        <f>IF(MUE7=0,0,IF(MAX($F9:MUD9)=$D12,0,MUD9+1))</f>
        <v>0</v>
      </c>
      <c r="MUF9" s="26">
        <f>IF(MUF7=0,0,IF(MAX($F9:MUE9)=$D12,0,MUE9+1))</f>
        <v>0</v>
      </c>
      <c r="MUG9" s="26">
        <f>IF(MUG7=0,0,IF(MAX($F9:MUF9)=$D12,0,MUF9+1))</f>
        <v>0</v>
      </c>
      <c r="MUH9" s="26">
        <f>IF(MUH7=0,0,IF(MAX($F9:MUG9)=$D12,0,MUG9+1))</f>
        <v>0</v>
      </c>
      <c r="MUI9" s="26">
        <f>IF(MUI7=0,0,IF(MAX($F9:MUH9)=$D12,0,MUH9+1))</f>
        <v>0</v>
      </c>
      <c r="MUJ9" s="26">
        <f>IF(MUJ7=0,0,IF(MAX($F9:MUI9)=$D12,0,MUI9+1))</f>
        <v>0</v>
      </c>
      <c r="MUK9" s="26">
        <f>IF(MUK7=0,0,IF(MAX($F9:MUJ9)=$D12,0,MUJ9+1))</f>
        <v>0</v>
      </c>
      <c r="MUL9" s="26">
        <f>IF(MUL7=0,0,IF(MAX($F9:MUK9)=$D12,0,MUK9+1))</f>
        <v>0</v>
      </c>
      <c r="MUM9" s="26">
        <f>IF(MUM7=0,0,IF(MAX($F9:MUL9)=$D12,0,MUL9+1))</f>
        <v>0</v>
      </c>
      <c r="MUN9" s="26">
        <f>IF(MUN7=0,0,IF(MAX($F9:MUM9)=$D12,0,MUM9+1))</f>
        <v>0</v>
      </c>
      <c r="MUO9" s="26">
        <f>IF(MUO7=0,0,IF(MAX($F9:MUN9)=$D12,0,MUN9+1))</f>
        <v>0</v>
      </c>
      <c r="MUP9" s="26">
        <f>IF(MUP7=0,0,IF(MAX($F9:MUO9)=$D12,0,MUO9+1))</f>
        <v>0</v>
      </c>
      <c r="MUQ9" s="26">
        <f>IF(MUQ7=0,0,IF(MAX($F9:MUP9)=$D12,0,MUP9+1))</f>
        <v>0</v>
      </c>
      <c r="MUR9" s="26">
        <f>IF(MUR7=0,0,IF(MAX($F9:MUQ9)=$D12,0,MUQ9+1))</f>
        <v>0</v>
      </c>
      <c r="MUS9" s="26">
        <f>IF(MUS7=0,0,IF(MAX($F9:MUR9)=$D12,0,MUR9+1))</f>
        <v>0</v>
      </c>
      <c r="MUT9" s="26">
        <f>IF(MUT7=0,0,IF(MAX($F9:MUS9)=$D12,0,MUS9+1))</f>
        <v>0</v>
      </c>
      <c r="MUU9" s="26">
        <f>IF(MUU7=0,0,IF(MAX($F9:MUT9)=$D12,0,MUT9+1))</f>
        <v>0</v>
      </c>
      <c r="MUV9" s="26">
        <f>IF(MUV7=0,0,IF(MAX($F9:MUU9)=$D12,0,MUU9+1))</f>
        <v>0</v>
      </c>
      <c r="MUW9" s="26">
        <f>IF(MUW7=0,0,IF(MAX($F9:MUV9)=$D12,0,MUV9+1))</f>
        <v>0</v>
      </c>
      <c r="MUX9" s="26">
        <f>IF(MUX7=0,0,IF(MAX($F9:MUW9)=$D12,0,MUW9+1))</f>
        <v>0</v>
      </c>
      <c r="MUY9" s="26">
        <f>IF(MUY7=0,0,IF(MAX($F9:MUX9)=$D12,0,MUX9+1))</f>
        <v>0</v>
      </c>
      <c r="MUZ9" s="26">
        <f>IF(MUZ7=0,0,IF(MAX($F9:MUY9)=$D12,0,MUY9+1))</f>
        <v>0</v>
      </c>
      <c r="MVA9" s="26">
        <f>IF(MVA7=0,0,IF(MAX($F9:MUZ9)=$D12,0,MUZ9+1))</f>
        <v>0</v>
      </c>
      <c r="MVB9" s="26">
        <f>IF(MVB7=0,0,IF(MAX($F9:MVA9)=$D12,0,MVA9+1))</f>
        <v>0</v>
      </c>
      <c r="MVC9" s="26">
        <f>IF(MVC7=0,0,IF(MAX($F9:MVB9)=$D12,0,MVB9+1))</f>
        <v>0</v>
      </c>
      <c r="MVD9" s="26">
        <f>IF(MVD7=0,0,IF(MAX($F9:MVC9)=$D12,0,MVC9+1))</f>
        <v>0</v>
      </c>
      <c r="MVE9" s="26">
        <f>IF(MVE7=0,0,IF(MAX($F9:MVD9)=$D12,0,MVD9+1))</f>
        <v>0</v>
      </c>
      <c r="MVF9" s="26">
        <f>IF(MVF7=0,0,IF(MAX($F9:MVE9)=$D12,0,MVE9+1))</f>
        <v>0</v>
      </c>
      <c r="MVG9" s="26">
        <f>IF(MVG7=0,0,IF(MAX($F9:MVF9)=$D12,0,MVF9+1))</f>
        <v>0</v>
      </c>
      <c r="MVH9" s="26">
        <f>IF(MVH7=0,0,IF(MAX($F9:MVG9)=$D12,0,MVG9+1))</f>
        <v>0</v>
      </c>
      <c r="MVI9" s="26">
        <f>IF(MVI7=0,0,IF(MAX($F9:MVH9)=$D12,0,MVH9+1))</f>
        <v>0</v>
      </c>
      <c r="MVJ9" s="26">
        <f>IF(MVJ7=0,0,IF(MAX($F9:MVI9)=$D12,0,MVI9+1))</f>
        <v>0</v>
      </c>
      <c r="MVK9" s="26">
        <f>IF(MVK7=0,0,IF(MAX($F9:MVJ9)=$D12,0,MVJ9+1))</f>
        <v>0</v>
      </c>
      <c r="MVL9" s="26">
        <f>IF(MVL7=0,0,IF(MAX($F9:MVK9)=$D12,0,MVK9+1))</f>
        <v>0</v>
      </c>
      <c r="MVM9" s="26">
        <f>IF(MVM7=0,0,IF(MAX($F9:MVL9)=$D12,0,MVL9+1))</f>
        <v>0</v>
      </c>
      <c r="MVN9" s="26">
        <f>IF(MVN7=0,0,IF(MAX($F9:MVM9)=$D12,0,MVM9+1))</f>
        <v>0</v>
      </c>
      <c r="MVO9" s="26">
        <f>IF(MVO7=0,0,IF(MAX($F9:MVN9)=$D12,0,MVN9+1))</f>
        <v>0</v>
      </c>
      <c r="MVP9" s="26">
        <f>IF(MVP7=0,0,IF(MAX($F9:MVO9)=$D12,0,MVO9+1))</f>
        <v>0</v>
      </c>
      <c r="MVQ9" s="26">
        <f>IF(MVQ7=0,0,IF(MAX($F9:MVP9)=$D12,0,MVP9+1))</f>
        <v>0</v>
      </c>
      <c r="MVR9" s="26">
        <f>IF(MVR7=0,0,IF(MAX($F9:MVQ9)=$D12,0,MVQ9+1))</f>
        <v>0</v>
      </c>
      <c r="MVS9" s="26">
        <f>IF(MVS7=0,0,IF(MAX($F9:MVR9)=$D12,0,MVR9+1))</f>
        <v>0</v>
      </c>
      <c r="MVT9" s="26">
        <f>IF(MVT7=0,0,IF(MAX($F9:MVS9)=$D12,0,MVS9+1))</f>
        <v>0</v>
      </c>
      <c r="MVU9" s="26">
        <f>IF(MVU7=0,0,IF(MAX($F9:MVT9)=$D12,0,MVT9+1))</f>
        <v>0</v>
      </c>
      <c r="MVV9" s="26">
        <f>IF(MVV7=0,0,IF(MAX($F9:MVU9)=$D12,0,MVU9+1))</f>
        <v>0</v>
      </c>
      <c r="MVW9" s="26">
        <f>IF(MVW7=0,0,IF(MAX($F9:MVV9)=$D12,0,MVV9+1))</f>
        <v>0</v>
      </c>
      <c r="MVX9" s="26">
        <f>IF(MVX7=0,0,IF(MAX($F9:MVW9)=$D12,0,MVW9+1))</f>
        <v>0</v>
      </c>
      <c r="MVY9" s="26">
        <f>IF(MVY7=0,0,IF(MAX($F9:MVX9)=$D12,0,MVX9+1))</f>
        <v>0</v>
      </c>
      <c r="MVZ9" s="26">
        <f>IF(MVZ7=0,0,IF(MAX($F9:MVY9)=$D12,0,MVY9+1))</f>
        <v>0</v>
      </c>
      <c r="MWA9" s="26">
        <f>IF(MWA7=0,0,IF(MAX($F9:MVZ9)=$D12,0,MVZ9+1))</f>
        <v>0</v>
      </c>
      <c r="MWB9" s="26">
        <f>IF(MWB7=0,0,IF(MAX($F9:MWA9)=$D12,0,MWA9+1))</f>
        <v>0</v>
      </c>
      <c r="MWC9" s="26">
        <f>IF(MWC7=0,0,IF(MAX($F9:MWB9)=$D12,0,MWB9+1))</f>
        <v>0</v>
      </c>
      <c r="MWD9" s="26">
        <f>IF(MWD7=0,0,IF(MAX($F9:MWC9)=$D12,0,MWC9+1))</f>
        <v>0</v>
      </c>
      <c r="MWE9" s="26">
        <f>IF(MWE7=0,0,IF(MAX($F9:MWD9)=$D12,0,MWD9+1))</f>
        <v>0</v>
      </c>
      <c r="MWF9" s="26">
        <f>IF(MWF7=0,0,IF(MAX($F9:MWE9)=$D12,0,MWE9+1))</f>
        <v>0</v>
      </c>
      <c r="MWG9" s="26">
        <f>IF(MWG7=0,0,IF(MAX($F9:MWF9)=$D12,0,MWF9+1))</f>
        <v>0</v>
      </c>
      <c r="MWH9" s="26">
        <f>IF(MWH7=0,0,IF(MAX($F9:MWG9)=$D12,0,MWG9+1))</f>
        <v>0</v>
      </c>
      <c r="MWI9" s="26">
        <f>IF(MWI7=0,0,IF(MAX($F9:MWH9)=$D12,0,MWH9+1))</f>
        <v>0</v>
      </c>
      <c r="MWJ9" s="26">
        <f>IF(MWJ7=0,0,IF(MAX($F9:MWI9)=$D12,0,MWI9+1))</f>
        <v>0</v>
      </c>
      <c r="MWK9" s="26">
        <f>IF(MWK7=0,0,IF(MAX($F9:MWJ9)=$D12,0,MWJ9+1))</f>
        <v>0</v>
      </c>
      <c r="MWL9" s="26">
        <f>IF(MWL7=0,0,IF(MAX($F9:MWK9)=$D12,0,MWK9+1))</f>
        <v>0</v>
      </c>
      <c r="MWM9" s="26">
        <f>IF(MWM7=0,0,IF(MAX($F9:MWL9)=$D12,0,MWL9+1))</f>
        <v>0</v>
      </c>
      <c r="MWN9" s="26">
        <f>IF(MWN7=0,0,IF(MAX($F9:MWM9)=$D12,0,MWM9+1))</f>
        <v>0</v>
      </c>
      <c r="MWO9" s="26">
        <f>IF(MWO7=0,0,IF(MAX($F9:MWN9)=$D12,0,MWN9+1))</f>
        <v>0</v>
      </c>
      <c r="MWP9" s="26">
        <f>IF(MWP7=0,0,IF(MAX($F9:MWO9)=$D12,0,MWO9+1))</f>
        <v>0</v>
      </c>
      <c r="MWQ9" s="26">
        <f>IF(MWQ7=0,0,IF(MAX($F9:MWP9)=$D12,0,MWP9+1))</f>
        <v>0</v>
      </c>
      <c r="MWR9" s="26">
        <f>IF(MWR7=0,0,IF(MAX($F9:MWQ9)=$D12,0,MWQ9+1))</f>
        <v>0</v>
      </c>
      <c r="MWS9" s="26">
        <f>IF(MWS7=0,0,IF(MAX($F9:MWR9)=$D12,0,MWR9+1))</f>
        <v>0</v>
      </c>
      <c r="MWT9" s="26">
        <f>IF(MWT7=0,0,IF(MAX($F9:MWS9)=$D12,0,MWS9+1))</f>
        <v>0</v>
      </c>
      <c r="MWU9" s="26">
        <f>IF(MWU7=0,0,IF(MAX($F9:MWT9)=$D12,0,MWT9+1))</f>
        <v>0</v>
      </c>
      <c r="MWV9" s="26">
        <f>IF(MWV7=0,0,IF(MAX($F9:MWU9)=$D12,0,MWU9+1))</f>
        <v>0</v>
      </c>
      <c r="MWW9" s="26">
        <f>IF(MWW7=0,0,IF(MAX($F9:MWV9)=$D12,0,MWV9+1))</f>
        <v>0</v>
      </c>
      <c r="MWX9" s="26">
        <f>IF(MWX7=0,0,IF(MAX($F9:MWW9)=$D12,0,MWW9+1))</f>
        <v>0</v>
      </c>
      <c r="MWY9" s="26">
        <f>IF(MWY7=0,0,IF(MAX($F9:MWX9)=$D12,0,MWX9+1))</f>
        <v>0</v>
      </c>
      <c r="MWZ9" s="26">
        <f>IF(MWZ7=0,0,IF(MAX($F9:MWY9)=$D12,0,MWY9+1))</f>
        <v>0</v>
      </c>
      <c r="MXA9" s="26">
        <f>IF(MXA7=0,0,IF(MAX($F9:MWZ9)=$D12,0,MWZ9+1))</f>
        <v>0</v>
      </c>
      <c r="MXB9" s="26">
        <f>IF(MXB7=0,0,IF(MAX($F9:MXA9)=$D12,0,MXA9+1))</f>
        <v>0</v>
      </c>
      <c r="MXC9" s="26">
        <f>IF(MXC7=0,0,IF(MAX($F9:MXB9)=$D12,0,MXB9+1))</f>
        <v>0</v>
      </c>
      <c r="MXD9" s="26">
        <f>IF(MXD7=0,0,IF(MAX($F9:MXC9)=$D12,0,MXC9+1))</f>
        <v>0</v>
      </c>
      <c r="MXE9" s="26">
        <f>IF(MXE7=0,0,IF(MAX($F9:MXD9)=$D12,0,MXD9+1))</f>
        <v>0</v>
      </c>
      <c r="MXF9" s="26">
        <f>IF(MXF7=0,0,IF(MAX($F9:MXE9)=$D12,0,MXE9+1))</f>
        <v>0</v>
      </c>
      <c r="MXG9" s="26">
        <f>IF(MXG7=0,0,IF(MAX($F9:MXF9)=$D12,0,MXF9+1))</f>
        <v>0</v>
      </c>
      <c r="MXH9" s="26">
        <f>IF(MXH7=0,0,IF(MAX($F9:MXG9)=$D12,0,MXG9+1))</f>
        <v>0</v>
      </c>
      <c r="MXI9" s="26">
        <f>IF(MXI7=0,0,IF(MAX($F9:MXH9)=$D12,0,MXH9+1))</f>
        <v>0</v>
      </c>
      <c r="MXJ9" s="26">
        <f>IF(MXJ7=0,0,IF(MAX($F9:MXI9)=$D12,0,MXI9+1))</f>
        <v>0</v>
      </c>
      <c r="MXK9" s="26">
        <f>IF(MXK7=0,0,IF(MAX($F9:MXJ9)=$D12,0,MXJ9+1))</f>
        <v>0</v>
      </c>
      <c r="MXL9" s="26">
        <f>IF(MXL7=0,0,IF(MAX($F9:MXK9)=$D12,0,MXK9+1))</f>
        <v>0</v>
      </c>
      <c r="MXM9" s="26">
        <f>IF(MXM7=0,0,IF(MAX($F9:MXL9)=$D12,0,MXL9+1))</f>
        <v>0</v>
      </c>
      <c r="MXN9" s="26">
        <f>IF(MXN7=0,0,IF(MAX($F9:MXM9)=$D12,0,MXM9+1))</f>
        <v>0</v>
      </c>
      <c r="MXO9" s="26">
        <f>IF(MXO7=0,0,IF(MAX($F9:MXN9)=$D12,0,MXN9+1))</f>
        <v>0</v>
      </c>
      <c r="MXP9" s="26">
        <f>IF(MXP7=0,0,IF(MAX($F9:MXO9)=$D12,0,MXO9+1))</f>
        <v>0</v>
      </c>
      <c r="MXQ9" s="26">
        <f>IF(MXQ7=0,0,IF(MAX($F9:MXP9)=$D12,0,MXP9+1))</f>
        <v>0</v>
      </c>
      <c r="MXR9" s="26">
        <f>IF(MXR7=0,0,IF(MAX($F9:MXQ9)=$D12,0,MXQ9+1))</f>
        <v>0</v>
      </c>
      <c r="MXS9" s="26">
        <f>IF(MXS7=0,0,IF(MAX($F9:MXR9)=$D12,0,MXR9+1))</f>
        <v>0</v>
      </c>
      <c r="MXT9" s="26">
        <f>IF(MXT7=0,0,IF(MAX($F9:MXS9)=$D12,0,MXS9+1))</f>
        <v>0</v>
      </c>
      <c r="MXU9" s="26">
        <f>IF(MXU7=0,0,IF(MAX($F9:MXT9)=$D12,0,MXT9+1))</f>
        <v>0</v>
      </c>
      <c r="MXV9" s="26">
        <f>IF(MXV7=0,0,IF(MAX($F9:MXU9)=$D12,0,MXU9+1))</f>
        <v>0</v>
      </c>
      <c r="MXW9" s="26">
        <f>IF(MXW7=0,0,IF(MAX($F9:MXV9)=$D12,0,MXV9+1))</f>
        <v>0</v>
      </c>
      <c r="MXX9" s="26">
        <f>IF(MXX7=0,0,IF(MAX($F9:MXW9)=$D12,0,MXW9+1))</f>
        <v>0</v>
      </c>
      <c r="MXY9" s="26">
        <f>IF(MXY7=0,0,IF(MAX($F9:MXX9)=$D12,0,MXX9+1))</f>
        <v>0</v>
      </c>
      <c r="MXZ9" s="26">
        <f>IF(MXZ7=0,0,IF(MAX($F9:MXY9)=$D12,0,MXY9+1))</f>
        <v>0</v>
      </c>
      <c r="MYA9" s="26">
        <f>IF(MYA7=0,0,IF(MAX($F9:MXZ9)=$D12,0,MXZ9+1))</f>
        <v>0</v>
      </c>
      <c r="MYB9" s="26">
        <f>IF(MYB7=0,0,IF(MAX($F9:MYA9)=$D12,0,MYA9+1))</f>
        <v>0</v>
      </c>
      <c r="MYC9" s="26">
        <f>IF(MYC7=0,0,IF(MAX($F9:MYB9)=$D12,0,MYB9+1))</f>
        <v>0</v>
      </c>
      <c r="MYD9" s="26">
        <f>IF(MYD7=0,0,IF(MAX($F9:MYC9)=$D12,0,MYC9+1))</f>
        <v>0</v>
      </c>
      <c r="MYE9" s="26">
        <f>IF(MYE7=0,0,IF(MAX($F9:MYD9)=$D12,0,MYD9+1))</f>
        <v>0</v>
      </c>
      <c r="MYF9" s="26">
        <f>IF(MYF7=0,0,IF(MAX($F9:MYE9)=$D12,0,MYE9+1))</f>
        <v>0</v>
      </c>
      <c r="MYG9" s="26">
        <f>IF(MYG7=0,0,IF(MAX($F9:MYF9)=$D12,0,MYF9+1))</f>
        <v>0</v>
      </c>
      <c r="MYH9" s="26">
        <f>IF(MYH7=0,0,IF(MAX($F9:MYG9)=$D12,0,MYG9+1))</f>
        <v>0</v>
      </c>
      <c r="MYI9" s="26">
        <f>IF(MYI7=0,0,IF(MAX($F9:MYH9)=$D12,0,MYH9+1))</f>
        <v>0</v>
      </c>
      <c r="MYJ9" s="26">
        <f>IF(MYJ7=0,0,IF(MAX($F9:MYI9)=$D12,0,MYI9+1))</f>
        <v>0</v>
      </c>
      <c r="MYK9" s="26">
        <f>IF(MYK7=0,0,IF(MAX($F9:MYJ9)=$D12,0,MYJ9+1))</f>
        <v>0</v>
      </c>
      <c r="MYL9" s="26">
        <f>IF(MYL7=0,0,IF(MAX($F9:MYK9)=$D12,0,MYK9+1))</f>
        <v>0</v>
      </c>
      <c r="MYM9" s="26">
        <f>IF(MYM7=0,0,IF(MAX($F9:MYL9)=$D12,0,MYL9+1))</f>
        <v>0</v>
      </c>
      <c r="MYN9" s="26">
        <f>IF(MYN7=0,0,IF(MAX($F9:MYM9)=$D12,0,MYM9+1))</f>
        <v>0</v>
      </c>
      <c r="MYO9" s="26">
        <f>IF(MYO7=0,0,IF(MAX($F9:MYN9)=$D12,0,MYN9+1))</f>
        <v>0</v>
      </c>
      <c r="MYP9" s="26">
        <f>IF(MYP7=0,0,IF(MAX($F9:MYO9)=$D12,0,MYO9+1))</f>
        <v>0</v>
      </c>
      <c r="MYQ9" s="26">
        <f>IF(MYQ7=0,0,IF(MAX($F9:MYP9)=$D12,0,MYP9+1))</f>
        <v>0</v>
      </c>
      <c r="MYR9" s="26">
        <f>IF(MYR7=0,0,IF(MAX($F9:MYQ9)=$D12,0,MYQ9+1))</f>
        <v>0</v>
      </c>
      <c r="MYS9" s="26">
        <f>IF(MYS7=0,0,IF(MAX($F9:MYR9)=$D12,0,MYR9+1))</f>
        <v>0</v>
      </c>
      <c r="MYT9" s="26">
        <f>IF(MYT7=0,0,IF(MAX($F9:MYS9)=$D12,0,MYS9+1))</f>
        <v>0</v>
      </c>
      <c r="MYU9" s="26">
        <f>IF(MYU7=0,0,IF(MAX($F9:MYT9)=$D12,0,MYT9+1))</f>
        <v>0</v>
      </c>
      <c r="MYV9" s="26">
        <f>IF(MYV7=0,0,IF(MAX($F9:MYU9)=$D12,0,MYU9+1))</f>
        <v>0</v>
      </c>
      <c r="MYW9" s="26">
        <f>IF(MYW7=0,0,IF(MAX($F9:MYV9)=$D12,0,MYV9+1))</f>
        <v>0</v>
      </c>
      <c r="MYX9" s="26">
        <f>IF(MYX7=0,0,IF(MAX($F9:MYW9)=$D12,0,MYW9+1))</f>
        <v>0</v>
      </c>
      <c r="MYY9" s="26">
        <f>IF(MYY7=0,0,IF(MAX($F9:MYX9)=$D12,0,MYX9+1))</f>
        <v>0</v>
      </c>
      <c r="MYZ9" s="26">
        <f>IF(MYZ7=0,0,IF(MAX($F9:MYY9)=$D12,0,MYY9+1))</f>
        <v>0</v>
      </c>
      <c r="MZA9" s="26">
        <f>IF(MZA7=0,0,IF(MAX($F9:MYZ9)=$D12,0,MYZ9+1))</f>
        <v>0</v>
      </c>
      <c r="MZB9" s="26">
        <f>IF(MZB7=0,0,IF(MAX($F9:MZA9)=$D12,0,MZA9+1))</f>
        <v>0</v>
      </c>
      <c r="MZC9" s="26">
        <f>IF(MZC7=0,0,IF(MAX($F9:MZB9)=$D12,0,MZB9+1))</f>
        <v>0</v>
      </c>
      <c r="MZD9" s="26">
        <f>IF(MZD7=0,0,IF(MAX($F9:MZC9)=$D12,0,MZC9+1))</f>
        <v>0</v>
      </c>
      <c r="MZE9" s="26">
        <f>IF(MZE7=0,0,IF(MAX($F9:MZD9)=$D12,0,MZD9+1))</f>
        <v>0</v>
      </c>
      <c r="MZF9" s="26">
        <f>IF(MZF7=0,0,IF(MAX($F9:MZE9)=$D12,0,MZE9+1))</f>
        <v>0</v>
      </c>
      <c r="MZG9" s="26">
        <f>IF(MZG7=0,0,IF(MAX($F9:MZF9)=$D12,0,MZF9+1))</f>
        <v>0</v>
      </c>
      <c r="MZH9" s="26">
        <f>IF(MZH7=0,0,IF(MAX($F9:MZG9)=$D12,0,MZG9+1))</f>
        <v>0</v>
      </c>
      <c r="MZI9" s="26">
        <f>IF(MZI7=0,0,IF(MAX($F9:MZH9)=$D12,0,MZH9+1))</f>
        <v>0</v>
      </c>
      <c r="MZJ9" s="26">
        <f>IF(MZJ7=0,0,IF(MAX($F9:MZI9)=$D12,0,MZI9+1))</f>
        <v>0</v>
      </c>
      <c r="MZK9" s="26">
        <f>IF(MZK7=0,0,IF(MAX($F9:MZJ9)=$D12,0,MZJ9+1))</f>
        <v>0</v>
      </c>
      <c r="MZL9" s="26">
        <f>IF(MZL7=0,0,IF(MAX($F9:MZK9)=$D12,0,MZK9+1))</f>
        <v>0</v>
      </c>
      <c r="MZM9" s="26">
        <f>IF(MZM7=0,0,IF(MAX($F9:MZL9)=$D12,0,MZL9+1))</f>
        <v>0</v>
      </c>
      <c r="MZN9" s="26">
        <f>IF(MZN7=0,0,IF(MAX($F9:MZM9)=$D12,0,MZM9+1))</f>
        <v>0</v>
      </c>
      <c r="MZO9" s="26">
        <f>IF(MZO7=0,0,IF(MAX($F9:MZN9)=$D12,0,MZN9+1))</f>
        <v>0</v>
      </c>
      <c r="MZP9" s="26">
        <f>IF(MZP7=0,0,IF(MAX($F9:MZO9)=$D12,0,MZO9+1))</f>
        <v>0</v>
      </c>
      <c r="MZQ9" s="26">
        <f>IF(MZQ7=0,0,IF(MAX($F9:MZP9)=$D12,0,MZP9+1))</f>
        <v>0</v>
      </c>
      <c r="MZR9" s="26">
        <f>IF(MZR7=0,0,IF(MAX($F9:MZQ9)=$D12,0,MZQ9+1))</f>
        <v>0</v>
      </c>
      <c r="MZS9" s="26">
        <f>IF(MZS7=0,0,IF(MAX($F9:MZR9)=$D12,0,MZR9+1))</f>
        <v>0</v>
      </c>
      <c r="MZT9" s="26">
        <f>IF(MZT7=0,0,IF(MAX($F9:MZS9)=$D12,0,MZS9+1))</f>
        <v>0</v>
      </c>
      <c r="MZU9" s="26">
        <f>IF(MZU7=0,0,IF(MAX($F9:MZT9)=$D12,0,MZT9+1))</f>
        <v>0</v>
      </c>
      <c r="MZV9" s="26">
        <f>IF(MZV7=0,0,IF(MAX($F9:MZU9)=$D12,0,MZU9+1))</f>
        <v>0</v>
      </c>
      <c r="MZW9" s="26">
        <f>IF(MZW7=0,0,IF(MAX($F9:MZV9)=$D12,0,MZV9+1))</f>
        <v>0</v>
      </c>
      <c r="MZX9" s="26">
        <f>IF(MZX7=0,0,IF(MAX($F9:MZW9)=$D12,0,MZW9+1))</f>
        <v>0</v>
      </c>
      <c r="MZY9" s="26">
        <f>IF(MZY7=0,0,IF(MAX($F9:MZX9)=$D12,0,MZX9+1))</f>
        <v>0</v>
      </c>
      <c r="MZZ9" s="26">
        <f>IF(MZZ7=0,0,IF(MAX($F9:MZY9)=$D12,0,MZY9+1))</f>
        <v>0</v>
      </c>
      <c r="NAA9" s="26">
        <f>IF(NAA7=0,0,IF(MAX($F9:MZZ9)=$D12,0,MZZ9+1))</f>
        <v>0</v>
      </c>
      <c r="NAB9" s="26">
        <f>IF(NAB7=0,0,IF(MAX($F9:NAA9)=$D12,0,NAA9+1))</f>
        <v>0</v>
      </c>
      <c r="NAC9" s="26">
        <f>IF(NAC7=0,0,IF(MAX($F9:NAB9)=$D12,0,NAB9+1))</f>
        <v>0</v>
      </c>
      <c r="NAD9" s="26">
        <f>IF(NAD7=0,0,IF(MAX($F9:NAC9)=$D12,0,NAC9+1))</f>
        <v>0</v>
      </c>
      <c r="NAE9" s="26">
        <f>IF(NAE7=0,0,IF(MAX($F9:NAD9)=$D12,0,NAD9+1))</f>
        <v>0</v>
      </c>
      <c r="NAF9" s="26">
        <f>IF(NAF7=0,0,IF(MAX($F9:NAE9)=$D12,0,NAE9+1))</f>
        <v>0</v>
      </c>
      <c r="NAG9" s="26">
        <f>IF(NAG7=0,0,IF(MAX($F9:NAF9)=$D12,0,NAF9+1))</f>
        <v>0</v>
      </c>
      <c r="NAH9" s="26">
        <f>IF(NAH7=0,0,IF(MAX($F9:NAG9)=$D12,0,NAG9+1))</f>
        <v>0</v>
      </c>
      <c r="NAI9" s="26">
        <f>IF(NAI7=0,0,IF(MAX($F9:NAH9)=$D12,0,NAH9+1))</f>
        <v>0</v>
      </c>
      <c r="NAJ9" s="26">
        <f>IF(NAJ7=0,0,IF(MAX($F9:NAI9)=$D12,0,NAI9+1))</f>
        <v>0</v>
      </c>
      <c r="NAK9" s="26">
        <f>IF(NAK7=0,0,IF(MAX($F9:NAJ9)=$D12,0,NAJ9+1))</f>
        <v>0</v>
      </c>
      <c r="NAL9" s="26">
        <f>IF(NAL7=0,0,IF(MAX($F9:NAK9)=$D12,0,NAK9+1))</f>
        <v>0</v>
      </c>
      <c r="NAM9" s="26">
        <f>IF(NAM7=0,0,IF(MAX($F9:NAL9)=$D12,0,NAL9+1))</f>
        <v>0</v>
      </c>
      <c r="NAN9" s="26">
        <f>IF(NAN7=0,0,IF(MAX($F9:NAM9)=$D12,0,NAM9+1))</f>
        <v>0</v>
      </c>
      <c r="NAO9" s="26">
        <f>IF(NAO7=0,0,IF(MAX($F9:NAN9)=$D12,0,NAN9+1))</f>
        <v>0</v>
      </c>
      <c r="NAP9" s="26">
        <f>IF(NAP7=0,0,IF(MAX($F9:NAO9)=$D12,0,NAO9+1))</f>
        <v>0</v>
      </c>
      <c r="NAQ9" s="26">
        <f>IF(NAQ7=0,0,IF(MAX($F9:NAP9)=$D12,0,NAP9+1))</f>
        <v>0</v>
      </c>
      <c r="NAR9" s="26">
        <f>IF(NAR7=0,0,IF(MAX($F9:NAQ9)=$D12,0,NAQ9+1))</f>
        <v>0</v>
      </c>
      <c r="NAS9" s="26">
        <f>IF(NAS7=0,0,IF(MAX($F9:NAR9)=$D12,0,NAR9+1))</f>
        <v>0</v>
      </c>
      <c r="NAT9" s="26">
        <f>IF(NAT7=0,0,IF(MAX($F9:NAS9)=$D12,0,NAS9+1))</f>
        <v>0</v>
      </c>
      <c r="NAU9" s="26">
        <f>IF(NAU7=0,0,IF(MAX($F9:NAT9)=$D12,0,NAT9+1))</f>
        <v>0</v>
      </c>
      <c r="NAV9" s="26">
        <f>IF(NAV7=0,0,IF(MAX($F9:NAU9)=$D12,0,NAU9+1))</f>
        <v>0</v>
      </c>
      <c r="NAW9" s="26">
        <f>IF(NAW7=0,0,IF(MAX($F9:NAV9)=$D12,0,NAV9+1))</f>
        <v>0</v>
      </c>
      <c r="NAX9" s="26">
        <f>IF(NAX7=0,0,IF(MAX($F9:NAW9)=$D12,0,NAW9+1))</f>
        <v>0</v>
      </c>
      <c r="NAY9" s="26">
        <f>IF(NAY7=0,0,IF(MAX($F9:NAX9)=$D12,0,NAX9+1))</f>
        <v>0</v>
      </c>
      <c r="NAZ9" s="26">
        <f>IF(NAZ7=0,0,IF(MAX($F9:NAY9)=$D12,0,NAY9+1))</f>
        <v>0</v>
      </c>
      <c r="NBA9" s="26">
        <f>IF(NBA7=0,0,IF(MAX($F9:NAZ9)=$D12,0,NAZ9+1))</f>
        <v>0</v>
      </c>
      <c r="NBB9" s="26">
        <f>IF(NBB7=0,0,IF(MAX($F9:NBA9)=$D12,0,NBA9+1))</f>
        <v>0</v>
      </c>
      <c r="NBC9" s="26">
        <f>IF(NBC7=0,0,IF(MAX($F9:NBB9)=$D12,0,NBB9+1))</f>
        <v>0</v>
      </c>
      <c r="NBD9" s="26">
        <f>IF(NBD7=0,0,IF(MAX($F9:NBC9)=$D12,0,NBC9+1))</f>
        <v>0</v>
      </c>
      <c r="NBE9" s="26">
        <f>IF(NBE7=0,0,IF(MAX($F9:NBD9)=$D12,0,NBD9+1))</f>
        <v>0</v>
      </c>
      <c r="NBF9" s="26">
        <f>IF(NBF7=0,0,IF(MAX($F9:NBE9)=$D12,0,NBE9+1))</f>
        <v>0</v>
      </c>
      <c r="NBG9" s="26">
        <f>IF(NBG7=0,0,IF(MAX($F9:NBF9)=$D12,0,NBF9+1))</f>
        <v>0</v>
      </c>
      <c r="NBH9" s="26">
        <f>IF(NBH7=0,0,IF(MAX($F9:NBG9)=$D12,0,NBG9+1))</f>
        <v>0</v>
      </c>
      <c r="NBI9" s="26">
        <f>IF(NBI7=0,0,IF(MAX($F9:NBH9)=$D12,0,NBH9+1))</f>
        <v>0</v>
      </c>
      <c r="NBJ9" s="26">
        <f>IF(NBJ7=0,0,IF(MAX($F9:NBI9)=$D12,0,NBI9+1))</f>
        <v>0</v>
      </c>
      <c r="NBK9" s="26">
        <f>IF(NBK7=0,0,IF(MAX($F9:NBJ9)=$D12,0,NBJ9+1))</f>
        <v>0</v>
      </c>
      <c r="NBL9" s="26">
        <f>IF(NBL7=0,0,IF(MAX($F9:NBK9)=$D12,0,NBK9+1))</f>
        <v>0</v>
      </c>
      <c r="NBM9" s="26">
        <f>IF(NBM7=0,0,IF(MAX($F9:NBL9)=$D12,0,NBL9+1))</f>
        <v>0</v>
      </c>
      <c r="NBN9" s="26">
        <f>IF(NBN7=0,0,IF(MAX($F9:NBM9)=$D12,0,NBM9+1))</f>
        <v>0</v>
      </c>
      <c r="NBO9" s="26">
        <f>IF(NBO7=0,0,IF(MAX($F9:NBN9)=$D12,0,NBN9+1))</f>
        <v>0</v>
      </c>
      <c r="NBP9" s="26">
        <f>IF(NBP7=0,0,IF(MAX($F9:NBO9)=$D12,0,NBO9+1))</f>
        <v>0</v>
      </c>
      <c r="NBQ9" s="26">
        <f>IF(NBQ7=0,0,IF(MAX($F9:NBP9)=$D12,0,NBP9+1))</f>
        <v>0</v>
      </c>
      <c r="NBR9" s="26">
        <f>IF(NBR7=0,0,IF(MAX($F9:NBQ9)=$D12,0,NBQ9+1))</f>
        <v>0</v>
      </c>
      <c r="NBS9" s="26">
        <f>IF(NBS7=0,0,IF(MAX($F9:NBR9)=$D12,0,NBR9+1))</f>
        <v>0</v>
      </c>
      <c r="NBT9" s="26">
        <f>IF(NBT7=0,0,IF(MAX($F9:NBS9)=$D12,0,NBS9+1))</f>
        <v>0</v>
      </c>
      <c r="NBU9" s="26">
        <f>IF(NBU7=0,0,IF(MAX($F9:NBT9)=$D12,0,NBT9+1))</f>
        <v>0</v>
      </c>
      <c r="NBV9" s="26">
        <f>IF(NBV7=0,0,IF(MAX($F9:NBU9)=$D12,0,NBU9+1))</f>
        <v>0</v>
      </c>
      <c r="NBW9" s="26">
        <f>IF(NBW7=0,0,IF(MAX($F9:NBV9)=$D12,0,NBV9+1))</f>
        <v>0</v>
      </c>
      <c r="NBX9" s="26">
        <f>IF(NBX7=0,0,IF(MAX($F9:NBW9)=$D12,0,NBW9+1))</f>
        <v>0</v>
      </c>
      <c r="NBY9" s="26">
        <f>IF(NBY7=0,0,IF(MAX($F9:NBX9)=$D12,0,NBX9+1))</f>
        <v>0</v>
      </c>
      <c r="NBZ9" s="26">
        <f>IF(NBZ7=0,0,IF(MAX($F9:NBY9)=$D12,0,NBY9+1))</f>
        <v>0</v>
      </c>
      <c r="NCA9" s="26">
        <f>IF(NCA7=0,0,IF(MAX($F9:NBZ9)=$D12,0,NBZ9+1))</f>
        <v>0</v>
      </c>
      <c r="NCB9" s="26">
        <f>IF(NCB7=0,0,IF(MAX($F9:NCA9)=$D12,0,NCA9+1))</f>
        <v>0</v>
      </c>
      <c r="NCC9" s="26">
        <f>IF(NCC7=0,0,IF(MAX($F9:NCB9)=$D12,0,NCB9+1))</f>
        <v>0</v>
      </c>
      <c r="NCD9" s="26">
        <f>IF(NCD7=0,0,IF(MAX($F9:NCC9)=$D12,0,NCC9+1))</f>
        <v>0</v>
      </c>
      <c r="NCE9" s="26">
        <f>IF(NCE7=0,0,IF(MAX($F9:NCD9)=$D12,0,NCD9+1))</f>
        <v>0</v>
      </c>
      <c r="NCF9" s="26">
        <f>IF(NCF7=0,0,IF(MAX($F9:NCE9)=$D12,0,NCE9+1))</f>
        <v>0</v>
      </c>
      <c r="NCG9" s="26">
        <f>IF(NCG7=0,0,IF(MAX($F9:NCF9)=$D12,0,NCF9+1))</f>
        <v>0</v>
      </c>
      <c r="NCH9" s="26">
        <f>IF(NCH7=0,0,IF(MAX($F9:NCG9)=$D12,0,NCG9+1))</f>
        <v>0</v>
      </c>
      <c r="NCI9" s="26">
        <f>IF(NCI7=0,0,IF(MAX($F9:NCH9)=$D12,0,NCH9+1))</f>
        <v>0</v>
      </c>
      <c r="NCJ9" s="26">
        <f>IF(NCJ7=0,0,IF(MAX($F9:NCI9)=$D12,0,NCI9+1))</f>
        <v>0</v>
      </c>
      <c r="NCK9" s="26">
        <f>IF(NCK7=0,0,IF(MAX($F9:NCJ9)=$D12,0,NCJ9+1))</f>
        <v>0</v>
      </c>
      <c r="NCL9" s="26">
        <f>IF(NCL7=0,0,IF(MAX($F9:NCK9)=$D12,0,NCK9+1))</f>
        <v>0</v>
      </c>
      <c r="NCM9" s="26">
        <f>IF(NCM7=0,0,IF(MAX($F9:NCL9)=$D12,0,NCL9+1))</f>
        <v>0</v>
      </c>
      <c r="NCN9" s="26">
        <f>IF(NCN7=0,0,IF(MAX($F9:NCM9)=$D12,0,NCM9+1))</f>
        <v>0</v>
      </c>
      <c r="NCO9" s="26">
        <f>IF(NCO7=0,0,IF(MAX($F9:NCN9)=$D12,0,NCN9+1))</f>
        <v>0</v>
      </c>
      <c r="NCP9" s="26">
        <f>IF(NCP7=0,0,IF(MAX($F9:NCO9)=$D12,0,NCO9+1))</f>
        <v>0</v>
      </c>
      <c r="NCQ9" s="26">
        <f>IF(NCQ7=0,0,IF(MAX($F9:NCP9)=$D12,0,NCP9+1))</f>
        <v>0</v>
      </c>
      <c r="NCR9" s="26">
        <f>IF(NCR7=0,0,IF(MAX($F9:NCQ9)=$D12,0,NCQ9+1))</f>
        <v>0</v>
      </c>
      <c r="NCS9" s="26">
        <f>IF(NCS7=0,0,IF(MAX($F9:NCR9)=$D12,0,NCR9+1))</f>
        <v>0</v>
      </c>
      <c r="NCT9" s="26">
        <f>IF(NCT7=0,0,IF(MAX($F9:NCS9)=$D12,0,NCS9+1))</f>
        <v>0</v>
      </c>
      <c r="NCU9" s="26">
        <f>IF(NCU7=0,0,IF(MAX($F9:NCT9)=$D12,0,NCT9+1))</f>
        <v>0</v>
      </c>
      <c r="NCV9" s="26">
        <f>IF(NCV7=0,0,IF(MAX($F9:NCU9)=$D12,0,NCU9+1))</f>
        <v>0</v>
      </c>
      <c r="NCW9" s="26">
        <f>IF(NCW7=0,0,IF(MAX($F9:NCV9)=$D12,0,NCV9+1))</f>
        <v>0</v>
      </c>
      <c r="NCX9" s="26">
        <f>IF(NCX7=0,0,IF(MAX($F9:NCW9)=$D12,0,NCW9+1))</f>
        <v>0</v>
      </c>
      <c r="NCY9" s="26">
        <f>IF(NCY7=0,0,IF(MAX($F9:NCX9)=$D12,0,NCX9+1))</f>
        <v>0</v>
      </c>
      <c r="NCZ9" s="26">
        <f>IF(NCZ7=0,0,IF(MAX($F9:NCY9)=$D12,0,NCY9+1))</f>
        <v>0</v>
      </c>
      <c r="NDA9" s="26">
        <f>IF(NDA7=0,0,IF(MAX($F9:NCZ9)=$D12,0,NCZ9+1))</f>
        <v>0</v>
      </c>
      <c r="NDB9" s="26">
        <f>IF(NDB7=0,0,IF(MAX($F9:NDA9)=$D12,0,NDA9+1))</f>
        <v>0</v>
      </c>
      <c r="NDC9" s="26">
        <f>IF(NDC7=0,0,IF(MAX($F9:NDB9)=$D12,0,NDB9+1))</f>
        <v>0</v>
      </c>
      <c r="NDD9" s="26">
        <f>IF(NDD7=0,0,IF(MAX($F9:NDC9)=$D12,0,NDC9+1))</f>
        <v>0</v>
      </c>
      <c r="NDE9" s="26">
        <f>IF(NDE7=0,0,IF(MAX($F9:NDD9)=$D12,0,NDD9+1))</f>
        <v>0</v>
      </c>
      <c r="NDF9" s="26">
        <f>IF(NDF7=0,0,IF(MAX($F9:NDE9)=$D12,0,NDE9+1))</f>
        <v>0</v>
      </c>
      <c r="NDG9" s="26">
        <f>IF(NDG7=0,0,IF(MAX($F9:NDF9)=$D12,0,NDF9+1))</f>
        <v>0</v>
      </c>
      <c r="NDH9" s="26">
        <f>IF(NDH7=0,0,IF(MAX($F9:NDG9)=$D12,0,NDG9+1))</f>
        <v>0</v>
      </c>
      <c r="NDI9" s="26">
        <f>IF(NDI7=0,0,IF(MAX($F9:NDH9)=$D12,0,NDH9+1))</f>
        <v>0</v>
      </c>
      <c r="NDJ9" s="26">
        <f>IF(NDJ7=0,0,IF(MAX($F9:NDI9)=$D12,0,NDI9+1))</f>
        <v>0</v>
      </c>
      <c r="NDK9" s="26">
        <f>IF(NDK7=0,0,IF(MAX($F9:NDJ9)=$D12,0,NDJ9+1))</f>
        <v>0</v>
      </c>
      <c r="NDL9" s="26">
        <f>IF(NDL7=0,0,IF(MAX($F9:NDK9)=$D12,0,NDK9+1))</f>
        <v>0</v>
      </c>
      <c r="NDM9" s="26">
        <f>IF(NDM7=0,0,IF(MAX($F9:NDL9)=$D12,0,NDL9+1))</f>
        <v>0</v>
      </c>
      <c r="NDN9" s="26">
        <f>IF(NDN7=0,0,IF(MAX($F9:NDM9)=$D12,0,NDM9+1))</f>
        <v>0</v>
      </c>
      <c r="NDO9" s="26">
        <f>IF(NDO7=0,0,IF(MAX($F9:NDN9)=$D12,0,NDN9+1))</f>
        <v>0</v>
      </c>
      <c r="NDP9" s="26">
        <f>IF(NDP7=0,0,IF(MAX($F9:NDO9)=$D12,0,NDO9+1))</f>
        <v>0</v>
      </c>
      <c r="NDQ9" s="26">
        <f>IF(NDQ7=0,0,IF(MAX($F9:NDP9)=$D12,0,NDP9+1))</f>
        <v>0</v>
      </c>
      <c r="NDR9" s="26">
        <f>IF(NDR7=0,0,IF(MAX($F9:NDQ9)=$D12,0,NDQ9+1))</f>
        <v>0</v>
      </c>
      <c r="NDS9" s="26">
        <f>IF(NDS7=0,0,IF(MAX($F9:NDR9)=$D12,0,NDR9+1))</f>
        <v>0</v>
      </c>
      <c r="NDT9" s="26">
        <f>IF(NDT7=0,0,IF(MAX($F9:NDS9)=$D12,0,NDS9+1))</f>
        <v>0</v>
      </c>
      <c r="NDU9" s="26">
        <f>IF(NDU7=0,0,IF(MAX($F9:NDT9)=$D12,0,NDT9+1))</f>
        <v>0</v>
      </c>
      <c r="NDV9" s="26">
        <f>IF(NDV7=0,0,IF(MAX($F9:NDU9)=$D12,0,NDU9+1))</f>
        <v>0</v>
      </c>
      <c r="NDW9" s="26">
        <f>IF(NDW7=0,0,IF(MAX($F9:NDV9)=$D12,0,NDV9+1))</f>
        <v>0</v>
      </c>
      <c r="NDX9" s="26">
        <f>IF(NDX7=0,0,IF(MAX($F9:NDW9)=$D12,0,NDW9+1))</f>
        <v>0</v>
      </c>
      <c r="NDY9" s="26">
        <f>IF(NDY7=0,0,IF(MAX($F9:NDX9)=$D12,0,NDX9+1))</f>
        <v>0</v>
      </c>
      <c r="NDZ9" s="26">
        <f>IF(NDZ7=0,0,IF(MAX($F9:NDY9)=$D12,0,NDY9+1))</f>
        <v>0</v>
      </c>
      <c r="NEA9" s="26">
        <f>IF(NEA7=0,0,IF(MAX($F9:NDZ9)=$D12,0,NDZ9+1))</f>
        <v>0</v>
      </c>
      <c r="NEB9" s="26">
        <f>IF(NEB7=0,0,IF(MAX($F9:NEA9)=$D12,0,NEA9+1))</f>
        <v>0</v>
      </c>
      <c r="NEC9" s="26">
        <f>IF(NEC7=0,0,IF(MAX($F9:NEB9)=$D12,0,NEB9+1))</f>
        <v>0</v>
      </c>
      <c r="NED9" s="26">
        <f>IF(NED7=0,0,IF(MAX($F9:NEC9)=$D12,0,NEC9+1))</f>
        <v>0</v>
      </c>
      <c r="NEE9" s="26">
        <f>IF(NEE7=0,0,IF(MAX($F9:NED9)=$D12,0,NED9+1))</f>
        <v>0</v>
      </c>
      <c r="NEF9" s="26">
        <f>IF(NEF7=0,0,IF(MAX($F9:NEE9)=$D12,0,NEE9+1))</f>
        <v>0</v>
      </c>
      <c r="NEG9" s="26">
        <f>IF(NEG7=0,0,IF(MAX($F9:NEF9)=$D12,0,NEF9+1))</f>
        <v>0</v>
      </c>
      <c r="NEH9" s="26">
        <f>IF(NEH7=0,0,IF(MAX($F9:NEG9)=$D12,0,NEG9+1))</f>
        <v>0</v>
      </c>
      <c r="NEI9" s="26">
        <f>IF(NEI7=0,0,IF(MAX($F9:NEH9)=$D12,0,NEH9+1))</f>
        <v>0</v>
      </c>
      <c r="NEJ9" s="26">
        <f>IF(NEJ7=0,0,IF(MAX($F9:NEI9)=$D12,0,NEI9+1))</f>
        <v>0</v>
      </c>
      <c r="NEK9" s="26">
        <f>IF(NEK7=0,0,IF(MAX($F9:NEJ9)=$D12,0,NEJ9+1))</f>
        <v>0</v>
      </c>
      <c r="NEL9" s="26">
        <f>IF(NEL7=0,0,IF(MAX($F9:NEK9)=$D12,0,NEK9+1))</f>
        <v>0</v>
      </c>
      <c r="NEM9" s="26">
        <f>IF(NEM7=0,0,IF(MAX($F9:NEL9)=$D12,0,NEL9+1))</f>
        <v>0</v>
      </c>
      <c r="NEN9" s="26">
        <f>IF(NEN7=0,0,IF(MAX($F9:NEM9)=$D12,0,NEM9+1))</f>
        <v>0</v>
      </c>
      <c r="NEO9" s="26">
        <f>IF(NEO7=0,0,IF(MAX($F9:NEN9)=$D12,0,NEN9+1))</f>
        <v>0</v>
      </c>
      <c r="NEP9" s="26">
        <f>IF(NEP7=0,0,IF(MAX($F9:NEO9)=$D12,0,NEO9+1))</f>
        <v>0</v>
      </c>
      <c r="NEQ9" s="26">
        <f>IF(NEQ7=0,0,IF(MAX($F9:NEP9)=$D12,0,NEP9+1))</f>
        <v>0</v>
      </c>
      <c r="NER9" s="26">
        <f>IF(NER7=0,0,IF(MAX($F9:NEQ9)=$D12,0,NEQ9+1))</f>
        <v>0</v>
      </c>
      <c r="NES9" s="26">
        <f>IF(NES7=0,0,IF(MAX($F9:NER9)=$D12,0,NER9+1))</f>
        <v>0</v>
      </c>
      <c r="NET9" s="26">
        <f>IF(NET7=0,0,IF(MAX($F9:NES9)=$D12,0,NES9+1))</f>
        <v>0</v>
      </c>
      <c r="NEU9" s="26">
        <f>IF(NEU7=0,0,IF(MAX($F9:NET9)=$D12,0,NET9+1))</f>
        <v>0</v>
      </c>
      <c r="NEV9" s="26">
        <f>IF(NEV7=0,0,IF(MAX($F9:NEU9)=$D12,0,NEU9+1))</f>
        <v>0</v>
      </c>
      <c r="NEW9" s="26">
        <f>IF(NEW7=0,0,IF(MAX($F9:NEV9)=$D12,0,NEV9+1))</f>
        <v>0</v>
      </c>
      <c r="NEX9" s="26">
        <f>IF(NEX7=0,0,IF(MAX($F9:NEW9)=$D12,0,NEW9+1))</f>
        <v>0</v>
      </c>
      <c r="NEY9" s="26">
        <f>IF(NEY7=0,0,IF(MAX($F9:NEX9)=$D12,0,NEX9+1))</f>
        <v>0</v>
      </c>
      <c r="NEZ9" s="26">
        <f>IF(NEZ7=0,0,IF(MAX($F9:NEY9)=$D12,0,NEY9+1))</f>
        <v>0</v>
      </c>
      <c r="NFA9" s="26">
        <f>IF(NFA7=0,0,IF(MAX($F9:NEZ9)=$D12,0,NEZ9+1))</f>
        <v>0</v>
      </c>
      <c r="NFB9" s="26">
        <f>IF(NFB7=0,0,IF(MAX($F9:NFA9)=$D12,0,NFA9+1))</f>
        <v>0</v>
      </c>
      <c r="NFC9" s="26">
        <f>IF(NFC7=0,0,IF(MAX($F9:NFB9)=$D12,0,NFB9+1))</f>
        <v>0</v>
      </c>
      <c r="NFD9" s="26">
        <f>IF(NFD7=0,0,IF(MAX($F9:NFC9)=$D12,0,NFC9+1))</f>
        <v>0</v>
      </c>
      <c r="NFE9" s="26">
        <f>IF(NFE7=0,0,IF(MAX($F9:NFD9)=$D12,0,NFD9+1))</f>
        <v>0</v>
      </c>
      <c r="NFF9" s="26">
        <f>IF(NFF7=0,0,IF(MAX($F9:NFE9)=$D12,0,NFE9+1))</f>
        <v>0</v>
      </c>
      <c r="NFG9" s="26">
        <f>IF(NFG7=0,0,IF(MAX($F9:NFF9)=$D12,0,NFF9+1))</f>
        <v>0</v>
      </c>
      <c r="NFH9" s="26">
        <f>IF(NFH7=0,0,IF(MAX($F9:NFG9)=$D12,0,NFG9+1))</f>
        <v>0</v>
      </c>
      <c r="NFI9" s="26">
        <f>IF(NFI7=0,0,IF(MAX($F9:NFH9)=$D12,0,NFH9+1))</f>
        <v>0</v>
      </c>
      <c r="NFJ9" s="26">
        <f>IF(NFJ7=0,0,IF(MAX($F9:NFI9)=$D12,0,NFI9+1))</f>
        <v>0</v>
      </c>
      <c r="NFK9" s="26">
        <f>IF(NFK7=0,0,IF(MAX($F9:NFJ9)=$D12,0,NFJ9+1))</f>
        <v>0</v>
      </c>
      <c r="NFL9" s="26">
        <f>IF(NFL7=0,0,IF(MAX($F9:NFK9)=$D12,0,NFK9+1))</f>
        <v>0</v>
      </c>
      <c r="NFM9" s="26">
        <f>IF(NFM7=0,0,IF(MAX($F9:NFL9)=$D12,0,NFL9+1))</f>
        <v>0</v>
      </c>
      <c r="NFN9" s="26">
        <f>IF(NFN7=0,0,IF(MAX($F9:NFM9)=$D12,0,NFM9+1))</f>
        <v>0</v>
      </c>
      <c r="NFO9" s="26">
        <f>IF(NFO7=0,0,IF(MAX($F9:NFN9)=$D12,0,NFN9+1))</f>
        <v>0</v>
      </c>
      <c r="NFP9" s="26">
        <f>IF(NFP7=0,0,IF(MAX($F9:NFO9)=$D12,0,NFO9+1))</f>
        <v>0</v>
      </c>
      <c r="NFQ9" s="26">
        <f>IF(NFQ7=0,0,IF(MAX($F9:NFP9)=$D12,0,NFP9+1))</f>
        <v>0</v>
      </c>
      <c r="NFR9" s="26">
        <f>IF(NFR7=0,0,IF(MAX($F9:NFQ9)=$D12,0,NFQ9+1))</f>
        <v>0</v>
      </c>
      <c r="NFS9" s="26">
        <f>IF(NFS7=0,0,IF(MAX($F9:NFR9)=$D12,0,NFR9+1))</f>
        <v>0</v>
      </c>
      <c r="NFT9" s="26">
        <f>IF(NFT7=0,0,IF(MAX($F9:NFS9)=$D12,0,NFS9+1))</f>
        <v>0</v>
      </c>
      <c r="NFU9" s="26">
        <f>IF(NFU7=0,0,IF(MAX($F9:NFT9)=$D12,0,NFT9+1))</f>
        <v>0</v>
      </c>
      <c r="NFV9" s="26">
        <f>IF(NFV7=0,0,IF(MAX($F9:NFU9)=$D12,0,NFU9+1))</f>
        <v>0</v>
      </c>
      <c r="NFW9" s="26">
        <f>IF(NFW7=0,0,IF(MAX($F9:NFV9)=$D12,0,NFV9+1))</f>
        <v>0</v>
      </c>
      <c r="NFX9" s="26">
        <f>IF(NFX7=0,0,IF(MAX($F9:NFW9)=$D12,0,NFW9+1))</f>
        <v>0</v>
      </c>
      <c r="NFY9" s="26">
        <f>IF(NFY7=0,0,IF(MAX($F9:NFX9)=$D12,0,NFX9+1))</f>
        <v>0</v>
      </c>
      <c r="NFZ9" s="26">
        <f>IF(NFZ7=0,0,IF(MAX($F9:NFY9)=$D12,0,NFY9+1))</f>
        <v>0</v>
      </c>
      <c r="NGA9" s="26">
        <f>IF(NGA7=0,0,IF(MAX($F9:NFZ9)=$D12,0,NFZ9+1))</f>
        <v>0</v>
      </c>
      <c r="NGB9" s="26">
        <f>IF(NGB7=0,0,IF(MAX($F9:NGA9)=$D12,0,NGA9+1))</f>
        <v>0</v>
      </c>
      <c r="NGC9" s="26">
        <f>IF(NGC7=0,0,IF(MAX($F9:NGB9)=$D12,0,NGB9+1))</f>
        <v>0</v>
      </c>
      <c r="NGD9" s="26">
        <f>IF(NGD7=0,0,IF(MAX($F9:NGC9)=$D12,0,NGC9+1))</f>
        <v>0</v>
      </c>
      <c r="NGE9" s="26">
        <f>IF(NGE7=0,0,IF(MAX($F9:NGD9)=$D12,0,NGD9+1))</f>
        <v>0</v>
      </c>
      <c r="NGF9" s="26">
        <f>IF(NGF7=0,0,IF(MAX($F9:NGE9)=$D12,0,NGE9+1))</f>
        <v>0</v>
      </c>
      <c r="NGG9" s="26">
        <f>IF(NGG7=0,0,IF(MAX($F9:NGF9)=$D12,0,NGF9+1))</f>
        <v>0</v>
      </c>
      <c r="NGH9" s="26">
        <f>IF(NGH7=0,0,IF(MAX($F9:NGG9)=$D12,0,NGG9+1))</f>
        <v>0</v>
      </c>
      <c r="NGI9" s="26">
        <f>IF(NGI7=0,0,IF(MAX($F9:NGH9)=$D12,0,NGH9+1))</f>
        <v>0</v>
      </c>
      <c r="NGJ9" s="26">
        <f>IF(NGJ7=0,0,IF(MAX($F9:NGI9)=$D12,0,NGI9+1))</f>
        <v>0</v>
      </c>
      <c r="NGK9" s="26">
        <f>IF(NGK7=0,0,IF(MAX($F9:NGJ9)=$D12,0,NGJ9+1))</f>
        <v>0</v>
      </c>
      <c r="NGL9" s="26">
        <f>IF(NGL7=0,0,IF(MAX($F9:NGK9)=$D12,0,NGK9+1))</f>
        <v>0</v>
      </c>
      <c r="NGM9" s="26">
        <f>IF(NGM7=0,0,IF(MAX($F9:NGL9)=$D12,0,NGL9+1))</f>
        <v>0</v>
      </c>
      <c r="NGN9" s="26">
        <f>IF(NGN7=0,0,IF(MAX($F9:NGM9)=$D12,0,NGM9+1))</f>
        <v>0</v>
      </c>
      <c r="NGO9" s="26">
        <f>IF(NGO7=0,0,IF(MAX($F9:NGN9)=$D12,0,NGN9+1))</f>
        <v>0</v>
      </c>
      <c r="NGP9" s="26">
        <f>IF(NGP7=0,0,IF(MAX($F9:NGO9)=$D12,0,NGO9+1))</f>
        <v>0</v>
      </c>
      <c r="NGQ9" s="26">
        <f>IF(NGQ7=0,0,IF(MAX($F9:NGP9)=$D12,0,NGP9+1))</f>
        <v>0</v>
      </c>
      <c r="NGR9" s="26">
        <f>IF(NGR7=0,0,IF(MAX($F9:NGQ9)=$D12,0,NGQ9+1))</f>
        <v>0</v>
      </c>
      <c r="NGS9" s="26">
        <f>IF(NGS7=0,0,IF(MAX($F9:NGR9)=$D12,0,NGR9+1))</f>
        <v>0</v>
      </c>
      <c r="NGT9" s="26">
        <f>IF(NGT7=0,0,IF(MAX($F9:NGS9)=$D12,0,NGS9+1))</f>
        <v>0</v>
      </c>
      <c r="NGU9" s="26">
        <f>IF(NGU7=0,0,IF(MAX($F9:NGT9)=$D12,0,NGT9+1))</f>
        <v>0</v>
      </c>
      <c r="NGV9" s="26">
        <f>IF(NGV7=0,0,IF(MAX($F9:NGU9)=$D12,0,NGU9+1))</f>
        <v>0</v>
      </c>
      <c r="NGW9" s="26">
        <f>IF(NGW7=0,0,IF(MAX($F9:NGV9)=$D12,0,NGV9+1))</f>
        <v>0</v>
      </c>
      <c r="NGX9" s="26">
        <f>IF(NGX7=0,0,IF(MAX($F9:NGW9)=$D12,0,NGW9+1))</f>
        <v>0</v>
      </c>
      <c r="NGY9" s="26">
        <f>IF(NGY7=0,0,IF(MAX($F9:NGX9)=$D12,0,NGX9+1))</f>
        <v>0</v>
      </c>
      <c r="NGZ9" s="26">
        <f>IF(NGZ7=0,0,IF(MAX($F9:NGY9)=$D12,0,NGY9+1))</f>
        <v>0</v>
      </c>
      <c r="NHA9" s="26">
        <f>IF(NHA7=0,0,IF(MAX($F9:NGZ9)=$D12,0,NGZ9+1))</f>
        <v>0</v>
      </c>
      <c r="NHB9" s="26">
        <f>IF(NHB7=0,0,IF(MAX($F9:NHA9)=$D12,0,NHA9+1))</f>
        <v>0</v>
      </c>
      <c r="NHC9" s="26">
        <f>IF(NHC7=0,0,IF(MAX($F9:NHB9)=$D12,0,NHB9+1))</f>
        <v>0</v>
      </c>
      <c r="NHD9" s="26">
        <f>IF(NHD7=0,0,IF(MAX($F9:NHC9)=$D12,0,NHC9+1))</f>
        <v>0</v>
      </c>
      <c r="NHE9" s="26">
        <f>IF(NHE7=0,0,IF(MAX($F9:NHD9)=$D12,0,NHD9+1))</f>
        <v>0</v>
      </c>
      <c r="NHF9" s="26">
        <f>IF(NHF7=0,0,IF(MAX($F9:NHE9)=$D12,0,NHE9+1))</f>
        <v>0</v>
      </c>
      <c r="NHG9" s="26">
        <f>IF(NHG7=0,0,IF(MAX($F9:NHF9)=$D12,0,NHF9+1))</f>
        <v>0</v>
      </c>
      <c r="NHH9" s="26">
        <f>IF(NHH7=0,0,IF(MAX($F9:NHG9)=$D12,0,NHG9+1))</f>
        <v>0</v>
      </c>
      <c r="NHI9" s="26">
        <f>IF(NHI7=0,0,IF(MAX($F9:NHH9)=$D12,0,NHH9+1))</f>
        <v>0</v>
      </c>
      <c r="NHJ9" s="26">
        <f>IF(NHJ7=0,0,IF(MAX($F9:NHI9)=$D12,0,NHI9+1))</f>
        <v>0</v>
      </c>
      <c r="NHK9" s="26">
        <f>IF(NHK7=0,0,IF(MAX($F9:NHJ9)=$D12,0,NHJ9+1))</f>
        <v>0</v>
      </c>
      <c r="NHL9" s="26">
        <f>IF(NHL7=0,0,IF(MAX($F9:NHK9)=$D12,0,NHK9+1))</f>
        <v>0</v>
      </c>
      <c r="NHM9" s="26">
        <f>IF(NHM7=0,0,IF(MAX($F9:NHL9)=$D12,0,NHL9+1))</f>
        <v>0</v>
      </c>
      <c r="NHN9" s="26">
        <f>IF(NHN7=0,0,IF(MAX($F9:NHM9)=$D12,0,NHM9+1))</f>
        <v>0</v>
      </c>
      <c r="NHO9" s="26">
        <f>IF(NHO7=0,0,IF(MAX($F9:NHN9)=$D12,0,NHN9+1))</f>
        <v>0</v>
      </c>
      <c r="NHP9" s="26">
        <f>IF(NHP7=0,0,IF(MAX($F9:NHO9)=$D12,0,NHO9+1))</f>
        <v>0</v>
      </c>
      <c r="NHQ9" s="26">
        <f>IF(NHQ7=0,0,IF(MAX($F9:NHP9)=$D12,0,NHP9+1))</f>
        <v>0</v>
      </c>
      <c r="NHR9" s="26">
        <f>IF(NHR7=0,0,IF(MAX($F9:NHQ9)=$D12,0,NHQ9+1))</f>
        <v>0</v>
      </c>
      <c r="NHS9" s="26">
        <f>IF(NHS7=0,0,IF(MAX($F9:NHR9)=$D12,0,NHR9+1))</f>
        <v>0</v>
      </c>
      <c r="NHT9" s="26">
        <f>IF(NHT7=0,0,IF(MAX($F9:NHS9)=$D12,0,NHS9+1))</f>
        <v>0</v>
      </c>
      <c r="NHU9" s="26">
        <f>IF(NHU7=0,0,IF(MAX($F9:NHT9)=$D12,0,NHT9+1))</f>
        <v>0</v>
      </c>
      <c r="NHV9" s="26">
        <f>IF(NHV7=0,0,IF(MAX($F9:NHU9)=$D12,0,NHU9+1))</f>
        <v>0</v>
      </c>
      <c r="NHW9" s="26">
        <f>IF(NHW7=0,0,IF(MAX($F9:NHV9)=$D12,0,NHV9+1))</f>
        <v>0</v>
      </c>
      <c r="NHX9" s="26">
        <f>IF(NHX7=0,0,IF(MAX($F9:NHW9)=$D12,0,NHW9+1))</f>
        <v>0</v>
      </c>
      <c r="NHY9" s="26">
        <f>IF(NHY7=0,0,IF(MAX($F9:NHX9)=$D12,0,NHX9+1))</f>
        <v>0</v>
      </c>
      <c r="NHZ9" s="26">
        <f>IF(NHZ7=0,0,IF(MAX($F9:NHY9)=$D12,0,NHY9+1))</f>
        <v>0</v>
      </c>
      <c r="NIA9" s="26">
        <f>IF(NIA7=0,0,IF(MAX($F9:NHZ9)=$D12,0,NHZ9+1))</f>
        <v>0</v>
      </c>
      <c r="NIB9" s="26">
        <f>IF(NIB7=0,0,IF(MAX($F9:NIA9)=$D12,0,NIA9+1))</f>
        <v>0</v>
      </c>
      <c r="NIC9" s="26">
        <f>IF(NIC7=0,0,IF(MAX($F9:NIB9)=$D12,0,NIB9+1))</f>
        <v>0</v>
      </c>
      <c r="NID9" s="26">
        <f>IF(NID7=0,0,IF(MAX($F9:NIC9)=$D12,0,NIC9+1))</f>
        <v>0</v>
      </c>
      <c r="NIE9" s="26">
        <f>IF(NIE7=0,0,IF(MAX($F9:NID9)=$D12,0,NID9+1))</f>
        <v>0</v>
      </c>
      <c r="NIF9" s="26">
        <f>IF(NIF7=0,0,IF(MAX($F9:NIE9)=$D12,0,NIE9+1))</f>
        <v>0</v>
      </c>
      <c r="NIG9" s="26">
        <f>IF(NIG7=0,0,IF(MAX($F9:NIF9)=$D12,0,NIF9+1))</f>
        <v>0</v>
      </c>
      <c r="NIH9" s="26">
        <f>IF(NIH7=0,0,IF(MAX($F9:NIG9)=$D12,0,NIG9+1))</f>
        <v>0</v>
      </c>
      <c r="NII9" s="26">
        <f>IF(NII7=0,0,IF(MAX($F9:NIH9)=$D12,0,NIH9+1))</f>
        <v>0</v>
      </c>
      <c r="NIJ9" s="26">
        <f>IF(NIJ7=0,0,IF(MAX($F9:NII9)=$D12,0,NII9+1))</f>
        <v>0</v>
      </c>
      <c r="NIK9" s="26">
        <f>IF(NIK7=0,0,IF(MAX($F9:NIJ9)=$D12,0,NIJ9+1))</f>
        <v>0</v>
      </c>
      <c r="NIL9" s="26">
        <f>IF(NIL7=0,0,IF(MAX($F9:NIK9)=$D12,0,NIK9+1))</f>
        <v>0</v>
      </c>
      <c r="NIM9" s="26">
        <f>IF(NIM7=0,0,IF(MAX($F9:NIL9)=$D12,0,NIL9+1))</f>
        <v>0</v>
      </c>
      <c r="NIN9" s="26">
        <f>IF(NIN7=0,0,IF(MAX($F9:NIM9)=$D12,0,NIM9+1))</f>
        <v>0</v>
      </c>
      <c r="NIO9" s="26">
        <f>IF(NIO7=0,0,IF(MAX($F9:NIN9)=$D12,0,NIN9+1))</f>
        <v>0</v>
      </c>
      <c r="NIP9" s="26">
        <f>IF(NIP7=0,0,IF(MAX($F9:NIO9)=$D12,0,NIO9+1))</f>
        <v>0</v>
      </c>
      <c r="NIQ9" s="26">
        <f>IF(NIQ7=0,0,IF(MAX($F9:NIP9)=$D12,0,NIP9+1))</f>
        <v>0</v>
      </c>
      <c r="NIR9" s="26">
        <f>IF(NIR7=0,0,IF(MAX($F9:NIQ9)=$D12,0,NIQ9+1))</f>
        <v>0</v>
      </c>
      <c r="NIS9" s="26">
        <f>IF(NIS7=0,0,IF(MAX($F9:NIR9)=$D12,0,NIR9+1))</f>
        <v>0</v>
      </c>
      <c r="NIT9" s="26">
        <f>IF(NIT7=0,0,IF(MAX($F9:NIS9)=$D12,0,NIS9+1))</f>
        <v>0</v>
      </c>
      <c r="NIU9" s="26">
        <f>IF(NIU7=0,0,IF(MAX($F9:NIT9)=$D12,0,NIT9+1))</f>
        <v>0</v>
      </c>
      <c r="NIV9" s="26">
        <f>IF(NIV7=0,0,IF(MAX($F9:NIU9)=$D12,0,NIU9+1))</f>
        <v>0</v>
      </c>
      <c r="NIW9" s="26">
        <f>IF(NIW7=0,0,IF(MAX($F9:NIV9)=$D12,0,NIV9+1))</f>
        <v>0</v>
      </c>
      <c r="NIX9" s="26">
        <f>IF(NIX7=0,0,IF(MAX($F9:NIW9)=$D12,0,NIW9+1))</f>
        <v>0</v>
      </c>
      <c r="NIY9" s="26">
        <f>IF(NIY7=0,0,IF(MAX($F9:NIX9)=$D12,0,NIX9+1))</f>
        <v>0</v>
      </c>
      <c r="NIZ9" s="26">
        <f>IF(NIZ7=0,0,IF(MAX($F9:NIY9)=$D12,0,NIY9+1))</f>
        <v>0</v>
      </c>
      <c r="NJA9" s="26">
        <f>IF(NJA7=0,0,IF(MAX($F9:NIZ9)=$D12,0,NIZ9+1))</f>
        <v>0</v>
      </c>
      <c r="NJB9" s="26">
        <f>IF(NJB7=0,0,IF(MAX($F9:NJA9)=$D12,0,NJA9+1))</f>
        <v>0</v>
      </c>
      <c r="NJC9" s="26">
        <f>IF(NJC7=0,0,IF(MAX($F9:NJB9)=$D12,0,NJB9+1))</f>
        <v>0</v>
      </c>
      <c r="NJD9" s="26">
        <f>IF(NJD7=0,0,IF(MAX($F9:NJC9)=$D12,0,NJC9+1))</f>
        <v>0</v>
      </c>
      <c r="NJE9" s="26">
        <f>IF(NJE7=0,0,IF(MAX($F9:NJD9)=$D12,0,NJD9+1))</f>
        <v>0</v>
      </c>
      <c r="NJF9" s="26">
        <f>IF(NJF7=0,0,IF(MAX($F9:NJE9)=$D12,0,NJE9+1))</f>
        <v>0</v>
      </c>
      <c r="NJG9" s="26">
        <f>IF(NJG7=0,0,IF(MAX($F9:NJF9)=$D12,0,NJF9+1))</f>
        <v>0</v>
      </c>
      <c r="NJH9" s="26">
        <f>IF(NJH7=0,0,IF(MAX($F9:NJG9)=$D12,0,NJG9+1))</f>
        <v>0</v>
      </c>
      <c r="NJI9" s="26">
        <f>IF(NJI7=0,0,IF(MAX($F9:NJH9)=$D12,0,NJH9+1))</f>
        <v>0</v>
      </c>
      <c r="NJJ9" s="26">
        <f>IF(NJJ7=0,0,IF(MAX($F9:NJI9)=$D12,0,NJI9+1))</f>
        <v>0</v>
      </c>
      <c r="NJK9" s="26">
        <f>IF(NJK7=0,0,IF(MAX($F9:NJJ9)=$D12,0,NJJ9+1))</f>
        <v>0</v>
      </c>
      <c r="NJL9" s="26">
        <f>IF(NJL7=0,0,IF(MAX($F9:NJK9)=$D12,0,NJK9+1))</f>
        <v>0</v>
      </c>
      <c r="NJM9" s="26">
        <f>IF(NJM7=0,0,IF(MAX($F9:NJL9)=$D12,0,NJL9+1))</f>
        <v>0</v>
      </c>
      <c r="NJN9" s="26">
        <f>IF(NJN7=0,0,IF(MAX($F9:NJM9)=$D12,0,NJM9+1))</f>
        <v>0</v>
      </c>
      <c r="NJO9" s="26">
        <f>IF(NJO7=0,0,IF(MAX($F9:NJN9)=$D12,0,NJN9+1))</f>
        <v>0</v>
      </c>
      <c r="NJP9" s="26">
        <f>IF(NJP7=0,0,IF(MAX($F9:NJO9)=$D12,0,NJO9+1))</f>
        <v>0</v>
      </c>
      <c r="NJQ9" s="26">
        <f>IF(NJQ7=0,0,IF(MAX($F9:NJP9)=$D12,0,NJP9+1))</f>
        <v>0</v>
      </c>
      <c r="NJR9" s="26">
        <f>IF(NJR7=0,0,IF(MAX($F9:NJQ9)=$D12,0,NJQ9+1))</f>
        <v>0</v>
      </c>
      <c r="NJS9" s="26">
        <f>IF(NJS7=0,0,IF(MAX($F9:NJR9)=$D12,0,NJR9+1))</f>
        <v>0</v>
      </c>
      <c r="NJT9" s="26">
        <f>IF(NJT7=0,0,IF(MAX($F9:NJS9)=$D12,0,NJS9+1))</f>
        <v>0</v>
      </c>
      <c r="NJU9" s="26">
        <f>IF(NJU7=0,0,IF(MAX($F9:NJT9)=$D12,0,NJT9+1))</f>
        <v>0</v>
      </c>
      <c r="NJV9" s="26">
        <f>IF(NJV7=0,0,IF(MAX($F9:NJU9)=$D12,0,NJU9+1))</f>
        <v>0</v>
      </c>
      <c r="NJW9" s="26">
        <f>IF(NJW7=0,0,IF(MAX($F9:NJV9)=$D12,0,NJV9+1))</f>
        <v>0</v>
      </c>
      <c r="NJX9" s="26">
        <f>IF(NJX7=0,0,IF(MAX($F9:NJW9)=$D12,0,NJW9+1))</f>
        <v>0</v>
      </c>
      <c r="NJY9" s="26">
        <f>IF(NJY7=0,0,IF(MAX($F9:NJX9)=$D12,0,NJX9+1))</f>
        <v>0</v>
      </c>
      <c r="NJZ9" s="26">
        <f>IF(NJZ7=0,0,IF(MAX($F9:NJY9)=$D12,0,NJY9+1))</f>
        <v>0</v>
      </c>
      <c r="NKA9" s="26">
        <f>IF(NKA7=0,0,IF(MAX($F9:NJZ9)=$D12,0,NJZ9+1))</f>
        <v>0</v>
      </c>
      <c r="NKB9" s="26">
        <f>IF(NKB7=0,0,IF(MAX($F9:NKA9)=$D12,0,NKA9+1))</f>
        <v>0</v>
      </c>
      <c r="NKC9" s="26">
        <f>IF(NKC7=0,0,IF(MAX($F9:NKB9)=$D12,0,NKB9+1))</f>
        <v>0</v>
      </c>
      <c r="NKD9" s="26">
        <f>IF(NKD7=0,0,IF(MAX($F9:NKC9)=$D12,0,NKC9+1))</f>
        <v>0</v>
      </c>
      <c r="NKE9" s="26">
        <f>IF(NKE7=0,0,IF(MAX($F9:NKD9)=$D12,0,NKD9+1))</f>
        <v>0</v>
      </c>
      <c r="NKF9" s="26">
        <f>IF(NKF7=0,0,IF(MAX($F9:NKE9)=$D12,0,NKE9+1))</f>
        <v>0</v>
      </c>
      <c r="NKG9" s="26">
        <f>IF(NKG7=0,0,IF(MAX($F9:NKF9)=$D12,0,NKF9+1))</f>
        <v>0</v>
      </c>
      <c r="NKH9" s="26">
        <f>IF(NKH7=0,0,IF(MAX($F9:NKG9)=$D12,0,NKG9+1))</f>
        <v>0</v>
      </c>
      <c r="NKI9" s="26">
        <f>IF(NKI7=0,0,IF(MAX($F9:NKH9)=$D12,0,NKH9+1))</f>
        <v>0</v>
      </c>
      <c r="NKJ9" s="26">
        <f>IF(NKJ7=0,0,IF(MAX($F9:NKI9)=$D12,0,NKI9+1))</f>
        <v>0</v>
      </c>
      <c r="NKK9" s="26">
        <f>IF(NKK7=0,0,IF(MAX($F9:NKJ9)=$D12,0,NKJ9+1))</f>
        <v>0</v>
      </c>
      <c r="NKL9" s="26">
        <f>IF(NKL7=0,0,IF(MAX($F9:NKK9)=$D12,0,NKK9+1))</f>
        <v>0</v>
      </c>
      <c r="NKM9" s="26">
        <f>IF(NKM7=0,0,IF(MAX($F9:NKL9)=$D12,0,NKL9+1))</f>
        <v>0</v>
      </c>
      <c r="NKN9" s="26">
        <f>IF(NKN7=0,0,IF(MAX($F9:NKM9)=$D12,0,NKM9+1))</f>
        <v>0</v>
      </c>
      <c r="NKO9" s="26">
        <f>IF(NKO7=0,0,IF(MAX($F9:NKN9)=$D12,0,NKN9+1))</f>
        <v>0</v>
      </c>
      <c r="NKP9" s="26">
        <f>IF(NKP7=0,0,IF(MAX($F9:NKO9)=$D12,0,NKO9+1))</f>
        <v>0</v>
      </c>
      <c r="NKQ9" s="26">
        <f>IF(NKQ7=0,0,IF(MAX($F9:NKP9)=$D12,0,NKP9+1))</f>
        <v>0</v>
      </c>
      <c r="NKR9" s="26">
        <f>IF(NKR7=0,0,IF(MAX($F9:NKQ9)=$D12,0,NKQ9+1))</f>
        <v>0</v>
      </c>
      <c r="NKS9" s="26">
        <f>IF(NKS7=0,0,IF(MAX($F9:NKR9)=$D12,0,NKR9+1))</f>
        <v>0</v>
      </c>
      <c r="NKT9" s="26">
        <f>IF(NKT7=0,0,IF(MAX($F9:NKS9)=$D12,0,NKS9+1))</f>
        <v>0</v>
      </c>
      <c r="NKU9" s="26">
        <f>IF(NKU7=0,0,IF(MAX($F9:NKT9)=$D12,0,NKT9+1))</f>
        <v>0</v>
      </c>
      <c r="NKV9" s="26">
        <f>IF(NKV7=0,0,IF(MAX($F9:NKU9)=$D12,0,NKU9+1))</f>
        <v>0</v>
      </c>
      <c r="NKW9" s="26">
        <f>IF(NKW7=0,0,IF(MAX($F9:NKV9)=$D12,0,NKV9+1))</f>
        <v>0</v>
      </c>
      <c r="NKX9" s="26">
        <f>IF(NKX7=0,0,IF(MAX($F9:NKW9)=$D12,0,NKW9+1))</f>
        <v>0</v>
      </c>
      <c r="NKY9" s="26">
        <f>IF(NKY7=0,0,IF(MAX($F9:NKX9)=$D12,0,NKX9+1))</f>
        <v>0</v>
      </c>
      <c r="NKZ9" s="26">
        <f>IF(NKZ7=0,0,IF(MAX($F9:NKY9)=$D12,0,NKY9+1))</f>
        <v>0</v>
      </c>
      <c r="NLA9" s="26">
        <f>IF(NLA7=0,0,IF(MAX($F9:NKZ9)=$D12,0,NKZ9+1))</f>
        <v>0</v>
      </c>
      <c r="NLB9" s="26">
        <f>IF(NLB7=0,0,IF(MAX($F9:NLA9)=$D12,0,NLA9+1))</f>
        <v>0</v>
      </c>
      <c r="NLC9" s="26">
        <f>IF(NLC7=0,0,IF(MAX($F9:NLB9)=$D12,0,NLB9+1))</f>
        <v>0</v>
      </c>
      <c r="NLD9" s="26">
        <f>IF(NLD7=0,0,IF(MAX($F9:NLC9)=$D12,0,NLC9+1))</f>
        <v>0</v>
      </c>
      <c r="NLE9" s="26">
        <f>IF(NLE7=0,0,IF(MAX($F9:NLD9)=$D12,0,NLD9+1))</f>
        <v>0</v>
      </c>
      <c r="NLF9" s="26">
        <f>IF(NLF7=0,0,IF(MAX($F9:NLE9)=$D12,0,NLE9+1))</f>
        <v>0</v>
      </c>
      <c r="NLG9" s="26">
        <f>IF(NLG7=0,0,IF(MAX($F9:NLF9)=$D12,0,NLF9+1))</f>
        <v>0</v>
      </c>
      <c r="NLH9" s="26">
        <f>IF(NLH7=0,0,IF(MAX($F9:NLG9)=$D12,0,NLG9+1))</f>
        <v>0</v>
      </c>
      <c r="NLI9" s="26">
        <f>IF(NLI7=0,0,IF(MAX($F9:NLH9)=$D12,0,NLH9+1))</f>
        <v>0</v>
      </c>
      <c r="NLJ9" s="26">
        <f>IF(NLJ7=0,0,IF(MAX($F9:NLI9)=$D12,0,NLI9+1))</f>
        <v>0</v>
      </c>
      <c r="NLK9" s="26">
        <f>IF(NLK7=0,0,IF(MAX($F9:NLJ9)=$D12,0,NLJ9+1))</f>
        <v>0</v>
      </c>
      <c r="NLL9" s="26">
        <f>IF(NLL7=0,0,IF(MAX($F9:NLK9)=$D12,0,NLK9+1))</f>
        <v>0</v>
      </c>
      <c r="NLM9" s="26">
        <f>IF(NLM7=0,0,IF(MAX($F9:NLL9)=$D12,0,NLL9+1))</f>
        <v>0</v>
      </c>
      <c r="NLN9" s="26">
        <f>IF(NLN7=0,0,IF(MAX($F9:NLM9)=$D12,0,NLM9+1))</f>
        <v>0</v>
      </c>
      <c r="NLO9" s="26">
        <f>IF(NLO7=0,0,IF(MAX($F9:NLN9)=$D12,0,NLN9+1))</f>
        <v>0</v>
      </c>
      <c r="NLP9" s="26">
        <f>IF(NLP7=0,0,IF(MAX($F9:NLO9)=$D12,0,NLO9+1))</f>
        <v>0</v>
      </c>
      <c r="NLQ9" s="26">
        <f>IF(NLQ7=0,0,IF(MAX($F9:NLP9)=$D12,0,NLP9+1))</f>
        <v>0</v>
      </c>
      <c r="NLR9" s="26">
        <f>IF(NLR7=0,0,IF(MAX($F9:NLQ9)=$D12,0,NLQ9+1))</f>
        <v>0</v>
      </c>
      <c r="NLS9" s="26">
        <f>IF(NLS7=0,0,IF(MAX($F9:NLR9)=$D12,0,NLR9+1))</f>
        <v>0</v>
      </c>
      <c r="NLT9" s="26">
        <f>IF(NLT7=0,0,IF(MAX($F9:NLS9)=$D12,0,NLS9+1))</f>
        <v>0</v>
      </c>
      <c r="NLU9" s="26">
        <f>IF(NLU7=0,0,IF(MAX($F9:NLT9)=$D12,0,NLT9+1))</f>
        <v>0</v>
      </c>
      <c r="NLV9" s="26">
        <f>IF(NLV7=0,0,IF(MAX($F9:NLU9)=$D12,0,NLU9+1))</f>
        <v>0</v>
      </c>
      <c r="NLW9" s="26">
        <f>IF(NLW7=0,0,IF(MAX($F9:NLV9)=$D12,0,NLV9+1))</f>
        <v>0</v>
      </c>
      <c r="NLX9" s="26">
        <f>IF(NLX7=0,0,IF(MAX($F9:NLW9)=$D12,0,NLW9+1))</f>
        <v>0</v>
      </c>
      <c r="NLY9" s="26">
        <f>IF(NLY7=0,0,IF(MAX($F9:NLX9)=$D12,0,NLX9+1))</f>
        <v>0</v>
      </c>
      <c r="NLZ9" s="26">
        <f>IF(NLZ7=0,0,IF(MAX($F9:NLY9)=$D12,0,NLY9+1))</f>
        <v>0</v>
      </c>
      <c r="NMA9" s="26">
        <f>IF(NMA7=0,0,IF(MAX($F9:NLZ9)=$D12,0,NLZ9+1))</f>
        <v>0</v>
      </c>
      <c r="NMB9" s="26">
        <f>IF(NMB7=0,0,IF(MAX($F9:NMA9)=$D12,0,NMA9+1))</f>
        <v>0</v>
      </c>
      <c r="NMC9" s="26">
        <f>IF(NMC7=0,0,IF(MAX($F9:NMB9)=$D12,0,NMB9+1))</f>
        <v>0</v>
      </c>
      <c r="NMD9" s="26">
        <f>IF(NMD7=0,0,IF(MAX($F9:NMC9)=$D12,0,NMC9+1))</f>
        <v>0</v>
      </c>
      <c r="NME9" s="26">
        <f>IF(NME7=0,0,IF(MAX($F9:NMD9)=$D12,0,NMD9+1))</f>
        <v>0</v>
      </c>
      <c r="NMF9" s="26">
        <f>IF(NMF7=0,0,IF(MAX($F9:NME9)=$D12,0,NME9+1))</f>
        <v>0</v>
      </c>
      <c r="NMG9" s="26">
        <f>IF(NMG7=0,0,IF(MAX($F9:NMF9)=$D12,0,NMF9+1))</f>
        <v>0</v>
      </c>
      <c r="NMH9" s="26">
        <f>IF(NMH7=0,0,IF(MAX($F9:NMG9)=$D12,0,NMG9+1))</f>
        <v>0</v>
      </c>
      <c r="NMI9" s="26">
        <f>IF(NMI7=0,0,IF(MAX($F9:NMH9)=$D12,0,NMH9+1))</f>
        <v>0</v>
      </c>
      <c r="NMJ9" s="26">
        <f>IF(NMJ7=0,0,IF(MAX($F9:NMI9)=$D12,0,NMI9+1))</f>
        <v>0</v>
      </c>
      <c r="NMK9" s="26">
        <f>IF(NMK7=0,0,IF(MAX($F9:NMJ9)=$D12,0,NMJ9+1))</f>
        <v>0</v>
      </c>
      <c r="NML9" s="26">
        <f>IF(NML7=0,0,IF(MAX($F9:NMK9)=$D12,0,NMK9+1))</f>
        <v>0</v>
      </c>
      <c r="NMM9" s="26">
        <f>IF(NMM7=0,0,IF(MAX($F9:NML9)=$D12,0,NML9+1))</f>
        <v>0</v>
      </c>
      <c r="NMN9" s="26">
        <f>IF(NMN7=0,0,IF(MAX($F9:NMM9)=$D12,0,NMM9+1))</f>
        <v>0</v>
      </c>
      <c r="NMO9" s="26">
        <f>IF(NMO7=0,0,IF(MAX($F9:NMN9)=$D12,0,NMN9+1))</f>
        <v>0</v>
      </c>
      <c r="NMP9" s="26">
        <f>IF(NMP7=0,0,IF(MAX($F9:NMO9)=$D12,0,NMO9+1))</f>
        <v>0</v>
      </c>
      <c r="NMQ9" s="26">
        <f>IF(NMQ7=0,0,IF(MAX($F9:NMP9)=$D12,0,NMP9+1))</f>
        <v>0</v>
      </c>
      <c r="NMR9" s="26">
        <f>IF(NMR7=0,0,IF(MAX($F9:NMQ9)=$D12,0,NMQ9+1))</f>
        <v>0</v>
      </c>
      <c r="NMS9" s="26">
        <f>IF(NMS7=0,0,IF(MAX($F9:NMR9)=$D12,0,NMR9+1))</f>
        <v>0</v>
      </c>
      <c r="NMT9" s="26">
        <f>IF(NMT7=0,0,IF(MAX($F9:NMS9)=$D12,0,NMS9+1))</f>
        <v>0</v>
      </c>
      <c r="NMU9" s="26">
        <f>IF(NMU7=0,0,IF(MAX($F9:NMT9)=$D12,0,NMT9+1))</f>
        <v>0</v>
      </c>
      <c r="NMV9" s="26">
        <f>IF(NMV7=0,0,IF(MAX($F9:NMU9)=$D12,0,NMU9+1))</f>
        <v>0</v>
      </c>
      <c r="NMW9" s="26">
        <f>IF(NMW7=0,0,IF(MAX($F9:NMV9)=$D12,0,NMV9+1))</f>
        <v>0</v>
      </c>
      <c r="NMX9" s="26">
        <f>IF(NMX7=0,0,IF(MAX($F9:NMW9)=$D12,0,NMW9+1))</f>
        <v>0</v>
      </c>
      <c r="NMY9" s="26">
        <f>IF(NMY7=0,0,IF(MAX($F9:NMX9)=$D12,0,NMX9+1))</f>
        <v>0</v>
      </c>
      <c r="NMZ9" s="26">
        <f>IF(NMZ7=0,0,IF(MAX($F9:NMY9)=$D12,0,NMY9+1))</f>
        <v>0</v>
      </c>
      <c r="NNA9" s="26">
        <f>IF(NNA7=0,0,IF(MAX($F9:NMZ9)=$D12,0,NMZ9+1))</f>
        <v>0</v>
      </c>
      <c r="NNB9" s="26">
        <f>IF(NNB7=0,0,IF(MAX($F9:NNA9)=$D12,0,NNA9+1))</f>
        <v>0</v>
      </c>
      <c r="NNC9" s="26">
        <f>IF(NNC7=0,0,IF(MAX($F9:NNB9)=$D12,0,NNB9+1))</f>
        <v>0</v>
      </c>
      <c r="NND9" s="26">
        <f>IF(NND7=0,0,IF(MAX($F9:NNC9)=$D12,0,NNC9+1))</f>
        <v>0</v>
      </c>
      <c r="NNE9" s="26">
        <f>IF(NNE7=0,0,IF(MAX($F9:NND9)=$D12,0,NND9+1))</f>
        <v>0</v>
      </c>
      <c r="NNF9" s="26">
        <f>IF(NNF7=0,0,IF(MAX($F9:NNE9)=$D12,0,NNE9+1))</f>
        <v>0</v>
      </c>
      <c r="NNG9" s="26">
        <f>IF(NNG7=0,0,IF(MAX($F9:NNF9)=$D12,0,NNF9+1))</f>
        <v>0</v>
      </c>
      <c r="NNH9" s="26">
        <f>IF(NNH7=0,0,IF(MAX($F9:NNG9)=$D12,0,NNG9+1))</f>
        <v>0</v>
      </c>
      <c r="NNI9" s="26">
        <f>IF(NNI7=0,0,IF(MAX($F9:NNH9)=$D12,0,NNH9+1))</f>
        <v>0</v>
      </c>
      <c r="NNJ9" s="26">
        <f>IF(NNJ7=0,0,IF(MAX($F9:NNI9)=$D12,0,NNI9+1))</f>
        <v>0</v>
      </c>
      <c r="NNK9" s="26">
        <f>IF(NNK7=0,0,IF(MAX($F9:NNJ9)=$D12,0,NNJ9+1))</f>
        <v>0</v>
      </c>
      <c r="NNL9" s="26">
        <f>IF(NNL7=0,0,IF(MAX($F9:NNK9)=$D12,0,NNK9+1))</f>
        <v>0</v>
      </c>
      <c r="NNM9" s="26">
        <f>IF(NNM7=0,0,IF(MAX($F9:NNL9)=$D12,0,NNL9+1))</f>
        <v>0</v>
      </c>
      <c r="NNN9" s="26">
        <f>IF(NNN7=0,0,IF(MAX($F9:NNM9)=$D12,0,NNM9+1))</f>
        <v>0</v>
      </c>
      <c r="NNO9" s="26">
        <f>IF(NNO7=0,0,IF(MAX($F9:NNN9)=$D12,0,NNN9+1))</f>
        <v>0</v>
      </c>
      <c r="NNP9" s="26">
        <f>IF(NNP7=0,0,IF(MAX($F9:NNO9)=$D12,0,NNO9+1))</f>
        <v>0</v>
      </c>
      <c r="NNQ9" s="26">
        <f>IF(NNQ7=0,0,IF(MAX($F9:NNP9)=$D12,0,NNP9+1))</f>
        <v>0</v>
      </c>
      <c r="NNR9" s="26">
        <f>IF(NNR7=0,0,IF(MAX($F9:NNQ9)=$D12,0,NNQ9+1))</f>
        <v>0</v>
      </c>
      <c r="NNS9" s="26">
        <f>IF(NNS7=0,0,IF(MAX($F9:NNR9)=$D12,0,NNR9+1))</f>
        <v>0</v>
      </c>
      <c r="NNT9" s="26">
        <f>IF(NNT7=0,0,IF(MAX($F9:NNS9)=$D12,0,NNS9+1))</f>
        <v>0</v>
      </c>
      <c r="NNU9" s="26">
        <f>IF(NNU7=0,0,IF(MAX($F9:NNT9)=$D12,0,NNT9+1))</f>
        <v>0</v>
      </c>
      <c r="NNV9" s="26">
        <f>IF(NNV7=0,0,IF(MAX($F9:NNU9)=$D12,0,NNU9+1))</f>
        <v>0</v>
      </c>
      <c r="NNW9" s="26">
        <f>IF(NNW7=0,0,IF(MAX($F9:NNV9)=$D12,0,NNV9+1))</f>
        <v>0</v>
      </c>
      <c r="NNX9" s="26">
        <f>IF(NNX7=0,0,IF(MAX($F9:NNW9)=$D12,0,NNW9+1))</f>
        <v>0</v>
      </c>
      <c r="NNY9" s="26">
        <f>IF(NNY7=0,0,IF(MAX($F9:NNX9)=$D12,0,NNX9+1))</f>
        <v>0</v>
      </c>
      <c r="NNZ9" s="26">
        <f>IF(NNZ7=0,0,IF(MAX($F9:NNY9)=$D12,0,NNY9+1))</f>
        <v>0</v>
      </c>
      <c r="NOA9" s="26">
        <f>IF(NOA7=0,0,IF(MAX($F9:NNZ9)=$D12,0,NNZ9+1))</f>
        <v>0</v>
      </c>
      <c r="NOB9" s="26">
        <f>IF(NOB7=0,0,IF(MAX($F9:NOA9)=$D12,0,NOA9+1))</f>
        <v>0</v>
      </c>
      <c r="NOC9" s="26">
        <f>IF(NOC7=0,0,IF(MAX($F9:NOB9)=$D12,0,NOB9+1))</f>
        <v>0</v>
      </c>
      <c r="NOD9" s="26">
        <f>IF(NOD7=0,0,IF(MAX($F9:NOC9)=$D12,0,NOC9+1))</f>
        <v>0</v>
      </c>
      <c r="NOE9" s="26">
        <f>IF(NOE7=0,0,IF(MAX($F9:NOD9)=$D12,0,NOD9+1))</f>
        <v>0</v>
      </c>
      <c r="NOF9" s="26">
        <f>IF(NOF7=0,0,IF(MAX($F9:NOE9)=$D12,0,NOE9+1))</f>
        <v>0</v>
      </c>
      <c r="NOG9" s="26">
        <f>IF(NOG7=0,0,IF(MAX($F9:NOF9)=$D12,0,NOF9+1))</f>
        <v>0</v>
      </c>
      <c r="NOH9" s="26">
        <f>IF(NOH7=0,0,IF(MAX($F9:NOG9)=$D12,0,NOG9+1))</f>
        <v>0</v>
      </c>
      <c r="NOI9" s="26">
        <f>IF(NOI7=0,0,IF(MAX($F9:NOH9)=$D12,0,NOH9+1))</f>
        <v>0</v>
      </c>
      <c r="NOJ9" s="26">
        <f>IF(NOJ7=0,0,IF(MAX($F9:NOI9)=$D12,0,NOI9+1))</f>
        <v>0</v>
      </c>
      <c r="NOK9" s="26">
        <f>IF(NOK7=0,0,IF(MAX($F9:NOJ9)=$D12,0,NOJ9+1))</f>
        <v>0</v>
      </c>
      <c r="NOL9" s="26">
        <f>IF(NOL7=0,0,IF(MAX($F9:NOK9)=$D12,0,NOK9+1))</f>
        <v>0</v>
      </c>
      <c r="NOM9" s="26">
        <f>IF(NOM7=0,0,IF(MAX($F9:NOL9)=$D12,0,NOL9+1))</f>
        <v>0</v>
      </c>
      <c r="NON9" s="26">
        <f>IF(NON7=0,0,IF(MAX($F9:NOM9)=$D12,0,NOM9+1))</f>
        <v>0</v>
      </c>
      <c r="NOO9" s="26">
        <f>IF(NOO7=0,0,IF(MAX($F9:NON9)=$D12,0,NON9+1))</f>
        <v>0</v>
      </c>
      <c r="NOP9" s="26">
        <f>IF(NOP7=0,0,IF(MAX($F9:NOO9)=$D12,0,NOO9+1))</f>
        <v>0</v>
      </c>
      <c r="NOQ9" s="26">
        <f>IF(NOQ7=0,0,IF(MAX($F9:NOP9)=$D12,0,NOP9+1))</f>
        <v>0</v>
      </c>
      <c r="NOR9" s="26">
        <f>IF(NOR7=0,0,IF(MAX($F9:NOQ9)=$D12,0,NOQ9+1))</f>
        <v>0</v>
      </c>
      <c r="NOS9" s="26">
        <f>IF(NOS7=0,0,IF(MAX($F9:NOR9)=$D12,0,NOR9+1))</f>
        <v>0</v>
      </c>
      <c r="NOT9" s="26">
        <f>IF(NOT7=0,0,IF(MAX($F9:NOS9)=$D12,0,NOS9+1))</f>
        <v>0</v>
      </c>
      <c r="NOU9" s="26">
        <f>IF(NOU7=0,0,IF(MAX($F9:NOT9)=$D12,0,NOT9+1))</f>
        <v>0</v>
      </c>
      <c r="NOV9" s="26">
        <f>IF(NOV7=0,0,IF(MAX($F9:NOU9)=$D12,0,NOU9+1))</f>
        <v>0</v>
      </c>
      <c r="NOW9" s="26">
        <f>IF(NOW7=0,0,IF(MAX($F9:NOV9)=$D12,0,NOV9+1))</f>
        <v>0</v>
      </c>
      <c r="NOX9" s="26">
        <f>IF(NOX7=0,0,IF(MAX($F9:NOW9)=$D12,0,NOW9+1))</f>
        <v>0</v>
      </c>
      <c r="NOY9" s="26">
        <f>IF(NOY7=0,0,IF(MAX($F9:NOX9)=$D12,0,NOX9+1))</f>
        <v>0</v>
      </c>
      <c r="NOZ9" s="26">
        <f>IF(NOZ7=0,0,IF(MAX($F9:NOY9)=$D12,0,NOY9+1))</f>
        <v>0</v>
      </c>
      <c r="NPA9" s="26">
        <f>IF(NPA7=0,0,IF(MAX($F9:NOZ9)=$D12,0,NOZ9+1))</f>
        <v>0</v>
      </c>
      <c r="NPB9" s="26">
        <f>IF(NPB7=0,0,IF(MAX($F9:NPA9)=$D12,0,NPA9+1))</f>
        <v>0</v>
      </c>
      <c r="NPC9" s="26">
        <f>IF(NPC7=0,0,IF(MAX($F9:NPB9)=$D12,0,NPB9+1))</f>
        <v>0</v>
      </c>
      <c r="NPD9" s="26">
        <f>IF(NPD7=0,0,IF(MAX($F9:NPC9)=$D12,0,NPC9+1))</f>
        <v>0</v>
      </c>
      <c r="NPE9" s="26">
        <f>IF(NPE7=0,0,IF(MAX($F9:NPD9)=$D12,0,NPD9+1))</f>
        <v>0</v>
      </c>
      <c r="NPF9" s="26">
        <f>IF(NPF7=0,0,IF(MAX($F9:NPE9)=$D12,0,NPE9+1))</f>
        <v>0</v>
      </c>
      <c r="NPG9" s="26">
        <f>IF(NPG7=0,0,IF(MAX($F9:NPF9)=$D12,0,NPF9+1))</f>
        <v>0</v>
      </c>
      <c r="NPH9" s="26">
        <f>IF(NPH7=0,0,IF(MAX($F9:NPG9)=$D12,0,NPG9+1))</f>
        <v>0</v>
      </c>
      <c r="NPI9" s="26">
        <f>IF(NPI7=0,0,IF(MAX($F9:NPH9)=$D12,0,NPH9+1))</f>
        <v>0</v>
      </c>
      <c r="NPJ9" s="26">
        <f>IF(NPJ7=0,0,IF(MAX($F9:NPI9)=$D12,0,NPI9+1))</f>
        <v>0</v>
      </c>
      <c r="NPK9" s="26">
        <f>IF(NPK7=0,0,IF(MAX($F9:NPJ9)=$D12,0,NPJ9+1))</f>
        <v>0</v>
      </c>
      <c r="NPL9" s="26">
        <f>IF(NPL7=0,0,IF(MAX($F9:NPK9)=$D12,0,NPK9+1))</f>
        <v>0</v>
      </c>
      <c r="NPM9" s="26">
        <f>IF(NPM7=0,0,IF(MAX($F9:NPL9)=$D12,0,NPL9+1))</f>
        <v>0</v>
      </c>
      <c r="NPN9" s="26">
        <f>IF(NPN7=0,0,IF(MAX($F9:NPM9)=$D12,0,NPM9+1))</f>
        <v>0</v>
      </c>
      <c r="NPO9" s="26">
        <f>IF(NPO7=0,0,IF(MAX($F9:NPN9)=$D12,0,NPN9+1))</f>
        <v>0</v>
      </c>
      <c r="NPP9" s="26">
        <f>IF(NPP7=0,0,IF(MAX($F9:NPO9)=$D12,0,NPO9+1))</f>
        <v>0</v>
      </c>
      <c r="NPQ9" s="26">
        <f>IF(NPQ7=0,0,IF(MAX($F9:NPP9)=$D12,0,NPP9+1))</f>
        <v>0</v>
      </c>
      <c r="NPR9" s="26">
        <f>IF(NPR7=0,0,IF(MAX($F9:NPQ9)=$D12,0,NPQ9+1))</f>
        <v>0</v>
      </c>
      <c r="NPS9" s="26">
        <f>IF(NPS7=0,0,IF(MAX($F9:NPR9)=$D12,0,NPR9+1))</f>
        <v>0</v>
      </c>
      <c r="NPT9" s="26">
        <f>IF(NPT7=0,0,IF(MAX($F9:NPS9)=$D12,0,NPS9+1))</f>
        <v>0</v>
      </c>
      <c r="NPU9" s="26">
        <f>IF(NPU7=0,0,IF(MAX($F9:NPT9)=$D12,0,NPT9+1))</f>
        <v>0</v>
      </c>
      <c r="NPV9" s="26">
        <f>IF(NPV7=0,0,IF(MAX($F9:NPU9)=$D12,0,NPU9+1))</f>
        <v>0</v>
      </c>
      <c r="NPW9" s="26">
        <f>IF(NPW7=0,0,IF(MAX($F9:NPV9)=$D12,0,NPV9+1))</f>
        <v>0</v>
      </c>
      <c r="NPX9" s="26">
        <f>IF(NPX7=0,0,IF(MAX($F9:NPW9)=$D12,0,NPW9+1))</f>
        <v>0</v>
      </c>
      <c r="NPY9" s="26">
        <f>IF(NPY7=0,0,IF(MAX($F9:NPX9)=$D12,0,NPX9+1))</f>
        <v>0</v>
      </c>
      <c r="NPZ9" s="26">
        <f>IF(NPZ7=0,0,IF(MAX($F9:NPY9)=$D12,0,NPY9+1))</f>
        <v>0</v>
      </c>
      <c r="NQA9" s="26">
        <f>IF(NQA7=0,0,IF(MAX($F9:NPZ9)=$D12,0,NPZ9+1))</f>
        <v>0</v>
      </c>
      <c r="NQB9" s="26">
        <f>IF(NQB7=0,0,IF(MAX($F9:NQA9)=$D12,0,NQA9+1))</f>
        <v>0</v>
      </c>
      <c r="NQC9" s="26">
        <f>IF(NQC7=0,0,IF(MAX($F9:NQB9)=$D12,0,NQB9+1))</f>
        <v>0</v>
      </c>
      <c r="NQD9" s="26">
        <f>IF(NQD7=0,0,IF(MAX($F9:NQC9)=$D12,0,NQC9+1))</f>
        <v>0</v>
      </c>
      <c r="NQE9" s="26">
        <f>IF(NQE7=0,0,IF(MAX($F9:NQD9)=$D12,0,NQD9+1))</f>
        <v>0</v>
      </c>
      <c r="NQF9" s="26">
        <f>IF(NQF7=0,0,IF(MAX($F9:NQE9)=$D12,0,NQE9+1))</f>
        <v>0</v>
      </c>
      <c r="NQG9" s="26">
        <f>IF(NQG7=0,0,IF(MAX($F9:NQF9)=$D12,0,NQF9+1))</f>
        <v>0</v>
      </c>
      <c r="NQH9" s="26">
        <f>IF(NQH7=0,0,IF(MAX($F9:NQG9)=$D12,0,NQG9+1))</f>
        <v>0</v>
      </c>
      <c r="NQI9" s="26">
        <f>IF(NQI7=0,0,IF(MAX($F9:NQH9)=$D12,0,NQH9+1))</f>
        <v>0</v>
      </c>
      <c r="NQJ9" s="26">
        <f>IF(NQJ7=0,0,IF(MAX($F9:NQI9)=$D12,0,NQI9+1))</f>
        <v>0</v>
      </c>
      <c r="NQK9" s="26">
        <f>IF(NQK7=0,0,IF(MAX($F9:NQJ9)=$D12,0,NQJ9+1))</f>
        <v>0</v>
      </c>
      <c r="NQL9" s="26">
        <f>IF(NQL7=0,0,IF(MAX($F9:NQK9)=$D12,0,NQK9+1))</f>
        <v>0</v>
      </c>
      <c r="NQM9" s="26">
        <f>IF(NQM7=0,0,IF(MAX($F9:NQL9)=$D12,0,NQL9+1))</f>
        <v>0</v>
      </c>
      <c r="NQN9" s="26">
        <f>IF(NQN7=0,0,IF(MAX($F9:NQM9)=$D12,0,NQM9+1))</f>
        <v>0</v>
      </c>
      <c r="NQO9" s="26">
        <f>IF(NQO7=0,0,IF(MAX($F9:NQN9)=$D12,0,NQN9+1))</f>
        <v>0</v>
      </c>
      <c r="NQP9" s="26">
        <f>IF(NQP7=0,0,IF(MAX($F9:NQO9)=$D12,0,NQO9+1))</f>
        <v>0</v>
      </c>
      <c r="NQQ9" s="26">
        <f>IF(NQQ7=0,0,IF(MAX($F9:NQP9)=$D12,0,NQP9+1))</f>
        <v>0</v>
      </c>
      <c r="NQR9" s="26">
        <f>IF(NQR7=0,0,IF(MAX($F9:NQQ9)=$D12,0,NQQ9+1))</f>
        <v>0</v>
      </c>
      <c r="NQS9" s="26">
        <f>IF(NQS7=0,0,IF(MAX($F9:NQR9)=$D12,0,NQR9+1))</f>
        <v>0</v>
      </c>
      <c r="NQT9" s="26">
        <f>IF(NQT7=0,0,IF(MAX($F9:NQS9)=$D12,0,NQS9+1))</f>
        <v>0</v>
      </c>
      <c r="NQU9" s="26">
        <f>IF(NQU7=0,0,IF(MAX($F9:NQT9)=$D12,0,NQT9+1))</f>
        <v>0</v>
      </c>
      <c r="NQV9" s="26">
        <f>IF(NQV7=0,0,IF(MAX($F9:NQU9)=$D12,0,NQU9+1))</f>
        <v>0</v>
      </c>
      <c r="NQW9" s="26">
        <f>IF(NQW7=0,0,IF(MAX($F9:NQV9)=$D12,0,NQV9+1))</f>
        <v>0</v>
      </c>
      <c r="NQX9" s="26">
        <f>IF(NQX7=0,0,IF(MAX($F9:NQW9)=$D12,0,NQW9+1))</f>
        <v>0</v>
      </c>
      <c r="NQY9" s="26">
        <f>IF(NQY7=0,0,IF(MAX($F9:NQX9)=$D12,0,NQX9+1))</f>
        <v>0</v>
      </c>
      <c r="NQZ9" s="26">
        <f>IF(NQZ7=0,0,IF(MAX($F9:NQY9)=$D12,0,NQY9+1))</f>
        <v>0</v>
      </c>
      <c r="NRA9" s="26">
        <f>IF(NRA7=0,0,IF(MAX($F9:NQZ9)=$D12,0,NQZ9+1))</f>
        <v>0</v>
      </c>
      <c r="NRB9" s="26">
        <f>IF(NRB7=0,0,IF(MAX($F9:NRA9)=$D12,0,NRA9+1))</f>
        <v>0</v>
      </c>
      <c r="NRC9" s="26">
        <f>IF(NRC7=0,0,IF(MAX($F9:NRB9)=$D12,0,NRB9+1))</f>
        <v>0</v>
      </c>
      <c r="NRD9" s="26">
        <f>IF(NRD7=0,0,IF(MAX($F9:NRC9)=$D12,0,NRC9+1))</f>
        <v>0</v>
      </c>
      <c r="NRE9" s="26">
        <f>IF(NRE7=0,0,IF(MAX($F9:NRD9)=$D12,0,NRD9+1))</f>
        <v>0</v>
      </c>
      <c r="NRF9" s="26">
        <f>IF(NRF7=0,0,IF(MAX($F9:NRE9)=$D12,0,NRE9+1))</f>
        <v>0</v>
      </c>
      <c r="NRG9" s="26">
        <f>IF(NRG7=0,0,IF(MAX($F9:NRF9)=$D12,0,NRF9+1))</f>
        <v>0</v>
      </c>
      <c r="NRH9" s="26">
        <f>IF(NRH7=0,0,IF(MAX($F9:NRG9)=$D12,0,NRG9+1))</f>
        <v>0</v>
      </c>
      <c r="NRI9" s="26">
        <f>IF(NRI7=0,0,IF(MAX($F9:NRH9)=$D12,0,NRH9+1))</f>
        <v>0</v>
      </c>
      <c r="NRJ9" s="26">
        <f>IF(NRJ7=0,0,IF(MAX($F9:NRI9)=$D12,0,NRI9+1))</f>
        <v>0</v>
      </c>
      <c r="NRK9" s="26">
        <f>IF(NRK7=0,0,IF(MAX($F9:NRJ9)=$D12,0,NRJ9+1))</f>
        <v>0</v>
      </c>
      <c r="NRL9" s="26">
        <f>IF(NRL7=0,0,IF(MAX($F9:NRK9)=$D12,0,NRK9+1))</f>
        <v>0</v>
      </c>
      <c r="NRM9" s="26">
        <f>IF(NRM7=0,0,IF(MAX($F9:NRL9)=$D12,0,NRL9+1))</f>
        <v>0</v>
      </c>
      <c r="NRN9" s="26">
        <f>IF(NRN7=0,0,IF(MAX($F9:NRM9)=$D12,0,NRM9+1))</f>
        <v>0</v>
      </c>
      <c r="NRO9" s="26">
        <f>IF(NRO7=0,0,IF(MAX($F9:NRN9)=$D12,0,NRN9+1))</f>
        <v>0</v>
      </c>
      <c r="NRP9" s="26">
        <f>IF(NRP7=0,0,IF(MAX($F9:NRO9)=$D12,0,NRO9+1))</f>
        <v>0</v>
      </c>
      <c r="NRQ9" s="26">
        <f>IF(NRQ7=0,0,IF(MAX($F9:NRP9)=$D12,0,NRP9+1))</f>
        <v>0</v>
      </c>
      <c r="NRR9" s="26">
        <f>IF(NRR7=0,0,IF(MAX($F9:NRQ9)=$D12,0,NRQ9+1))</f>
        <v>0</v>
      </c>
      <c r="NRS9" s="26">
        <f>IF(NRS7=0,0,IF(MAX($F9:NRR9)=$D12,0,NRR9+1))</f>
        <v>0</v>
      </c>
      <c r="NRT9" s="26">
        <f>IF(NRT7=0,0,IF(MAX($F9:NRS9)=$D12,0,NRS9+1))</f>
        <v>0</v>
      </c>
      <c r="NRU9" s="26">
        <f>IF(NRU7=0,0,IF(MAX($F9:NRT9)=$D12,0,NRT9+1))</f>
        <v>0</v>
      </c>
      <c r="NRV9" s="26">
        <f>IF(NRV7=0,0,IF(MAX($F9:NRU9)=$D12,0,NRU9+1))</f>
        <v>0</v>
      </c>
      <c r="NRW9" s="26">
        <f>IF(NRW7=0,0,IF(MAX($F9:NRV9)=$D12,0,NRV9+1))</f>
        <v>0</v>
      </c>
      <c r="NRX9" s="26">
        <f>IF(NRX7=0,0,IF(MAX($F9:NRW9)=$D12,0,NRW9+1))</f>
        <v>0</v>
      </c>
      <c r="NRY9" s="26">
        <f>IF(NRY7=0,0,IF(MAX($F9:NRX9)=$D12,0,NRX9+1))</f>
        <v>0</v>
      </c>
      <c r="NRZ9" s="26">
        <f>IF(NRZ7=0,0,IF(MAX($F9:NRY9)=$D12,0,NRY9+1))</f>
        <v>0</v>
      </c>
      <c r="NSA9" s="26">
        <f>IF(NSA7=0,0,IF(MAX($F9:NRZ9)=$D12,0,NRZ9+1))</f>
        <v>0</v>
      </c>
      <c r="NSB9" s="26">
        <f>IF(NSB7=0,0,IF(MAX($F9:NSA9)=$D12,0,NSA9+1))</f>
        <v>0</v>
      </c>
      <c r="NSC9" s="26">
        <f>IF(NSC7=0,0,IF(MAX($F9:NSB9)=$D12,0,NSB9+1))</f>
        <v>0</v>
      </c>
      <c r="NSD9" s="26">
        <f>IF(NSD7=0,0,IF(MAX($F9:NSC9)=$D12,0,NSC9+1))</f>
        <v>0</v>
      </c>
      <c r="NSE9" s="26">
        <f>IF(NSE7=0,0,IF(MAX($F9:NSD9)=$D12,0,NSD9+1))</f>
        <v>0</v>
      </c>
      <c r="NSF9" s="26">
        <f>IF(NSF7=0,0,IF(MAX($F9:NSE9)=$D12,0,NSE9+1))</f>
        <v>0</v>
      </c>
      <c r="NSG9" s="26">
        <f>IF(NSG7=0,0,IF(MAX($F9:NSF9)=$D12,0,NSF9+1))</f>
        <v>0</v>
      </c>
      <c r="NSH9" s="26">
        <f>IF(NSH7=0,0,IF(MAX($F9:NSG9)=$D12,0,NSG9+1))</f>
        <v>0</v>
      </c>
      <c r="NSI9" s="26">
        <f>IF(NSI7=0,0,IF(MAX($F9:NSH9)=$D12,0,NSH9+1))</f>
        <v>0</v>
      </c>
      <c r="NSJ9" s="26">
        <f>IF(NSJ7=0,0,IF(MAX($F9:NSI9)=$D12,0,NSI9+1))</f>
        <v>0</v>
      </c>
      <c r="NSK9" s="26">
        <f>IF(NSK7=0,0,IF(MAX($F9:NSJ9)=$D12,0,NSJ9+1))</f>
        <v>0</v>
      </c>
      <c r="NSL9" s="26">
        <f>IF(NSL7=0,0,IF(MAX($F9:NSK9)=$D12,0,NSK9+1))</f>
        <v>0</v>
      </c>
      <c r="NSM9" s="26">
        <f>IF(NSM7=0,0,IF(MAX($F9:NSL9)=$D12,0,NSL9+1))</f>
        <v>0</v>
      </c>
      <c r="NSN9" s="26">
        <f>IF(NSN7=0,0,IF(MAX($F9:NSM9)=$D12,0,NSM9+1))</f>
        <v>0</v>
      </c>
      <c r="NSO9" s="26">
        <f>IF(NSO7=0,0,IF(MAX($F9:NSN9)=$D12,0,NSN9+1))</f>
        <v>0</v>
      </c>
      <c r="NSP9" s="26">
        <f>IF(NSP7=0,0,IF(MAX($F9:NSO9)=$D12,0,NSO9+1))</f>
        <v>0</v>
      </c>
      <c r="NSQ9" s="26">
        <f>IF(NSQ7=0,0,IF(MAX($F9:NSP9)=$D12,0,NSP9+1))</f>
        <v>0</v>
      </c>
      <c r="NSR9" s="26">
        <f>IF(NSR7=0,0,IF(MAX($F9:NSQ9)=$D12,0,NSQ9+1))</f>
        <v>0</v>
      </c>
      <c r="NSS9" s="26">
        <f>IF(NSS7=0,0,IF(MAX($F9:NSR9)=$D12,0,NSR9+1))</f>
        <v>0</v>
      </c>
      <c r="NST9" s="26">
        <f>IF(NST7=0,0,IF(MAX($F9:NSS9)=$D12,0,NSS9+1))</f>
        <v>0</v>
      </c>
      <c r="NSU9" s="26">
        <f>IF(NSU7=0,0,IF(MAX($F9:NST9)=$D12,0,NST9+1))</f>
        <v>0</v>
      </c>
      <c r="NSV9" s="26">
        <f>IF(NSV7=0,0,IF(MAX($F9:NSU9)=$D12,0,NSU9+1))</f>
        <v>0</v>
      </c>
      <c r="NSW9" s="26">
        <f>IF(NSW7=0,0,IF(MAX($F9:NSV9)=$D12,0,NSV9+1))</f>
        <v>0</v>
      </c>
      <c r="NSX9" s="26">
        <f>IF(NSX7=0,0,IF(MAX($F9:NSW9)=$D12,0,NSW9+1))</f>
        <v>0</v>
      </c>
      <c r="NSY9" s="26">
        <f>IF(NSY7=0,0,IF(MAX($F9:NSX9)=$D12,0,NSX9+1))</f>
        <v>0</v>
      </c>
      <c r="NSZ9" s="26">
        <f>IF(NSZ7=0,0,IF(MAX($F9:NSY9)=$D12,0,NSY9+1))</f>
        <v>0</v>
      </c>
      <c r="NTA9" s="26">
        <f>IF(NTA7=0,0,IF(MAX($F9:NSZ9)=$D12,0,NSZ9+1))</f>
        <v>0</v>
      </c>
      <c r="NTB9" s="26">
        <f>IF(NTB7=0,0,IF(MAX($F9:NTA9)=$D12,0,NTA9+1))</f>
        <v>0</v>
      </c>
      <c r="NTC9" s="26">
        <f>IF(NTC7=0,0,IF(MAX($F9:NTB9)=$D12,0,NTB9+1))</f>
        <v>0</v>
      </c>
      <c r="NTD9" s="26">
        <f>IF(NTD7=0,0,IF(MAX($F9:NTC9)=$D12,0,NTC9+1))</f>
        <v>0</v>
      </c>
      <c r="NTE9" s="26">
        <f>IF(NTE7=0,0,IF(MAX($F9:NTD9)=$D12,0,NTD9+1))</f>
        <v>0</v>
      </c>
      <c r="NTF9" s="26">
        <f>IF(NTF7=0,0,IF(MAX($F9:NTE9)=$D12,0,NTE9+1))</f>
        <v>0</v>
      </c>
      <c r="NTG9" s="26">
        <f>IF(NTG7=0,0,IF(MAX($F9:NTF9)=$D12,0,NTF9+1))</f>
        <v>0</v>
      </c>
      <c r="NTH9" s="26">
        <f>IF(NTH7=0,0,IF(MAX($F9:NTG9)=$D12,0,NTG9+1))</f>
        <v>0</v>
      </c>
      <c r="NTI9" s="26">
        <f>IF(NTI7=0,0,IF(MAX($F9:NTH9)=$D12,0,NTH9+1))</f>
        <v>0</v>
      </c>
      <c r="NTJ9" s="26">
        <f>IF(NTJ7=0,0,IF(MAX($F9:NTI9)=$D12,0,NTI9+1))</f>
        <v>0</v>
      </c>
      <c r="NTK9" s="26">
        <f>IF(NTK7=0,0,IF(MAX($F9:NTJ9)=$D12,0,NTJ9+1))</f>
        <v>0</v>
      </c>
      <c r="NTL9" s="26">
        <f>IF(NTL7=0,0,IF(MAX($F9:NTK9)=$D12,0,NTK9+1))</f>
        <v>0</v>
      </c>
      <c r="NTM9" s="26">
        <f>IF(NTM7=0,0,IF(MAX($F9:NTL9)=$D12,0,NTL9+1))</f>
        <v>0</v>
      </c>
      <c r="NTN9" s="26">
        <f>IF(NTN7=0,0,IF(MAX($F9:NTM9)=$D12,0,NTM9+1))</f>
        <v>0</v>
      </c>
      <c r="NTO9" s="26">
        <f>IF(NTO7=0,0,IF(MAX($F9:NTN9)=$D12,0,NTN9+1))</f>
        <v>0</v>
      </c>
      <c r="NTP9" s="26">
        <f>IF(NTP7=0,0,IF(MAX($F9:NTO9)=$D12,0,NTO9+1))</f>
        <v>0</v>
      </c>
      <c r="NTQ9" s="26">
        <f>IF(NTQ7=0,0,IF(MAX($F9:NTP9)=$D12,0,NTP9+1))</f>
        <v>0</v>
      </c>
      <c r="NTR9" s="26">
        <f>IF(NTR7=0,0,IF(MAX($F9:NTQ9)=$D12,0,NTQ9+1))</f>
        <v>0</v>
      </c>
      <c r="NTS9" s="26">
        <f>IF(NTS7=0,0,IF(MAX($F9:NTR9)=$D12,0,NTR9+1))</f>
        <v>0</v>
      </c>
      <c r="NTT9" s="26">
        <f>IF(NTT7=0,0,IF(MAX($F9:NTS9)=$D12,0,NTS9+1))</f>
        <v>0</v>
      </c>
      <c r="NTU9" s="26">
        <f>IF(NTU7=0,0,IF(MAX($F9:NTT9)=$D12,0,NTT9+1))</f>
        <v>0</v>
      </c>
      <c r="NTV9" s="26">
        <f>IF(NTV7=0,0,IF(MAX($F9:NTU9)=$D12,0,NTU9+1))</f>
        <v>0</v>
      </c>
      <c r="NTW9" s="26">
        <f>IF(NTW7=0,0,IF(MAX($F9:NTV9)=$D12,0,NTV9+1))</f>
        <v>0</v>
      </c>
      <c r="NTX9" s="26">
        <f>IF(NTX7=0,0,IF(MAX($F9:NTW9)=$D12,0,NTW9+1))</f>
        <v>0</v>
      </c>
      <c r="NTY9" s="26">
        <f>IF(NTY7=0,0,IF(MAX($F9:NTX9)=$D12,0,NTX9+1))</f>
        <v>0</v>
      </c>
      <c r="NTZ9" s="26">
        <f>IF(NTZ7=0,0,IF(MAX($F9:NTY9)=$D12,0,NTY9+1))</f>
        <v>0</v>
      </c>
      <c r="NUA9" s="26">
        <f>IF(NUA7=0,0,IF(MAX($F9:NTZ9)=$D12,0,NTZ9+1))</f>
        <v>0</v>
      </c>
      <c r="NUB9" s="26">
        <f>IF(NUB7=0,0,IF(MAX($F9:NUA9)=$D12,0,NUA9+1))</f>
        <v>0</v>
      </c>
      <c r="NUC9" s="26">
        <f>IF(NUC7=0,0,IF(MAX($F9:NUB9)=$D12,0,NUB9+1))</f>
        <v>0</v>
      </c>
      <c r="NUD9" s="26">
        <f>IF(NUD7=0,0,IF(MAX($F9:NUC9)=$D12,0,NUC9+1))</f>
        <v>0</v>
      </c>
      <c r="NUE9" s="26">
        <f>IF(NUE7=0,0,IF(MAX($F9:NUD9)=$D12,0,NUD9+1))</f>
        <v>0</v>
      </c>
      <c r="NUF9" s="26">
        <f>IF(NUF7=0,0,IF(MAX($F9:NUE9)=$D12,0,NUE9+1))</f>
        <v>0</v>
      </c>
      <c r="NUG9" s="26">
        <f>IF(NUG7=0,0,IF(MAX($F9:NUF9)=$D12,0,NUF9+1))</f>
        <v>0</v>
      </c>
      <c r="NUH9" s="26">
        <f>IF(NUH7=0,0,IF(MAX($F9:NUG9)=$D12,0,NUG9+1))</f>
        <v>0</v>
      </c>
      <c r="NUI9" s="26">
        <f>IF(NUI7=0,0,IF(MAX($F9:NUH9)=$D12,0,NUH9+1))</f>
        <v>0</v>
      </c>
      <c r="NUJ9" s="26">
        <f>IF(NUJ7=0,0,IF(MAX($F9:NUI9)=$D12,0,NUI9+1))</f>
        <v>0</v>
      </c>
      <c r="NUK9" s="26">
        <f>IF(NUK7=0,0,IF(MAX($F9:NUJ9)=$D12,0,NUJ9+1))</f>
        <v>0</v>
      </c>
      <c r="NUL9" s="26">
        <f>IF(NUL7=0,0,IF(MAX($F9:NUK9)=$D12,0,NUK9+1))</f>
        <v>0</v>
      </c>
      <c r="NUM9" s="26">
        <f>IF(NUM7=0,0,IF(MAX($F9:NUL9)=$D12,0,NUL9+1))</f>
        <v>0</v>
      </c>
      <c r="NUN9" s="26">
        <f>IF(NUN7=0,0,IF(MAX($F9:NUM9)=$D12,0,NUM9+1))</f>
        <v>0</v>
      </c>
      <c r="NUO9" s="26">
        <f>IF(NUO7=0,0,IF(MAX($F9:NUN9)=$D12,0,NUN9+1))</f>
        <v>0</v>
      </c>
      <c r="NUP9" s="26">
        <f>IF(NUP7=0,0,IF(MAX($F9:NUO9)=$D12,0,NUO9+1))</f>
        <v>0</v>
      </c>
      <c r="NUQ9" s="26">
        <f>IF(NUQ7=0,0,IF(MAX($F9:NUP9)=$D12,0,NUP9+1))</f>
        <v>0</v>
      </c>
      <c r="NUR9" s="26">
        <f>IF(NUR7=0,0,IF(MAX($F9:NUQ9)=$D12,0,NUQ9+1))</f>
        <v>0</v>
      </c>
      <c r="NUS9" s="26">
        <f>IF(NUS7=0,0,IF(MAX($F9:NUR9)=$D12,0,NUR9+1))</f>
        <v>0</v>
      </c>
      <c r="NUT9" s="26">
        <f>IF(NUT7=0,0,IF(MAX($F9:NUS9)=$D12,0,NUS9+1))</f>
        <v>0</v>
      </c>
      <c r="NUU9" s="26">
        <f>IF(NUU7=0,0,IF(MAX($F9:NUT9)=$D12,0,NUT9+1))</f>
        <v>0</v>
      </c>
      <c r="NUV9" s="26">
        <f>IF(NUV7=0,0,IF(MAX($F9:NUU9)=$D12,0,NUU9+1))</f>
        <v>0</v>
      </c>
      <c r="NUW9" s="26">
        <f>IF(NUW7=0,0,IF(MAX($F9:NUV9)=$D12,0,NUV9+1))</f>
        <v>0</v>
      </c>
      <c r="NUX9" s="26">
        <f>IF(NUX7=0,0,IF(MAX($F9:NUW9)=$D12,0,NUW9+1))</f>
        <v>0</v>
      </c>
      <c r="NUY9" s="26">
        <f>IF(NUY7=0,0,IF(MAX($F9:NUX9)=$D12,0,NUX9+1))</f>
        <v>0</v>
      </c>
      <c r="NUZ9" s="26">
        <f>IF(NUZ7=0,0,IF(MAX($F9:NUY9)=$D12,0,NUY9+1))</f>
        <v>0</v>
      </c>
      <c r="NVA9" s="26">
        <f>IF(NVA7=0,0,IF(MAX($F9:NUZ9)=$D12,0,NUZ9+1))</f>
        <v>0</v>
      </c>
      <c r="NVB9" s="26">
        <f>IF(NVB7=0,0,IF(MAX($F9:NVA9)=$D12,0,NVA9+1))</f>
        <v>0</v>
      </c>
      <c r="NVC9" s="26">
        <f>IF(NVC7=0,0,IF(MAX($F9:NVB9)=$D12,0,NVB9+1))</f>
        <v>0</v>
      </c>
      <c r="NVD9" s="26">
        <f>IF(NVD7=0,0,IF(MAX($F9:NVC9)=$D12,0,NVC9+1))</f>
        <v>0</v>
      </c>
      <c r="NVE9" s="26">
        <f>IF(NVE7=0,0,IF(MAX($F9:NVD9)=$D12,0,NVD9+1))</f>
        <v>0</v>
      </c>
      <c r="NVF9" s="26">
        <f>IF(NVF7=0,0,IF(MAX($F9:NVE9)=$D12,0,NVE9+1))</f>
        <v>0</v>
      </c>
      <c r="NVG9" s="26">
        <f>IF(NVG7=0,0,IF(MAX($F9:NVF9)=$D12,0,NVF9+1))</f>
        <v>0</v>
      </c>
      <c r="NVH9" s="26">
        <f>IF(NVH7=0,0,IF(MAX($F9:NVG9)=$D12,0,NVG9+1))</f>
        <v>0</v>
      </c>
      <c r="NVI9" s="26">
        <f>IF(NVI7=0,0,IF(MAX($F9:NVH9)=$D12,0,NVH9+1))</f>
        <v>0</v>
      </c>
      <c r="NVJ9" s="26">
        <f>IF(NVJ7=0,0,IF(MAX($F9:NVI9)=$D12,0,NVI9+1))</f>
        <v>0</v>
      </c>
      <c r="NVK9" s="26">
        <f>IF(NVK7=0,0,IF(MAX($F9:NVJ9)=$D12,0,NVJ9+1))</f>
        <v>0</v>
      </c>
      <c r="NVL9" s="26">
        <f>IF(NVL7=0,0,IF(MAX($F9:NVK9)=$D12,0,NVK9+1))</f>
        <v>0</v>
      </c>
      <c r="NVM9" s="26">
        <f>IF(NVM7=0,0,IF(MAX($F9:NVL9)=$D12,0,NVL9+1))</f>
        <v>0</v>
      </c>
      <c r="NVN9" s="26">
        <f>IF(NVN7=0,0,IF(MAX($F9:NVM9)=$D12,0,NVM9+1))</f>
        <v>0</v>
      </c>
      <c r="NVO9" s="26">
        <f>IF(NVO7=0,0,IF(MAX($F9:NVN9)=$D12,0,NVN9+1))</f>
        <v>0</v>
      </c>
      <c r="NVP9" s="26">
        <f>IF(NVP7=0,0,IF(MAX($F9:NVO9)=$D12,0,NVO9+1))</f>
        <v>0</v>
      </c>
      <c r="NVQ9" s="26">
        <f>IF(NVQ7=0,0,IF(MAX($F9:NVP9)=$D12,0,NVP9+1))</f>
        <v>0</v>
      </c>
      <c r="NVR9" s="26">
        <f>IF(NVR7=0,0,IF(MAX($F9:NVQ9)=$D12,0,NVQ9+1))</f>
        <v>0</v>
      </c>
      <c r="NVS9" s="26">
        <f>IF(NVS7=0,0,IF(MAX($F9:NVR9)=$D12,0,NVR9+1))</f>
        <v>0</v>
      </c>
      <c r="NVT9" s="26">
        <f>IF(NVT7=0,0,IF(MAX($F9:NVS9)=$D12,0,NVS9+1))</f>
        <v>0</v>
      </c>
      <c r="NVU9" s="26">
        <f>IF(NVU7=0,0,IF(MAX($F9:NVT9)=$D12,0,NVT9+1))</f>
        <v>0</v>
      </c>
      <c r="NVV9" s="26">
        <f>IF(NVV7=0,0,IF(MAX($F9:NVU9)=$D12,0,NVU9+1))</f>
        <v>0</v>
      </c>
      <c r="NVW9" s="26">
        <f>IF(NVW7=0,0,IF(MAX($F9:NVV9)=$D12,0,NVV9+1))</f>
        <v>0</v>
      </c>
      <c r="NVX9" s="26">
        <f>IF(NVX7=0,0,IF(MAX($F9:NVW9)=$D12,0,NVW9+1))</f>
        <v>0</v>
      </c>
      <c r="NVY9" s="26">
        <f>IF(NVY7=0,0,IF(MAX($F9:NVX9)=$D12,0,NVX9+1))</f>
        <v>0</v>
      </c>
      <c r="NVZ9" s="26">
        <f>IF(NVZ7=0,0,IF(MAX($F9:NVY9)=$D12,0,NVY9+1))</f>
        <v>0</v>
      </c>
      <c r="NWA9" s="26">
        <f>IF(NWA7=0,0,IF(MAX($F9:NVZ9)=$D12,0,NVZ9+1))</f>
        <v>0</v>
      </c>
      <c r="NWB9" s="26">
        <f>IF(NWB7=0,0,IF(MAX($F9:NWA9)=$D12,0,NWA9+1))</f>
        <v>0</v>
      </c>
      <c r="NWC9" s="26">
        <f>IF(NWC7=0,0,IF(MAX($F9:NWB9)=$D12,0,NWB9+1))</f>
        <v>0</v>
      </c>
      <c r="NWD9" s="26">
        <f>IF(NWD7=0,0,IF(MAX($F9:NWC9)=$D12,0,NWC9+1))</f>
        <v>0</v>
      </c>
      <c r="NWE9" s="26">
        <f>IF(NWE7=0,0,IF(MAX($F9:NWD9)=$D12,0,NWD9+1))</f>
        <v>0</v>
      </c>
      <c r="NWF9" s="26">
        <f>IF(NWF7=0,0,IF(MAX($F9:NWE9)=$D12,0,NWE9+1))</f>
        <v>0</v>
      </c>
      <c r="NWG9" s="26">
        <f>IF(NWG7=0,0,IF(MAX($F9:NWF9)=$D12,0,NWF9+1))</f>
        <v>0</v>
      </c>
      <c r="NWH9" s="26">
        <f>IF(NWH7=0,0,IF(MAX($F9:NWG9)=$D12,0,NWG9+1))</f>
        <v>0</v>
      </c>
      <c r="NWI9" s="26">
        <f>IF(NWI7=0,0,IF(MAX($F9:NWH9)=$D12,0,NWH9+1))</f>
        <v>0</v>
      </c>
      <c r="NWJ9" s="26">
        <f>IF(NWJ7=0,0,IF(MAX($F9:NWI9)=$D12,0,NWI9+1))</f>
        <v>0</v>
      </c>
      <c r="NWK9" s="26">
        <f>IF(NWK7=0,0,IF(MAX($F9:NWJ9)=$D12,0,NWJ9+1))</f>
        <v>0</v>
      </c>
      <c r="NWL9" s="26">
        <f>IF(NWL7=0,0,IF(MAX($F9:NWK9)=$D12,0,NWK9+1))</f>
        <v>0</v>
      </c>
      <c r="NWM9" s="26">
        <f>IF(NWM7=0,0,IF(MAX($F9:NWL9)=$D12,0,NWL9+1))</f>
        <v>0</v>
      </c>
      <c r="NWN9" s="26">
        <f>IF(NWN7=0,0,IF(MAX($F9:NWM9)=$D12,0,NWM9+1))</f>
        <v>0</v>
      </c>
      <c r="NWO9" s="26">
        <f>IF(NWO7=0,0,IF(MAX($F9:NWN9)=$D12,0,NWN9+1))</f>
        <v>0</v>
      </c>
      <c r="NWP9" s="26">
        <f>IF(NWP7=0,0,IF(MAX($F9:NWO9)=$D12,0,NWO9+1))</f>
        <v>0</v>
      </c>
      <c r="NWQ9" s="26">
        <f>IF(NWQ7=0,0,IF(MAX($F9:NWP9)=$D12,0,NWP9+1))</f>
        <v>0</v>
      </c>
      <c r="NWR9" s="26">
        <f>IF(NWR7=0,0,IF(MAX($F9:NWQ9)=$D12,0,NWQ9+1))</f>
        <v>0</v>
      </c>
      <c r="NWS9" s="26">
        <f>IF(NWS7=0,0,IF(MAX($F9:NWR9)=$D12,0,NWR9+1))</f>
        <v>0</v>
      </c>
      <c r="NWT9" s="26">
        <f>IF(NWT7=0,0,IF(MAX($F9:NWS9)=$D12,0,NWS9+1))</f>
        <v>0</v>
      </c>
      <c r="NWU9" s="26">
        <f>IF(NWU7=0,0,IF(MAX($F9:NWT9)=$D12,0,NWT9+1))</f>
        <v>0</v>
      </c>
      <c r="NWV9" s="26">
        <f>IF(NWV7=0,0,IF(MAX($F9:NWU9)=$D12,0,NWU9+1))</f>
        <v>0</v>
      </c>
      <c r="NWW9" s="26">
        <f>IF(NWW7=0,0,IF(MAX($F9:NWV9)=$D12,0,NWV9+1))</f>
        <v>0</v>
      </c>
      <c r="NWX9" s="26">
        <f>IF(NWX7=0,0,IF(MAX($F9:NWW9)=$D12,0,NWW9+1))</f>
        <v>0</v>
      </c>
      <c r="NWY9" s="26">
        <f>IF(NWY7=0,0,IF(MAX($F9:NWX9)=$D12,0,NWX9+1))</f>
        <v>0</v>
      </c>
      <c r="NWZ9" s="26">
        <f>IF(NWZ7=0,0,IF(MAX($F9:NWY9)=$D12,0,NWY9+1))</f>
        <v>0</v>
      </c>
      <c r="NXA9" s="26">
        <f>IF(NXA7=0,0,IF(MAX($F9:NWZ9)=$D12,0,NWZ9+1))</f>
        <v>0</v>
      </c>
      <c r="NXB9" s="26">
        <f>IF(NXB7=0,0,IF(MAX($F9:NXA9)=$D12,0,NXA9+1))</f>
        <v>0</v>
      </c>
      <c r="NXC9" s="26">
        <f>IF(NXC7=0,0,IF(MAX($F9:NXB9)=$D12,0,NXB9+1))</f>
        <v>0</v>
      </c>
      <c r="NXD9" s="26">
        <f>IF(NXD7=0,0,IF(MAX($F9:NXC9)=$D12,0,NXC9+1))</f>
        <v>0</v>
      </c>
      <c r="NXE9" s="26">
        <f>IF(NXE7=0,0,IF(MAX($F9:NXD9)=$D12,0,NXD9+1))</f>
        <v>0</v>
      </c>
      <c r="NXF9" s="26">
        <f>IF(NXF7=0,0,IF(MAX($F9:NXE9)=$D12,0,NXE9+1))</f>
        <v>0</v>
      </c>
      <c r="NXG9" s="26">
        <f>IF(NXG7=0,0,IF(MAX($F9:NXF9)=$D12,0,NXF9+1))</f>
        <v>0</v>
      </c>
      <c r="NXH9" s="26">
        <f>IF(NXH7=0,0,IF(MAX($F9:NXG9)=$D12,0,NXG9+1))</f>
        <v>0</v>
      </c>
      <c r="NXI9" s="26">
        <f>IF(NXI7=0,0,IF(MAX($F9:NXH9)=$D12,0,NXH9+1))</f>
        <v>0</v>
      </c>
      <c r="NXJ9" s="26">
        <f>IF(NXJ7=0,0,IF(MAX($F9:NXI9)=$D12,0,NXI9+1))</f>
        <v>0</v>
      </c>
      <c r="NXK9" s="26">
        <f>IF(NXK7=0,0,IF(MAX($F9:NXJ9)=$D12,0,NXJ9+1))</f>
        <v>0</v>
      </c>
      <c r="NXL9" s="26">
        <f>IF(NXL7=0,0,IF(MAX($F9:NXK9)=$D12,0,NXK9+1))</f>
        <v>0</v>
      </c>
      <c r="NXM9" s="26">
        <f>IF(NXM7=0,0,IF(MAX($F9:NXL9)=$D12,0,NXL9+1))</f>
        <v>0</v>
      </c>
      <c r="NXN9" s="26">
        <f>IF(NXN7=0,0,IF(MAX($F9:NXM9)=$D12,0,NXM9+1))</f>
        <v>0</v>
      </c>
      <c r="NXO9" s="26">
        <f>IF(NXO7=0,0,IF(MAX($F9:NXN9)=$D12,0,NXN9+1))</f>
        <v>0</v>
      </c>
      <c r="NXP9" s="26">
        <f>IF(NXP7=0,0,IF(MAX($F9:NXO9)=$D12,0,NXO9+1))</f>
        <v>0</v>
      </c>
      <c r="NXQ9" s="26">
        <f>IF(NXQ7=0,0,IF(MAX($F9:NXP9)=$D12,0,NXP9+1))</f>
        <v>0</v>
      </c>
      <c r="NXR9" s="26">
        <f>IF(NXR7=0,0,IF(MAX($F9:NXQ9)=$D12,0,NXQ9+1))</f>
        <v>0</v>
      </c>
      <c r="NXS9" s="26">
        <f>IF(NXS7=0,0,IF(MAX($F9:NXR9)=$D12,0,NXR9+1))</f>
        <v>0</v>
      </c>
      <c r="NXT9" s="26">
        <f>IF(NXT7=0,0,IF(MAX($F9:NXS9)=$D12,0,NXS9+1))</f>
        <v>0</v>
      </c>
      <c r="NXU9" s="26">
        <f>IF(NXU7=0,0,IF(MAX($F9:NXT9)=$D12,0,NXT9+1))</f>
        <v>0</v>
      </c>
      <c r="NXV9" s="26">
        <f>IF(NXV7=0,0,IF(MAX($F9:NXU9)=$D12,0,NXU9+1))</f>
        <v>0</v>
      </c>
      <c r="NXW9" s="26">
        <f>IF(NXW7=0,0,IF(MAX($F9:NXV9)=$D12,0,NXV9+1))</f>
        <v>0</v>
      </c>
      <c r="NXX9" s="26">
        <f>IF(NXX7=0,0,IF(MAX($F9:NXW9)=$D12,0,NXW9+1))</f>
        <v>0</v>
      </c>
      <c r="NXY9" s="26">
        <f>IF(NXY7=0,0,IF(MAX($F9:NXX9)=$D12,0,NXX9+1))</f>
        <v>0</v>
      </c>
      <c r="NXZ9" s="26">
        <f>IF(NXZ7=0,0,IF(MAX($F9:NXY9)=$D12,0,NXY9+1))</f>
        <v>0</v>
      </c>
      <c r="NYA9" s="26">
        <f>IF(NYA7=0,0,IF(MAX($F9:NXZ9)=$D12,0,NXZ9+1))</f>
        <v>0</v>
      </c>
      <c r="NYB9" s="26">
        <f>IF(NYB7=0,0,IF(MAX($F9:NYA9)=$D12,0,NYA9+1))</f>
        <v>0</v>
      </c>
      <c r="NYC9" s="26">
        <f>IF(NYC7=0,0,IF(MAX($F9:NYB9)=$D12,0,NYB9+1))</f>
        <v>0</v>
      </c>
      <c r="NYD9" s="26">
        <f>IF(NYD7=0,0,IF(MAX($F9:NYC9)=$D12,0,NYC9+1))</f>
        <v>0</v>
      </c>
      <c r="NYE9" s="26">
        <f>IF(NYE7=0,0,IF(MAX($F9:NYD9)=$D12,0,NYD9+1))</f>
        <v>0</v>
      </c>
      <c r="NYF9" s="26">
        <f>IF(NYF7=0,0,IF(MAX($F9:NYE9)=$D12,0,NYE9+1))</f>
        <v>0</v>
      </c>
      <c r="NYG9" s="26">
        <f>IF(NYG7=0,0,IF(MAX($F9:NYF9)=$D12,0,NYF9+1))</f>
        <v>0</v>
      </c>
      <c r="NYH9" s="26">
        <f>IF(NYH7=0,0,IF(MAX($F9:NYG9)=$D12,0,NYG9+1))</f>
        <v>0</v>
      </c>
      <c r="NYI9" s="26">
        <f>IF(NYI7=0,0,IF(MAX($F9:NYH9)=$D12,0,NYH9+1))</f>
        <v>0</v>
      </c>
      <c r="NYJ9" s="26">
        <f>IF(NYJ7=0,0,IF(MAX($F9:NYI9)=$D12,0,NYI9+1))</f>
        <v>0</v>
      </c>
      <c r="NYK9" s="26">
        <f>IF(NYK7=0,0,IF(MAX($F9:NYJ9)=$D12,0,NYJ9+1))</f>
        <v>0</v>
      </c>
      <c r="NYL9" s="26">
        <f>IF(NYL7=0,0,IF(MAX($F9:NYK9)=$D12,0,NYK9+1))</f>
        <v>0</v>
      </c>
      <c r="NYM9" s="26">
        <f>IF(NYM7=0,0,IF(MAX($F9:NYL9)=$D12,0,NYL9+1))</f>
        <v>0</v>
      </c>
      <c r="NYN9" s="26">
        <f>IF(NYN7=0,0,IF(MAX($F9:NYM9)=$D12,0,NYM9+1))</f>
        <v>0</v>
      </c>
      <c r="NYO9" s="26">
        <f>IF(NYO7=0,0,IF(MAX($F9:NYN9)=$D12,0,NYN9+1))</f>
        <v>0</v>
      </c>
      <c r="NYP9" s="26">
        <f>IF(NYP7=0,0,IF(MAX($F9:NYO9)=$D12,0,NYO9+1))</f>
        <v>0</v>
      </c>
      <c r="NYQ9" s="26">
        <f>IF(NYQ7=0,0,IF(MAX($F9:NYP9)=$D12,0,NYP9+1))</f>
        <v>0</v>
      </c>
      <c r="NYR9" s="26">
        <f>IF(NYR7=0,0,IF(MAX($F9:NYQ9)=$D12,0,NYQ9+1))</f>
        <v>0</v>
      </c>
      <c r="NYS9" s="26">
        <f>IF(NYS7=0,0,IF(MAX($F9:NYR9)=$D12,0,NYR9+1))</f>
        <v>0</v>
      </c>
      <c r="NYT9" s="26">
        <f>IF(NYT7=0,0,IF(MAX($F9:NYS9)=$D12,0,NYS9+1))</f>
        <v>0</v>
      </c>
      <c r="NYU9" s="26">
        <f>IF(NYU7=0,0,IF(MAX($F9:NYT9)=$D12,0,NYT9+1))</f>
        <v>0</v>
      </c>
      <c r="NYV9" s="26">
        <f>IF(NYV7=0,0,IF(MAX($F9:NYU9)=$D12,0,NYU9+1))</f>
        <v>0</v>
      </c>
      <c r="NYW9" s="26">
        <f>IF(NYW7=0,0,IF(MAX($F9:NYV9)=$D12,0,NYV9+1))</f>
        <v>0</v>
      </c>
      <c r="NYX9" s="26">
        <f>IF(NYX7=0,0,IF(MAX($F9:NYW9)=$D12,0,NYW9+1))</f>
        <v>0</v>
      </c>
      <c r="NYY9" s="26">
        <f>IF(NYY7=0,0,IF(MAX($F9:NYX9)=$D12,0,NYX9+1))</f>
        <v>0</v>
      </c>
      <c r="NYZ9" s="26">
        <f>IF(NYZ7=0,0,IF(MAX($F9:NYY9)=$D12,0,NYY9+1))</f>
        <v>0</v>
      </c>
      <c r="NZA9" s="26">
        <f>IF(NZA7=0,0,IF(MAX($F9:NYZ9)=$D12,0,NYZ9+1))</f>
        <v>0</v>
      </c>
      <c r="NZB9" s="26">
        <f>IF(NZB7=0,0,IF(MAX($F9:NZA9)=$D12,0,NZA9+1))</f>
        <v>0</v>
      </c>
      <c r="NZC9" s="26">
        <f>IF(NZC7=0,0,IF(MAX($F9:NZB9)=$D12,0,NZB9+1))</f>
        <v>0</v>
      </c>
      <c r="NZD9" s="26">
        <f>IF(NZD7=0,0,IF(MAX($F9:NZC9)=$D12,0,NZC9+1))</f>
        <v>0</v>
      </c>
      <c r="NZE9" s="26">
        <f>IF(NZE7=0,0,IF(MAX($F9:NZD9)=$D12,0,NZD9+1))</f>
        <v>0</v>
      </c>
      <c r="NZF9" s="26">
        <f>IF(NZF7=0,0,IF(MAX($F9:NZE9)=$D12,0,NZE9+1))</f>
        <v>0</v>
      </c>
      <c r="NZG9" s="26">
        <f>IF(NZG7=0,0,IF(MAX($F9:NZF9)=$D12,0,NZF9+1))</f>
        <v>0</v>
      </c>
      <c r="NZH9" s="26">
        <f>IF(NZH7=0,0,IF(MAX($F9:NZG9)=$D12,0,NZG9+1))</f>
        <v>0</v>
      </c>
      <c r="NZI9" s="26">
        <f>IF(NZI7=0,0,IF(MAX($F9:NZH9)=$D12,0,NZH9+1))</f>
        <v>0</v>
      </c>
      <c r="NZJ9" s="26">
        <f>IF(NZJ7=0,0,IF(MAX($F9:NZI9)=$D12,0,NZI9+1))</f>
        <v>0</v>
      </c>
      <c r="NZK9" s="26">
        <f>IF(NZK7=0,0,IF(MAX($F9:NZJ9)=$D12,0,NZJ9+1))</f>
        <v>0</v>
      </c>
      <c r="NZL9" s="26">
        <f>IF(NZL7=0,0,IF(MAX($F9:NZK9)=$D12,0,NZK9+1))</f>
        <v>0</v>
      </c>
      <c r="NZM9" s="26">
        <f>IF(NZM7=0,0,IF(MAX($F9:NZL9)=$D12,0,NZL9+1))</f>
        <v>0</v>
      </c>
      <c r="NZN9" s="26">
        <f>IF(NZN7=0,0,IF(MAX($F9:NZM9)=$D12,0,NZM9+1))</f>
        <v>0</v>
      </c>
      <c r="NZO9" s="26">
        <f>IF(NZO7=0,0,IF(MAX($F9:NZN9)=$D12,0,NZN9+1))</f>
        <v>0</v>
      </c>
      <c r="NZP9" s="26">
        <f>IF(NZP7=0,0,IF(MAX($F9:NZO9)=$D12,0,NZO9+1))</f>
        <v>0</v>
      </c>
      <c r="NZQ9" s="26">
        <f>IF(NZQ7=0,0,IF(MAX($F9:NZP9)=$D12,0,NZP9+1))</f>
        <v>0</v>
      </c>
      <c r="NZR9" s="26">
        <f>IF(NZR7=0,0,IF(MAX($F9:NZQ9)=$D12,0,NZQ9+1))</f>
        <v>0</v>
      </c>
      <c r="NZS9" s="26">
        <f>IF(NZS7=0,0,IF(MAX($F9:NZR9)=$D12,0,NZR9+1))</f>
        <v>0</v>
      </c>
      <c r="NZT9" s="26">
        <f>IF(NZT7=0,0,IF(MAX($F9:NZS9)=$D12,0,NZS9+1))</f>
        <v>0</v>
      </c>
      <c r="NZU9" s="26">
        <f>IF(NZU7=0,0,IF(MAX($F9:NZT9)=$D12,0,NZT9+1))</f>
        <v>0</v>
      </c>
      <c r="NZV9" s="26">
        <f>IF(NZV7=0,0,IF(MAX($F9:NZU9)=$D12,0,NZU9+1))</f>
        <v>0</v>
      </c>
      <c r="NZW9" s="26">
        <f>IF(NZW7=0,0,IF(MAX($F9:NZV9)=$D12,0,NZV9+1))</f>
        <v>0</v>
      </c>
      <c r="NZX9" s="26">
        <f>IF(NZX7=0,0,IF(MAX($F9:NZW9)=$D12,0,NZW9+1))</f>
        <v>0</v>
      </c>
      <c r="NZY9" s="26">
        <f>IF(NZY7=0,0,IF(MAX($F9:NZX9)=$D12,0,NZX9+1))</f>
        <v>0</v>
      </c>
      <c r="NZZ9" s="26">
        <f>IF(NZZ7=0,0,IF(MAX($F9:NZY9)=$D12,0,NZY9+1))</f>
        <v>0</v>
      </c>
      <c r="OAA9" s="26">
        <f>IF(OAA7=0,0,IF(MAX($F9:NZZ9)=$D12,0,NZZ9+1))</f>
        <v>0</v>
      </c>
      <c r="OAB9" s="26">
        <f>IF(OAB7=0,0,IF(MAX($F9:OAA9)=$D12,0,OAA9+1))</f>
        <v>0</v>
      </c>
      <c r="OAC9" s="26">
        <f>IF(OAC7=0,0,IF(MAX($F9:OAB9)=$D12,0,OAB9+1))</f>
        <v>0</v>
      </c>
      <c r="OAD9" s="26">
        <f>IF(OAD7=0,0,IF(MAX($F9:OAC9)=$D12,0,OAC9+1))</f>
        <v>0</v>
      </c>
      <c r="OAE9" s="26">
        <f>IF(OAE7=0,0,IF(MAX($F9:OAD9)=$D12,0,OAD9+1))</f>
        <v>0</v>
      </c>
      <c r="OAF9" s="26">
        <f>IF(OAF7=0,0,IF(MAX($F9:OAE9)=$D12,0,OAE9+1))</f>
        <v>0</v>
      </c>
      <c r="OAG9" s="26">
        <f>IF(OAG7=0,0,IF(MAX($F9:OAF9)=$D12,0,OAF9+1))</f>
        <v>0</v>
      </c>
      <c r="OAH9" s="26">
        <f>IF(OAH7=0,0,IF(MAX($F9:OAG9)=$D12,0,OAG9+1))</f>
        <v>0</v>
      </c>
      <c r="OAI9" s="26">
        <f>IF(OAI7=0,0,IF(MAX($F9:OAH9)=$D12,0,OAH9+1))</f>
        <v>0</v>
      </c>
      <c r="OAJ9" s="26">
        <f>IF(OAJ7=0,0,IF(MAX($F9:OAI9)=$D12,0,OAI9+1))</f>
        <v>0</v>
      </c>
      <c r="OAK9" s="26">
        <f>IF(OAK7=0,0,IF(MAX($F9:OAJ9)=$D12,0,OAJ9+1))</f>
        <v>0</v>
      </c>
      <c r="OAL9" s="26">
        <f>IF(OAL7=0,0,IF(MAX($F9:OAK9)=$D12,0,OAK9+1))</f>
        <v>0</v>
      </c>
      <c r="OAM9" s="26">
        <f>IF(OAM7=0,0,IF(MAX($F9:OAL9)=$D12,0,OAL9+1))</f>
        <v>0</v>
      </c>
      <c r="OAN9" s="26">
        <f>IF(OAN7=0,0,IF(MAX($F9:OAM9)=$D12,0,OAM9+1))</f>
        <v>0</v>
      </c>
      <c r="OAO9" s="26">
        <f>IF(OAO7=0,0,IF(MAX($F9:OAN9)=$D12,0,OAN9+1))</f>
        <v>0</v>
      </c>
      <c r="OAP9" s="26">
        <f>IF(OAP7=0,0,IF(MAX($F9:OAO9)=$D12,0,OAO9+1))</f>
        <v>0</v>
      </c>
      <c r="OAQ9" s="26">
        <f>IF(OAQ7=0,0,IF(MAX($F9:OAP9)=$D12,0,OAP9+1))</f>
        <v>0</v>
      </c>
      <c r="OAR9" s="26">
        <f>IF(OAR7=0,0,IF(MAX($F9:OAQ9)=$D12,0,OAQ9+1))</f>
        <v>0</v>
      </c>
      <c r="OAS9" s="26">
        <f>IF(OAS7=0,0,IF(MAX($F9:OAR9)=$D12,0,OAR9+1))</f>
        <v>0</v>
      </c>
      <c r="OAT9" s="26">
        <f>IF(OAT7=0,0,IF(MAX($F9:OAS9)=$D12,0,OAS9+1))</f>
        <v>0</v>
      </c>
      <c r="OAU9" s="26">
        <f>IF(OAU7=0,0,IF(MAX($F9:OAT9)=$D12,0,OAT9+1))</f>
        <v>0</v>
      </c>
      <c r="OAV9" s="26">
        <f>IF(OAV7=0,0,IF(MAX($F9:OAU9)=$D12,0,OAU9+1))</f>
        <v>0</v>
      </c>
      <c r="OAW9" s="26">
        <f>IF(OAW7=0,0,IF(MAX($F9:OAV9)=$D12,0,OAV9+1))</f>
        <v>0</v>
      </c>
      <c r="OAX9" s="26">
        <f>IF(OAX7=0,0,IF(MAX($F9:OAW9)=$D12,0,OAW9+1))</f>
        <v>0</v>
      </c>
      <c r="OAY9" s="26">
        <f>IF(OAY7=0,0,IF(MAX($F9:OAX9)=$D12,0,OAX9+1))</f>
        <v>0</v>
      </c>
      <c r="OAZ9" s="26">
        <f>IF(OAZ7=0,0,IF(MAX($F9:OAY9)=$D12,0,OAY9+1))</f>
        <v>0</v>
      </c>
      <c r="OBA9" s="26">
        <f>IF(OBA7=0,0,IF(MAX($F9:OAZ9)=$D12,0,OAZ9+1))</f>
        <v>0</v>
      </c>
      <c r="OBB9" s="26">
        <f>IF(OBB7=0,0,IF(MAX($F9:OBA9)=$D12,0,OBA9+1))</f>
        <v>0</v>
      </c>
      <c r="OBC9" s="26">
        <f>IF(OBC7=0,0,IF(MAX($F9:OBB9)=$D12,0,OBB9+1))</f>
        <v>0</v>
      </c>
      <c r="OBD9" s="26">
        <f>IF(OBD7=0,0,IF(MAX($F9:OBC9)=$D12,0,OBC9+1))</f>
        <v>0</v>
      </c>
      <c r="OBE9" s="26">
        <f>IF(OBE7=0,0,IF(MAX($F9:OBD9)=$D12,0,OBD9+1))</f>
        <v>0</v>
      </c>
      <c r="OBF9" s="26">
        <f>IF(OBF7=0,0,IF(MAX($F9:OBE9)=$D12,0,OBE9+1))</f>
        <v>0</v>
      </c>
      <c r="OBG9" s="26">
        <f>IF(OBG7=0,0,IF(MAX($F9:OBF9)=$D12,0,OBF9+1))</f>
        <v>0</v>
      </c>
      <c r="OBH9" s="26">
        <f>IF(OBH7=0,0,IF(MAX($F9:OBG9)=$D12,0,OBG9+1))</f>
        <v>0</v>
      </c>
      <c r="OBI9" s="26">
        <f>IF(OBI7=0,0,IF(MAX($F9:OBH9)=$D12,0,OBH9+1))</f>
        <v>0</v>
      </c>
      <c r="OBJ9" s="26">
        <f>IF(OBJ7=0,0,IF(MAX($F9:OBI9)=$D12,0,OBI9+1))</f>
        <v>0</v>
      </c>
      <c r="OBK9" s="26">
        <f>IF(OBK7=0,0,IF(MAX($F9:OBJ9)=$D12,0,OBJ9+1))</f>
        <v>0</v>
      </c>
      <c r="OBL9" s="26">
        <f>IF(OBL7=0,0,IF(MAX($F9:OBK9)=$D12,0,OBK9+1))</f>
        <v>0</v>
      </c>
      <c r="OBM9" s="26">
        <f>IF(OBM7=0,0,IF(MAX($F9:OBL9)=$D12,0,OBL9+1))</f>
        <v>0</v>
      </c>
      <c r="OBN9" s="26">
        <f>IF(OBN7=0,0,IF(MAX($F9:OBM9)=$D12,0,OBM9+1))</f>
        <v>0</v>
      </c>
      <c r="OBO9" s="26">
        <f>IF(OBO7=0,0,IF(MAX($F9:OBN9)=$D12,0,OBN9+1))</f>
        <v>0</v>
      </c>
      <c r="OBP9" s="26">
        <f>IF(OBP7=0,0,IF(MAX($F9:OBO9)=$D12,0,OBO9+1))</f>
        <v>0</v>
      </c>
      <c r="OBQ9" s="26">
        <f>IF(OBQ7=0,0,IF(MAX($F9:OBP9)=$D12,0,OBP9+1))</f>
        <v>0</v>
      </c>
      <c r="OBR9" s="26">
        <f>IF(OBR7=0,0,IF(MAX($F9:OBQ9)=$D12,0,OBQ9+1))</f>
        <v>0</v>
      </c>
      <c r="OBS9" s="26">
        <f>IF(OBS7=0,0,IF(MAX($F9:OBR9)=$D12,0,OBR9+1))</f>
        <v>0</v>
      </c>
      <c r="OBT9" s="26">
        <f>IF(OBT7=0,0,IF(MAX($F9:OBS9)=$D12,0,OBS9+1))</f>
        <v>0</v>
      </c>
      <c r="OBU9" s="26">
        <f>IF(OBU7=0,0,IF(MAX($F9:OBT9)=$D12,0,OBT9+1))</f>
        <v>0</v>
      </c>
      <c r="OBV9" s="26">
        <f>IF(OBV7=0,0,IF(MAX($F9:OBU9)=$D12,0,OBU9+1))</f>
        <v>0</v>
      </c>
      <c r="OBW9" s="26">
        <f>IF(OBW7=0,0,IF(MAX($F9:OBV9)=$D12,0,OBV9+1))</f>
        <v>0</v>
      </c>
      <c r="OBX9" s="26">
        <f>IF(OBX7=0,0,IF(MAX($F9:OBW9)=$D12,0,OBW9+1))</f>
        <v>0</v>
      </c>
      <c r="OBY9" s="26">
        <f>IF(OBY7=0,0,IF(MAX($F9:OBX9)=$D12,0,OBX9+1))</f>
        <v>0</v>
      </c>
      <c r="OBZ9" s="26">
        <f>IF(OBZ7=0,0,IF(MAX($F9:OBY9)=$D12,0,OBY9+1))</f>
        <v>0</v>
      </c>
      <c r="OCA9" s="26">
        <f>IF(OCA7=0,0,IF(MAX($F9:OBZ9)=$D12,0,OBZ9+1))</f>
        <v>0</v>
      </c>
      <c r="OCB9" s="26">
        <f>IF(OCB7=0,0,IF(MAX($F9:OCA9)=$D12,0,OCA9+1))</f>
        <v>0</v>
      </c>
      <c r="OCC9" s="26">
        <f>IF(OCC7=0,0,IF(MAX($F9:OCB9)=$D12,0,OCB9+1))</f>
        <v>0</v>
      </c>
      <c r="OCD9" s="26">
        <f>IF(OCD7=0,0,IF(MAX($F9:OCC9)=$D12,0,OCC9+1))</f>
        <v>0</v>
      </c>
      <c r="OCE9" s="26">
        <f>IF(OCE7=0,0,IF(MAX($F9:OCD9)=$D12,0,OCD9+1))</f>
        <v>0</v>
      </c>
      <c r="OCF9" s="26">
        <f>IF(OCF7=0,0,IF(MAX($F9:OCE9)=$D12,0,OCE9+1))</f>
        <v>0</v>
      </c>
      <c r="OCG9" s="26">
        <f>IF(OCG7=0,0,IF(MAX($F9:OCF9)=$D12,0,OCF9+1))</f>
        <v>0</v>
      </c>
      <c r="OCH9" s="26">
        <f>IF(OCH7=0,0,IF(MAX($F9:OCG9)=$D12,0,OCG9+1))</f>
        <v>0</v>
      </c>
      <c r="OCI9" s="26">
        <f>IF(OCI7=0,0,IF(MAX($F9:OCH9)=$D12,0,OCH9+1))</f>
        <v>0</v>
      </c>
      <c r="OCJ9" s="26">
        <f>IF(OCJ7=0,0,IF(MAX($F9:OCI9)=$D12,0,OCI9+1))</f>
        <v>0</v>
      </c>
      <c r="OCK9" s="26">
        <f>IF(OCK7=0,0,IF(MAX($F9:OCJ9)=$D12,0,OCJ9+1))</f>
        <v>0</v>
      </c>
      <c r="OCL9" s="26">
        <f>IF(OCL7=0,0,IF(MAX($F9:OCK9)=$D12,0,OCK9+1))</f>
        <v>0</v>
      </c>
      <c r="OCM9" s="26">
        <f>IF(OCM7=0,0,IF(MAX($F9:OCL9)=$D12,0,OCL9+1))</f>
        <v>0</v>
      </c>
      <c r="OCN9" s="26">
        <f>IF(OCN7=0,0,IF(MAX($F9:OCM9)=$D12,0,OCM9+1))</f>
        <v>0</v>
      </c>
      <c r="OCO9" s="26">
        <f>IF(OCO7=0,0,IF(MAX($F9:OCN9)=$D12,0,OCN9+1))</f>
        <v>0</v>
      </c>
      <c r="OCP9" s="26">
        <f>IF(OCP7=0,0,IF(MAX($F9:OCO9)=$D12,0,OCO9+1))</f>
        <v>0</v>
      </c>
      <c r="OCQ9" s="26">
        <f>IF(OCQ7=0,0,IF(MAX($F9:OCP9)=$D12,0,OCP9+1))</f>
        <v>0</v>
      </c>
      <c r="OCR9" s="26">
        <f>IF(OCR7=0,0,IF(MAX($F9:OCQ9)=$D12,0,OCQ9+1))</f>
        <v>0</v>
      </c>
      <c r="OCS9" s="26">
        <f>IF(OCS7=0,0,IF(MAX($F9:OCR9)=$D12,0,OCR9+1))</f>
        <v>0</v>
      </c>
      <c r="OCT9" s="26">
        <f>IF(OCT7=0,0,IF(MAX($F9:OCS9)=$D12,0,OCS9+1))</f>
        <v>0</v>
      </c>
      <c r="OCU9" s="26">
        <f>IF(OCU7=0,0,IF(MAX($F9:OCT9)=$D12,0,OCT9+1))</f>
        <v>0</v>
      </c>
      <c r="OCV9" s="26">
        <f>IF(OCV7=0,0,IF(MAX($F9:OCU9)=$D12,0,OCU9+1))</f>
        <v>0</v>
      </c>
      <c r="OCW9" s="26">
        <f>IF(OCW7=0,0,IF(MAX($F9:OCV9)=$D12,0,OCV9+1))</f>
        <v>0</v>
      </c>
      <c r="OCX9" s="26">
        <f>IF(OCX7=0,0,IF(MAX($F9:OCW9)=$D12,0,OCW9+1))</f>
        <v>0</v>
      </c>
      <c r="OCY9" s="26">
        <f>IF(OCY7=0,0,IF(MAX($F9:OCX9)=$D12,0,OCX9+1))</f>
        <v>0</v>
      </c>
      <c r="OCZ9" s="26">
        <f>IF(OCZ7=0,0,IF(MAX($F9:OCY9)=$D12,0,OCY9+1))</f>
        <v>0</v>
      </c>
      <c r="ODA9" s="26">
        <f>IF(ODA7=0,0,IF(MAX($F9:OCZ9)=$D12,0,OCZ9+1))</f>
        <v>0</v>
      </c>
      <c r="ODB9" s="26">
        <f>IF(ODB7=0,0,IF(MAX($F9:ODA9)=$D12,0,ODA9+1))</f>
        <v>0</v>
      </c>
      <c r="ODC9" s="26">
        <f>IF(ODC7=0,0,IF(MAX($F9:ODB9)=$D12,0,ODB9+1))</f>
        <v>0</v>
      </c>
      <c r="ODD9" s="26">
        <f>IF(ODD7=0,0,IF(MAX($F9:ODC9)=$D12,0,ODC9+1))</f>
        <v>0</v>
      </c>
      <c r="ODE9" s="26">
        <f>IF(ODE7=0,0,IF(MAX($F9:ODD9)=$D12,0,ODD9+1))</f>
        <v>0</v>
      </c>
      <c r="ODF9" s="26">
        <f>IF(ODF7=0,0,IF(MAX($F9:ODE9)=$D12,0,ODE9+1))</f>
        <v>0</v>
      </c>
      <c r="ODG9" s="26">
        <f>IF(ODG7=0,0,IF(MAX($F9:ODF9)=$D12,0,ODF9+1))</f>
        <v>0</v>
      </c>
      <c r="ODH9" s="26">
        <f>IF(ODH7=0,0,IF(MAX($F9:ODG9)=$D12,0,ODG9+1))</f>
        <v>0</v>
      </c>
      <c r="ODI9" s="26">
        <f>IF(ODI7=0,0,IF(MAX($F9:ODH9)=$D12,0,ODH9+1))</f>
        <v>0</v>
      </c>
      <c r="ODJ9" s="26">
        <f>IF(ODJ7=0,0,IF(MAX($F9:ODI9)=$D12,0,ODI9+1))</f>
        <v>0</v>
      </c>
      <c r="ODK9" s="26">
        <f>IF(ODK7=0,0,IF(MAX($F9:ODJ9)=$D12,0,ODJ9+1))</f>
        <v>0</v>
      </c>
      <c r="ODL9" s="26">
        <f>IF(ODL7=0,0,IF(MAX($F9:ODK9)=$D12,0,ODK9+1))</f>
        <v>0</v>
      </c>
      <c r="ODM9" s="26">
        <f>IF(ODM7=0,0,IF(MAX($F9:ODL9)=$D12,0,ODL9+1))</f>
        <v>0</v>
      </c>
      <c r="ODN9" s="26">
        <f>IF(ODN7=0,0,IF(MAX($F9:ODM9)=$D12,0,ODM9+1))</f>
        <v>0</v>
      </c>
      <c r="ODO9" s="26">
        <f>IF(ODO7=0,0,IF(MAX($F9:ODN9)=$D12,0,ODN9+1))</f>
        <v>0</v>
      </c>
      <c r="ODP9" s="26">
        <f>IF(ODP7=0,0,IF(MAX($F9:ODO9)=$D12,0,ODO9+1))</f>
        <v>0</v>
      </c>
      <c r="ODQ9" s="26">
        <f>IF(ODQ7=0,0,IF(MAX($F9:ODP9)=$D12,0,ODP9+1))</f>
        <v>0</v>
      </c>
      <c r="ODR9" s="26">
        <f>IF(ODR7=0,0,IF(MAX($F9:ODQ9)=$D12,0,ODQ9+1))</f>
        <v>0</v>
      </c>
      <c r="ODS9" s="26">
        <f>IF(ODS7=0,0,IF(MAX($F9:ODR9)=$D12,0,ODR9+1))</f>
        <v>0</v>
      </c>
      <c r="ODT9" s="26">
        <f>IF(ODT7=0,0,IF(MAX($F9:ODS9)=$D12,0,ODS9+1))</f>
        <v>0</v>
      </c>
      <c r="ODU9" s="26">
        <f>IF(ODU7=0,0,IF(MAX($F9:ODT9)=$D12,0,ODT9+1))</f>
        <v>0</v>
      </c>
      <c r="ODV9" s="26">
        <f>IF(ODV7=0,0,IF(MAX($F9:ODU9)=$D12,0,ODU9+1))</f>
        <v>0</v>
      </c>
      <c r="ODW9" s="26">
        <f>IF(ODW7=0,0,IF(MAX($F9:ODV9)=$D12,0,ODV9+1))</f>
        <v>0</v>
      </c>
      <c r="ODX9" s="26">
        <f>IF(ODX7=0,0,IF(MAX($F9:ODW9)=$D12,0,ODW9+1))</f>
        <v>0</v>
      </c>
      <c r="ODY9" s="26">
        <f>IF(ODY7=0,0,IF(MAX($F9:ODX9)=$D12,0,ODX9+1))</f>
        <v>0</v>
      </c>
      <c r="ODZ9" s="26">
        <f>IF(ODZ7=0,0,IF(MAX($F9:ODY9)=$D12,0,ODY9+1))</f>
        <v>0</v>
      </c>
      <c r="OEA9" s="26">
        <f>IF(OEA7=0,0,IF(MAX($F9:ODZ9)=$D12,0,ODZ9+1))</f>
        <v>0</v>
      </c>
      <c r="OEB9" s="26">
        <f>IF(OEB7=0,0,IF(MAX($F9:OEA9)=$D12,0,OEA9+1))</f>
        <v>0</v>
      </c>
      <c r="OEC9" s="26">
        <f>IF(OEC7=0,0,IF(MAX($F9:OEB9)=$D12,0,OEB9+1))</f>
        <v>0</v>
      </c>
      <c r="OED9" s="26">
        <f>IF(OED7=0,0,IF(MAX($F9:OEC9)=$D12,0,OEC9+1))</f>
        <v>0</v>
      </c>
      <c r="OEE9" s="26">
        <f>IF(OEE7=0,0,IF(MAX($F9:OED9)=$D12,0,OED9+1))</f>
        <v>0</v>
      </c>
      <c r="OEF9" s="26">
        <f>IF(OEF7=0,0,IF(MAX($F9:OEE9)=$D12,0,OEE9+1))</f>
        <v>0</v>
      </c>
      <c r="OEG9" s="26">
        <f>IF(OEG7=0,0,IF(MAX($F9:OEF9)=$D12,0,OEF9+1))</f>
        <v>0</v>
      </c>
      <c r="OEH9" s="26">
        <f>IF(OEH7=0,0,IF(MAX($F9:OEG9)=$D12,0,OEG9+1))</f>
        <v>0</v>
      </c>
      <c r="OEI9" s="26">
        <f>IF(OEI7=0,0,IF(MAX($F9:OEH9)=$D12,0,OEH9+1))</f>
        <v>0</v>
      </c>
      <c r="OEJ9" s="26">
        <f>IF(OEJ7=0,0,IF(MAX($F9:OEI9)=$D12,0,OEI9+1))</f>
        <v>0</v>
      </c>
      <c r="OEK9" s="26">
        <f>IF(OEK7=0,0,IF(MAX($F9:OEJ9)=$D12,0,OEJ9+1))</f>
        <v>0</v>
      </c>
      <c r="OEL9" s="26">
        <f>IF(OEL7=0,0,IF(MAX($F9:OEK9)=$D12,0,OEK9+1))</f>
        <v>0</v>
      </c>
      <c r="OEM9" s="26">
        <f>IF(OEM7=0,0,IF(MAX($F9:OEL9)=$D12,0,OEL9+1))</f>
        <v>0</v>
      </c>
      <c r="OEN9" s="26">
        <f>IF(OEN7=0,0,IF(MAX($F9:OEM9)=$D12,0,OEM9+1))</f>
        <v>0</v>
      </c>
      <c r="OEO9" s="26">
        <f>IF(OEO7=0,0,IF(MAX($F9:OEN9)=$D12,0,OEN9+1))</f>
        <v>0</v>
      </c>
      <c r="OEP9" s="26">
        <f>IF(OEP7=0,0,IF(MAX($F9:OEO9)=$D12,0,OEO9+1))</f>
        <v>0</v>
      </c>
      <c r="OEQ9" s="26">
        <f>IF(OEQ7=0,0,IF(MAX($F9:OEP9)=$D12,0,OEP9+1))</f>
        <v>0</v>
      </c>
      <c r="OER9" s="26">
        <f>IF(OER7=0,0,IF(MAX($F9:OEQ9)=$D12,0,OEQ9+1))</f>
        <v>0</v>
      </c>
      <c r="OES9" s="26">
        <f>IF(OES7=0,0,IF(MAX($F9:OER9)=$D12,0,OER9+1))</f>
        <v>0</v>
      </c>
      <c r="OET9" s="26">
        <f>IF(OET7=0,0,IF(MAX($F9:OES9)=$D12,0,OES9+1))</f>
        <v>0</v>
      </c>
      <c r="OEU9" s="26">
        <f>IF(OEU7=0,0,IF(MAX($F9:OET9)=$D12,0,OET9+1))</f>
        <v>0</v>
      </c>
      <c r="OEV9" s="26">
        <f>IF(OEV7=0,0,IF(MAX($F9:OEU9)=$D12,0,OEU9+1))</f>
        <v>0</v>
      </c>
      <c r="OEW9" s="26">
        <f>IF(OEW7=0,0,IF(MAX($F9:OEV9)=$D12,0,OEV9+1))</f>
        <v>0</v>
      </c>
      <c r="OEX9" s="26">
        <f>IF(OEX7=0,0,IF(MAX($F9:OEW9)=$D12,0,OEW9+1))</f>
        <v>0</v>
      </c>
      <c r="OEY9" s="26">
        <f>IF(OEY7=0,0,IF(MAX($F9:OEX9)=$D12,0,OEX9+1))</f>
        <v>0</v>
      </c>
      <c r="OEZ9" s="26">
        <f>IF(OEZ7=0,0,IF(MAX($F9:OEY9)=$D12,0,OEY9+1))</f>
        <v>0</v>
      </c>
      <c r="OFA9" s="26">
        <f>IF(OFA7=0,0,IF(MAX($F9:OEZ9)=$D12,0,OEZ9+1))</f>
        <v>0</v>
      </c>
      <c r="OFB9" s="26">
        <f>IF(OFB7=0,0,IF(MAX($F9:OFA9)=$D12,0,OFA9+1))</f>
        <v>0</v>
      </c>
      <c r="OFC9" s="26">
        <f>IF(OFC7=0,0,IF(MAX($F9:OFB9)=$D12,0,OFB9+1))</f>
        <v>0</v>
      </c>
      <c r="OFD9" s="26">
        <f>IF(OFD7=0,0,IF(MAX($F9:OFC9)=$D12,0,OFC9+1))</f>
        <v>0</v>
      </c>
      <c r="OFE9" s="26">
        <f>IF(OFE7=0,0,IF(MAX($F9:OFD9)=$D12,0,OFD9+1))</f>
        <v>0</v>
      </c>
      <c r="OFF9" s="26">
        <f>IF(OFF7=0,0,IF(MAX($F9:OFE9)=$D12,0,OFE9+1))</f>
        <v>0</v>
      </c>
      <c r="OFG9" s="26">
        <f>IF(OFG7=0,0,IF(MAX($F9:OFF9)=$D12,0,OFF9+1))</f>
        <v>0</v>
      </c>
      <c r="OFH9" s="26">
        <f>IF(OFH7=0,0,IF(MAX($F9:OFG9)=$D12,0,OFG9+1))</f>
        <v>0</v>
      </c>
      <c r="OFI9" s="26">
        <f>IF(OFI7=0,0,IF(MAX($F9:OFH9)=$D12,0,OFH9+1))</f>
        <v>0</v>
      </c>
      <c r="OFJ9" s="26">
        <f>IF(OFJ7=0,0,IF(MAX($F9:OFI9)=$D12,0,OFI9+1))</f>
        <v>0</v>
      </c>
      <c r="OFK9" s="26">
        <f>IF(OFK7=0,0,IF(MAX($F9:OFJ9)=$D12,0,OFJ9+1))</f>
        <v>0</v>
      </c>
      <c r="OFL9" s="26">
        <f>IF(OFL7=0,0,IF(MAX($F9:OFK9)=$D12,0,OFK9+1))</f>
        <v>0</v>
      </c>
      <c r="OFM9" s="26">
        <f>IF(OFM7=0,0,IF(MAX($F9:OFL9)=$D12,0,OFL9+1))</f>
        <v>0</v>
      </c>
      <c r="OFN9" s="26">
        <f>IF(OFN7=0,0,IF(MAX($F9:OFM9)=$D12,0,OFM9+1))</f>
        <v>0</v>
      </c>
      <c r="OFO9" s="26">
        <f>IF(OFO7=0,0,IF(MAX($F9:OFN9)=$D12,0,OFN9+1))</f>
        <v>0</v>
      </c>
      <c r="OFP9" s="26">
        <f>IF(OFP7=0,0,IF(MAX($F9:OFO9)=$D12,0,OFO9+1))</f>
        <v>0</v>
      </c>
      <c r="OFQ9" s="26">
        <f>IF(OFQ7=0,0,IF(MAX($F9:OFP9)=$D12,0,OFP9+1))</f>
        <v>0</v>
      </c>
      <c r="OFR9" s="26">
        <f>IF(OFR7=0,0,IF(MAX($F9:OFQ9)=$D12,0,OFQ9+1))</f>
        <v>0</v>
      </c>
      <c r="OFS9" s="26">
        <f>IF(OFS7=0,0,IF(MAX($F9:OFR9)=$D12,0,OFR9+1))</f>
        <v>0</v>
      </c>
      <c r="OFT9" s="26">
        <f>IF(OFT7=0,0,IF(MAX($F9:OFS9)=$D12,0,OFS9+1))</f>
        <v>0</v>
      </c>
      <c r="OFU9" s="26">
        <f>IF(OFU7=0,0,IF(MAX($F9:OFT9)=$D12,0,OFT9+1))</f>
        <v>0</v>
      </c>
      <c r="OFV9" s="26">
        <f>IF(OFV7=0,0,IF(MAX($F9:OFU9)=$D12,0,OFU9+1))</f>
        <v>0</v>
      </c>
      <c r="OFW9" s="26">
        <f>IF(OFW7=0,0,IF(MAX($F9:OFV9)=$D12,0,OFV9+1))</f>
        <v>0</v>
      </c>
      <c r="OFX9" s="26">
        <f>IF(OFX7=0,0,IF(MAX($F9:OFW9)=$D12,0,OFW9+1))</f>
        <v>0</v>
      </c>
      <c r="OFY9" s="26">
        <f>IF(OFY7=0,0,IF(MAX($F9:OFX9)=$D12,0,OFX9+1))</f>
        <v>0</v>
      </c>
      <c r="OFZ9" s="26">
        <f>IF(OFZ7=0,0,IF(MAX($F9:OFY9)=$D12,0,OFY9+1))</f>
        <v>0</v>
      </c>
      <c r="OGA9" s="26">
        <f>IF(OGA7=0,0,IF(MAX($F9:OFZ9)=$D12,0,OFZ9+1))</f>
        <v>0</v>
      </c>
      <c r="OGB9" s="26">
        <f>IF(OGB7=0,0,IF(MAX($F9:OGA9)=$D12,0,OGA9+1))</f>
        <v>0</v>
      </c>
      <c r="OGC9" s="26">
        <f>IF(OGC7=0,0,IF(MAX($F9:OGB9)=$D12,0,OGB9+1))</f>
        <v>0</v>
      </c>
      <c r="OGD9" s="26">
        <f>IF(OGD7=0,0,IF(MAX($F9:OGC9)=$D12,0,OGC9+1))</f>
        <v>0</v>
      </c>
      <c r="OGE9" s="26">
        <f>IF(OGE7=0,0,IF(MAX($F9:OGD9)=$D12,0,OGD9+1))</f>
        <v>0</v>
      </c>
      <c r="OGF9" s="26">
        <f>IF(OGF7=0,0,IF(MAX($F9:OGE9)=$D12,0,OGE9+1))</f>
        <v>0</v>
      </c>
      <c r="OGG9" s="26">
        <f>IF(OGG7=0,0,IF(MAX($F9:OGF9)=$D12,0,OGF9+1))</f>
        <v>0</v>
      </c>
      <c r="OGH9" s="26">
        <f>IF(OGH7=0,0,IF(MAX($F9:OGG9)=$D12,0,OGG9+1))</f>
        <v>0</v>
      </c>
      <c r="OGI9" s="26">
        <f>IF(OGI7=0,0,IF(MAX($F9:OGH9)=$D12,0,OGH9+1))</f>
        <v>0</v>
      </c>
      <c r="OGJ9" s="26">
        <f>IF(OGJ7=0,0,IF(MAX($F9:OGI9)=$D12,0,OGI9+1))</f>
        <v>0</v>
      </c>
      <c r="OGK9" s="26">
        <f>IF(OGK7=0,0,IF(MAX($F9:OGJ9)=$D12,0,OGJ9+1))</f>
        <v>0</v>
      </c>
      <c r="OGL9" s="26">
        <f>IF(OGL7=0,0,IF(MAX($F9:OGK9)=$D12,0,OGK9+1))</f>
        <v>0</v>
      </c>
      <c r="OGM9" s="26">
        <f>IF(OGM7=0,0,IF(MAX($F9:OGL9)=$D12,0,OGL9+1))</f>
        <v>0</v>
      </c>
      <c r="OGN9" s="26">
        <f>IF(OGN7=0,0,IF(MAX($F9:OGM9)=$D12,0,OGM9+1))</f>
        <v>0</v>
      </c>
      <c r="OGO9" s="26">
        <f>IF(OGO7=0,0,IF(MAX($F9:OGN9)=$D12,0,OGN9+1))</f>
        <v>0</v>
      </c>
      <c r="OGP9" s="26">
        <f>IF(OGP7=0,0,IF(MAX($F9:OGO9)=$D12,0,OGO9+1))</f>
        <v>0</v>
      </c>
      <c r="OGQ9" s="26">
        <f>IF(OGQ7=0,0,IF(MAX($F9:OGP9)=$D12,0,OGP9+1))</f>
        <v>0</v>
      </c>
      <c r="OGR9" s="26">
        <f>IF(OGR7=0,0,IF(MAX($F9:OGQ9)=$D12,0,OGQ9+1))</f>
        <v>0</v>
      </c>
      <c r="OGS9" s="26">
        <f>IF(OGS7=0,0,IF(MAX($F9:OGR9)=$D12,0,OGR9+1))</f>
        <v>0</v>
      </c>
      <c r="OGT9" s="26">
        <f>IF(OGT7=0,0,IF(MAX($F9:OGS9)=$D12,0,OGS9+1))</f>
        <v>0</v>
      </c>
      <c r="OGU9" s="26">
        <f>IF(OGU7=0,0,IF(MAX($F9:OGT9)=$D12,0,OGT9+1))</f>
        <v>0</v>
      </c>
      <c r="OGV9" s="26">
        <f>IF(OGV7=0,0,IF(MAX($F9:OGU9)=$D12,0,OGU9+1))</f>
        <v>0</v>
      </c>
      <c r="OGW9" s="26">
        <f>IF(OGW7=0,0,IF(MAX($F9:OGV9)=$D12,0,OGV9+1))</f>
        <v>0</v>
      </c>
      <c r="OGX9" s="26">
        <f>IF(OGX7=0,0,IF(MAX($F9:OGW9)=$D12,0,OGW9+1))</f>
        <v>0</v>
      </c>
      <c r="OGY9" s="26">
        <f>IF(OGY7=0,0,IF(MAX($F9:OGX9)=$D12,0,OGX9+1))</f>
        <v>0</v>
      </c>
      <c r="OGZ9" s="26">
        <f>IF(OGZ7=0,0,IF(MAX($F9:OGY9)=$D12,0,OGY9+1))</f>
        <v>0</v>
      </c>
      <c r="OHA9" s="26">
        <f>IF(OHA7=0,0,IF(MAX($F9:OGZ9)=$D12,0,OGZ9+1))</f>
        <v>0</v>
      </c>
      <c r="OHB9" s="26">
        <f>IF(OHB7=0,0,IF(MAX($F9:OHA9)=$D12,0,OHA9+1))</f>
        <v>0</v>
      </c>
      <c r="OHC9" s="26">
        <f>IF(OHC7=0,0,IF(MAX($F9:OHB9)=$D12,0,OHB9+1))</f>
        <v>0</v>
      </c>
      <c r="OHD9" s="26">
        <f>IF(OHD7=0,0,IF(MAX($F9:OHC9)=$D12,0,OHC9+1))</f>
        <v>0</v>
      </c>
      <c r="OHE9" s="26">
        <f>IF(OHE7=0,0,IF(MAX($F9:OHD9)=$D12,0,OHD9+1))</f>
        <v>0</v>
      </c>
      <c r="OHF9" s="26">
        <f>IF(OHF7=0,0,IF(MAX($F9:OHE9)=$D12,0,OHE9+1))</f>
        <v>0</v>
      </c>
      <c r="OHG9" s="26">
        <f>IF(OHG7=0,0,IF(MAX($F9:OHF9)=$D12,0,OHF9+1))</f>
        <v>0</v>
      </c>
      <c r="OHH9" s="26">
        <f>IF(OHH7=0,0,IF(MAX($F9:OHG9)=$D12,0,OHG9+1))</f>
        <v>0</v>
      </c>
      <c r="OHI9" s="26">
        <f>IF(OHI7=0,0,IF(MAX($F9:OHH9)=$D12,0,OHH9+1))</f>
        <v>0</v>
      </c>
      <c r="OHJ9" s="26">
        <f>IF(OHJ7=0,0,IF(MAX($F9:OHI9)=$D12,0,OHI9+1))</f>
        <v>0</v>
      </c>
      <c r="OHK9" s="26">
        <f>IF(OHK7=0,0,IF(MAX($F9:OHJ9)=$D12,0,OHJ9+1))</f>
        <v>0</v>
      </c>
      <c r="OHL9" s="26">
        <f>IF(OHL7=0,0,IF(MAX($F9:OHK9)=$D12,0,OHK9+1))</f>
        <v>0</v>
      </c>
      <c r="OHM9" s="26">
        <f>IF(OHM7=0,0,IF(MAX($F9:OHL9)=$D12,0,OHL9+1))</f>
        <v>0</v>
      </c>
      <c r="OHN9" s="26">
        <f>IF(OHN7=0,0,IF(MAX($F9:OHM9)=$D12,0,OHM9+1))</f>
        <v>0</v>
      </c>
      <c r="OHO9" s="26">
        <f>IF(OHO7=0,0,IF(MAX($F9:OHN9)=$D12,0,OHN9+1))</f>
        <v>0</v>
      </c>
      <c r="OHP9" s="26">
        <f>IF(OHP7=0,0,IF(MAX($F9:OHO9)=$D12,0,OHO9+1))</f>
        <v>0</v>
      </c>
      <c r="OHQ9" s="26">
        <f>IF(OHQ7=0,0,IF(MAX($F9:OHP9)=$D12,0,OHP9+1))</f>
        <v>0</v>
      </c>
      <c r="OHR9" s="26">
        <f>IF(OHR7=0,0,IF(MAX($F9:OHQ9)=$D12,0,OHQ9+1))</f>
        <v>0</v>
      </c>
      <c r="OHS9" s="26">
        <f>IF(OHS7=0,0,IF(MAX($F9:OHR9)=$D12,0,OHR9+1))</f>
        <v>0</v>
      </c>
      <c r="OHT9" s="26">
        <f>IF(OHT7=0,0,IF(MAX($F9:OHS9)=$D12,0,OHS9+1))</f>
        <v>0</v>
      </c>
      <c r="OHU9" s="26">
        <f>IF(OHU7=0,0,IF(MAX($F9:OHT9)=$D12,0,OHT9+1))</f>
        <v>0</v>
      </c>
      <c r="OHV9" s="26">
        <f>IF(OHV7=0,0,IF(MAX($F9:OHU9)=$D12,0,OHU9+1))</f>
        <v>0</v>
      </c>
      <c r="OHW9" s="26">
        <f>IF(OHW7=0,0,IF(MAX($F9:OHV9)=$D12,0,OHV9+1))</f>
        <v>0</v>
      </c>
      <c r="OHX9" s="26">
        <f>IF(OHX7=0,0,IF(MAX($F9:OHW9)=$D12,0,OHW9+1))</f>
        <v>0</v>
      </c>
      <c r="OHY9" s="26">
        <f>IF(OHY7=0,0,IF(MAX($F9:OHX9)=$D12,0,OHX9+1))</f>
        <v>0</v>
      </c>
      <c r="OHZ9" s="26">
        <f>IF(OHZ7=0,0,IF(MAX($F9:OHY9)=$D12,0,OHY9+1))</f>
        <v>0</v>
      </c>
      <c r="OIA9" s="26">
        <f>IF(OIA7=0,0,IF(MAX($F9:OHZ9)=$D12,0,OHZ9+1))</f>
        <v>0</v>
      </c>
      <c r="OIB9" s="26">
        <f>IF(OIB7=0,0,IF(MAX($F9:OIA9)=$D12,0,OIA9+1))</f>
        <v>0</v>
      </c>
      <c r="OIC9" s="26">
        <f>IF(OIC7=0,0,IF(MAX($F9:OIB9)=$D12,0,OIB9+1))</f>
        <v>0</v>
      </c>
      <c r="OID9" s="26">
        <f>IF(OID7=0,0,IF(MAX($F9:OIC9)=$D12,0,OIC9+1))</f>
        <v>0</v>
      </c>
      <c r="OIE9" s="26">
        <f>IF(OIE7=0,0,IF(MAX($F9:OID9)=$D12,0,OID9+1))</f>
        <v>0</v>
      </c>
      <c r="OIF9" s="26">
        <f>IF(OIF7=0,0,IF(MAX($F9:OIE9)=$D12,0,OIE9+1))</f>
        <v>0</v>
      </c>
      <c r="OIG9" s="26">
        <f>IF(OIG7=0,0,IF(MAX($F9:OIF9)=$D12,0,OIF9+1))</f>
        <v>0</v>
      </c>
      <c r="OIH9" s="26">
        <f>IF(OIH7=0,0,IF(MAX($F9:OIG9)=$D12,0,OIG9+1))</f>
        <v>0</v>
      </c>
      <c r="OII9" s="26">
        <f>IF(OII7=0,0,IF(MAX($F9:OIH9)=$D12,0,OIH9+1))</f>
        <v>0</v>
      </c>
      <c r="OIJ9" s="26">
        <f>IF(OIJ7=0,0,IF(MAX($F9:OII9)=$D12,0,OII9+1))</f>
        <v>0</v>
      </c>
      <c r="OIK9" s="26">
        <f>IF(OIK7=0,0,IF(MAX($F9:OIJ9)=$D12,0,OIJ9+1))</f>
        <v>0</v>
      </c>
      <c r="OIL9" s="26">
        <f>IF(OIL7=0,0,IF(MAX($F9:OIK9)=$D12,0,OIK9+1))</f>
        <v>0</v>
      </c>
      <c r="OIM9" s="26">
        <f>IF(OIM7=0,0,IF(MAX($F9:OIL9)=$D12,0,OIL9+1))</f>
        <v>0</v>
      </c>
      <c r="OIN9" s="26">
        <f>IF(OIN7=0,0,IF(MAX($F9:OIM9)=$D12,0,OIM9+1))</f>
        <v>0</v>
      </c>
      <c r="OIO9" s="26">
        <f>IF(OIO7=0,0,IF(MAX($F9:OIN9)=$D12,0,OIN9+1))</f>
        <v>0</v>
      </c>
      <c r="OIP9" s="26">
        <f>IF(OIP7=0,0,IF(MAX($F9:OIO9)=$D12,0,OIO9+1))</f>
        <v>0</v>
      </c>
      <c r="OIQ9" s="26">
        <f>IF(OIQ7=0,0,IF(MAX($F9:OIP9)=$D12,0,OIP9+1))</f>
        <v>0</v>
      </c>
      <c r="OIR9" s="26">
        <f>IF(OIR7=0,0,IF(MAX($F9:OIQ9)=$D12,0,OIQ9+1))</f>
        <v>0</v>
      </c>
      <c r="OIS9" s="26">
        <f>IF(OIS7=0,0,IF(MAX($F9:OIR9)=$D12,0,OIR9+1))</f>
        <v>0</v>
      </c>
      <c r="OIT9" s="26">
        <f>IF(OIT7=0,0,IF(MAX($F9:OIS9)=$D12,0,OIS9+1))</f>
        <v>0</v>
      </c>
      <c r="OIU9" s="26">
        <f>IF(OIU7=0,0,IF(MAX($F9:OIT9)=$D12,0,OIT9+1))</f>
        <v>0</v>
      </c>
      <c r="OIV9" s="26">
        <f>IF(OIV7=0,0,IF(MAX($F9:OIU9)=$D12,0,OIU9+1))</f>
        <v>0</v>
      </c>
      <c r="OIW9" s="26">
        <f>IF(OIW7=0,0,IF(MAX($F9:OIV9)=$D12,0,OIV9+1))</f>
        <v>0</v>
      </c>
      <c r="OIX9" s="26">
        <f>IF(OIX7=0,0,IF(MAX($F9:OIW9)=$D12,0,OIW9+1))</f>
        <v>0</v>
      </c>
      <c r="OIY9" s="26">
        <f>IF(OIY7=0,0,IF(MAX($F9:OIX9)=$D12,0,OIX9+1))</f>
        <v>0</v>
      </c>
      <c r="OIZ9" s="26">
        <f>IF(OIZ7=0,0,IF(MAX($F9:OIY9)=$D12,0,OIY9+1))</f>
        <v>0</v>
      </c>
      <c r="OJA9" s="26">
        <f>IF(OJA7=0,0,IF(MAX($F9:OIZ9)=$D12,0,OIZ9+1))</f>
        <v>0</v>
      </c>
      <c r="OJB9" s="26">
        <f>IF(OJB7=0,0,IF(MAX($F9:OJA9)=$D12,0,OJA9+1))</f>
        <v>0</v>
      </c>
      <c r="OJC9" s="26">
        <f>IF(OJC7=0,0,IF(MAX($F9:OJB9)=$D12,0,OJB9+1))</f>
        <v>0</v>
      </c>
      <c r="OJD9" s="26">
        <f>IF(OJD7=0,0,IF(MAX($F9:OJC9)=$D12,0,OJC9+1))</f>
        <v>0</v>
      </c>
      <c r="OJE9" s="26">
        <f>IF(OJE7=0,0,IF(MAX($F9:OJD9)=$D12,0,OJD9+1))</f>
        <v>0</v>
      </c>
      <c r="OJF9" s="26">
        <f>IF(OJF7=0,0,IF(MAX($F9:OJE9)=$D12,0,OJE9+1))</f>
        <v>0</v>
      </c>
      <c r="OJG9" s="26">
        <f>IF(OJG7=0,0,IF(MAX($F9:OJF9)=$D12,0,OJF9+1))</f>
        <v>0</v>
      </c>
      <c r="OJH9" s="26">
        <f>IF(OJH7=0,0,IF(MAX($F9:OJG9)=$D12,0,OJG9+1))</f>
        <v>0</v>
      </c>
      <c r="OJI9" s="26">
        <f>IF(OJI7=0,0,IF(MAX($F9:OJH9)=$D12,0,OJH9+1))</f>
        <v>0</v>
      </c>
      <c r="OJJ9" s="26">
        <f>IF(OJJ7=0,0,IF(MAX($F9:OJI9)=$D12,0,OJI9+1))</f>
        <v>0</v>
      </c>
      <c r="OJK9" s="26">
        <f>IF(OJK7=0,0,IF(MAX($F9:OJJ9)=$D12,0,OJJ9+1))</f>
        <v>0</v>
      </c>
      <c r="OJL9" s="26">
        <f>IF(OJL7=0,0,IF(MAX($F9:OJK9)=$D12,0,OJK9+1))</f>
        <v>0</v>
      </c>
      <c r="OJM9" s="26">
        <f>IF(OJM7=0,0,IF(MAX($F9:OJL9)=$D12,0,OJL9+1))</f>
        <v>0</v>
      </c>
      <c r="OJN9" s="26">
        <f>IF(OJN7=0,0,IF(MAX($F9:OJM9)=$D12,0,OJM9+1))</f>
        <v>0</v>
      </c>
      <c r="OJO9" s="26">
        <f>IF(OJO7=0,0,IF(MAX($F9:OJN9)=$D12,0,OJN9+1))</f>
        <v>0</v>
      </c>
      <c r="OJP9" s="26">
        <f>IF(OJP7=0,0,IF(MAX($F9:OJO9)=$D12,0,OJO9+1))</f>
        <v>0</v>
      </c>
      <c r="OJQ9" s="26">
        <f>IF(OJQ7=0,0,IF(MAX($F9:OJP9)=$D12,0,OJP9+1))</f>
        <v>0</v>
      </c>
      <c r="OJR9" s="26">
        <f>IF(OJR7=0,0,IF(MAX($F9:OJQ9)=$D12,0,OJQ9+1))</f>
        <v>0</v>
      </c>
      <c r="OJS9" s="26">
        <f>IF(OJS7=0,0,IF(MAX($F9:OJR9)=$D12,0,OJR9+1))</f>
        <v>0</v>
      </c>
      <c r="OJT9" s="26">
        <f>IF(OJT7=0,0,IF(MAX($F9:OJS9)=$D12,0,OJS9+1))</f>
        <v>0</v>
      </c>
      <c r="OJU9" s="26">
        <f>IF(OJU7=0,0,IF(MAX($F9:OJT9)=$D12,0,OJT9+1))</f>
        <v>0</v>
      </c>
      <c r="OJV9" s="26">
        <f>IF(OJV7=0,0,IF(MAX($F9:OJU9)=$D12,0,OJU9+1))</f>
        <v>0</v>
      </c>
      <c r="OJW9" s="26">
        <f>IF(OJW7=0,0,IF(MAX($F9:OJV9)=$D12,0,OJV9+1))</f>
        <v>0</v>
      </c>
      <c r="OJX9" s="26">
        <f>IF(OJX7=0,0,IF(MAX($F9:OJW9)=$D12,0,OJW9+1))</f>
        <v>0</v>
      </c>
      <c r="OJY9" s="26">
        <f>IF(OJY7=0,0,IF(MAX($F9:OJX9)=$D12,0,OJX9+1))</f>
        <v>0</v>
      </c>
      <c r="OJZ9" s="26">
        <f>IF(OJZ7=0,0,IF(MAX($F9:OJY9)=$D12,0,OJY9+1))</f>
        <v>0</v>
      </c>
      <c r="OKA9" s="26">
        <f>IF(OKA7=0,0,IF(MAX($F9:OJZ9)=$D12,0,OJZ9+1))</f>
        <v>0</v>
      </c>
      <c r="OKB9" s="26">
        <f>IF(OKB7=0,0,IF(MAX($F9:OKA9)=$D12,0,OKA9+1))</f>
        <v>0</v>
      </c>
      <c r="OKC9" s="26">
        <f>IF(OKC7=0,0,IF(MAX($F9:OKB9)=$D12,0,OKB9+1))</f>
        <v>0</v>
      </c>
      <c r="OKD9" s="26">
        <f>IF(OKD7=0,0,IF(MAX($F9:OKC9)=$D12,0,OKC9+1))</f>
        <v>0</v>
      </c>
      <c r="OKE9" s="26">
        <f>IF(OKE7=0,0,IF(MAX($F9:OKD9)=$D12,0,OKD9+1))</f>
        <v>0</v>
      </c>
      <c r="OKF9" s="26">
        <f>IF(OKF7=0,0,IF(MAX($F9:OKE9)=$D12,0,OKE9+1))</f>
        <v>0</v>
      </c>
      <c r="OKG9" s="26">
        <f>IF(OKG7=0,0,IF(MAX($F9:OKF9)=$D12,0,OKF9+1))</f>
        <v>0</v>
      </c>
      <c r="OKH9" s="26">
        <f>IF(OKH7=0,0,IF(MAX($F9:OKG9)=$D12,0,OKG9+1))</f>
        <v>0</v>
      </c>
      <c r="OKI9" s="26">
        <f>IF(OKI7=0,0,IF(MAX($F9:OKH9)=$D12,0,OKH9+1))</f>
        <v>0</v>
      </c>
      <c r="OKJ9" s="26">
        <f>IF(OKJ7=0,0,IF(MAX($F9:OKI9)=$D12,0,OKI9+1))</f>
        <v>0</v>
      </c>
      <c r="OKK9" s="26">
        <f>IF(OKK7=0,0,IF(MAX($F9:OKJ9)=$D12,0,OKJ9+1))</f>
        <v>0</v>
      </c>
      <c r="OKL9" s="26">
        <f>IF(OKL7=0,0,IF(MAX($F9:OKK9)=$D12,0,OKK9+1))</f>
        <v>0</v>
      </c>
      <c r="OKM9" s="26">
        <f>IF(OKM7=0,0,IF(MAX($F9:OKL9)=$D12,0,OKL9+1))</f>
        <v>0</v>
      </c>
      <c r="OKN9" s="26">
        <f>IF(OKN7=0,0,IF(MAX($F9:OKM9)=$D12,0,OKM9+1))</f>
        <v>0</v>
      </c>
      <c r="OKO9" s="26">
        <f>IF(OKO7=0,0,IF(MAX($F9:OKN9)=$D12,0,OKN9+1))</f>
        <v>0</v>
      </c>
      <c r="OKP9" s="26">
        <f>IF(OKP7=0,0,IF(MAX($F9:OKO9)=$D12,0,OKO9+1))</f>
        <v>0</v>
      </c>
      <c r="OKQ9" s="26">
        <f>IF(OKQ7=0,0,IF(MAX($F9:OKP9)=$D12,0,OKP9+1))</f>
        <v>0</v>
      </c>
      <c r="OKR9" s="26">
        <f>IF(OKR7=0,0,IF(MAX($F9:OKQ9)=$D12,0,OKQ9+1))</f>
        <v>0</v>
      </c>
      <c r="OKS9" s="26">
        <f>IF(OKS7=0,0,IF(MAX($F9:OKR9)=$D12,0,OKR9+1))</f>
        <v>0</v>
      </c>
      <c r="OKT9" s="26">
        <f>IF(OKT7=0,0,IF(MAX($F9:OKS9)=$D12,0,OKS9+1))</f>
        <v>0</v>
      </c>
      <c r="OKU9" s="26">
        <f>IF(OKU7=0,0,IF(MAX($F9:OKT9)=$D12,0,OKT9+1))</f>
        <v>0</v>
      </c>
      <c r="OKV9" s="26">
        <f>IF(OKV7=0,0,IF(MAX($F9:OKU9)=$D12,0,OKU9+1))</f>
        <v>0</v>
      </c>
      <c r="OKW9" s="26">
        <f>IF(OKW7=0,0,IF(MAX($F9:OKV9)=$D12,0,OKV9+1))</f>
        <v>0</v>
      </c>
      <c r="OKX9" s="26">
        <f>IF(OKX7=0,0,IF(MAX($F9:OKW9)=$D12,0,OKW9+1))</f>
        <v>0</v>
      </c>
      <c r="OKY9" s="26">
        <f>IF(OKY7=0,0,IF(MAX($F9:OKX9)=$D12,0,OKX9+1))</f>
        <v>0</v>
      </c>
      <c r="OKZ9" s="26">
        <f>IF(OKZ7=0,0,IF(MAX($F9:OKY9)=$D12,0,OKY9+1))</f>
        <v>0</v>
      </c>
      <c r="OLA9" s="26">
        <f>IF(OLA7=0,0,IF(MAX($F9:OKZ9)=$D12,0,OKZ9+1))</f>
        <v>0</v>
      </c>
      <c r="OLB9" s="26">
        <f>IF(OLB7=0,0,IF(MAX($F9:OLA9)=$D12,0,OLA9+1))</f>
        <v>0</v>
      </c>
      <c r="OLC9" s="26">
        <f>IF(OLC7=0,0,IF(MAX($F9:OLB9)=$D12,0,OLB9+1))</f>
        <v>0</v>
      </c>
      <c r="OLD9" s="26">
        <f>IF(OLD7=0,0,IF(MAX($F9:OLC9)=$D12,0,OLC9+1))</f>
        <v>0</v>
      </c>
      <c r="OLE9" s="26">
        <f>IF(OLE7=0,0,IF(MAX($F9:OLD9)=$D12,0,OLD9+1))</f>
        <v>0</v>
      </c>
      <c r="OLF9" s="26">
        <f>IF(OLF7=0,0,IF(MAX($F9:OLE9)=$D12,0,OLE9+1))</f>
        <v>0</v>
      </c>
      <c r="OLG9" s="26">
        <f>IF(OLG7=0,0,IF(MAX($F9:OLF9)=$D12,0,OLF9+1))</f>
        <v>0</v>
      </c>
      <c r="OLH9" s="26">
        <f>IF(OLH7=0,0,IF(MAX($F9:OLG9)=$D12,0,OLG9+1))</f>
        <v>0</v>
      </c>
      <c r="OLI9" s="26">
        <f>IF(OLI7=0,0,IF(MAX($F9:OLH9)=$D12,0,OLH9+1))</f>
        <v>0</v>
      </c>
      <c r="OLJ9" s="26">
        <f>IF(OLJ7=0,0,IF(MAX($F9:OLI9)=$D12,0,OLI9+1))</f>
        <v>0</v>
      </c>
      <c r="OLK9" s="26">
        <f>IF(OLK7=0,0,IF(MAX($F9:OLJ9)=$D12,0,OLJ9+1))</f>
        <v>0</v>
      </c>
      <c r="OLL9" s="26">
        <f>IF(OLL7=0,0,IF(MAX($F9:OLK9)=$D12,0,OLK9+1))</f>
        <v>0</v>
      </c>
      <c r="OLM9" s="26">
        <f>IF(OLM7=0,0,IF(MAX($F9:OLL9)=$D12,0,OLL9+1))</f>
        <v>0</v>
      </c>
      <c r="OLN9" s="26">
        <f>IF(OLN7=0,0,IF(MAX($F9:OLM9)=$D12,0,OLM9+1))</f>
        <v>0</v>
      </c>
      <c r="OLO9" s="26">
        <f>IF(OLO7=0,0,IF(MAX($F9:OLN9)=$D12,0,OLN9+1))</f>
        <v>0</v>
      </c>
      <c r="OLP9" s="26">
        <f>IF(OLP7=0,0,IF(MAX($F9:OLO9)=$D12,0,OLO9+1))</f>
        <v>0</v>
      </c>
      <c r="OLQ9" s="26">
        <f>IF(OLQ7=0,0,IF(MAX($F9:OLP9)=$D12,0,OLP9+1))</f>
        <v>0</v>
      </c>
      <c r="OLR9" s="26">
        <f>IF(OLR7=0,0,IF(MAX($F9:OLQ9)=$D12,0,OLQ9+1))</f>
        <v>0</v>
      </c>
      <c r="OLS9" s="26">
        <f>IF(OLS7=0,0,IF(MAX($F9:OLR9)=$D12,0,OLR9+1))</f>
        <v>0</v>
      </c>
      <c r="OLT9" s="26">
        <f>IF(OLT7=0,0,IF(MAX($F9:OLS9)=$D12,0,OLS9+1))</f>
        <v>0</v>
      </c>
      <c r="OLU9" s="26">
        <f>IF(OLU7=0,0,IF(MAX($F9:OLT9)=$D12,0,OLT9+1))</f>
        <v>0</v>
      </c>
      <c r="OLV9" s="26">
        <f>IF(OLV7=0,0,IF(MAX($F9:OLU9)=$D12,0,OLU9+1))</f>
        <v>0</v>
      </c>
      <c r="OLW9" s="26">
        <f>IF(OLW7=0,0,IF(MAX($F9:OLV9)=$D12,0,OLV9+1))</f>
        <v>0</v>
      </c>
      <c r="OLX9" s="26">
        <f>IF(OLX7=0,0,IF(MAX($F9:OLW9)=$D12,0,OLW9+1))</f>
        <v>0</v>
      </c>
      <c r="OLY9" s="26">
        <f>IF(OLY7=0,0,IF(MAX($F9:OLX9)=$D12,0,OLX9+1))</f>
        <v>0</v>
      </c>
      <c r="OLZ9" s="26">
        <f>IF(OLZ7=0,0,IF(MAX($F9:OLY9)=$D12,0,OLY9+1))</f>
        <v>0</v>
      </c>
      <c r="OMA9" s="26">
        <f>IF(OMA7=0,0,IF(MAX($F9:OLZ9)=$D12,0,OLZ9+1))</f>
        <v>0</v>
      </c>
      <c r="OMB9" s="26">
        <f>IF(OMB7=0,0,IF(MAX($F9:OMA9)=$D12,0,OMA9+1))</f>
        <v>0</v>
      </c>
      <c r="OMC9" s="26">
        <f>IF(OMC7=0,0,IF(MAX($F9:OMB9)=$D12,0,OMB9+1))</f>
        <v>0</v>
      </c>
      <c r="OMD9" s="26">
        <f>IF(OMD7=0,0,IF(MAX($F9:OMC9)=$D12,0,OMC9+1))</f>
        <v>0</v>
      </c>
      <c r="OME9" s="26">
        <f>IF(OME7=0,0,IF(MAX($F9:OMD9)=$D12,0,OMD9+1))</f>
        <v>0</v>
      </c>
      <c r="OMF9" s="26">
        <f>IF(OMF7=0,0,IF(MAX($F9:OME9)=$D12,0,OME9+1))</f>
        <v>0</v>
      </c>
      <c r="OMG9" s="26">
        <f>IF(OMG7=0,0,IF(MAX($F9:OMF9)=$D12,0,OMF9+1))</f>
        <v>0</v>
      </c>
      <c r="OMH9" s="26">
        <f>IF(OMH7=0,0,IF(MAX($F9:OMG9)=$D12,0,OMG9+1))</f>
        <v>0</v>
      </c>
      <c r="OMI9" s="26">
        <f>IF(OMI7=0,0,IF(MAX($F9:OMH9)=$D12,0,OMH9+1))</f>
        <v>0</v>
      </c>
      <c r="OMJ9" s="26">
        <f>IF(OMJ7=0,0,IF(MAX($F9:OMI9)=$D12,0,OMI9+1))</f>
        <v>0</v>
      </c>
      <c r="OMK9" s="26">
        <f>IF(OMK7=0,0,IF(MAX($F9:OMJ9)=$D12,0,OMJ9+1))</f>
        <v>0</v>
      </c>
      <c r="OML9" s="26">
        <f>IF(OML7=0,0,IF(MAX($F9:OMK9)=$D12,0,OMK9+1))</f>
        <v>0</v>
      </c>
      <c r="OMM9" s="26">
        <f>IF(OMM7=0,0,IF(MAX($F9:OML9)=$D12,0,OML9+1))</f>
        <v>0</v>
      </c>
      <c r="OMN9" s="26">
        <f>IF(OMN7=0,0,IF(MAX($F9:OMM9)=$D12,0,OMM9+1))</f>
        <v>0</v>
      </c>
      <c r="OMO9" s="26">
        <f>IF(OMO7=0,0,IF(MAX($F9:OMN9)=$D12,0,OMN9+1))</f>
        <v>0</v>
      </c>
      <c r="OMP9" s="26">
        <f>IF(OMP7=0,0,IF(MAX($F9:OMO9)=$D12,0,OMO9+1))</f>
        <v>0</v>
      </c>
      <c r="OMQ9" s="26">
        <f>IF(OMQ7=0,0,IF(MAX($F9:OMP9)=$D12,0,OMP9+1))</f>
        <v>0</v>
      </c>
      <c r="OMR9" s="26">
        <f>IF(OMR7=0,0,IF(MAX($F9:OMQ9)=$D12,0,OMQ9+1))</f>
        <v>0</v>
      </c>
      <c r="OMS9" s="26">
        <f>IF(OMS7=0,0,IF(MAX($F9:OMR9)=$D12,0,OMR9+1))</f>
        <v>0</v>
      </c>
      <c r="OMT9" s="26">
        <f>IF(OMT7=0,0,IF(MAX($F9:OMS9)=$D12,0,OMS9+1))</f>
        <v>0</v>
      </c>
      <c r="OMU9" s="26">
        <f>IF(OMU7=0,0,IF(MAX($F9:OMT9)=$D12,0,OMT9+1))</f>
        <v>0</v>
      </c>
      <c r="OMV9" s="26">
        <f>IF(OMV7=0,0,IF(MAX($F9:OMU9)=$D12,0,OMU9+1))</f>
        <v>0</v>
      </c>
      <c r="OMW9" s="26">
        <f>IF(OMW7=0,0,IF(MAX($F9:OMV9)=$D12,0,OMV9+1))</f>
        <v>0</v>
      </c>
      <c r="OMX9" s="26">
        <f>IF(OMX7=0,0,IF(MAX($F9:OMW9)=$D12,0,OMW9+1))</f>
        <v>0</v>
      </c>
      <c r="OMY9" s="26">
        <f>IF(OMY7=0,0,IF(MAX($F9:OMX9)=$D12,0,OMX9+1))</f>
        <v>0</v>
      </c>
      <c r="OMZ9" s="26">
        <f>IF(OMZ7=0,0,IF(MAX($F9:OMY9)=$D12,0,OMY9+1))</f>
        <v>0</v>
      </c>
      <c r="ONA9" s="26">
        <f>IF(ONA7=0,0,IF(MAX($F9:OMZ9)=$D12,0,OMZ9+1))</f>
        <v>0</v>
      </c>
      <c r="ONB9" s="26">
        <f>IF(ONB7=0,0,IF(MAX($F9:ONA9)=$D12,0,ONA9+1))</f>
        <v>0</v>
      </c>
      <c r="ONC9" s="26">
        <f>IF(ONC7=0,0,IF(MAX($F9:ONB9)=$D12,0,ONB9+1))</f>
        <v>0</v>
      </c>
      <c r="OND9" s="26">
        <f>IF(OND7=0,0,IF(MAX($F9:ONC9)=$D12,0,ONC9+1))</f>
        <v>0</v>
      </c>
      <c r="ONE9" s="26">
        <f>IF(ONE7=0,0,IF(MAX($F9:OND9)=$D12,0,OND9+1))</f>
        <v>0</v>
      </c>
      <c r="ONF9" s="26">
        <f>IF(ONF7=0,0,IF(MAX($F9:ONE9)=$D12,0,ONE9+1))</f>
        <v>0</v>
      </c>
      <c r="ONG9" s="26">
        <f>IF(ONG7=0,0,IF(MAX($F9:ONF9)=$D12,0,ONF9+1))</f>
        <v>0</v>
      </c>
      <c r="ONH9" s="26">
        <f>IF(ONH7=0,0,IF(MAX($F9:ONG9)=$D12,0,ONG9+1))</f>
        <v>0</v>
      </c>
      <c r="ONI9" s="26">
        <f>IF(ONI7=0,0,IF(MAX($F9:ONH9)=$D12,0,ONH9+1))</f>
        <v>0</v>
      </c>
      <c r="ONJ9" s="26">
        <f>IF(ONJ7=0,0,IF(MAX($F9:ONI9)=$D12,0,ONI9+1))</f>
        <v>0</v>
      </c>
      <c r="ONK9" s="26">
        <f>IF(ONK7=0,0,IF(MAX($F9:ONJ9)=$D12,0,ONJ9+1))</f>
        <v>0</v>
      </c>
      <c r="ONL9" s="26">
        <f>IF(ONL7=0,0,IF(MAX($F9:ONK9)=$D12,0,ONK9+1))</f>
        <v>0</v>
      </c>
      <c r="ONM9" s="26">
        <f>IF(ONM7=0,0,IF(MAX($F9:ONL9)=$D12,0,ONL9+1))</f>
        <v>0</v>
      </c>
      <c r="ONN9" s="26">
        <f>IF(ONN7=0,0,IF(MAX($F9:ONM9)=$D12,0,ONM9+1))</f>
        <v>0</v>
      </c>
      <c r="ONO9" s="26">
        <f>IF(ONO7=0,0,IF(MAX($F9:ONN9)=$D12,0,ONN9+1))</f>
        <v>0</v>
      </c>
      <c r="ONP9" s="26">
        <f>IF(ONP7=0,0,IF(MAX($F9:ONO9)=$D12,0,ONO9+1))</f>
        <v>0</v>
      </c>
      <c r="ONQ9" s="26">
        <f>IF(ONQ7=0,0,IF(MAX($F9:ONP9)=$D12,0,ONP9+1))</f>
        <v>0</v>
      </c>
      <c r="ONR9" s="26">
        <f>IF(ONR7=0,0,IF(MAX($F9:ONQ9)=$D12,0,ONQ9+1))</f>
        <v>0</v>
      </c>
      <c r="ONS9" s="26">
        <f>IF(ONS7=0,0,IF(MAX($F9:ONR9)=$D12,0,ONR9+1))</f>
        <v>0</v>
      </c>
      <c r="ONT9" s="26">
        <f>IF(ONT7=0,0,IF(MAX($F9:ONS9)=$D12,0,ONS9+1))</f>
        <v>0</v>
      </c>
      <c r="ONU9" s="26">
        <f>IF(ONU7=0,0,IF(MAX($F9:ONT9)=$D12,0,ONT9+1))</f>
        <v>0</v>
      </c>
      <c r="ONV9" s="26">
        <f>IF(ONV7=0,0,IF(MAX($F9:ONU9)=$D12,0,ONU9+1))</f>
        <v>0</v>
      </c>
      <c r="ONW9" s="26">
        <f>IF(ONW7=0,0,IF(MAX($F9:ONV9)=$D12,0,ONV9+1))</f>
        <v>0</v>
      </c>
      <c r="ONX9" s="26">
        <f>IF(ONX7=0,0,IF(MAX($F9:ONW9)=$D12,0,ONW9+1))</f>
        <v>0</v>
      </c>
      <c r="ONY9" s="26">
        <f>IF(ONY7=0,0,IF(MAX($F9:ONX9)=$D12,0,ONX9+1))</f>
        <v>0</v>
      </c>
      <c r="ONZ9" s="26">
        <f>IF(ONZ7=0,0,IF(MAX($F9:ONY9)=$D12,0,ONY9+1))</f>
        <v>0</v>
      </c>
      <c r="OOA9" s="26">
        <f>IF(OOA7=0,0,IF(MAX($F9:ONZ9)=$D12,0,ONZ9+1))</f>
        <v>0</v>
      </c>
      <c r="OOB9" s="26">
        <f>IF(OOB7=0,0,IF(MAX($F9:OOA9)=$D12,0,OOA9+1))</f>
        <v>0</v>
      </c>
      <c r="OOC9" s="26">
        <f>IF(OOC7=0,0,IF(MAX($F9:OOB9)=$D12,0,OOB9+1))</f>
        <v>0</v>
      </c>
      <c r="OOD9" s="26">
        <f>IF(OOD7=0,0,IF(MAX($F9:OOC9)=$D12,0,OOC9+1))</f>
        <v>0</v>
      </c>
      <c r="OOE9" s="26">
        <f>IF(OOE7=0,0,IF(MAX($F9:OOD9)=$D12,0,OOD9+1))</f>
        <v>0</v>
      </c>
      <c r="OOF9" s="26">
        <f>IF(OOF7=0,0,IF(MAX($F9:OOE9)=$D12,0,OOE9+1))</f>
        <v>0</v>
      </c>
      <c r="OOG9" s="26">
        <f>IF(OOG7=0,0,IF(MAX($F9:OOF9)=$D12,0,OOF9+1))</f>
        <v>0</v>
      </c>
      <c r="OOH9" s="26">
        <f>IF(OOH7=0,0,IF(MAX($F9:OOG9)=$D12,0,OOG9+1))</f>
        <v>0</v>
      </c>
      <c r="OOI9" s="26">
        <f>IF(OOI7=0,0,IF(MAX($F9:OOH9)=$D12,0,OOH9+1))</f>
        <v>0</v>
      </c>
      <c r="OOJ9" s="26">
        <f>IF(OOJ7=0,0,IF(MAX($F9:OOI9)=$D12,0,OOI9+1))</f>
        <v>0</v>
      </c>
      <c r="OOK9" s="26">
        <f>IF(OOK7=0,0,IF(MAX($F9:OOJ9)=$D12,0,OOJ9+1))</f>
        <v>0</v>
      </c>
      <c r="OOL9" s="26">
        <f>IF(OOL7=0,0,IF(MAX($F9:OOK9)=$D12,0,OOK9+1))</f>
        <v>0</v>
      </c>
      <c r="OOM9" s="26">
        <f>IF(OOM7=0,0,IF(MAX($F9:OOL9)=$D12,0,OOL9+1))</f>
        <v>0</v>
      </c>
      <c r="OON9" s="26">
        <f>IF(OON7=0,0,IF(MAX($F9:OOM9)=$D12,0,OOM9+1))</f>
        <v>0</v>
      </c>
      <c r="OOO9" s="26">
        <f>IF(OOO7=0,0,IF(MAX($F9:OON9)=$D12,0,OON9+1))</f>
        <v>0</v>
      </c>
      <c r="OOP9" s="26">
        <f>IF(OOP7=0,0,IF(MAX($F9:OOO9)=$D12,0,OOO9+1))</f>
        <v>0</v>
      </c>
      <c r="OOQ9" s="26">
        <f>IF(OOQ7=0,0,IF(MAX($F9:OOP9)=$D12,0,OOP9+1))</f>
        <v>0</v>
      </c>
      <c r="OOR9" s="26">
        <f>IF(OOR7=0,0,IF(MAX($F9:OOQ9)=$D12,0,OOQ9+1))</f>
        <v>0</v>
      </c>
      <c r="OOS9" s="26">
        <f>IF(OOS7=0,0,IF(MAX($F9:OOR9)=$D12,0,OOR9+1))</f>
        <v>0</v>
      </c>
      <c r="OOT9" s="26">
        <f>IF(OOT7=0,0,IF(MAX($F9:OOS9)=$D12,0,OOS9+1))</f>
        <v>0</v>
      </c>
      <c r="OOU9" s="26">
        <f>IF(OOU7=0,0,IF(MAX($F9:OOT9)=$D12,0,OOT9+1))</f>
        <v>0</v>
      </c>
      <c r="OOV9" s="26">
        <f>IF(OOV7=0,0,IF(MAX($F9:OOU9)=$D12,0,OOU9+1))</f>
        <v>0</v>
      </c>
      <c r="OOW9" s="26">
        <f>IF(OOW7=0,0,IF(MAX($F9:OOV9)=$D12,0,OOV9+1))</f>
        <v>0</v>
      </c>
      <c r="OOX9" s="26">
        <f>IF(OOX7=0,0,IF(MAX($F9:OOW9)=$D12,0,OOW9+1))</f>
        <v>0</v>
      </c>
      <c r="OOY9" s="26">
        <f>IF(OOY7=0,0,IF(MAX($F9:OOX9)=$D12,0,OOX9+1))</f>
        <v>0</v>
      </c>
      <c r="OOZ9" s="26">
        <f>IF(OOZ7=0,0,IF(MAX($F9:OOY9)=$D12,0,OOY9+1))</f>
        <v>0</v>
      </c>
      <c r="OPA9" s="26">
        <f>IF(OPA7=0,0,IF(MAX($F9:OOZ9)=$D12,0,OOZ9+1))</f>
        <v>0</v>
      </c>
      <c r="OPB9" s="26">
        <f>IF(OPB7=0,0,IF(MAX($F9:OPA9)=$D12,0,OPA9+1))</f>
        <v>0</v>
      </c>
      <c r="OPC9" s="26">
        <f>IF(OPC7=0,0,IF(MAX($F9:OPB9)=$D12,0,OPB9+1))</f>
        <v>0</v>
      </c>
      <c r="OPD9" s="26">
        <f>IF(OPD7=0,0,IF(MAX($F9:OPC9)=$D12,0,OPC9+1))</f>
        <v>0</v>
      </c>
      <c r="OPE9" s="26">
        <f>IF(OPE7=0,0,IF(MAX($F9:OPD9)=$D12,0,OPD9+1))</f>
        <v>0</v>
      </c>
      <c r="OPF9" s="26">
        <f>IF(OPF7=0,0,IF(MAX($F9:OPE9)=$D12,0,OPE9+1))</f>
        <v>0</v>
      </c>
      <c r="OPG9" s="26">
        <f>IF(OPG7=0,0,IF(MAX($F9:OPF9)=$D12,0,OPF9+1))</f>
        <v>0</v>
      </c>
      <c r="OPH9" s="26">
        <f>IF(OPH7=0,0,IF(MAX($F9:OPG9)=$D12,0,OPG9+1))</f>
        <v>0</v>
      </c>
      <c r="OPI9" s="26">
        <f>IF(OPI7=0,0,IF(MAX($F9:OPH9)=$D12,0,OPH9+1))</f>
        <v>0</v>
      </c>
      <c r="OPJ9" s="26">
        <f>IF(OPJ7=0,0,IF(MAX($F9:OPI9)=$D12,0,OPI9+1))</f>
        <v>0</v>
      </c>
      <c r="OPK9" s="26">
        <f>IF(OPK7=0,0,IF(MAX($F9:OPJ9)=$D12,0,OPJ9+1))</f>
        <v>0</v>
      </c>
      <c r="OPL9" s="26">
        <f>IF(OPL7=0,0,IF(MAX($F9:OPK9)=$D12,0,OPK9+1))</f>
        <v>0</v>
      </c>
      <c r="OPM9" s="26">
        <f>IF(OPM7=0,0,IF(MAX($F9:OPL9)=$D12,0,OPL9+1))</f>
        <v>0</v>
      </c>
      <c r="OPN9" s="26">
        <f>IF(OPN7=0,0,IF(MAX($F9:OPM9)=$D12,0,OPM9+1))</f>
        <v>0</v>
      </c>
      <c r="OPO9" s="26">
        <f>IF(OPO7=0,0,IF(MAX($F9:OPN9)=$D12,0,OPN9+1))</f>
        <v>0</v>
      </c>
      <c r="OPP9" s="26">
        <f>IF(OPP7=0,0,IF(MAX($F9:OPO9)=$D12,0,OPO9+1))</f>
        <v>0</v>
      </c>
      <c r="OPQ9" s="26">
        <f>IF(OPQ7=0,0,IF(MAX($F9:OPP9)=$D12,0,OPP9+1))</f>
        <v>0</v>
      </c>
      <c r="OPR9" s="26">
        <f>IF(OPR7=0,0,IF(MAX($F9:OPQ9)=$D12,0,OPQ9+1))</f>
        <v>0</v>
      </c>
      <c r="OPS9" s="26">
        <f>IF(OPS7=0,0,IF(MAX($F9:OPR9)=$D12,0,OPR9+1))</f>
        <v>0</v>
      </c>
      <c r="OPT9" s="26">
        <f>IF(OPT7=0,0,IF(MAX($F9:OPS9)=$D12,0,OPS9+1))</f>
        <v>0</v>
      </c>
      <c r="OPU9" s="26">
        <f>IF(OPU7=0,0,IF(MAX($F9:OPT9)=$D12,0,OPT9+1))</f>
        <v>0</v>
      </c>
      <c r="OPV9" s="26">
        <f>IF(OPV7=0,0,IF(MAX($F9:OPU9)=$D12,0,OPU9+1))</f>
        <v>0</v>
      </c>
      <c r="OPW9" s="26">
        <f>IF(OPW7=0,0,IF(MAX($F9:OPV9)=$D12,0,OPV9+1))</f>
        <v>0</v>
      </c>
      <c r="OPX9" s="26">
        <f>IF(OPX7=0,0,IF(MAX($F9:OPW9)=$D12,0,OPW9+1))</f>
        <v>0</v>
      </c>
      <c r="OPY9" s="26">
        <f>IF(OPY7=0,0,IF(MAX($F9:OPX9)=$D12,0,OPX9+1))</f>
        <v>0</v>
      </c>
      <c r="OPZ9" s="26">
        <f>IF(OPZ7=0,0,IF(MAX($F9:OPY9)=$D12,0,OPY9+1))</f>
        <v>0</v>
      </c>
      <c r="OQA9" s="26">
        <f>IF(OQA7=0,0,IF(MAX($F9:OPZ9)=$D12,0,OPZ9+1))</f>
        <v>0</v>
      </c>
      <c r="OQB9" s="26">
        <f>IF(OQB7=0,0,IF(MAX($F9:OQA9)=$D12,0,OQA9+1))</f>
        <v>0</v>
      </c>
      <c r="OQC9" s="26">
        <f>IF(OQC7=0,0,IF(MAX($F9:OQB9)=$D12,0,OQB9+1))</f>
        <v>0</v>
      </c>
      <c r="OQD9" s="26">
        <f>IF(OQD7=0,0,IF(MAX($F9:OQC9)=$D12,0,OQC9+1))</f>
        <v>0</v>
      </c>
      <c r="OQE9" s="26">
        <f>IF(OQE7=0,0,IF(MAX($F9:OQD9)=$D12,0,OQD9+1))</f>
        <v>0</v>
      </c>
      <c r="OQF9" s="26">
        <f>IF(OQF7=0,0,IF(MAX($F9:OQE9)=$D12,0,OQE9+1))</f>
        <v>0</v>
      </c>
      <c r="OQG9" s="26">
        <f>IF(OQG7=0,0,IF(MAX($F9:OQF9)=$D12,0,OQF9+1))</f>
        <v>0</v>
      </c>
      <c r="OQH9" s="26">
        <f>IF(OQH7=0,0,IF(MAX($F9:OQG9)=$D12,0,OQG9+1))</f>
        <v>0</v>
      </c>
      <c r="OQI9" s="26">
        <f>IF(OQI7=0,0,IF(MAX($F9:OQH9)=$D12,0,OQH9+1))</f>
        <v>0</v>
      </c>
      <c r="OQJ9" s="26">
        <f>IF(OQJ7=0,0,IF(MAX($F9:OQI9)=$D12,0,OQI9+1))</f>
        <v>0</v>
      </c>
      <c r="OQK9" s="26">
        <f>IF(OQK7=0,0,IF(MAX($F9:OQJ9)=$D12,0,OQJ9+1))</f>
        <v>0</v>
      </c>
      <c r="OQL9" s="26">
        <f>IF(OQL7=0,0,IF(MAX($F9:OQK9)=$D12,0,OQK9+1))</f>
        <v>0</v>
      </c>
      <c r="OQM9" s="26">
        <f>IF(OQM7=0,0,IF(MAX($F9:OQL9)=$D12,0,OQL9+1))</f>
        <v>0</v>
      </c>
      <c r="OQN9" s="26">
        <f>IF(OQN7=0,0,IF(MAX($F9:OQM9)=$D12,0,OQM9+1))</f>
        <v>0</v>
      </c>
      <c r="OQO9" s="26">
        <f>IF(OQO7=0,0,IF(MAX($F9:OQN9)=$D12,0,OQN9+1))</f>
        <v>0</v>
      </c>
      <c r="OQP9" s="26">
        <f>IF(OQP7=0,0,IF(MAX($F9:OQO9)=$D12,0,OQO9+1))</f>
        <v>0</v>
      </c>
      <c r="OQQ9" s="26">
        <f>IF(OQQ7=0,0,IF(MAX($F9:OQP9)=$D12,0,OQP9+1))</f>
        <v>0</v>
      </c>
      <c r="OQR9" s="26">
        <f>IF(OQR7=0,0,IF(MAX($F9:OQQ9)=$D12,0,OQQ9+1))</f>
        <v>0</v>
      </c>
      <c r="OQS9" s="26">
        <f>IF(OQS7=0,0,IF(MAX($F9:OQR9)=$D12,0,OQR9+1))</f>
        <v>0</v>
      </c>
      <c r="OQT9" s="26">
        <f>IF(OQT7=0,0,IF(MAX($F9:OQS9)=$D12,0,OQS9+1))</f>
        <v>0</v>
      </c>
      <c r="OQU9" s="26">
        <f>IF(OQU7=0,0,IF(MAX($F9:OQT9)=$D12,0,OQT9+1))</f>
        <v>0</v>
      </c>
      <c r="OQV9" s="26">
        <f>IF(OQV7=0,0,IF(MAX($F9:OQU9)=$D12,0,OQU9+1))</f>
        <v>0</v>
      </c>
      <c r="OQW9" s="26">
        <f>IF(OQW7=0,0,IF(MAX($F9:OQV9)=$D12,0,OQV9+1))</f>
        <v>0</v>
      </c>
      <c r="OQX9" s="26">
        <f>IF(OQX7=0,0,IF(MAX($F9:OQW9)=$D12,0,OQW9+1))</f>
        <v>0</v>
      </c>
      <c r="OQY9" s="26">
        <f>IF(OQY7=0,0,IF(MAX($F9:OQX9)=$D12,0,OQX9+1))</f>
        <v>0</v>
      </c>
      <c r="OQZ9" s="26">
        <f>IF(OQZ7=0,0,IF(MAX($F9:OQY9)=$D12,0,OQY9+1))</f>
        <v>0</v>
      </c>
      <c r="ORA9" s="26">
        <f>IF(ORA7=0,0,IF(MAX($F9:OQZ9)=$D12,0,OQZ9+1))</f>
        <v>0</v>
      </c>
      <c r="ORB9" s="26">
        <f>IF(ORB7=0,0,IF(MAX($F9:ORA9)=$D12,0,ORA9+1))</f>
        <v>0</v>
      </c>
      <c r="ORC9" s="26">
        <f>IF(ORC7=0,0,IF(MAX($F9:ORB9)=$D12,0,ORB9+1))</f>
        <v>0</v>
      </c>
      <c r="ORD9" s="26">
        <f>IF(ORD7=0,0,IF(MAX($F9:ORC9)=$D12,0,ORC9+1))</f>
        <v>0</v>
      </c>
      <c r="ORE9" s="26">
        <f>IF(ORE7=0,0,IF(MAX($F9:ORD9)=$D12,0,ORD9+1))</f>
        <v>0</v>
      </c>
      <c r="ORF9" s="26">
        <f>IF(ORF7=0,0,IF(MAX($F9:ORE9)=$D12,0,ORE9+1))</f>
        <v>0</v>
      </c>
      <c r="ORG9" s="26">
        <f>IF(ORG7=0,0,IF(MAX($F9:ORF9)=$D12,0,ORF9+1))</f>
        <v>0</v>
      </c>
      <c r="ORH9" s="26">
        <f>IF(ORH7=0,0,IF(MAX($F9:ORG9)=$D12,0,ORG9+1))</f>
        <v>0</v>
      </c>
      <c r="ORI9" s="26">
        <f>IF(ORI7=0,0,IF(MAX($F9:ORH9)=$D12,0,ORH9+1))</f>
        <v>0</v>
      </c>
      <c r="ORJ9" s="26">
        <f>IF(ORJ7=0,0,IF(MAX($F9:ORI9)=$D12,0,ORI9+1))</f>
        <v>0</v>
      </c>
      <c r="ORK9" s="26">
        <f>IF(ORK7=0,0,IF(MAX($F9:ORJ9)=$D12,0,ORJ9+1))</f>
        <v>0</v>
      </c>
      <c r="ORL9" s="26">
        <f>IF(ORL7=0,0,IF(MAX($F9:ORK9)=$D12,0,ORK9+1))</f>
        <v>0</v>
      </c>
      <c r="ORM9" s="26">
        <f>IF(ORM7=0,0,IF(MAX($F9:ORL9)=$D12,0,ORL9+1))</f>
        <v>0</v>
      </c>
      <c r="ORN9" s="26">
        <f>IF(ORN7=0,0,IF(MAX($F9:ORM9)=$D12,0,ORM9+1))</f>
        <v>0</v>
      </c>
      <c r="ORO9" s="26">
        <f>IF(ORO7=0,0,IF(MAX($F9:ORN9)=$D12,0,ORN9+1))</f>
        <v>0</v>
      </c>
      <c r="ORP9" s="26">
        <f>IF(ORP7=0,0,IF(MAX($F9:ORO9)=$D12,0,ORO9+1))</f>
        <v>0</v>
      </c>
      <c r="ORQ9" s="26">
        <f>IF(ORQ7=0,0,IF(MAX($F9:ORP9)=$D12,0,ORP9+1))</f>
        <v>0</v>
      </c>
      <c r="ORR9" s="26">
        <f>IF(ORR7=0,0,IF(MAX($F9:ORQ9)=$D12,0,ORQ9+1))</f>
        <v>0</v>
      </c>
      <c r="ORS9" s="26">
        <f>IF(ORS7=0,0,IF(MAX($F9:ORR9)=$D12,0,ORR9+1))</f>
        <v>0</v>
      </c>
      <c r="ORT9" s="26">
        <f>IF(ORT7=0,0,IF(MAX($F9:ORS9)=$D12,0,ORS9+1))</f>
        <v>0</v>
      </c>
      <c r="ORU9" s="26">
        <f>IF(ORU7=0,0,IF(MAX($F9:ORT9)=$D12,0,ORT9+1))</f>
        <v>0</v>
      </c>
      <c r="ORV9" s="26">
        <f>IF(ORV7=0,0,IF(MAX($F9:ORU9)=$D12,0,ORU9+1))</f>
        <v>0</v>
      </c>
      <c r="ORW9" s="26">
        <f>IF(ORW7=0,0,IF(MAX($F9:ORV9)=$D12,0,ORV9+1))</f>
        <v>0</v>
      </c>
      <c r="ORX9" s="26">
        <f>IF(ORX7=0,0,IF(MAX($F9:ORW9)=$D12,0,ORW9+1))</f>
        <v>0</v>
      </c>
      <c r="ORY9" s="26">
        <f>IF(ORY7=0,0,IF(MAX($F9:ORX9)=$D12,0,ORX9+1))</f>
        <v>0</v>
      </c>
      <c r="ORZ9" s="26">
        <f>IF(ORZ7=0,0,IF(MAX($F9:ORY9)=$D12,0,ORY9+1))</f>
        <v>0</v>
      </c>
      <c r="OSA9" s="26">
        <f>IF(OSA7=0,0,IF(MAX($F9:ORZ9)=$D12,0,ORZ9+1))</f>
        <v>0</v>
      </c>
      <c r="OSB9" s="26">
        <f>IF(OSB7=0,0,IF(MAX($F9:OSA9)=$D12,0,OSA9+1))</f>
        <v>0</v>
      </c>
      <c r="OSC9" s="26">
        <f>IF(OSC7=0,0,IF(MAX($F9:OSB9)=$D12,0,OSB9+1))</f>
        <v>0</v>
      </c>
      <c r="OSD9" s="26">
        <f>IF(OSD7=0,0,IF(MAX($F9:OSC9)=$D12,0,OSC9+1))</f>
        <v>0</v>
      </c>
      <c r="OSE9" s="26">
        <f>IF(OSE7=0,0,IF(MAX($F9:OSD9)=$D12,0,OSD9+1))</f>
        <v>0</v>
      </c>
      <c r="OSF9" s="26">
        <f>IF(OSF7=0,0,IF(MAX($F9:OSE9)=$D12,0,OSE9+1))</f>
        <v>0</v>
      </c>
      <c r="OSG9" s="26">
        <f>IF(OSG7=0,0,IF(MAX($F9:OSF9)=$D12,0,OSF9+1))</f>
        <v>0</v>
      </c>
      <c r="OSH9" s="26">
        <f>IF(OSH7=0,0,IF(MAX($F9:OSG9)=$D12,0,OSG9+1))</f>
        <v>0</v>
      </c>
      <c r="OSI9" s="26">
        <f>IF(OSI7=0,0,IF(MAX($F9:OSH9)=$D12,0,OSH9+1))</f>
        <v>0</v>
      </c>
      <c r="OSJ9" s="26">
        <f>IF(OSJ7=0,0,IF(MAX($F9:OSI9)=$D12,0,OSI9+1))</f>
        <v>0</v>
      </c>
      <c r="OSK9" s="26">
        <f>IF(OSK7=0,0,IF(MAX($F9:OSJ9)=$D12,0,OSJ9+1))</f>
        <v>0</v>
      </c>
      <c r="OSL9" s="26">
        <f>IF(OSL7=0,0,IF(MAX($F9:OSK9)=$D12,0,OSK9+1))</f>
        <v>0</v>
      </c>
      <c r="OSM9" s="26">
        <f>IF(OSM7=0,0,IF(MAX($F9:OSL9)=$D12,0,OSL9+1))</f>
        <v>0</v>
      </c>
      <c r="OSN9" s="26">
        <f>IF(OSN7=0,0,IF(MAX($F9:OSM9)=$D12,0,OSM9+1))</f>
        <v>0</v>
      </c>
      <c r="OSO9" s="26">
        <f>IF(OSO7=0,0,IF(MAX($F9:OSN9)=$D12,0,OSN9+1))</f>
        <v>0</v>
      </c>
      <c r="OSP9" s="26">
        <f>IF(OSP7=0,0,IF(MAX($F9:OSO9)=$D12,0,OSO9+1))</f>
        <v>0</v>
      </c>
      <c r="OSQ9" s="26">
        <f>IF(OSQ7=0,0,IF(MAX($F9:OSP9)=$D12,0,OSP9+1))</f>
        <v>0</v>
      </c>
      <c r="OSR9" s="26">
        <f>IF(OSR7=0,0,IF(MAX($F9:OSQ9)=$D12,0,OSQ9+1))</f>
        <v>0</v>
      </c>
      <c r="OSS9" s="26">
        <f>IF(OSS7=0,0,IF(MAX($F9:OSR9)=$D12,0,OSR9+1))</f>
        <v>0</v>
      </c>
      <c r="OST9" s="26">
        <f>IF(OST7=0,0,IF(MAX($F9:OSS9)=$D12,0,OSS9+1))</f>
        <v>0</v>
      </c>
      <c r="OSU9" s="26">
        <f>IF(OSU7=0,0,IF(MAX($F9:OST9)=$D12,0,OST9+1))</f>
        <v>0</v>
      </c>
      <c r="OSV9" s="26">
        <f>IF(OSV7=0,0,IF(MAX($F9:OSU9)=$D12,0,OSU9+1))</f>
        <v>0</v>
      </c>
      <c r="OSW9" s="26">
        <f>IF(OSW7=0,0,IF(MAX($F9:OSV9)=$D12,0,OSV9+1))</f>
        <v>0</v>
      </c>
      <c r="OSX9" s="26">
        <f>IF(OSX7=0,0,IF(MAX($F9:OSW9)=$D12,0,OSW9+1))</f>
        <v>0</v>
      </c>
      <c r="OSY9" s="26">
        <f>IF(OSY7=0,0,IF(MAX($F9:OSX9)=$D12,0,OSX9+1))</f>
        <v>0</v>
      </c>
      <c r="OSZ9" s="26">
        <f>IF(OSZ7=0,0,IF(MAX($F9:OSY9)=$D12,0,OSY9+1))</f>
        <v>0</v>
      </c>
      <c r="OTA9" s="26">
        <f>IF(OTA7=0,0,IF(MAX($F9:OSZ9)=$D12,0,OSZ9+1))</f>
        <v>0</v>
      </c>
      <c r="OTB9" s="26">
        <f>IF(OTB7=0,0,IF(MAX($F9:OTA9)=$D12,0,OTA9+1))</f>
        <v>0</v>
      </c>
      <c r="OTC9" s="26">
        <f>IF(OTC7=0,0,IF(MAX($F9:OTB9)=$D12,0,OTB9+1))</f>
        <v>0</v>
      </c>
      <c r="OTD9" s="26">
        <f>IF(OTD7=0,0,IF(MAX($F9:OTC9)=$D12,0,OTC9+1))</f>
        <v>0</v>
      </c>
      <c r="OTE9" s="26">
        <f>IF(OTE7=0,0,IF(MAX($F9:OTD9)=$D12,0,OTD9+1))</f>
        <v>0</v>
      </c>
      <c r="OTF9" s="26">
        <f>IF(OTF7=0,0,IF(MAX($F9:OTE9)=$D12,0,OTE9+1))</f>
        <v>0</v>
      </c>
      <c r="OTG9" s="26">
        <f>IF(OTG7=0,0,IF(MAX($F9:OTF9)=$D12,0,OTF9+1))</f>
        <v>0</v>
      </c>
      <c r="OTH9" s="26">
        <f>IF(OTH7=0,0,IF(MAX($F9:OTG9)=$D12,0,OTG9+1))</f>
        <v>0</v>
      </c>
      <c r="OTI9" s="26">
        <f>IF(OTI7=0,0,IF(MAX($F9:OTH9)=$D12,0,OTH9+1))</f>
        <v>0</v>
      </c>
      <c r="OTJ9" s="26">
        <f>IF(OTJ7=0,0,IF(MAX($F9:OTI9)=$D12,0,OTI9+1))</f>
        <v>0</v>
      </c>
      <c r="OTK9" s="26">
        <f>IF(OTK7=0,0,IF(MAX($F9:OTJ9)=$D12,0,OTJ9+1))</f>
        <v>0</v>
      </c>
      <c r="OTL9" s="26">
        <f>IF(OTL7=0,0,IF(MAX($F9:OTK9)=$D12,0,OTK9+1))</f>
        <v>0</v>
      </c>
      <c r="OTM9" s="26">
        <f>IF(OTM7=0,0,IF(MAX($F9:OTL9)=$D12,0,OTL9+1))</f>
        <v>0</v>
      </c>
      <c r="OTN9" s="26">
        <f>IF(OTN7=0,0,IF(MAX($F9:OTM9)=$D12,0,OTM9+1))</f>
        <v>0</v>
      </c>
      <c r="OTO9" s="26">
        <f>IF(OTO7=0,0,IF(MAX($F9:OTN9)=$D12,0,OTN9+1))</f>
        <v>0</v>
      </c>
      <c r="OTP9" s="26">
        <f>IF(OTP7=0,0,IF(MAX($F9:OTO9)=$D12,0,OTO9+1))</f>
        <v>0</v>
      </c>
      <c r="OTQ9" s="26">
        <f>IF(OTQ7=0,0,IF(MAX($F9:OTP9)=$D12,0,OTP9+1))</f>
        <v>0</v>
      </c>
      <c r="OTR9" s="26">
        <f>IF(OTR7=0,0,IF(MAX($F9:OTQ9)=$D12,0,OTQ9+1))</f>
        <v>0</v>
      </c>
      <c r="OTS9" s="26">
        <f>IF(OTS7=0,0,IF(MAX($F9:OTR9)=$D12,0,OTR9+1))</f>
        <v>0</v>
      </c>
      <c r="OTT9" s="26">
        <f>IF(OTT7=0,0,IF(MAX($F9:OTS9)=$D12,0,OTS9+1))</f>
        <v>0</v>
      </c>
      <c r="OTU9" s="26">
        <f>IF(OTU7=0,0,IF(MAX($F9:OTT9)=$D12,0,OTT9+1))</f>
        <v>0</v>
      </c>
      <c r="OTV9" s="26">
        <f>IF(OTV7=0,0,IF(MAX($F9:OTU9)=$D12,0,OTU9+1))</f>
        <v>0</v>
      </c>
      <c r="OTW9" s="26">
        <f>IF(OTW7=0,0,IF(MAX($F9:OTV9)=$D12,0,OTV9+1))</f>
        <v>0</v>
      </c>
      <c r="OTX9" s="26">
        <f>IF(OTX7=0,0,IF(MAX($F9:OTW9)=$D12,0,OTW9+1))</f>
        <v>0</v>
      </c>
      <c r="OTY9" s="26">
        <f>IF(OTY7=0,0,IF(MAX($F9:OTX9)=$D12,0,OTX9+1))</f>
        <v>0</v>
      </c>
      <c r="OTZ9" s="26">
        <f>IF(OTZ7=0,0,IF(MAX($F9:OTY9)=$D12,0,OTY9+1))</f>
        <v>0</v>
      </c>
      <c r="OUA9" s="26">
        <f>IF(OUA7=0,0,IF(MAX($F9:OTZ9)=$D12,0,OTZ9+1))</f>
        <v>0</v>
      </c>
      <c r="OUB9" s="26">
        <f>IF(OUB7=0,0,IF(MAX($F9:OUA9)=$D12,0,OUA9+1))</f>
        <v>0</v>
      </c>
      <c r="OUC9" s="26">
        <f>IF(OUC7=0,0,IF(MAX($F9:OUB9)=$D12,0,OUB9+1))</f>
        <v>0</v>
      </c>
      <c r="OUD9" s="26">
        <f>IF(OUD7=0,0,IF(MAX($F9:OUC9)=$D12,0,OUC9+1))</f>
        <v>0</v>
      </c>
      <c r="OUE9" s="26">
        <f>IF(OUE7=0,0,IF(MAX($F9:OUD9)=$D12,0,OUD9+1))</f>
        <v>0</v>
      </c>
      <c r="OUF9" s="26">
        <f>IF(OUF7=0,0,IF(MAX($F9:OUE9)=$D12,0,OUE9+1))</f>
        <v>0</v>
      </c>
      <c r="OUG9" s="26">
        <f>IF(OUG7=0,0,IF(MAX($F9:OUF9)=$D12,0,OUF9+1))</f>
        <v>0</v>
      </c>
      <c r="OUH9" s="26">
        <f>IF(OUH7=0,0,IF(MAX($F9:OUG9)=$D12,0,OUG9+1))</f>
        <v>0</v>
      </c>
      <c r="OUI9" s="26">
        <f>IF(OUI7=0,0,IF(MAX($F9:OUH9)=$D12,0,OUH9+1))</f>
        <v>0</v>
      </c>
      <c r="OUJ9" s="26">
        <f>IF(OUJ7=0,0,IF(MAX($F9:OUI9)=$D12,0,OUI9+1))</f>
        <v>0</v>
      </c>
      <c r="OUK9" s="26">
        <f>IF(OUK7=0,0,IF(MAX($F9:OUJ9)=$D12,0,OUJ9+1))</f>
        <v>0</v>
      </c>
      <c r="OUL9" s="26">
        <f>IF(OUL7=0,0,IF(MAX($F9:OUK9)=$D12,0,OUK9+1))</f>
        <v>0</v>
      </c>
      <c r="OUM9" s="26">
        <f>IF(OUM7=0,0,IF(MAX($F9:OUL9)=$D12,0,OUL9+1))</f>
        <v>0</v>
      </c>
      <c r="OUN9" s="26">
        <f>IF(OUN7=0,0,IF(MAX($F9:OUM9)=$D12,0,OUM9+1))</f>
        <v>0</v>
      </c>
      <c r="OUO9" s="26">
        <f>IF(OUO7=0,0,IF(MAX($F9:OUN9)=$D12,0,OUN9+1))</f>
        <v>0</v>
      </c>
      <c r="OUP9" s="26">
        <f>IF(OUP7=0,0,IF(MAX($F9:OUO9)=$D12,0,OUO9+1))</f>
        <v>0</v>
      </c>
      <c r="OUQ9" s="26">
        <f>IF(OUQ7=0,0,IF(MAX($F9:OUP9)=$D12,0,OUP9+1))</f>
        <v>0</v>
      </c>
      <c r="OUR9" s="26">
        <f>IF(OUR7=0,0,IF(MAX($F9:OUQ9)=$D12,0,OUQ9+1))</f>
        <v>0</v>
      </c>
      <c r="OUS9" s="26">
        <f>IF(OUS7=0,0,IF(MAX($F9:OUR9)=$D12,0,OUR9+1))</f>
        <v>0</v>
      </c>
      <c r="OUT9" s="26">
        <f>IF(OUT7=0,0,IF(MAX($F9:OUS9)=$D12,0,OUS9+1))</f>
        <v>0</v>
      </c>
      <c r="OUU9" s="26">
        <f>IF(OUU7=0,0,IF(MAX($F9:OUT9)=$D12,0,OUT9+1))</f>
        <v>0</v>
      </c>
      <c r="OUV9" s="26">
        <f>IF(OUV7=0,0,IF(MAX($F9:OUU9)=$D12,0,OUU9+1))</f>
        <v>0</v>
      </c>
      <c r="OUW9" s="26">
        <f>IF(OUW7=0,0,IF(MAX($F9:OUV9)=$D12,0,OUV9+1))</f>
        <v>0</v>
      </c>
      <c r="OUX9" s="26">
        <f>IF(OUX7=0,0,IF(MAX($F9:OUW9)=$D12,0,OUW9+1))</f>
        <v>0</v>
      </c>
      <c r="OUY9" s="26">
        <f>IF(OUY7=0,0,IF(MAX($F9:OUX9)=$D12,0,OUX9+1))</f>
        <v>0</v>
      </c>
      <c r="OUZ9" s="26">
        <f>IF(OUZ7=0,0,IF(MAX($F9:OUY9)=$D12,0,OUY9+1))</f>
        <v>0</v>
      </c>
      <c r="OVA9" s="26">
        <f>IF(OVA7=0,0,IF(MAX($F9:OUZ9)=$D12,0,OUZ9+1))</f>
        <v>0</v>
      </c>
      <c r="OVB9" s="26">
        <f>IF(OVB7=0,0,IF(MAX($F9:OVA9)=$D12,0,OVA9+1))</f>
        <v>0</v>
      </c>
      <c r="OVC9" s="26">
        <f>IF(OVC7=0,0,IF(MAX($F9:OVB9)=$D12,0,OVB9+1))</f>
        <v>0</v>
      </c>
      <c r="OVD9" s="26">
        <f>IF(OVD7=0,0,IF(MAX($F9:OVC9)=$D12,0,OVC9+1))</f>
        <v>0</v>
      </c>
      <c r="OVE9" s="26">
        <f>IF(OVE7=0,0,IF(MAX($F9:OVD9)=$D12,0,OVD9+1))</f>
        <v>0</v>
      </c>
      <c r="OVF9" s="26">
        <f>IF(OVF7=0,0,IF(MAX($F9:OVE9)=$D12,0,OVE9+1))</f>
        <v>0</v>
      </c>
      <c r="OVG9" s="26">
        <f>IF(OVG7=0,0,IF(MAX($F9:OVF9)=$D12,0,OVF9+1))</f>
        <v>0</v>
      </c>
      <c r="OVH9" s="26">
        <f>IF(OVH7=0,0,IF(MAX($F9:OVG9)=$D12,0,OVG9+1))</f>
        <v>0</v>
      </c>
      <c r="OVI9" s="26">
        <f>IF(OVI7=0,0,IF(MAX($F9:OVH9)=$D12,0,OVH9+1))</f>
        <v>0</v>
      </c>
      <c r="OVJ9" s="26">
        <f>IF(OVJ7=0,0,IF(MAX($F9:OVI9)=$D12,0,OVI9+1))</f>
        <v>0</v>
      </c>
      <c r="OVK9" s="26">
        <f>IF(OVK7=0,0,IF(MAX($F9:OVJ9)=$D12,0,OVJ9+1))</f>
        <v>0</v>
      </c>
      <c r="OVL9" s="26">
        <f>IF(OVL7=0,0,IF(MAX($F9:OVK9)=$D12,0,OVK9+1))</f>
        <v>0</v>
      </c>
      <c r="OVM9" s="26">
        <f>IF(OVM7=0,0,IF(MAX($F9:OVL9)=$D12,0,OVL9+1))</f>
        <v>0</v>
      </c>
      <c r="OVN9" s="26">
        <f>IF(OVN7=0,0,IF(MAX($F9:OVM9)=$D12,0,OVM9+1))</f>
        <v>0</v>
      </c>
      <c r="OVO9" s="26">
        <f>IF(OVO7=0,0,IF(MAX($F9:OVN9)=$D12,0,OVN9+1))</f>
        <v>0</v>
      </c>
      <c r="OVP9" s="26">
        <f>IF(OVP7=0,0,IF(MAX($F9:OVO9)=$D12,0,OVO9+1))</f>
        <v>0</v>
      </c>
      <c r="OVQ9" s="26">
        <f>IF(OVQ7=0,0,IF(MAX($F9:OVP9)=$D12,0,OVP9+1))</f>
        <v>0</v>
      </c>
      <c r="OVR9" s="26">
        <f>IF(OVR7=0,0,IF(MAX($F9:OVQ9)=$D12,0,OVQ9+1))</f>
        <v>0</v>
      </c>
      <c r="OVS9" s="26">
        <f>IF(OVS7=0,0,IF(MAX($F9:OVR9)=$D12,0,OVR9+1))</f>
        <v>0</v>
      </c>
      <c r="OVT9" s="26">
        <f>IF(OVT7=0,0,IF(MAX($F9:OVS9)=$D12,0,OVS9+1))</f>
        <v>0</v>
      </c>
      <c r="OVU9" s="26">
        <f>IF(OVU7=0,0,IF(MAX($F9:OVT9)=$D12,0,OVT9+1))</f>
        <v>0</v>
      </c>
      <c r="OVV9" s="26">
        <f>IF(OVV7=0,0,IF(MAX($F9:OVU9)=$D12,0,OVU9+1))</f>
        <v>0</v>
      </c>
      <c r="OVW9" s="26">
        <f>IF(OVW7=0,0,IF(MAX($F9:OVV9)=$D12,0,OVV9+1))</f>
        <v>0</v>
      </c>
      <c r="OVX9" s="26">
        <f>IF(OVX7=0,0,IF(MAX($F9:OVW9)=$D12,0,OVW9+1))</f>
        <v>0</v>
      </c>
      <c r="OVY9" s="26">
        <f>IF(OVY7=0,0,IF(MAX($F9:OVX9)=$D12,0,OVX9+1))</f>
        <v>0</v>
      </c>
      <c r="OVZ9" s="26">
        <f>IF(OVZ7=0,0,IF(MAX($F9:OVY9)=$D12,0,OVY9+1))</f>
        <v>0</v>
      </c>
      <c r="OWA9" s="26">
        <f>IF(OWA7=0,0,IF(MAX($F9:OVZ9)=$D12,0,OVZ9+1))</f>
        <v>0</v>
      </c>
      <c r="OWB9" s="26">
        <f>IF(OWB7=0,0,IF(MAX($F9:OWA9)=$D12,0,OWA9+1))</f>
        <v>0</v>
      </c>
      <c r="OWC9" s="26">
        <f>IF(OWC7=0,0,IF(MAX($F9:OWB9)=$D12,0,OWB9+1))</f>
        <v>0</v>
      </c>
      <c r="OWD9" s="26">
        <f>IF(OWD7=0,0,IF(MAX($F9:OWC9)=$D12,0,OWC9+1))</f>
        <v>0</v>
      </c>
      <c r="OWE9" s="26">
        <f>IF(OWE7=0,0,IF(MAX($F9:OWD9)=$D12,0,OWD9+1))</f>
        <v>0</v>
      </c>
      <c r="OWF9" s="26">
        <f>IF(OWF7=0,0,IF(MAX($F9:OWE9)=$D12,0,OWE9+1))</f>
        <v>0</v>
      </c>
      <c r="OWG9" s="26">
        <f>IF(OWG7=0,0,IF(MAX($F9:OWF9)=$D12,0,OWF9+1))</f>
        <v>0</v>
      </c>
      <c r="OWH9" s="26">
        <f>IF(OWH7=0,0,IF(MAX($F9:OWG9)=$D12,0,OWG9+1))</f>
        <v>0</v>
      </c>
      <c r="OWI9" s="26">
        <f>IF(OWI7=0,0,IF(MAX($F9:OWH9)=$D12,0,OWH9+1))</f>
        <v>0</v>
      </c>
      <c r="OWJ9" s="26">
        <f>IF(OWJ7=0,0,IF(MAX($F9:OWI9)=$D12,0,OWI9+1))</f>
        <v>0</v>
      </c>
      <c r="OWK9" s="26">
        <f>IF(OWK7=0,0,IF(MAX($F9:OWJ9)=$D12,0,OWJ9+1))</f>
        <v>0</v>
      </c>
      <c r="OWL9" s="26">
        <f>IF(OWL7=0,0,IF(MAX($F9:OWK9)=$D12,0,OWK9+1))</f>
        <v>0</v>
      </c>
      <c r="OWM9" s="26">
        <f>IF(OWM7=0,0,IF(MAX($F9:OWL9)=$D12,0,OWL9+1))</f>
        <v>0</v>
      </c>
      <c r="OWN9" s="26">
        <f>IF(OWN7=0,0,IF(MAX($F9:OWM9)=$D12,0,OWM9+1))</f>
        <v>0</v>
      </c>
      <c r="OWO9" s="26">
        <f>IF(OWO7=0,0,IF(MAX($F9:OWN9)=$D12,0,OWN9+1))</f>
        <v>0</v>
      </c>
      <c r="OWP9" s="26">
        <f>IF(OWP7=0,0,IF(MAX($F9:OWO9)=$D12,0,OWO9+1))</f>
        <v>0</v>
      </c>
      <c r="OWQ9" s="26">
        <f>IF(OWQ7=0,0,IF(MAX($F9:OWP9)=$D12,0,OWP9+1))</f>
        <v>0</v>
      </c>
      <c r="OWR9" s="26">
        <f>IF(OWR7=0,0,IF(MAX($F9:OWQ9)=$D12,0,OWQ9+1))</f>
        <v>0</v>
      </c>
      <c r="OWS9" s="26">
        <f>IF(OWS7=0,0,IF(MAX($F9:OWR9)=$D12,0,OWR9+1))</f>
        <v>0</v>
      </c>
      <c r="OWT9" s="26">
        <f>IF(OWT7=0,0,IF(MAX($F9:OWS9)=$D12,0,OWS9+1))</f>
        <v>0</v>
      </c>
      <c r="OWU9" s="26">
        <f>IF(OWU7=0,0,IF(MAX($F9:OWT9)=$D12,0,OWT9+1))</f>
        <v>0</v>
      </c>
      <c r="OWV9" s="26">
        <f>IF(OWV7=0,0,IF(MAX($F9:OWU9)=$D12,0,OWU9+1))</f>
        <v>0</v>
      </c>
      <c r="OWW9" s="26">
        <f>IF(OWW7=0,0,IF(MAX($F9:OWV9)=$D12,0,OWV9+1))</f>
        <v>0</v>
      </c>
      <c r="OWX9" s="26">
        <f>IF(OWX7=0,0,IF(MAX($F9:OWW9)=$D12,0,OWW9+1))</f>
        <v>0</v>
      </c>
      <c r="OWY9" s="26">
        <f>IF(OWY7=0,0,IF(MAX($F9:OWX9)=$D12,0,OWX9+1))</f>
        <v>0</v>
      </c>
      <c r="OWZ9" s="26">
        <f>IF(OWZ7=0,0,IF(MAX($F9:OWY9)=$D12,0,OWY9+1))</f>
        <v>0</v>
      </c>
      <c r="OXA9" s="26">
        <f>IF(OXA7=0,0,IF(MAX($F9:OWZ9)=$D12,0,OWZ9+1))</f>
        <v>0</v>
      </c>
      <c r="OXB9" s="26">
        <f>IF(OXB7=0,0,IF(MAX($F9:OXA9)=$D12,0,OXA9+1))</f>
        <v>0</v>
      </c>
      <c r="OXC9" s="26">
        <f>IF(OXC7=0,0,IF(MAX($F9:OXB9)=$D12,0,OXB9+1))</f>
        <v>0</v>
      </c>
      <c r="OXD9" s="26">
        <f>IF(OXD7=0,0,IF(MAX($F9:OXC9)=$D12,0,OXC9+1))</f>
        <v>0</v>
      </c>
      <c r="OXE9" s="26">
        <f>IF(OXE7=0,0,IF(MAX($F9:OXD9)=$D12,0,OXD9+1))</f>
        <v>0</v>
      </c>
      <c r="OXF9" s="26">
        <f>IF(OXF7=0,0,IF(MAX($F9:OXE9)=$D12,0,OXE9+1))</f>
        <v>0</v>
      </c>
      <c r="OXG9" s="26">
        <f>IF(OXG7=0,0,IF(MAX($F9:OXF9)=$D12,0,OXF9+1))</f>
        <v>0</v>
      </c>
      <c r="OXH9" s="26">
        <f>IF(OXH7=0,0,IF(MAX($F9:OXG9)=$D12,0,OXG9+1))</f>
        <v>0</v>
      </c>
      <c r="OXI9" s="26">
        <f>IF(OXI7=0,0,IF(MAX($F9:OXH9)=$D12,0,OXH9+1))</f>
        <v>0</v>
      </c>
      <c r="OXJ9" s="26">
        <f>IF(OXJ7=0,0,IF(MAX($F9:OXI9)=$D12,0,OXI9+1))</f>
        <v>0</v>
      </c>
      <c r="OXK9" s="26">
        <f>IF(OXK7=0,0,IF(MAX($F9:OXJ9)=$D12,0,OXJ9+1))</f>
        <v>0</v>
      </c>
      <c r="OXL9" s="26">
        <f>IF(OXL7=0,0,IF(MAX($F9:OXK9)=$D12,0,OXK9+1))</f>
        <v>0</v>
      </c>
      <c r="OXM9" s="26">
        <f>IF(OXM7=0,0,IF(MAX($F9:OXL9)=$D12,0,OXL9+1))</f>
        <v>0</v>
      </c>
      <c r="OXN9" s="26">
        <f>IF(OXN7=0,0,IF(MAX($F9:OXM9)=$D12,0,OXM9+1))</f>
        <v>0</v>
      </c>
      <c r="OXO9" s="26">
        <f>IF(OXO7=0,0,IF(MAX($F9:OXN9)=$D12,0,OXN9+1))</f>
        <v>0</v>
      </c>
      <c r="OXP9" s="26">
        <f>IF(OXP7=0,0,IF(MAX($F9:OXO9)=$D12,0,OXO9+1))</f>
        <v>0</v>
      </c>
      <c r="OXQ9" s="26">
        <f>IF(OXQ7=0,0,IF(MAX($F9:OXP9)=$D12,0,OXP9+1))</f>
        <v>0</v>
      </c>
      <c r="OXR9" s="26">
        <f>IF(OXR7=0,0,IF(MAX($F9:OXQ9)=$D12,0,OXQ9+1))</f>
        <v>0</v>
      </c>
      <c r="OXS9" s="26">
        <f>IF(OXS7=0,0,IF(MAX($F9:OXR9)=$D12,0,OXR9+1))</f>
        <v>0</v>
      </c>
      <c r="OXT9" s="26">
        <f>IF(OXT7=0,0,IF(MAX($F9:OXS9)=$D12,0,OXS9+1))</f>
        <v>0</v>
      </c>
      <c r="OXU9" s="26">
        <f>IF(OXU7=0,0,IF(MAX($F9:OXT9)=$D12,0,OXT9+1))</f>
        <v>0</v>
      </c>
      <c r="OXV9" s="26">
        <f>IF(OXV7=0,0,IF(MAX($F9:OXU9)=$D12,0,OXU9+1))</f>
        <v>0</v>
      </c>
      <c r="OXW9" s="26">
        <f>IF(OXW7=0,0,IF(MAX($F9:OXV9)=$D12,0,OXV9+1))</f>
        <v>0</v>
      </c>
      <c r="OXX9" s="26">
        <f>IF(OXX7=0,0,IF(MAX($F9:OXW9)=$D12,0,OXW9+1))</f>
        <v>0</v>
      </c>
      <c r="OXY9" s="26">
        <f>IF(OXY7=0,0,IF(MAX($F9:OXX9)=$D12,0,OXX9+1))</f>
        <v>0</v>
      </c>
      <c r="OXZ9" s="26">
        <f>IF(OXZ7=0,0,IF(MAX($F9:OXY9)=$D12,0,OXY9+1))</f>
        <v>0</v>
      </c>
      <c r="OYA9" s="26">
        <f>IF(OYA7=0,0,IF(MAX($F9:OXZ9)=$D12,0,OXZ9+1))</f>
        <v>0</v>
      </c>
      <c r="OYB9" s="26">
        <f>IF(OYB7=0,0,IF(MAX($F9:OYA9)=$D12,0,OYA9+1))</f>
        <v>0</v>
      </c>
      <c r="OYC9" s="26">
        <f>IF(OYC7=0,0,IF(MAX($F9:OYB9)=$D12,0,OYB9+1))</f>
        <v>0</v>
      </c>
      <c r="OYD9" s="26">
        <f>IF(OYD7=0,0,IF(MAX($F9:OYC9)=$D12,0,OYC9+1))</f>
        <v>0</v>
      </c>
      <c r="OYE9" s="26">
        <f>IF(OYE7=0,0,IF(MAX($F9:OYD9)=$D12,0,OYD9+1))</f>
        <v>0</v>
      </c>
      <c r="OYF9" s="26">
        <f>IF(OYF7=0,0,IF(MAX($F9:OYE9)=$D12,0,OYE9+1))</f>
        <v>0</v>
      </c>
      <c r="OYG9" s="26">
        <f>IF(OYG7=0,0,IF(MAX($F9:OYF9)=$D12,0,OYF9+1))</f>
        <v>0</v>
      </c>
      <c r="OYH9" s="26">
        <f>IF(OYH7=0,0,IF(MAX($F9:OYG9)=$D12,0,OYG9+1))</f>
        <v>0</v>
      </c>
      <c r="OYI9" s="26">
        <f>IF(OYI7=0,0,IF(MAX($F9:OYH9)=$D12,0,OYH9+1))</f>
        <v>0</v>
      </c>
      <c r="OYJ9" s="26">
        <f>IF(OYJ7=0,0,IF(MAX($F9:OYI9)=$D12,0,OYI9+1))</f>
        <v>0</v>
      </c>
      <c r="OYK9" s="26">
        <f>IF(OYK7=0,0,IF(MAX($F9:OYJ9)=$D12,0,OYJ9+1))</f>
        <v>0</v>
      </c>
      <c r="OYL9" s="26">
        <f>IF(OYL7=0,0,IF(MAX($F9:OYK9)=$D12,0,OYK9+1))</f>
        <v>0</v>
      </c>
      <c r="OYM9" s="26">
        <f>IF(OYM7=0,0,IF(MAX($F9:OYL9)=$D12,0,OYL9+1))</f>
        <v>0</v>
      </c>
      <c r="OYN9" s="26">
        <f>IF(OYN7=0,0,IF(MAX($F9:OYM9)=$D12,0,OYM9+1))</f>
        <v>0</v>
      </c>
      <c r="OYO9" s="26">
        <f>IF(OYO7=0,0,IF(MAX($F9:OYN9)=$D12,0,OYN9+1))</f>
        <v>0</v>
      </c>
      <c r="OYP9" s="26">
        <f>IF(OYP7=0,0,IF(MAX($F9:OYO9)=$D12,0,OYO9+1))</f>
        <v>0</v>
      </c>
      <c r="OYQ9" s="26">
        <f>IF(OYQ7=0,0,IF(MAX($F9:OYP9)=$D12,0,OYP9+1))</f>
        <v>0</v>
      </c>
      <c r="OYR9" s="26">
        <f>IF(OYR7=0,0,IF(MAX($F9:OYQ9)=$D12,0,OYQ9+1))</f>
        <v>0</v>
      </c>
      <c r="OYS9" s="26">
        <f>IF(OYS7=0,0,IF(MAX($F9:OYR9)=$D12,0,OYR9+1))</f>
        <v>0</v>
      </c>
      <c r="OYT9" s="26">
        <f>IF(OYT7=0,0,IF(MAX($F9:OYS9)=$D12,0,OYS9+1))</f>
        <v>0</v>
      </c>
      <c r="OYU9" s="26">
        <f>IF(OYU7=0,0,IF(MAX($F9:OYT9)=$D12,0,OYT9+1))</f>
        <v>0</v>
      </c>
      <c r="OYV9" s="26">
        <f>IF(OYV7=0,0,IF(MAX($F9:OYU9)=$D12,0,OYU9+1))</f>
        <v>0</v>
      </c>
      <c r="OYW9" s="26">
        <f>IF(OYW7=0,0,IF(MAX($F9:OYV9)=$D12,0,OYV9+1))</f>
        <v>0</v>
      </c>
      <c r="OYX9" s="26">
        <f>IF(OYX7=0,0,IF(MAX($F9:OYW9)=$D12,0,OYW9+1))</f>
        <v>0</v>
      </c>
      <c r="OYY9" s="26">
        <f>IF(OYY7=0,0,IF(MAX($F9:OYX9)=$D12,0,OYX9+1))</f>
        <v>0</v>
      </c>
      <c r="OYZ9" s="26">
        <f>IF(OYZ7=0,0,IF(MAX($F9:OYY9)=$D12,0,OYY9+1))</f>
        <v>0</v>
      </c>
      <c r="OZA9" s="26">
        <f>IF(OZA7=0,0,IF(MAX($F9:OYZ9)=$D12,0,OYZ9+1))</f>
        <v>0</v>
      </c>
      <c r="OZB9" s="26">
        <f>IF(OZB7=0,0,IF(MAX($F9:OZA9)=$D12,0,OZA9+1))</f>
        <v>0</v>
      </c>
      <c r="OZC9" s="26">
        <f>IF(OZC7=0,0,IF(MAX($F9:OZB9)=$D12,0,OZB9+1))</f>
        <v>0</v>
      </c>
      <c r="OZD9" s="26">
        <f>IF(OZD7=0,0,IF(MAX($F9:OZC9)=$D12,0,OZC9+1))</f>
        <v>0</v>
      </c>
      <c r="OZE9" s="26">
        <f>IF(OZE7=0,0,IF(MAX($F9:OZD9)=$D12,0,OZD9+1))</f>
        <v>0</v>
      </c>
      <c r="OZF9" s="26">
        <f>IF(OZF7=0,0,IF(MAX($F9:OZE9)=$D12,0,OZE9+1))</f>
        <v>0</v>
      </c>
      <c r="OZG9" s="26">
        <f>IF(OZG7=0,0,IF(MAX($F9:OZF9)=$D12,0,OZF9+1))</f>
        <v>0</v>
      </c>
      <c r="OZH9" s="26">
        <f>IF(OZH7=0,0,IF(MAX($F9:OZG9)=$D12,0,OZG9+1))</f>
        <v>0</v>
      </c>
      <c r="OZI9" s="26">
        <f>IF(OZI7=0,0,IF(MAX($F9:OZH9)=$D12,0,OZH9+1))</f>
        <v>0</v>
      </c>
      <c r="OZJ9" s="26">
        <f>IF(OZJ7=0,0,IF(MAX($F9:OZI9)=$D12,0,OZI9+1))</f>
        <v>0</v>
      </c>
      <c r="OZK9" s="26">
        <f>IF(OZK7=0,0,IF(MAX($F9:OZJ9)=$D12,0,OZJ9+1))</f>
        <v>0</v>
      </c>
      <c r="OZL9" s="26">
        <f>IF(OZL7=0,0,IF(MAX($F9:OZK9)=$D12,0,OZK9+1))</f>
        <v>0</v>
      </c>
      <c r="OZM9" s="26">
        <f>IF(OZM7=0,0,IF(MAX($F9:OZL9)=$D12,0,OZL9+1))</f>
        <v>0</v>
      </c>
      <c r="OZN9" s="26">
        <f>IF(OZN7=0,0,IF(MAX($F9:OZM9)=$D12,0,OZM9+1))</f>
        <v>0</v>
      </c>
      <c r="OZO9" s="26">
        <f>IF(OZO7=0,0,IF(MAX($F9:OZN9)=$D12,0,OZN9+1))</f>
        <v>0</v>
      </c>
      <c r="OZP9" s="26">
        <f>IF(OZP7=0,0,IF(MAX($F9:OZO9)=$D12,0,OZO9+1))</f>
        <v>0</v>
      </c>
      <c r="OZQ9" s="26">
        <f>IF(OZQ7=0,0,IF(MAX($F9:OZP9)=$D12,0,OZP9+1))</f>
        <v>0</v>
      </c>
      <c r="OZR9" s="26">
        <f>IF(OZR7=0,0,IF(MAX($F9:OZQ9)=$D12,0,OZQ9+1))</f>
        <v>0</v>
      </c>
      <c r="OZS9" s="26">
        <f>IF(OZS7=0,0,IF(MAX($F9:OZR9)=$D12,0,OZR9+1))</f>
        <v>0</v>
      </c>
      <c r="OZT9" s="26">
        <f>IF(OZT7=0,0,IF(MAX($F9:OZS9)=$D12,0,OZS9+1))</f>
        <v>0</v>
      </c>
      <c r="OZU9" s="26">
        <f>IF(OZU7=0,0,IF(MAX($F9:OZT9)=$D12,0,OZT9+1))</f>
        <v>0</v>
      </c>
      <c r="OZV9" s="26">
        <f>IF(OZV7=0,0,IF(MAX($F9:OZU9)=$D12,0,OZU9+1))</f>
        <v>0</v>
      </c>
      <c r="OZW9" s="26">
        <f>IF(OZW7=0,0,IF(MAX($F9:OZV9)=$D12,0,OZV9+1))</f>
        <v>0</v>
      </c>
      <c r="OZX9" s="26">
        <f>IF(OZX7=0,0,IF(MAX($F9:OZW9)=$D12,0,OZW9+1))</f>
        <v>0</v>
      </c>
      <c r="OZY9" s="26">
        <f>IF(OZY7=0,0,IF(MAX($F9:OZX9)=$D12,0,OZX9+1))</f>
        <v>0</v>
      </c>
      <c r="OZZ9" s="26">
        <f>IF(OZZ7=0,0,IF(MAX($F9:OZY9)=$D12,0,OZY9+1))</f>
        <v>0</v>
      </c>
      <c r="PAA9" s="26">
        <f>IF(PAA7=0,0,IF(MAX($F9:OZZ9)=$D12,0,OZZ9+1))</f>
        <v>0</v>
      </c>
      <c r="PAB9" s="26">
        <f>IF(PAB7=0,0,IF(MAX($F9:PAA9)=$D12,0,PAA9+1))</f>
        <v>0</v>
      </c>
      <c r="PAC9" s="26">
        <f>IF(PAC7=0,0,IF(MAX($F9:PAB9)=$D12,0,PAB9+1))</f>
        <v>0</v>
      </c>
      <c r="PAD9" s="26">
        <f>IF(PAD7=0,0,IF(MAX($F9:PAC9)=$D12,0,PAC9+1))</f>
        <v>0</v>
      </c>
      <c r="PAE9" s="26">
        <f>IF(PAE7=0,0,IF(MAX($F9:PAD9)=$D12,0,PAD9+1))</f>
        <v>0</v>
      </c>
      <c r="PAF9" s="26">
        <f>IF(PAF7=0,0,IF(MAX($F9:PAE9)=$D12,0,PAE9+1))</f>
        <v>0</v>
      </c>
      <c r="PAG9" s="26">
        <f>IF(PAG7=0,0,IF(MAX($F9:PAF9)=$D12,0,PAF9+1))</f>
        <v>0</v>
      </c>
      <c r="PAH9" s="26">
        <f>IF(PAH7=0,0,IF(MAX($F9:PAG9)=$D12,0,PAG9+1))</f>
        <v>0</v>
      </c>
      <c r="PAI9" s="26">
        <f>IF(PAI7=0,0,IF(MAX($F9:PAH9)=$D12,0,PAH9+1))</f>
        <v>0</v>
      </c>
      <c r="PAJ9" s="26">
        <f>IF(PAJ7=0,0,IF(MAX($F9:PAI9)=$D12,0,PAI9+1))</f>
        <v>0</v>
      </c>
      <c r="PAK9" s="26">
        <f>IF(PAK7=0,0,IF(MAX($F9:PAJ9)=$D12,0,PAJ9+1))</f>
        <v>0</v>
      </c>
      <c r="PAL9" s="26">
        <f>IF(PAL7=0,0,IF(MAX($F9:PAK9)=$D12,0,PAK9+1))</f>
        <v>0</v>
      </c>
      <c r="PAM9" s="26">
        <f>IF(PAM7=0,0,IF(MAX($F9:PAL9)=$D12,0,PAL9+1))</f>
        <v>0</v>
      </c>
      <c r="PAN9" s="26">
        <f>IF(PAN7=0,0,IF(MAX($F9:PAM9)=$D12,0,PAM9+1))</f>
        <v>0</v>
      </c>
      <c r="PAO9" s="26">
        <f>IF(PAO7=0,0,IF(MAX($F9:PAN9)=$D12,0,PAN9+1))</f>
        <v>0</v>
      </c>
      <c r="PAP9" s="26">
        <f>IF(PAP7=0,0,IF(MAX($F9:PAO9)=$D12,0,PAO9+1))</f>
        <v>0</v>
      </c>
      <c r="PAQ9" s="26">
        <f>IF(PAQ7=0,0,IF(MAX($F9:PAP9)=$D12,0,PAP9+1))</f>
        <v>0</v>
      </c>
      <c r="PAR9" s="26">
        <f>IF(PAR7=0,0,IF(MAX($F9:PAQ9)=$D12,0,PAQ9+1))</f>
        <v>0</v>
      </c>
      <c r="PAS9" s="26">
        <f>IF(PAS7=0,0,IF(MAX($F9:PAR9)=$D12,0,PAR9+1))</f>
        <v>0</v>
      </c>
      <c r="PAT9" s="26">
        <f>IF(PAT7=0,0,IF(MAX($F9:PAS9)=$D12,0,PAS9+1))</f>
        <v>0</v>
      </c>
      <c r="PAU9" s="26">
        <f>IF(PAU7=0,0,IF(MAX($F9:PAT9)=$D12,0,PAT9+1))</f>
        <v>0</v>
      </c>
      <c r="PAV9" s="26">
        <f>IF(PAV7=0,0,IF(MAX($F9:PAU9)=$D12,0,PAU9+1))</f>
        <v>0</v>
      </c>
      <c r="PAW9" s="26">
        <f>IF(PAW7=0,0,IF(MAX($F9:PAV9)=$D12,0,PAV9+1))</f>
        <v>0</v>
      </c>
      <c r="PAX9" s="26">
        <f>IF(PAX7=0,0,IF(MAX($F9:PAW9)=$D12,0,PAW9+1))</f>
        <v>0</v>
      </c>
      <c r="PAY9" s="26">
        <f>IF(PAY7=0,0,IF(MAX($F9:PAX9)=$D12,0,PAX9+1))</f>
        <v>0</v>
      </c>
      <c r="PAZ9" s="26">
        <f>IF(PAZ7=0,0,IF(MAX($F9:PAY9)=$D12,0,PAY9+1))</f>
        <v>0</v>
      </c>
      <c r="PBA9" s="26">
        <f>IF(PBA7=0,0,IF(MAX($F9:PAZ9)=$D12,0,PAZ9+1))</f>
        <v>0</v>
      </c>
      <c r="PBB9" s="26">
        <f>IF(PBB7=0,0,IF(MAX($F9:PBA9)=$D12,0,PBA9+1))</f>
        <v>0</v>
      </c>
      <c r="PBC9" s="26">
        <f>IF(PBC7=0,0,IF(MAX($F9:PBB9)=$D12,0,PBB9+1))</f>
        <v>0</v>
      </c>
      <c r="PBD9" s="26">
        <f>IF(PBD7=0,0,IF(MAX($F9:PBC9)=$D12,0,PBC9+1))</f>
        <v>0</v>
      </c>
      <c r="PBE9" s="26">
        <f>IF(PBE7=0,0,IF(MAX($F9:PBD9)=$D12,0,PBD9+1))</f>
        <v>0</v>
      </c>
      <c r="PBF9" s="26">
        <f>IF(PBF7=0,0,IF(MAX($F9:PBE9)=$D12,0,PBE9+1))</f>
        <v>0</v>
      </c>
      <c r="PBG9" s="26">
        <f>IF(PBG7=0,0,IF(MAX($F9:PBF9)=$D12,0,PBF9+1))</f>
        <v>0</v>
      </c>
      <c r="PBH9" s="26">
        <f>IF(PBH7=0,0,IF(MAX($F9:PBG9)=$D12,0,PBG9+1))</f>
        <v>0</v>
      </c>
      <c r="PBI9" s="26">
        <f>IF(PBI7=0,0,IF(MAX($F9:PBH9)=$D12,0,PBH9+1))</f>
        <v>0</v>
      </c>
      <c r="PBJ9" s="26">
        <f>IF(PBJ7=0,0,IF(MAX($F9:PBI9)=$D12,0,PBI9+1))</f>
        <v>0</v>
      </c>
      <c r="PBK9" s="26">
        <f>IF(PBK7=0,0,IF(MAX($F9:PBJ9)=$D12,0,PBJ9+1))</f>
        <v>0</v>
      </c>
      <c r="PBL9" s="26">
        <f>IF(PBL7=0,0,IF(MAX($F9:PBK9)=$D12,0,PBK9+1))</f>
        <v>0</v>
      </c>
      <c r="PBM9" s="26">
        <f>IF(PBM7=0,0,IF(MAX($F9:PBL9)=$D12,0,PBL9+1))</f>
        <v>0</v>
      </c>
      <c r="PBN9" s="26">
        <f>IF(PBN7=0,0,IF(MAX($F9:PBM9)=$D12,0,PBM9+1))</f>
        <v>0</v>
      </c>
      <c r="PBO9" s="26">
        <f>IF(PBO7=0,0,IF(MAX($F9:PBN9)=$D12,0,PBN9+1))</f>
        <v>0</v>
      </c>
      <c r="PBP9" s="26">
        <f>IF(PBP7=0,0,IF(MAX($F9:PBO9)=$D12,0,PBO9+1))</f>
        <v>0</v>
      </c>
      <c r="PBQ9" s="26">
        <f>IF(PBQ7=0,0,IF(MAX($F9:PBP9)=$D12,0,PBP9+1))</f>
        <v>0</v>
      </c>
      <c r="PBR9" s="26">
        <f>IF(PBR7=0,0,IF(MAX($F9:PBQ9)=$D12,0,PBQ9+1))</f>
        <v>0</v>
      </c>
      <c r="PBS9" s="26">
        <f>IF(PBS7=0,0,IF(MAX($F9:PBR9)=$D12,0,PBR9+1))</f>
        <v>0</v>
      </c>
      <c r="PBT9" s="26">
        <f>IF(PBT7=0,0,IF(MAX($F9:PBS9)=$D12,0,PBS9+1))</f>
        <v>0</v>
      </c>
      <c r="PBU9" s="26">
        <f>IF(PBU7=0,0,IF(MAX($F9:PBT9)=$D12,0,PBT9+1))</f>
        <v>0</v>
      </c>
      <c r="PBV9" s="26">
        <f>IF(PBV7=0,0,IF(MAX($F9:PBU9)=$D12,0,PBU9+1))</f>
        <v>0</v>
      </c>
      <c r="PBW9" s="26">
        <f>IF(PBW7=0,0,IF(MAX($F9:PBV9)=$D12,0,PBV9+1))</f>
        <v>0</v>
      </c>
      <c r="PBX9" s="26">
        <f>IF(PBX7=0,0,IF(MAX($F9:PBW9)=$D12,0,PBW9+1))</f>
        <v>0</v>
      </c>
      <c r="PBY9" s="26">
        <f>IF(PBY7=0,0,IF(MAX($F9:PBX9)=$D12,0,PBX9+1))</f>
        <v>0</v>
      </c>
      <c r="PBZ9" s="26">
        <f>IF(PBZ7=0,0,IF(MAX($F9:PBY9)=$D12,0,PBY9+1))</f>
        <v>0</v>
      </c>
      <c r="PCA9" s="26">
        <f>IF(PCA7=0,0,IF(MAX($F9:PBZ9)=$D12,0,PBZ9+1))</f>
        <v>0</v>
      </c>
      <c r="PCB9" s="26">
        <f>IF(PCB7=0,0,IF(MAX($F9:PCA9)=$D12,0,PCA9+1))</f>
        <v>0</v>
      </c>
      <c r="PCC9" s="26">
        <f>IF(PCC7=0,0,IF(MAX($F9:PCB9)=$D12,0,PCB9+1))</f>
        <v>0</v>
      </c>
      <c r="PCD9" s="26">
        <f>IF(PCD7=0,0,IF(MAX($F9:PCC9)=$D12,0,PCC9+1))</f>
        <v>0</v>
      </c>
      <c r="PCE9" s="26">
        <f>IF(PCE7=0,0,IF(MAX($F9:PCD9)=$D12,0,PCD9+1))</f>
        <v>0</v>
      </c>
      <c r="PCF9" s="26">
        <f>IF(PCF7=0,0,IF(MAX($F9:PCE9)=$D12,0,PCE9+1))</f>
        <v>0</v>
      </c>
      <c r="PCG9" s="26">
        <f>IF(PCG7=0,0,IF(MAX($F9:PCF9)=$D12,0,PCF9+1))</f>
        <v>0</v>
      </c>
      <c r="PCH9" s="26">
        <f>IF(PCH7=0,0,IF(MAX($F9:PCG9)=$D12,0,PCG9+1))</f>
        <v>0</v>
      </c>
      <c r="PCI9" s="26">
        <f>IF(PCI7=0,0,IF(MAX($F9:PCH9)=$D12,0,PCH9+1))</f>
        <v>0</v>
      </c>
      <c r="PCJ9" s="26">
        <f>IF(PCJ7=0,0,IF(MAX($F9:PCI9)=$D12,0,PCI9+1))</f>
        <v>0</v>
      </c>
      <c r="PCK9" s="26">
        <f>IF(PCK7=0,0,IF(MAX($F9:PCJ9)=$D12,0,PCJ9+1))</f>
        <v>0</v>
      </c>
      <c r="PCL9" s="26">
        <f>IF(PCL7=0,0,IF(MAX($F9:PCK9)=$D12,0,PCK9+1))</f>
        <v>0</v>
      </c>
      <c r="PCM9" s="26">
        <f>IF(PCM7=0,0,IF(MAX($F9:PCL9)=$D12,0,PCL9+1))</f>
        <v>0</v>
      </c>
      <c r="PCN9" s="26">
        <f>IF(PCN7=0,0,IF(MAX($F9:PCM9)=$D12,0,PCM9+1))</f>
        <v>0</v>
      </c>
      <c r="PCO9" s="26">
        <f>IF(PCO7=0,0,IF(MAX($F9:PCN9)=$D12,0,PCN9+1))</f>
        <v>0</v>
      </c>
      <c r="PCP9" s="26">
        <f>IF(PCP7=0,0,IF(MAX($F9:PCO9)=$D12,0,PCO9+1))</f>
        <v>0</v>
      </c>
      <c r="PCQ9" s="26">
        <f>IF(PCQ7=0,0,IF(MAX($F9:PCP9)=$D12,0,PCP9+1))</f>
        <v>0</v>
      </c>
      <c r="PCR9" s="26">
        <f>IF(PCR7=0,0,IF(MAX($F9:PCQ9)=$D12,0,PCQ9+1))</f>
        <v>0</v>
      </c>
      <c r="PCS9" s="26">
        <f>IF(PCS7=0,0,IF(MAX($F9:PCR9)=$D12,0,PCR9+1))</f>
        <v>0</v>
      </c>
      <c r="PCT9" s="26">
        <f>IF(PCT7=0,0,IF(MAX($F9:PCS9)=$D12,0,PCS9+1))</f>
        <v>0</v>
      </c>
      <c r="PCU9" s="26">
        <f>IF(PCU7=0,0,IF(MAX($F9:PCT9)=$D12,0,PCT9+1))</f>
        <v>0</v>
      </c>
      <c r="PCV9" s="26">
        <f>IF(PCV7=0,0,IF(MAX($F9:PCU9)=$D12,0,PCU9+1))</f>
        <v>0</v>
      </c>
      <c r="PCW9" s="26">
        <f>IF(PCW7=0,0,IF(MAX($F9:PCV9)=$D12,0,PCV9+1))</f>
        <v>0</v>
      </c>
      <c r="PCX9" s="26">
        <f>IF(PCX7=0,0,IF(MAX($F9:PCW9)=$D12,0,PCW9+1))</f>
        <v>0</v>
      </c>
      <c r="PCY9" s="26">
        <f>IF(PCY7=0,0,IF(MAX($F9:PCX9)=$D12,0,PCX9+1))</f>
        <v>0</v>
      </c>
      <c r="PCZ9" s="26">
        <f>IF(PCZ7=0,0,IF(MAX($F9:PCY9)=$D12,0,PCY9+1))</f>
        <v>0</v>
      </c>
      <c r="PDA9" s="26">
        <f>IF(PDA7=0,0,IF(MAX($F9:PCZ9)=$D12,0,PCZ9+1))</f>
        <v>0</v>
      </c>
      <c r="PDB9" s="26">
        <f>IF(PDB7=0,0,IF(MAX($F9:PDA9)=$D12,0,PDA9+1))</f>
        <v>0</v>
      </c>
      <c r="PDC9" s="26">
        <f>IF(PDC7=0,0,IF(MAX($F9:PDB9)=$D12,0,PDB9+1))</f>
        <v>0</v>
      </c>
      <c r="PDD9" s="26">
        <f>IF(PDD7=0,0,IF(MAX($F9:PDC9)=$D12,0,PDC9+1))</f>
        <v>0</v>
      </c>
      <c r="PDE9" s="26">
        <f>IF(PDE7=0,0,IF(MAX($F9:PDD9)=$D12,0,PDD9+1))</f>
        <v>0</v>
      </c>
      <c r="PDF9" s="26">
        <f>IF(PDF7=0,0,IF(MAX($F9:PDE9)=$D12,0,PDE9+1))</f>
        <v>0</v>
      </c>
      <c r="PDG9" s="26">
        <f>IF(PDG7=0,0,IF(MAX($F9:PDF9)=$D12,0,PDF9+1))</f>
        <v>0</v>
      </c>
      <c r="PDH9" s="26">
        <f>IF(PDH7=0,0,IF(MAX($F9:PDG9)=$D12,0,PDG9+1))</f>
        <v>0</v>
      </c>
      <c r="PDI9" s="26">
        <f>IF(PDI7=0,0,IF(MAX($F9:PDH9)=$D12,0,PDH9+1))</f>
        <v>0</v>
      </c>
      <c r="PDJ9" s="26">
        <f>IF(PDJ7=0,0,IF(MAX($F9:PDI9)=$D12,0,PDI9+1))</f>
        <v>0</v>
      </c>
      <c r="PDK9" s="26">
        <f>IF(PDK7=0,0,IF(MAX($F9:PDJ9)=$D12,0,PDJ9+1))</f>
        <v>0</v>
      </c>
      <c r="PDL9" s="26">
        <f>IF(PDL7=0,0,IF(MAX($F9:PDK9)=$D12,0,PDK9+1))</f>
        <v>0</v>
      </c>
      <c r="PDM9" s="26">
        <f>IF(PDM7=0,0,IF(MAX($F9:PDL9)=$D12,0,PDL9+1))</f>
        <v>0</v>
      </c>
      <c r="PDN9" s="26">
        <f>IF(PDN7=0,0,IF(MAX($F9:PDM9)=$D12,0,PDM9+1))</f>
        <v>0</v>
      </c>
      <c r="PDO9" s="26">
        <f>IF(PDO7=0,0,IF(MAX($F9:PDN9)=$D12,0,PDN9+1))</f>
        <v>0</v>
      </c>
      <c r="PDP9" s="26">
        <f>IF(PDP7=0,0,IF(MAX($F9:PDO9)=$D12,0,PDO9+1))</f>
        <v>0</v>
      </c>
      <c r="PDQ9" s="26">
        <f>IF(PDQ7=0,0,IF(MAX($F9:PDP9)=$D12,0,PDP9+1))</f>
        <v>0</v>
      </c>
      <c r="PDR9" s="26">
        <f>IF(PDR7=0,0,IF(MAX($F9:PDQ9)=$D12,0,PDQ9+1))</f>
        <v>0</v>
      </c>
      <c r="PDS9" s="26">
        <f>IF(PDS7=0,0,IF(MAX($F9:PDR9)=$D12,0,PDR9+1))</f>
        <v>0</v>
      </c>
      <c r="PDT9" s="26">
        <f>IF(PDT7=0,0,IF(MAX($F9:PDS9)=$D12,0,PDS9+1))</f>
        <v>0</v>
      </c>
      <c r="PDU9" s="26">
        <f>IF(PDU7=0,0,IF(MAX($F9:PDT9)=$D12,0,PDT9+1))</f>
        <v>0</v>
      </c>
      <c r="PDV9" s="26">
        <f>IF(PDV7=0,0,IF(MAX($F9:PDU9)=$D12,0,PDU9+1))</f>
        <v>0</v>
      </c>
      <c r="PDW9" s="26">
        <f>IF(PDW7=0,0,IF(MAX($F9:PDV9)=$D12,0,PDV9+1))</f>
        <v>0</v>
      </c>
      <c r="PDX9" s="26">
        <f>IF(PDX7=0,0,IF(MAX($F9:PDW9)=$D12,0,PDW9+1))</f>
        <v>0</v>
      </c>
      <c r="PDY9" s="26">
        <f>IF(PDY7=0,0,IF(MAX($F9:PDX9)=$D12,0,PDX9+1))</f>
        <v>0</v>
      </c>
      <c r="PDZ9" s="26">
        <f>IF(PDZ7=0,0,IF(MAX($F9:PDY9)=$D12,0,PDY9+1))</f>
        <v>0</v>
      </c>
      <c r="PEA9" s="26">
        <f>IF(PEA7=0,0,IF(MAX($F9:PDZ9)=$D12,0,PDZ9+1))</f>
        <v>0</v>
      </c>
      <c r="PEB9" s="26">
        <f>IF(PEB7=0,0,IF(MAX($F9:PEA9)=$D12,0,PEA9+1))</f>
        <v>0</v>
      </c>
      <c r="PEC9" s="26">
        <f>IF(PEC7=0,0,IF(MAX($F9:PEB9)=$D12,0,PEB9+1))</f>
        <v>0</v>
      </c>
      <c r="PED9" s="26">
        <f>IF(PED7=0,0,IF(MAX($F9:PEC9)=$D12,0,PEC9+1))</f>
        <v>0</v>
      </c>
      <c r="PEE9" s="26">
        <f>IF(PEE7=0,0,IF(MAX($F9:PED9)=$D12,0,PED9+1))</f>
        <v>0</v>
      </c>
      <c r="PEF9" s="26">
        <f>IF(PEF7=0,0,IF(MAX($F9:PEE9)=$D12,0,PEE9+1))</f>
        <v>0</v>
      </c>
      <c r="PEG9" s="26">
        <f>IF(PEG7=0,0,IF(MAX($F9:PEF9)=$D12,0,PEF9+1))</f>
        <v>0</v>
      </c>
      <c r="PEH9" s="26">
        <f>IF(PEH7=0,0,IF(MAX($F9:PEG9)=$D12,0,PEG9+1))</f>
        <v>0</v>
      </c>
      <c r="PEI9" s="26">
        <f>IF(PEI7=0,0,IF(MAX($F9:PEH9)=$D12,0,PEH9+1))</f>
        <v>0</v>
      </c>
      <c r="PEJ9" s="26">
        <f>IF(PEJ7=0,0,IF(MAX($F9:PEI9)=$D12,0,PEI9+1))</f>
        <v>0</v>
      </c>
      <c r="PEK9" s="26">
        <f>IF(PEK7=0,0,IF(MAX($F9:PEJ9)=$D12,0,PEJ9+1))</f>
        <v>0</v>
      </c>
      <c r="PEL9" s="26">
        <f>IF(PEL7=0,0,IF(MAX($F9:PEK9)=$D12,0,PEK9+1))</f>
        <v>0</v>
      </c>
      <c r="PEM9" s="26">
        <f>IF(PEM7=0,0,IF(MAX($F9:PEL9)=$D12,0,PEL9+1))</f>
        <v>0</v>
      </c>
      <c r="PEN9" s="26">
        <f>IF(PEN7=0,0,IF(MAX($F9:PEM9)=$D12,0,PEM9+1))</f>
        <v>0</v>
      </c>
      <c r="PEO9" s="26">
        <f>IF(PEO7=0,0,IF(MAX($F9:PEN9)=$D12,0,PEN9+1))</f>
        <v>0</v>
      </c>
      <c r="PEP9" s="26">
        <f>IF(PEP7=0,0,IF(MAX($F9:PEO9)=$D12,0,PEO9+1))</f>
        <v>0</v>
      </c>
      <c r="PEQ9" s="26">
        <f>IF(PEQ7=0,0,IF(MAX($F9:PEP9)=$D12,0,PEP9+1))</f>
        <v>0</v>
      </c>
      <c r="PER9" s="26">
        <f>IF(PER7=0,0,IF(MAX($F9:PEQ9)=$D12,0,PEQ9+1))</f>
        <v>0</v>
      </c>
      <c r="PES9" s="26">
        <f>IF(PES7=0,0,IF(MAX($F9:PER9)=$D12,0,PER9+1))</f>
        <v>0</v>
      </c>
      <c r="PET9" s="26">
        <f>IF(PET7=0,0,IF(MAX($F9:PES9)=$D12,0,PES9+1))</f>
        <v>0</v>
      </c>
      <c r="PEU9" s="26">
        <f>IF(PEU7=0,0,IF(MAX($F9:PET9)=$D12,0,PET9+1))</f>
        <v>0</v>
      </c>
      <c r="PEV9" s="26">
        <f>IF(PEV7=0,0,IF(MAX($F9:PEU9)=$D12,0,PEU9+1))</f>
        <v>0</v>
      </c>
      <c r="PEW9" s="26">
        <f>IF(PEW7=0,0,IF(MAX($F9:PEV9)=$D12,0,PEV9+1))</f>
        <v>0</v>
      </c>
      <c r="PEX9" s="26">
        <f>IF(PEX7=0,0,IF(MAX($F9:PEW9)=$D12,0,PEW9+1))</f>
        <v>0</v>
      </c>
      <c r="PEY9" s="26">
        <f>IF(PEY7=0,0,IF(MAX($F9:PEX9)=$D12,0,PEX9+1))</f>
        <v>0</v>
      </c>
      <c r="PEZ9" s="26">
        <f>IF(PEZ7=0,0,IF(MAX($F9:PEY9)=$D12,0,PEY9+1))</f>
        <v>0</v>
      </c>
      <c r="PFA9" s="26">
        <f>IF(PFA7=0,0,IF(MAX($F9:PEZ9)=$D12,0,PEZ9+1))</f>
        <v>0</v>
      </c>
      <c r="PFB9" s="26">
        <f>IF(PFB7=0,0,IF(MAX($F9:PFA9)=$D12,0,PFA9+1))</f>
        <v>0</v>
      </c>
      <c r="PFC9" s="26">
        <f>IF(PFC7=0,0,IF(MAX($F9:PFB9)=$D12,0,PFB9+1))</f>
        <v>0</v>
      </c>
      <c r="PFD9" s="26">
        <f>IF(PFD7=0,0,IF(MAX($F9:PFC9)=$D12,0,PFC9+1))</f>
        <v>0</v>
      </c>
      <c r="PFE9" s="26">
        <f>IF(PFE7=0,0,IF(MAX($F9:PFD9)=$D12,0,PFD9+1))</f>
        <v>0</v>
      </c>
      <c r="PFF9" s="26">
        <f>IF(PFF7=0,0,IF(MAX($F9:PFE9)=$D12,0,PFE9+1))</f>
        <v>0</v>
      </c>
      <c r="PFG9" s="26">
        <f>IF(PFG7=0,0,IF(MAX($F9:PFF9)=$D12,0,PFF9+1))</f>
        <v>0</v>
      </c>
      <c r="PFH9" s="26">
        <f>IF(PFH7=0,0,IF(MAX($F9:PFG9)=$D12,0,PFG9+1))</f>
        <v>0</v>
      </c>
      <c r="PFI9" s="26">
        <f>IF(PFI7=0,0,IF(MAX($F9:PFH9)=$D12,0,PFH9+1))</f>
        <v>0</v>
      </c>
      <c r="PFJ9" s="26">
        <f>IF(PFJ7=0,0,IF(MAX($F9:PFI9)=$D12,0,PFI9+1))</f>
        <v>0</v>
      </c>
      <c r="PFK9" s="26">
        <f>IF(PFK7=0,0,IF(MAX($F9:PFJ9)=$D12,0,PFJ9+1))</f>
        <v>0</v>
      </c>
      <c r="PFL9" s="26">
        <f>IF(PFL7=0,0,IF(MAX($F9:PFK9)=$D12,0,PFK9+1))</f>
        <v>0</v>
      </c>
      <c r="PFM9" s="26">
        <f>IF(PFM7=0,0,IF(MAX($F9:PFL9)=$D12,0,PFL9+1))</f>
        <v>0</v>
      </c>
      <c r="PFN9" s="26">
        <f>IF(PFN7=0,0,IF(MAX($F9:PFM9)=$D12,0,PFM9+1))</f>
        <v>0</v>
      </c>
      <c r="PFO9" s="26">
        <f>IF(PFO7=0,0,IF(MAX($F9:PFN9)=$D12,0,PFN9+1))</f>
        <v>0</v>
      </c>
      <c r="PFP9" s="26">
        <f>IF(PFP7=0,0,IF(MAX($F9:PFO9)=$D12,0,PFO9+1))</f>
        <v>0</v>
      </c>
      <c r="PFQ9" s="26">
        <f>IF(PFQ7=0,0,IF(MAX($F9:PFP9)=$D12,0,PFP9+1))</f>
        <v>0</v>
      </c>
      <c r="PFR9" s="26">
        <f>IF(PFR7=0,0,IF(MAX($F9:PFQ9)=$D12,0,PFQ9+1))</f>
        <v>0</v>
      </c>
      <c r="PFS9" s="26">
        <f>IF(PFS7=0,0,IF(MAX($F9:PFR9)=$D12,0,PFR9+1))</f>
        <v>0</v>
      </c>
      <c r="PFT9" s="26">
        <f>IF(PFT7=0,0,IF(MAX($F9:PFS9)=$D12,0,PFS9+1))</f>
        <v>0</v>
      </c>
      <c r="PFU9" s="26">
        <f>IF(PFU7=0,0,IF(MAX($F9:PFT9)=$D12,0,PFT9+1))</f>
        <v>0</v>
      </c>
      <c r="PFV9" s="26">
        <f>IF(PFV7=0,0,IF(MAX($F9:PFU9)=$D12,0,PFU9+1))</f>
        <v>0</v>
      </c>
      <c r="PFW9" s="26">
        <f>IF(PFW7=0,0,IF(MAX($F9:PFV9)=$D12,0,PFV9+1))</f>
        <v>0</v>
      </c>
      <c r="PFX9" s="26">
        <f>IF(PFX7=0,0,IF(MAX($F9:PFW9)=$D12,0,PFW9+1))</f>
        <v>0</v>
      </c>
      <c r="PFY9" s="26">
        <f>IF(PFY7=0,0,IF(MAX($F9:PFX9)=$D12,0,PFX9+1))</f>
        <v>0</v>
      </c>
      <c r="PFZ9" s="26">
        <f>IF(PFZ7=0,0,IF(MAX($F9:PFY9)=$D12,0,PFY9+1))</f>
        <v>0</v>
      </c>
      <c r="PGA9" s="26">
        <f>IF(PGA7=0,0,IF(MAX($F9:PFZ9)=$D12,0,PFZ9+1))</f>
        <v>0</v>
      </c>
      <c r="PGB9" s="26">
        <f>IF(PGB7=0,0,IF(MAX($F9:PGA9)=$D12,0,PGA9+1))</f>
        <v>0</v>
      </c>
      <c r="PGC9" s="26">
        <f>IF(PGC7=0,0,IF(MAX($F9:PGB9)=$D12,0,PGB9+1))</f>
        <v>0</v>
      </c>
      <c r="PGD9" s="26">
        <f>IF(PGD7=0,0,IF(MAX($F9:PGC9)=$D12,0,PGC9+1))</f>
        <v>0</v>
      </c>
      <c r="PGE9" s="26">
        <f>IF(PGE7=0,0,IF(MAX($F9:PGD9)=$D12,0,PGD9+1))</f>
        <v>0</v>
      </c>
      <c r="PGF9" s="26">
        <f>IF(PGF7=0,0,IF(MAX($F9:PGE9)=$D12,0,PGE9+1))</f>
        <v>0</v>
      </c>
      <c r="PGG9" s="26">
        <f>IF(PGG7=0,0,IF(MAX($F9:PGF9)=$D12,0,PGF9+1))</f>
        <v>0</v>
      </c>
      <c r="PGH9" s="26">
        <f>IF(PGH7=0,0,IF(MAX($F9:PGG9)=$D12,0,PGG9+1))</f>
        <v>0</v>
      </c>
      <c r="PGI9" s="26">
        <f>IF(PGI7=0,0,IF(MAX($F9:PGH9)=$D12,0,PGH9+1))</f>
        <v>0</v>
      </c>
      <c r="PGJ9" s="26">
        <f>IF(PGJ7=0,0,IF(MAX($F9:PGI9)=$D12,0,PGI9+1))</f>
        <v>0</v>
      </c>
      <c r="PGK9" s="26">
        <f>IF(PGK7=0,0,IF(MAX($F9:PGJ9)=$D12,0,PGJ9+1))</f>
        <v>0</v>
      </c>
      <c r="PGL9" s="26">
        <f>IF(PGL7=0,0,IF(MAX($F9:PGK9)=$D12,0,PGK9+1))</f>
        <v>0</v>
      </c>
      <c r="PGM9" s="26">
        <f>IF(PGM7=0,0,IF(MAX($F9:PGL9)=$D12,0,PGL9+1))</f>
        <v>0</v>
      </c>
      <c r="PGN9" s="26">
        <f>IF(PGN7=0,0,IF(MAX($F9:PGM9)=$D12,0,PGM9+1))</f>
        <v>0</v>
      </c>
      <c r="PGO9" s="26">
        <f>IF(PGO7=0,0,IF(MAX($F9:PGN9)=$D12,0,PGN9+1))</f>
        <v>0</v>
      </c>
      <c r="PGP9" s="26">
        <f>IF(PGP7=0,0,IF(MAX($F9:PGO9)=$D12,0,PGO9+1))</f>
        <v>0</v>
      </c>
      <c r="PGQ9" s="26">
        <f>IF(PGQ7=0,0,IF(MAX($F9:PGP9)=$D12,0,PGP9+1))</f>
        <v>0</v>
      </c>
      <c r="PGR9" s="26">
        <f>IF(PGR7=0,0,IF(MAX($F9:PGQ9)=$D12,0,PGQ9+1))</f>
        <v>0</v>
      </c>
      <c r="PGS9" s="26">
        <f>IF(PGS7=0,0,IF(MAX($F9:PGR9)=$D12,0,PGR9+1))</f>
        <v>0</v>
      </c>
      <c r="PGT9" s="26">
        <f>IF(PGT7=0,0,IF(MAX($F9:PGS9)=$D12,0,PGS9+1))</f>
        <v>0</v>
      </c>
      <c r="PGU9" s="26">
        <f>IF(PGU7=0,0,IF(MAX($F9:PGT9)=$D12,0,PGT9+1))</f>
        <v>0</v>
      </c>
      <c r="PGV9" s="26">
        <f>IF(PGV7=0,0,IF(MAX($F9:PGU9)=$D12,0,PGU9+1))</f>
        <v>0</v>
      </c>
      <c r="PGW9" s="26">
        <f>IF(PGW7=0,0,IF(MAX($F9:PGV9)=$D12,0,PGV9+1))</f>
        <v>0</v>
      </c>
      <c r="PGX9" s="26">
        <f>IF(PGX7=0,0,IF(MAX($F9:PGW9)=$D12,0,PGW9+1))</f>
        <v>0</v>
      </c>
      <c r="PGY9" s="26">
        <f>IF(PGY7=0,0,IF(MAX($F9:PGX9)=$D12,0,PGX9+1))</f>
        <v>0</v>
      </c>
      <c r="PGZ9" s="26">
        <f>IF(PGZ7=0,0,IF(MAX($F9:PGY9)=$D12,0,PGY9+1))</f>
        <v>0</v>
      </c>
      <c r="PHA9" s="26">
        <f>IF(PHA7=0,0,IF(MAX($F9:PGZ9)=$D12,0,PGZ9+1))</f>
        <v>0</v>
      </c>
      <c r="PHB9" s="26">
        <f>IF(PHB7=0,0,IF(MAX($F9:PHA9)=$D12,0,PHA9+1))</f>
        <v>0</v>
      </c>
      <c r="PHC9" s="26">
        <f>IF(PHC7=0,0,IF(MAX($F9:PHB9)=$D12,0,PHB9+1))</f>
        <v>0</v>
      </c>
      <c r="PHD9" s="26">
        <f>IF(PHD7=0,0,IF(MAX($F9:PHC9)=$D12,0,PHC9+1))</f>
        <v>0</v>
      </c>
      <c r="PHE9" s="26">
        <f>IF(PHE7=0,0,IF(MAX($F9:PHD9)=$D12,0,PHD9+1))</f>
        <v>0</v>
      </c>
      <c r="PHF9" s="26">
        <f>IF(PHF7=0,0,IF(MAX($F9:PHE9)=$D12,0,PHE9+1))</f>
        <v>0</v>
      </c>
      <c r="PHG9" s="26">
        <f>IF(PHG7=0,0,IF(MAX($F9:PHF9)=$D12,0,PHF9+1))</f>
        <v>0</v>
      </c>
      <c r="PHH9" s="26">
        <f>IF(PHH7=0,0,IF(MAX($F9:PHG9)=$D12,0,PHG9+1))</f>
        <v>0</v>
      </c>
      <c r="PHI9" s="26">
        <f>IF(PHI7=0,0,IF(MAX($F9:PHH9)=$D12,0,PHH9+1))</f>
        <v>0</v>
      </c>
      <c r="PHJ9" s="26">
        <f>IF(PHJ7=0,0,IF(MAX($F9:PHI9)=$D12,0,PHI9+1))</f>
        <v>0</v>
      </c>
      <c r="PHK9" s="26">
        <f>IF(PHK7=0,0,IF(MAX($F9:PHJ9)=$D12,0,PHJ9+1))</f>
        <v>0</v>
      </c>
      <c r="PHL9" s="26">
        <f>IF(PHL7=0,0,IF(MAX($F9:PHK9)=$D12,0,PHK9+1))</f>
        <v>0</v>
      </c>
      <c r="PHM9" s="26">
        <f>IF(PHM7=0,0,IF(MAX($F9:PHL9)=$D12,0,PHL9+1))</f>
        <v>0</v>
      </c>
      <c r="PHN9" s="26">
        <f>IF(PHN7=0,0,IF(MAX($F9:PHM9)=$D12,0,PHM9+1))</f>
        <v>0</v>
      </c>
      <c r="PHO9" s="26">
        <f>IF(PHO7=0,0,IF(MAX($F9:PHN9)=$D12,0,PHN9+1))</f>
        <v>0</v>
      </c>
      <c r="PHP9" s="26">
        <f>IF(PHP7=0,0,IF(MAX($F9:PHO9)=$D12,0,PHO9+1))</f>
        <v>0</v>
      </c>
      <c r="PHQ9" s="26">
        <f>IF(PHQ7=0,0,IF(MAX($F9:PHP9)=$D12,0,PHP9+1))</f>
        <v>0</v>
      </c>
      <c r="PHR9" s="26">
        <f>IF(PHR7=0,0,IF(MAX($F9:PHQ9)=$D12,0,PHQ9+1))</f>
        <v>0</v>
      </c>
      <c r="PHS9" s="26">
        <f>IF(PHS7=0,0,IF(MAX($F9:PHR9)=$D12,0,PHR9+1))</f>
        <v>0</v>
      </c>
      <c r="PHT9" s="26">
        <f>IF(PHT7=0,0,IF(MAX($F9:PHS9)=$D12,0,PHS9+1))</f>
        <v>0</v>
      </c>
      <c r="PHU9" s="26">
        <f>IF(PHU7=0,0,IF(MAX($F9:PHT9)=$D12,0,PHT9+1))</f>
        <v>0</v>
      </c>
      <c r="PHV9" s="26">
        <f>IF(PHV7=0,0,IF(MAX($F9:PHU9)=$D12,0,PHU9+1))</f>
        <v>0</v>
      </c>
      <c r="PHW9" s="26">
        <f>IF(PHW7=0,0,IF(MAX($F9:PHV9)=$D12,0,PHV9+1))</f>
        <v>0</v>
      </c>
      <c r="PHX9" s="26">
        <f>IF(PHX7=0,0,IF(MAX($F9:PHW9)=$D12,0,PHW9+1))</f>
        <v>0</v>
      </c>
      <c r="PHY9" s="26">
        <f>IF(PHY7=0,0,IF(MAX($F9:PHX9)=$D12,0,PHX9+1))</f>
        <v>0</v>
      </c>
      <c r="PHZ9" s="26">
        <f>IF(PHZ7=0,0,IF(MAX($F9:PHY9)=$D12,0,PHY9+1))</f>
        <v>0</v>
      </c>
      <c r="PIA9" s="26">
        <f>IF(PIA7=0,0,IF(MAX($F9:PHZ9)=$D12,0,PHZ9+1))</f>
        <v>0</v>
      </c>
      <c r="PIB9" s="26">
        <f>IF(PIB7=0,0,IF(MAX($F9:PIA9)=$D12,0,PIA9+1))</f>
        <v>0</v>
      </c>
      <c r="PIC9" s="26">
        <f>IF(PIC7=0,0,IF(MAX($F9:PIB9)=$D12,0,PIB9+1))</f>
        <v>0</v>
      </c>
      <c r="PID9" s="26">
        <f>IF(PID7=0,0,IF(MAX($F9:PIC9)=$D12,0,PIC9+1))</f>
        <v>0</v>
      </c>
      <c r="PIE9" s="26">
        <f>IF(PIE7=0,0,IF(MAX($F9:PID9)=$D12,0,PID9+1))</f>
        <v>0</v>
      </c>
      <c r="PIF9" s="26">
        <f>IF(PIF7=0,0,IF(MAX($F9:PIE9)=$D12,0,PIE9+1))</f>
        <v>0</v>
      </c>
      <c r="PIG9" s="26">
        <f>IF(PIG7=0,0,IF(MAX($F9:PIF9)=$D12,0,PIF9+1))</f>
        <v>0</v>
      </c>
      <c r="PIH9" s="26">
        <f>IF(PIH7=0,0,IF(MAX($F9:PIG9)=$D12,0,PIG9+1))</f>
        <v>0</v>
      </c>
      <c r="PII9" s="26">
        <f>IF(PII7=0,0,IF(MAX($F9:PIH9)=$D12,0,PIH9+1))</f>
        <v>0</v>
      </c>
      <c r="PIJ9" s="26">
        <f>IF(PIJ7=0,0,IF(MAX($F9:PII9)=$D12,0,PII9+1))</f>
        <v>0</v>
      </c>
      <c r="PIK9" s="26">
        <f>IF(PIK7=0,0,IF(MAX($F9:PIJ9)=$D12,0,PIJ9+1))</f>
        <v>0</v>
      </c>
      <c r="PIL9" s="26">
        <f>IF(PIL7=0,0,IF(MAX($F9:PIK9)=$D12,0,PIK9+1))</f>
        <v>0</v>
      </c>
      <c r="PIM9" s="26">
        <f>IF(PIM7=0,0,IF(MAX($F9:PIL9)=$D12,0,PIL9+1))</f>
        <v>0</v>
      </c>
      <c r="PIN9" s="26">
        <f>IF(PIN7=0,0,IF(MAX($F9:PIM9)=$D12,0,PIM9+1))</f>
        <v>0</v>
      </c>
      <c r="PIO9" s="26">
        <f>IF(PIO7=0,0,IF(MAX($F9:PIN9)=$D12,0,PIN9+1))</f>
        <v>0</v>
      </c>
      <c r="PIP9" s="26">
        <f>IF(PIP7=0,0,IF(MAX($F9:PIO9)=$D12,0,PIO9+1))</f>
        <v>0</v>
      </c>
      <c r="PIQ9" s="26">
        <f>IF(PIQ7=0,0,IF(MAX($F9:PIP9)=$D12,0,PIP9+1))</f>
        <v>0</v>
      </c>
      <c r="PIR9" s="26">
        <f>IF(PIR7=0,0,IF(MAX($F9:PIQ9)=$D12,0,PIQ9+1))</f>
        <v>0</v>
      </c>
      <c r="PIS9" s="26">
        <f>IF(PIS7=0,0,IF(MAX($F9:PIR9)=$D12,0,PIR9+1))</f>
        <v>0</v>
      </c>
      <c r="PIT9" s="26">
        <f>IF(PIT7=0,0,IF(MAX($F9:PIS9)=$D12,0,PIS9+1))</f>
        <v>0</v>
      </c>
      <c r="PIU9" s="26">
        <f>IF(PIU7=0,0,IF(MAX($F9:PIT9)=$D12,0,PIT9+1))</f>
        <v>0</v>
      </c>
      <c r="PIV9" s="26">
        <f>IF(PIV7=0,0,IF(MAX($F9:PIU9)=$D12,0,PIU9+1))</f>
        <v>0</v>
      </c>
      <c r="PIW9" s="26">
        <f>IF(PIW7=0,0,IF(MAX($F9:PIV9)=$D12,0,PIV9+1))</f>
        <v>0</v>
      </c>
      <c r="PIX9" s="26">
        <f>IF(PIX7=0,0,IF(MAX($F9:PIW9)=$D12,0,PIW9+1))</f>
        <v>0</v>
      </c>
      <c r="PIY9" s="26">
        <f>IF(PIY7=0,0,IF(MAX($F9:PIX9)=$D12,0,PIX9+1))</f>
        <v>0</v>
      </c>
      <c r="PIZ9" s="26">
        <f>IF(PIZ7=0,0,IF(MAX($F9:PIY9)=$D12,0,PIY9+1))</f>
        <v>0</v>
      </c>
      <c r="PJA9" s="26">
        <f>IF(PJA7=0,0,IF(MAX($F9:PIZ9)=$D12,0,PIZ9+1))</f>
        <v>0</v>
      </c>
      <c r="PJB9" s="26">
        <f>IF(PJB7=0,0,IF(MAX($F9:PJA9)=$D12,0,PJA9+1))</f>
        <v>0</v>
      </c>
      <c r="PJC9" s="26">
        <f>IF(PJC7=0,0,IF(MAX($F9:PJB9)=$D12,0,PJB9+1))</f>
        <v>0</v>
      </c>
      <c r="PJD9" s="26">
        <f>IF(PJD7=0,0,IF(MAX($F9:PJC9)=$D12,0,PJC9+1))</f>
        <v>0</v>
      </c>
      <c r="PJE9" s="26">
        <f>IF(PJE7=0,0,IF(MAX($F9:PJD9)=$D12,0,PJD9+1))</f>
        <v>0</v>
      </c>
      <c r="PJF9" s="26">
        <f>IF(PJF7=0,0,IF(MAX($F9:PJE9)=$D12,0,PJE9+1))</f>
        <v>0</v>
      </c>
      <c r="PJG9" s="26">
        <f>IF(PJG7=0,0,IF(MAX($F9:PJF9)=$D12,0,PJF9+1))</f>
        <v>0</v>
      </c>
      <c r="PJH9" s="26">
        <f>IF(PJH7=0,0,IF(MAX($F9:PJG9)=$D12,0,PJG9+1))</f>
        <v>0</v>
      </c>
      <c r="PJI9" s="26">
        <f>IF(PJI7=0,0,IF(MAX($F9:PJH9)=$D12,0,PJH9+1))</f>
        <v>0</v>
      </c>
      <c r="PJJ9" s="26">
        <f>IF(PJJ7=0,0,IF(MAX($F9:PJI9)=$D12,0,PJI9+1))</f>
        <v>0</v>
      </c>
      <c r="PJK9" s="26">
        <f>IF(PJK7=0,0,IF(MAX($F9:PJJ9)=$D12,0,PJJ9+1))</f>
        <v>0</v>
      </c>
      <c r="PJL9" s="26">
        <f>IF(PJL7=0,0,IF(MAX($F9:PJK9)=$D12,0,PJK9+1))</f>
        <v>0</v>
      </c>
      <c r="PJM9" s="26">
        <f>IF(PJM7=0,0,IF(MAX($F9:PJL9)=$D12,0,PJL9+1))</f>
        <v>0</v>
      </c>
      <c r="PJN9" s="26">
        <f>IF(PJN7=0,0,IF(MAX($F9:PJM9)=$D12,0,PJM9+1))</f>
        <v>0</v>
      </c>
      <c r="PJO9" s="26">
        <f>IF(PJO7=0,0,IF(MAX($F9:PJN9)=$D12,0,PJN9+1))</f>
        <v>0</v>
      </c>
      <c r="PJP9" s="26">
        <f>IF(PJP7=0,0,IF(MAX($F9:PJO9)=$D12,0,PJO9+1))</f>
        <v>0</v>
      </c>
      <c r="PJQ9" s="26">
        <f>IF(PJQ7=0,0,IF(MAX($F9:PJP9)=$D12,0,PJP9+1))</f>
        <v>0</v>
      </c>
      <c r="PJR9" s="26">
        <f>IF(PJR7=0,0,IF(MAX($F9:PJQ9)=$D12,0,PJQ9+1))</f>
        <v>0</v>
      </c>
      <c r="PJS9" s="26">
        <f>IF(PJS7=0,0,IF(MAX($F9:PJR9)=$D12,0,PJR9+1))</f>
        <v>0</v>
      </c>
      <c r="PJT9" s="26">
        <f>IF(PJT7=0,0,IF(MAX($F9:PJS9)=$D12,0,PJS9+1))</f>
        <v>0</v>
      </c>
      <c r="PJU9" s="26">
        <f>IF(PJU7=0,0,IF(MAX($F9:PJT9)=$D12,0,PJT9+1))</f>
        <v>0</v>
      </c>
      <c r="PJV9" s="26">
        <f>IF(PJV7=0,0,IF(MAX($F9:PJU9)=$D12,0,PJU9+1))</f>
        <v>0</v>
      </c>
      <c r="PJW9" s="26">
        <f>IF(PJW7=0,0,IF(MAX($F9:PJV9)=$D12,0,PJV9+1))</f>
        <v>0</v>
      </c>
      <c r="PJX9" s="26">
        <f>IF(PJX7=0,0,IF(MAX($F9:PJW9)=$D12,0,PJW9+1))</f>
        <v>0</v>
      </c>
      <c r="PJY9" s="26">
        <f>IF(PJY7=0,0,IF(MAX($F9:PJX9)=$D12,0,PJX9+1))</f>
        <v>0</v>
      </c>
      <c r="PJZ9" s="26">
        <f>IF(PJZ7=0,0,IF(MAX($F9:PJY9)=$D12,0,PJY9+1))</f>
        <v>0</v>
      </c>
      <c r="PKA9" s="26">
        <f>IF(PKA7=0,0,IF(MAX($F9:PJZ9)=$D12,0,PJZ9+1))</f>
        <v>0</v>
      </c>
      <c r="PKB9" s="26">
        <f>IF(PKB7=0,0,IF(MAX($F9:PKA9)=$D12,0,PKA9+1))</f>
        <v>0</v>
      </c>
      <c r="PKC9" s="26">
        <f>IF(PKC7=0,0,IF(MAX($F9:PKB9)=$D12,0,PKB9+1))</f>
        <v>0</v>
      </c>
      <c r="PKD9" s="26">
        <f>IF(PKD7=0,0,IF(MAX($F9:PKC9)=$D12,0,PKC9+1))</f>
        <v>0</v>
      </c>
      <c r="PKE9" s="26">
        <f>IF(PKE7=0,0,IF(MAX($F9:PKD9)=$D12,0,PKD9+1))</f>
        <v>0</v>
      </c>
      <c r="PKF9" s="26">
        <f>IF(PKF7=0,0,IF(MAX($F9:PKE9)=$D12,0,PKE9+1))</f>
        <v>0</v>
      </c>
      <c r="PKG9" s="26">
        <f>IF(PKG7=0,0,IF(MAX($F9:PKF9)=$D12,0,PKF9+1))</f>
        <v>0</v>
      </c>
      <c r="PKH9" s="26">
        <f>IF(PKH7=0,0,IF(MAX($F9:PKG9)=$D12,0,PKG9+1))</f>
        <v>0</v>
      </c>
      <c r="PKI9" s="26">
        <f>IF(PKI7=0,0,IF(MAX($F9:PKH9)=$D12,0,PKH9+1))</f>
        <v>0</v>
      </c>
      <c r="PKJ9" s="26">
        <f>IF(PKJ7=0,0,IF(MAX($F9:PKI9)=$D12,0,PKI9+1))</f>
        <v>0</v>
      </c>
      <c r="PKK9" s="26">
        <f>IF(PKK7=0,0,IF(MAX($F9:PKJ9)=$D12,0,PKJ9+1))</f>
        <v>0</v>
      </c>
      <c r="PKL9" s="26">
        <f>IF(PKL7=0,0,IF(MAX($F9:PKK9)=$D12,0,PKK9+1))</f>
        <v>0</v>
      </c>
      <c r="PKM9" s="26">
        <f>IF(PKM7=0,0,IF(MAX($F9:PKL9)=$D12,0,PKL9+1))</f>
        <v>0</v>
      </c>
      <c r="PKN9" s="26">
        <f>IF(PKN7=0,0,IF(MAX($F9:PKM9)=$D12,0,PKM9+1))</f>
        <v>0</v>
      </c>
      <c r="PKO9" s="26">
        <f>IF(PKO7=0,0,IF(MAX($F9:PKN9)=$D12,0,PKN9+1))</f>
        <v>0</v>
      </c>
      <c r="PKP9" s="26">
        <f>IF(PKP7=0,0,IF(MAX($F9:PKO9)=$D12,0,PKO9+1))</f>
        <v>0</v>
      </c>
      <c r="PKQ9" s="26">
        <f>IF(PKQ7=0,0,IF(MAX($F9:PKP9)=$D12,0,PKP9+1))</f>
        <v>0</v>
      </c>
      <c r="PKR9" s="26">
        <f>IF(PKR7=0,0,IF(MAX($F9:PKQ9)=$D12,0,PKQ9+1))</f>
        <v>0</v>
      </c>
      <c r="PKS9" s="26">
        <f>IF(PKS7=0,0,IF(MAX($F9:PKR9)=$D12,0,PKR9+1))</f>
        <v>0</v>
      </c>
      <c r="PKT9" s="26">
        <f>IF(PKT7=0,0,IF(MAX($F9:PKS9)=$D12,0,PKS9+1))</f>
        <v>0</v>
      </c>
      <c r="PKU9" s="26">
        <f>IF(PKU7=0,0,IF(MAX($F9:PKT9)=$D12,0,PKT9+1))</f>
        <v>0</v>
      </c>
      <c r="PKV9" s="26">
        <f>IF(PKV7=0,0,IF(MAX($F9:PKU9)=$D12,0,PKU9+1))</f>
        <v>0</v>
      </c>
      <c r="PKW9" s="26">
        <f>IF(PKW7=0,0,IF(MAX($F9:PKV9)=$D12,0,PKV9+1))</f>
        <v>0</v>
      </c>
      <c r="PKX9" s="26">
        <f>IF(PKX7=0,0,IF(MAX($F9:PKW9)=$D12,0,PKW9+1))</f>
        <v>0</v>
      </c>
      <c r="PKY9" s="26">
        <f>IF(PKY7=0,0,IF(MAX($F9:PKX9)=$D12,0,PKX9+1))</f>
        <v>0</v>
      </c>
      <c r="PKZ9" s="26">
        <f>IF(PKZ7=0,0,IF(MAX($F9:PKY9)=$D12,0,PKY9+1))</f>
        <v>0</v>
      </c>
      <c r="PLA9" s="26">
        <f>IF(PLA7=0,0,IF(MAX($F9:PKZ9)=$D12,0,PKZ9+1))</f>
        <v>0</v>
      </c>
      <c r="PLB9" s="26">
        <f>IF(PLB7=0,0,IF(MAX($F9:PLA9)=$D12,0,PLA9+1))</f>
        <v>0</v>
      </c>
      <c r="PLC9" s="26">
        <f>IF(PLC7=0,0,IF(MAX($F9:PLB9)=$D12,0,PLB9+1))</f>
        <v>0</v>
      </c>
      <c r="PLD9" s="26">
        <f>IF(PLD7=0,0,IF(MAX($F9:PLC9)=$D12,0,PLC9+1))</f>
        <v>0</v>
      </c>
      <c r="PLE9" s="26">
        <f>IF(PLE7=0,0,IF(MAX($F9:PLD9)=$D12,0,PLD9+1))</f>
        <v>0</v>
      </c>
      <c r="PLF9" s="26">
        <f>IF(PLF7=0,0,IF(MAX($F9:PLE9)=$D12,0,PLE9+1))</f>
        <v>0</v>
      </c>
      <c r="PLG9" s="26">
        <f>IF(PLG7=0,0,IF(MAX($F9:PLF9)=$D12,0,PLF9+1))</f>
        <v>0</v>
      </c>
      <c r="PLH9" s="26">
        <f>IF(PLH7=0,0,IF(MAX($F9:PLG9)=$D12,0,PLG9+1))</f>
        <v>0</v>
      </c>
      <c r="PLI9" s="26">
        <f>IF(PLI7=0,0,IF(MAX($F9:PLH9)=$D12,0,PLH9+1))</f>
        <v>0</v>
      </c>
      <c r="PLJ9" s="26">
        <f>IF(PLJ7=0,0,IF(MAX($F9:PLI9)=$D12,0,PLI9+1))</f>
        <v>0</v>
      </c>
      <c r="PLK9" s="26">
        <f>IF(PLK7=0,0,IF(MAX($F9:PLJ9)=$D12,0,PLJ9+1))</f>
        <v>0</v>
      </c>
      <c r="PLL9" s="26">
        <f>IF(PLL7=0,0,IF(MAX($F9:PLK9)=$D12,0,PLK9+1))</f>
        <v>0</v>
      </c>
      <c r="PLM9" s="26">
        <f>IF(PLM7=0,0,IF(MAX($F9:PLL9)=$D12,0,PLL9+1))</f>
        <v>0</v>
      </c>
      <c r="PLN9" s="26">
        <f>IF(PLN7=0,0,IF(MAX($F9:PLM9)=$D12,0,PLM9+1))</f>
        <v>0</v>
      </c>
      <c r="PLO9" s="26">
        <f>IF(PLO7=0,0,IF(MAX($F9:PLN9)=$D12,0,PLN9+1))</f>
        <v>0</v>
      </c>
      <c r="PLP9" s="26">
        <f>IF(PLP7=0,0,IF(MAX($F9:PLO9)=$D12,0,PLO9+1))</f>
        <v>0</v>
      </c>
      <c r="PLQ9" s="26">
        <f>IF(PLQ7=0,0,IF(MAX($F9:PLP9)=$D12,0,PLP9+1))</f>
        <v>0</v>
      </c>
      <c r="PLR9" s="26">
        <f>IF(PLR7=0,0,IF(MAX($F9:PLQ9)=$D12,0,PLQ9+1))</f>
        <v>0</v>
      </c>
      <c r="PLS9" s="26">
        <f>IF(PLS7=0,0,IF(MAX($F9:PLR9)=$D12,0,PLR9+1))</f>
        <v>0</v>
      </c>
      <c r="PLT9" s="26">
        <f>IF(PLT7=0,0,IF(MAX($F9:PLS9)=$D12,0,PLS9+1))</f>
        <v>0</v>
      </c>
      <c r="PLU9" s="26">
        <f>IF(PLU7=0,0,IF(MAX($F9:PLT9)=$D12,0,PLT9+1))</f>
        <v>0</v>
      </c>
      <c r="PLV9" s="26">
        <f>IF(PLV7=0,0,IF(MAX($F9:PLU9)=$D12,0,PLU9+1))</f>
        <v>0</v>
      </c>
      <c r="PLW9" s="26">
        <f>IF(PLW7=0,0,IF(MAX($F9:PLV9)=$D12,0,PLV9+1))</f>
        <v>0</v>
      </c>
      <c r="PLX9" s="26">
        <f>IF(PLX7=0,0,IF(MAX($F9:PLW9)=$D12,0,PLW9+1))</f>
        <v>0</v>
      </c>
      <c r="PLY9" s="26">
        <f>IF(PLY7=0,0,IF(MAX($F9:PLX9)=$D12,0,PLX9+1))</f>
        <v>0</v>
      </c>
      <c r="PLZ9" s="26">
        <f>IF(PLZ7=0,0,IF(MAX($F9:PLY9)=$D12,0,PLY9+1))</f>
        <v>0</v>
      </c>
      <c r="PMA9" s="26">
        <f>IF(PMA7=0,0,IF(MAX($F9:PLZ9)=$D12,0,PLZ9+1))</f>
        <v>0</v>
      </c>
      <c r="PMB9" s="26">
        <f>IF(PMB7=0,0,IF(MAX($F9:PMA9)=$D12,0,PMA9+1))</f>
        <v>0</v>
      </c>
      <c r="PMC9" s="26">
        <f>IF(PMC7=0,0,IF(MAX($F9:PMB9)=$D12,0,PMB9+1))</f>
        <v>0</v>
      </c>
      <c r="PMD9" s="26">
        <f>IF(PMD7=0,0,IF(MAX($F9:PMC9)=$D12,0,PMC9+1))</f>
        <v>0</v>
      </c>
      <c r="PME9" s="26">
        <f>IF(PME7=0,0,IF(MAX($F9:PMD9)=$D12,0,PMD9+1))</f>
        <v>0</v>
      </c>
      <c r="PMF9" s="26">
        <f>IF(PMF7=0,0,IF(MAX($F9:PME9)=$D12,0,PME9+1))</f>
        <v>0</v>
      </c>
      <c r="PMG9" s="26">
        <f>IF(PMG7=0,0,IF(MAX($F9:PMF9)=$D12,0,PMF9+1))</f>
        <v>0</v>
      </c>
      <c r="PMH9" s="26">
        <f>IF(PMH7=0,0,IF(MAX($F9:PMG9)=$D12,0,PMG9+1))</f>
        <v>0</v>
      </c>
      <c r="PMI9" s="26">
        <f>IF(PMI7=0,0,IF(MAX($F9:PMH9)=$D12,0,PMH9+1))</f>
        <v>0</v>
      </c>
      <c r="PMJ9" s="26">
        <f>IF(PMJ7=0,0,IF(MAX($F9:PMI9)=$D12,0,PMI9+1))</f>
        <v>0</v>
      </c>
      <c r="PMK9" s="26">
        <f>IF(PMK7=0,0,IF(MAX($F9:PMJ9)=$D12,0,PMJ9+1))</f>
        <v>0</v>
      </c>
      <c r="PML9" s="26">
        <f>IF(PML7=0,0,IF(MAX($F9:PMK9)=$D12,0,PMK9+1))</f>
        <v>0</v>
      </c>
      <c r="PMM9" s="26">
        <f>IF(PMM7=0,0,IF(MAX($F9:PML9)=$D12,0,PML9+1))</f>
        <v>0</v>
      </c>
      <c r="PMN9" s="26">
        <f>IF(PMN7=0,0,IF(MAX($F9:PMM9)=$D12,0,PMM9+1))</f>
        <v>0</v>
      </c>
      <c r="PMO9" s="26">
        <f>IF(PMO7=0,0,IF(MAX($F9:PMN9)=$D12,0,PMN9+1))</f>
        <v>0</v>
      </c>
      <c r="PMP9" s="26">
        <f>IF(PMP7=0,0,IF(MAX($F9:PMO9)=$D12,0,PMO9+1))</f>
        <v>0</v>
      </c>
      <c r="PMQ9" s="26">
        <f>IF(PMQ7=0,0,IF(MAX($F9:PMP9)=$D12,0,PMP9+1))</f>
        <v>0</v>
      </c>
      <c r="PMR9" s="26">
        <f>IF(PMR7=0,0,IF(MAX($F9:PMQ9)=$D12,0,PMQ9+1))</f>
        <v>0</v>
      </c>
      <c r="PMS9" s="26">
        <f>IF(PMS7=0,0,IF(MAX($F9:PMR9)=$D12,0,PMR9+1))</f>
        <v>0</v>
      </c>
      <c r="PMT9" s="26">
        <f>IF(PMT7=0,0,IF(MAX($F9:PMS9)=$D12,0,PMS9+1))</f>
        <v>0</v>
      </c>
      <c r="PMU9" s="26">
        <f>IF(PMU7=0,0,IF(MAX($F9:PMT9)=$D12,0,PMT9+1))</f>
        <v>0</v>
      </c>
      <c r="PMV9" s="26">
        <f>IF(PMV7=0,0,IF(MAX($F9:PMU9)=$D12,0,PMU9+1))</f>
        <v>0</v>
      </c>
      <c r="PMW9" s="26">
        <f>IF(PMW7=0,0,IF(MAX($F9:PMV9)=$D12,0,PMV9+1))</f>
        <v>0</v>
      </c>
      <c r="PMX9" s="26">
        <f>IF(PMX7=0,0,IF(MAX($F9:PMW9)=$D12,0,PMW9+1))</f>
        <v>0</v>
      </c>
      <c r="PMY9" s="26">
        <f>IF(PMY7=0,0,IF(MAX($F9:PMX9)=$D12,0,PMX9+1))</f>
        <v>0</v>
      </c>
      <c r="PMZ9" s="26">
        <f>IF(PMZ7=0,0,IF(MAX($F9:PMY9)=$D12,0,PMY9+1))</f>
        <v>0</v>
      </c>
      <c r="PNA9" s="26">
        <f>IF(PNA7=0,0,IF(MAX($F9:PMZ9)=$D12,0,PMZ9+1))</f>
        <v>0</v>
      </c>
      <c r="PNB9" s="26">
        <f>IF(PNB7=0,0,IF(MAX($F9:PNA9)=$D12,0,PNA9+1))</f>
        <v>0</v>
      </c>
      <c r="PNC9" s="26">
        <f>IF(PNC7=0,0,IF(MAX($F9:PNB9)=$D12,0,PNB9+1))</f>
        <v>0</v>
      </c>
      <c r="PND9" s="26">
        <f>IF(PND7=0,0,IF(MAX($F9:PNC9)=$D12,0,PNC9+1))</f>
        <v>0</v>
      </c>
      <c r="PNE9" s="26">
        <f>IF(PNE7=0,0,IF(MAX($F9:PND9)=$D12,0,PND9+1))</f>
        <v>0</v>
      </c>
      <c r="PNF9" s="26">
        <f>IF(PNF7=0,0,IF(MAX($F9:PNE9)=$D12,0,PNE9+1))</f>
        <v>0</v>
      </c>
      <c r="PNG9" s="26">
        <f>IF(PNG7=0,0,IF(MAX($F9:PNF9)=$D12,0,PNF9+1))</f>
        <v>0</v>
      </c>
      <c r="PNH9" s="26">
        <f>IF(PNH7=0,0,IF(MAX($F9:PNG9)=$D12,0,PNG9+1))</f>
        <v>0</v>
      </c>
      <c r="PNI9" s="26">
        <f>IF(PNI7=0,0,IF(MAX($F9:PNH9)=$D12,0,PNH9+1))</f>
        <v>0</v>
      </c>
      <c r="PNJ9" s="26">
        <f>IF(PNJ7=0,0,IF(MAX($F9:PNI9)=$D12,0,PNI9+1))</f>
        <v>0</v>
      </c>
      <c r="PNK9" s="26">
        <f>IF(PNK7=0,0,IF(MAX($F9:PNJ9)=$D12,0,PNJ9+1))</f>
        <v>0</v>
      </c>
      <c r="PNL9" s="26">
        <f>IF(PNL7=0,0,IF(MAX($F9:PNK9)=$D12,0,PNK9+1))</f>
        <v>0</v>
      </c>
      <c r="PNM9" s="26">
        <f>IF(PNM7=0,0,IF(MAX($F9:PNL9)=$D12,0,PNL9+1))</f>
        <v>0</v>
      </c>
      <c r="PNN9" s="26">
        <f>IF(PNN7=0,0,IF(MAX($F9:PNM9)=$D12,0,PNM9+1))</f>
        <v>0</v>
      </c>
      <c r="PNO9" s="26">
        <f>IF(PNO7=0,0,IF(MAX($F9:PNN9)=$D12,0,PNN9+1))</f>
        <v>0</v>
      </c>
      <c r="PNP9" s="26">
        <f>IF(PNP7=0,0,IF(MAX($F9:PNO9)=$D12,0,PNO9+1))</f>
        <v>0</v>
      </c>
      <c r="PNQ9" s="26">
        <f>IF(PNQ7=0,0,IF(MAX($F9:PNP9)=$D12,0,PNP9+1))</f>
        <v>0</v>
      </c>
      <c r="PNR9" s="26">
        <f>IF(PNR7=0,0,IF(MAX($F9:PNQ9)=$D12,0,PNQ9+1))</f>
        <v>0</v>
      </c>
      <c r="PNS9" s="26">
        <f>IF(PNS7=0,0,IF(MAX($F9:PNR9)=$D12,0,PNR9+1))</f>
        <v>0</v>
      </c>
      <c r="PNT9" s="26">
        <f>IF(PNT7=0,0,IF(MAX($F9:PNS9)=$D12,0,PNS9+1))</f>
        <v>0</v>
      </c>
      <c r="PNU9" s="26">
        <f>IF(PNU7=0,0,IF(MAX($F9:PNT9)=$D12,0,PNT9+1))</f>
        <v>0</v>
      </c>
      <c r="PNV9" s="26">
        <f>IF(PNV7=0,0,IF(MAX($F9:PNU9)=$D12,0,PNU9+1))</f>
        <v>0</v>
      </c>
      <c r="PNW9" s="26">
        <f>IF(PNW7=0,0,IF(MAX($F9:PNV9)=$D12,0,PNV9+1))</f>
        <v>0</v>
      </c>
      <c r="PNX9" s="26">
        <f>IF(PNX7=0,0,IF(MAX($F9:PNW9)=$D12,0,PNW9+1))</f>
        <v>0</v>
      </c>
      <c r="PNY9" s="26">
        <f>IF(PNY7=0,0,IF(MAX($F9:PNX9)=$D12,0,PNX9+1))</f>
        <v>0</v>
      </c>
      <c r="PNZ9" s="26">
        <f>IF(PNZ7=0,0,IF(MAX($F9:PNY9)=$D12,0,PNY9+1))</f>
        <v>0</v>
      </c>
      <c r="POA9" s="26">
        <f>IF(POA7=0,0,IF(MAX($F9:PNZ9)=$D12,0,PNZ9+1))</f>
        <v>0</v>
      </c>
      <c r="POB9" s="26">
        <f>IF(POB7=0,0,IF(MAX($F9:POA9)=$D12,0,POA9+1))</f>
        <v>0</v>
      </c>
      <c r="POC9" s="26">
        <f>IF(POC7=0,0,IF(MAX($F9:POB9)=$D12,0,POB9+1))</f>
        <v>0</v>
      </c>
      <c r="POD9" s="26">
        <f>IF(POD7=0,0,IF(MAX($F9:POC9)=$D12,0,POC9+1))</f>
        <v>0</v>
      </c>
      <c r="POE9" s="26">
        <f>IF(POE7=0,0,IF(MAX($F9:POD9)=$D12,0,POD9+1))</f>
        <v>0</v>
      </c>
      <c r="POF9" s="26">
        <f>IF(POF7=0,0,IF(MAX($F9:POE9)=$D12,0,POE9+1))</f>
        <v>0</v>
      </c>
      <c r="POG9" s="26">
        <f>IF(POG7=0,0,IF(MAX($F9:POF9)=$D12,0,POF9+1))</f>
        <v>0</v>
      </c>
      <c r="POH9" s="26">
        <f>IF(POH7=0,0,IF(MAX($F9:POG9)=$D12,0,POG9+1))</f>
        <v>0</v>
      </c>
      <c r="POI9" s="26">
        <f>IF(POI7=0,0,IF(MAX($F9:POH9)=$D12,0,POH9+1))</f>
        <v>0</v>
      </c>
      <c r="POJ9" s="26">
        <f>IF(POJ7=0,0,IF(MAX($F9:POI9)=$D12,0,POI9+1))</f>
        <v>0</v>
      </c>
      <c r="POK9" s="26">
        <f>IF(POK7=0,0,IF(MAX($F9:POJ9)=$D12,0,POJ9+1))</f>
        <v>0</v>
      </c>
      <c r="POL9" s="26">
        <f>IF(POL7=0,0,IF(MAX($F9:POK9)=$D12,0,POK9+1))</f>
        <v>0</v>
      </c>
      <c r="POM9" s="26">
        <f>IF(POM7=0,0,IF(MAX($F9:POL9)=$D12,0,POL9+1))</f>
        <v>0</v>
      </c>
      <c r="PON9" s="26">
        <f>IF(PON7=0,0,IF(MAX($F9:POM9)=$D12,0,POM9+1))</f>
        <v>0</v>
      </c>
      <c r="POO9" s="26">
        <f>IF(POO7=0,0,IF(MAX($F9:PON9)=$D12,0,PON9+1))</f>
        <v>0</v>
      </c>
      <c r="POP9" s="26">
        <f>IF(POP7=0,0,IF(MAX($F9:POO9)=$D12,0,POO9+1))</f>
        <v>0</v>
      </c>
      <c r="POQ9" s="26">
        <f>IF(POQ7=0,0,IF(MAX($F9:POP9)=$D12,0,POP9+1))</f>
        <v>0</v>
      </c>
      <c r="POR9" s="26">
        <f>IF(POR7=0,0,IF(MAX($F9:POQ9)=$D12,0,POQ9+1))</f>
        <v>0</v>
      </c>
      <c r="POS9" s="26">
        <f>IF(POS7=0,0,IF(MAX($F9:POR9)=$D12,0,POR9+1))</f>
        <v>0</v>
      </c>
      <c r="POT9" s="26">
        <f>IF(POT7=0,0,IF(MAX($F9:POS9)=$D12,0,POS9+1))</f>
        <v>0</v>
      </c>
      <c r="POU9" s="26">
        <f>IF(POU7=0,0,IF(MAX($F9:POT9)=$D12,0,POT9+1))</f>
        <v>0</v>
      </c>
      <c r="POV9" s="26">
        <f>IF(POV7=0,0,IF(MAX($F9:POU9)=$D12,0,POU9+1))</f>
        <v>0</v>
      </c>
      <c r="POW9" s="26">
        <f>IF(POW7=0,0,IF(MAX($F9:POV9)=$D12,0,POV9+1))</f>
        <v>0</v>
      </c>
      <c r="POX9" s="26">
        <f>IF(POX7=0,0,IF(MAX($F9:POW9)=$D12,0,POW9+1))</f>
        <v>0</v>
      </c>
      <c r="POY9" s="26">
        <f>IF(POY7=0,0,IF(MAX($F9:POX9)=$D12,0,POX9+1))</f>
        <v>0</v>
      </c>
      <c r="POZ9" s="26">
        <f>IF(POZ7=0,0,IF(MAX($F9:POY9)=$D12,0,POY9+1))</f>
        <v>0</v>
      </c>
      <c r="PPA9" s="26">
        <f>IF(PPA7=0,0,IF(MAX($F9:POZ9)=$D12,0,POZ9+1))</f>
        <v>0</v>
      </c>
      <c r="PPB9" s="26">
        <f>IF(PPB7=0,0,IF(MAX($F9:PPA9)=$D12,0,PPA9+1))</f>
        <v>0</v>
      </c>
      <c r="PPC9" s="26">
        <f>IF(PPC7=0,0,IF(MAX($F9:PPB9)=$D12,0,PPB9+1))</f>
        <v>0</v>
      </c>
      <c r="PPD9" s="26">
        <f>IF(PPD7=0,0,IF(MAX($F9:PPC9)=$D12,0,PPC9+1))</f>
        <v>0</v>
      </c>
      <c r="PPE9" s="26">
        <f>IF(PPE7=0,0,IF(MAX($F9:PPD9)=$D12,0,PPD9+1))</f>
        <v>0</v>
      </c>
      <c r="PPF9" s="26">
        <f>IF(PPF7=0,0,IF(MAX($F9:PPE9)=$D12,0,PPE9+1))</f>
        <v>0</v>
      </c>
      <c r="PPG9" s="26">
        <f>IF(PPG7=0,0,IF(MAX($F9:PPF9)=$D12,0,PPF9+1))</f>
        <v>0</v>
      </c>
      <c r="PPH9" s="26">
        <f>IF(PPH7=0,0,IF(MAX($F9:PPG9)=$D12,0,PPG9+1))</f>
        <v>0</v>
      </c>
      <c r="PPI9" s="26">
        <f>IF(PPI7=0,0,IF(MAX($F9:PPH9)=$D12,0,PPH9+1))</f>
        <v>0</v>
      </c>
      <c r="PPJ9" s="26">
        <f>IF(PPJ7=0,0,IF(MAX($F9:PPI9)=$D12,0,PPI9+1))</f>
        <v>0</v>
      </c>
      <c r="PPK9" s="26">
        <f>IF(PPK7=0,0,IF(MAX($F9:PPJ9)=$D12,0,PPJ9+1))</f>
        <v>0</v>
      </c>
      <c r="PPL9" s="26">
        <f>IF(PPL7=0,0,IF(MAX($F9:PPK9)=$D12,0,PPK9+1))</f>
        <v>0</v>
      </c>
      <c r="PPM9" s="26">
        <f>IF(PPM7=0,0,IF(MAX($F9:PPL9)=$D12,0,PPL9+1))</f>
        <v>0</v>
      </c>
      <c r="PPN9" s="26">
        <f>IF(PPN7=0,0,IF(MAX($F9:PPM9)=$D12,0,PPM9+1))</f>
        <v>0</v>
      </c>
      <c r="PPO9" s="26">
        <f>IF(PPO7=0,0,IF(MAX($F9:PPN9)=$D12,0,PPN9+1))</f>
        <v>0</v>
      </c>
      <c r="PPP9" s="26">
        <f>IF(PPP7=0,0,IF(MAX($F9:PPO9)=$D12,0,PPO9+1))</f>
        <v>0</v>
      </c>
      <c r="PPQ9" s="26">
        <f>IF(PPQ7=0,0,IF(MAX($F9:PPP9)=$D12,0,PPP9+1))</f>
        <v>0</v>
      </c>
      <c r="PPR9" s="26">
        <f>IF(PPR7=0,0,IF(MAX($F9:PPQ9)=$D12,0,PPQ9+1))</f>
        <v>0</v>
      </c>
      <c r="PPS9" s="26">
        <f>IF(PPS7=0,0,IF(MAX($F9:PPR9)=$D12,0,PPR9+1))</f>
        <v>0</v>
      </c>
      <c r="PPT9" s="26">
        <f>IF(PPT7=0,0,IF(MAX($F9:PPS9)=$D12,0,PPS9+1))</f>
        <v>0</v>
      </c>
      <c r="PPU9" s="26">
        <f>IF(PPU7=0,0,IF(MAX($F9:PPT9)=$D12,0,PPT9+1))</f>
        <v>0</v>
      </c>
      <c r="PPV9" s="26">
        <f>IF(PPV7=0,0,IF(MAX($F9:PPU9)=$D12,0,PPU9+1))</f>
        <v>0</v>
      </c>
      <c r="PPW9" s="26">
        <f>IF(PPW7=0,0,IF(MAX($F9:PPV9)=$D12,0,PPV9+1))</f>
        <v>0</v>
      </c>
      <c r="PPX9" s="26">
        <f>IF(PPX7=0,0,IF(MAX($F9:PPW9)=$D12,0,PPW9+1))</f>
        <v>0</v>
      </c>
      <c r="PPY9" s="26">
        <f>IF(PPY7=0,0,IF(MAX($F9:PPX9)=$D12,0,PPX9+1))</f>
        <v>0</v>
      </c>
      <c r="PPZ9" s="26">
        <f>IF(PPZ7=0,0,IF(MAX($F9:PPY9)=$D12,0,PPY9+1))</f>
        <v>0</v>
      </c>
      <c r="PQA9" s="26">
        <f>IF(PQA7=0,0,IF(MAX($F9:PPZ9)=$D12,0,PPZ9+1))</f>
        <v>0</v>
      </c>
      <c r="PQB9" s="26">
        <f>IF(PQB7=0,0,IF(MAX($F9:PQA9)=$D12,0,PQA9+1))</f>
        <v>0</v>
      </c>
      <c r="PQC9" s="26">
        <f>IF(PQC7=0,0,IF(MAX($F9:PQB9)=$D12,0,PQB9+1))</f>
        <v>0</v>
      </c>
      <c r="PQD9" s="26">
        <f>IF(PQD7=0,0,IF(MAX($F9:PQC9)=$D12,0,PQC9+1))</f>
        <v>0</v>
      </c>
      <c r="PQE9" s="26">
        <f>IF(PQE7=0,0,IF(MAX($F9:PQD9)=$D12,0,PQD9+1))</f>
        <v>0</v>
      </c>
      <c r="PQF9" s="26">
        <f>IF(PQF7=0,0,IF(MAX($F9:PQE9)=$D12,0,PQE9+1))</f>
        <v>0</v>
      </c>
      <c r="PQG9" s="26">
        <f>IF(PQG7=0,0,IF(MAX($F9:PQF9)=$D12,0,PQF9+1))</f>
        <v>0</v>
      </c>
      <c r="PQH9" s="26">
        <f>IF(PQH7=0,0,IF(MAX($F9:PQG9)=$D12,0,PQG9+1))</f>
        <v>0</v>
      </c>
      <c r="PQI9" s="26">
        <f>IF(PQI7=0,0,IF(MAX($F9:PQH9)=$D12,0,PQH9+1))</f>
        <v>0</v>
      </c>
      <c r="PQJ9" s="26">
        <f>IF(PQJ7=0,0,IF(MAX($F9:PQI9)=$D12,0,PQI9+1))</f>
        <v>0</v>
      </c>
      <c r="PQK9" s="26">
        <f>IF(PQK7=0,0,IF(MAX($F9:PQJ9)=$D12,0,PQJ9+1))</f>
        <v>0</v>
      </c>
      <c r="PQL9" s="26">
        <f>IF(PQL7=0,0,IF(MAX($F9:PQK9)=$D12,0,PQK9+1))</f>
        <v>0</v>
      </c>
      <c r="PQM9" s="26">
        <f>IF(PQM7=0,0,IF(MAX($F9:PQL9)=$D12,0,PQL9+1))</f>
        <v>0</v>
      </c>
      <c r="PQN9" s="26">
        <f>IF(PQN7=0,0,IF(MAX($F9:PQM9)=$D12,0,PQM9+1))</f>
        <v>0</v>
      </c>
      <c r="PQO9" s="26">
        <f>IF(PQO7=0,0,IF(MAX($F9:PQN9)=$D12,0,PQN9+1))</f>
        <v>0</v>
      </c>
      <c r="PQP9" s="26">
        <f>IF(PQP7=0,0,IF(MAX($F9:PQO9)=$D12,0,PQO9+1))</f>
        <v>0</v>
      </c>
      <c r="PQQ9" s="26">
        <f>IF(PQQ7=0,0,IF(MAX($F9:PQP9)=$D12,0,PQP9+1))</f>
        <v>0</v>
      </c>
      <c r="PQR9" s="26">
        <f>IF(PQR7=0,0,IF(MAX($F9:PQQ9)=$D12,0,PQQ9+1))</f>
        <v>0</v>
      </c>
      <c r="PQS9" s="26">
        <f>IF(PQS7=0,0,IF(MAX($F9:PQR9)=$D12,0,PQR9+1))</f>
        <v>0</v>
      </c>
      <c r="PQT9" s="26">
        <f>IF(PQT7=0,0,IF(MAX($F9:PQS9)=$D12,0,PQS9+1))</f>
        <v>0</v>
      </c>
      <c r="PQU9" s="26">
        <f>IF(PQU7=0,0,IF(MAX($F9:PQT9)=$D12,0,PQT9+1))</f>
        <v>0</v>
      </c>
      <c r="PQV9" s="26">
        <f>IF(PQV7=0,0,IF(MAX($F9:PQU9)=$D12,0,PQU9+1))</f>
        <v>0</v>
      </c>
      <c r="PQW9" s="26">
        <f>IF(PQW7=0,0,IF(MAX($F9:PQV9)=$D12,0,PQV9+1))</f>
        <v>0</v>
      </c>
      <c r="PQX9" s="26">
        <f>IF(PQX7=0,0,IF(MAX($F9:PQW9)=$D12,0,PQW9+1))</f>
        <v>0</v>
      </c>
      <c r="PQY9" s="26">
        <f>IF(PQY7=0,0,IF(MAX($F9:PQX9)=$D12,0,PQX9+1))</f>
        <v>0</v>
      </c>
      <c r="PQZ9" s="26">
        <f>IF(PQZ7=0,0,IF(MAX($F9:PQY9)=$D12,0,PQY9+1))</f>
        <v>0</v>
      </c>
      <c r="PRA9" s="26">
        <f>IF(PRA7=0,0,IF(MAX($F9:PQZ9)=$D12,0,PQZ9+1))</f>
        <v>0</v>
      </c>
      <c r="PRB9" s="26">
        <f>IF(PRB7=0,0,IF(MAX($F9:PRA9)=$D12,0,PRA9+1))</f>
        <v>0</v>
      </c>
      <c r="PRC9" s="26">
        <f>IF(PRC7=0,0,IF(MAX($F9:PRB9)=$D12,0,PRB9+1))</f>
        <v>0</v>
      </c>
      <c r="PRD9" s="26">
        <f>IF(PRD7=0,0,IF(MAX($F9:PRC9)=$D12,0,PRC9+1))</f>
        <v>0</v>
      </c>
      <c r="PRE9" s="26">
        <f>IF(PRE7=0,0,IF(MAX($F9:PRD9)=$D12,0,PRD9+1))</f>
        <v>0</v>
      </c>
      <c r="PRF9" s="26">
        <f>IF(PRF7=0,0,IF(MAX($F9:PRE9)=$D12,0,PRE9+1))</f>
        <v>0</v>
      </c>
      <c r="PRG9" s="26">
        <f>IF(PRG7=0,0,IF(MAX($F9:PRF9)=$D12,0,PRF9+1))</f>
        <v>0</v>
      </c>
      <c r="PRH9" s="26">
        <f>IF(PRH7=0,0,IF(MAX($F9:PRG9)=$D12,0,PRG9+1))</f>
        <v>0</v>
      </c>
      <c r="PRI9" s="26">
        <f>IF(PRI7=0,0,IF(MAX($F9:PRH9)=$D12,0,PRH9+1))</f>
        <v>0</v>
      </c>
      <c r="PRJ9" s="26">
        <f>IF(PRJ7=0,0,IF(MAX($F9:PRI9)=$D12,0,PRI9+1))</f>
        <v>0</v>
      </c>
      <c r="PRK9" s="26">
        <f>IF(PRK7=0,0,IF(MAX($F9:PRJ9)=$D12,0,PRJ9+1))</f>
        <v>0</v>
      </c>
      <c r="PRL9" s="26">
        <f>IF(PRL7=0,0,IF(MAX($F9:PRK9)=$D12,0,PRK9+1))</f>
        <v>0</v>
      </c>
      <c r="PRM9" s="26">
        <f>IF(PRM7=0,0,IF(MAX($F9:PRL9)=$D12,0,PRL9+1))</f>
        <v>0</v>
      </c>
      <c r="PRN9" s="26">
        <f>IF(PRN7=0,0,IF(MAX($F9:PRM9)=$D12,0,PRM9+1))</f>
        <v>0</v>
      </c>
      <c r="PRO9" s="26">
        <f>IF(PRO7=0,0,IF(MAX($F9:PRN9)=$D12,0,PRN9+1))</f>
        <v>0</v>
      </c>
      <c r="PRP9" s="26">
        <f>IF(PRP7=0,0,IF(MAX($F9:PRO9)=$D12,0,PRO9+1))</f>
        <v>0</v>
      </c>
      <c r="PRQ9" s="26">
        <f>IF(PRQ7=0,0,IF(MAX($F9:PRP9)=$D12,0,PRP9+1))</f>
        <v>0</v>
      </c>
      <c r="PRR9" s="26">
        <f>IF(PRR7=0,0,IF(MAX($F9:PRQ9)=$D12,0,PRQ9+1))</f>
        <v>0</v>
      </c>
      <c r="PRS9" s="26">
        <f>IF(PRS7=0,0,IF(MAX($F9:PRR9)=$D12,0,PRR9+1))</f>
        <v>0</v>
      </c>
      <c r="PRT9" s="26">
        <f>IF(PRT7=0,0,IF(MAX($F9:PRS9)=$D12,0,PRS9+1))</f>
        <v>0</v>
      </c>
      <c r="PRU9" s="26">
        <f>IF(PRU7=0,0,IF(MAX($F9:PRT9)=$D12,0,PRT9+1))</f>
        <v>0</v>
      </c>
      <c r="PRV9" s="26">
        <f>IF(PRV7=0,0,IF(MAX($F9:PRU9)=$D12,0,PRU9+1))</f>
        <v>0</v>
      </c>
      <c r="PRW9" s="26">
        <f>IF(PRW7=0,0,IF(MAX($F9:PRV9)=$D12,0,PRV9+1))</f>
        <v>0</v>
      </c>
      <c r="PRX9" s="26">
        <f>IF(PRX7=0,0,IF(MAX($F9:PRW9)=$D12,0,PRW9+1))</f>
        <v>0</v>
      </c>
      <c r="PRY9" s="26">
        <f>IF(PRY7=0,0,IF(MAX($F9:PRX9)=$D12,0,PRX9+1))</f>
        <v>0</v>
      </c>
      <c r="PRZ9" s="26">
        <f>IF(PRZ7=0,0,IF(MAX($F9:PRY9)=$D12,0,PRY9+1))</f>
        <v>0</v>
      </c>
      <c r="PSA9" s="26">
        <f>IF(PSA7=0,0,IF(MAX($F9:PRZ9)=$D12,0,PRZ9+1))</f>
        <v>0</v>
      </c>
      <c r="PSB9" s="26">
        <f>IF(PSB7=0,0,IF(MAX($F9:PSA9)=$D12,0,PSA9+1))</f>
        <v>0</v>
      </c>
      <c r="PSC9" s="26">
        <f>IF(PSC7=0,0,IF(MAX($F9:PSB9)=$D12,0,PSB9+1))</f>
        <v>0</v>
      </c>
      <c r="PSD9" s="26">
        <f>IF(PSD7=0,0,IF(MAX($F9:PSC9)=$D12,0,PSC9+1))</f>
        <v>0</v>
      </c>
      <c r="PSE9" s="26">
        <f>IF(PSE7=0,0,IF(MAX($F9:PSD9)=$D12,0,PSD9+1))</f>
        <v>0</v>
      </c>
      <c r="PSF9" s="26">
        <f>IF(PSF7=0,0,IF(MAX($F9:PSE9)=$D12,0,PSE9+1))</f>
        <v>0</v>
      </c>
      <c r="PSG9" s="26">
        <f>IF(PSG7=0,0,IF(MAX($F9:PSF9)=$D12,0,PSF9+1))</f>
        <v>0</v>
      </c>
      <c r="PSH9" s="26">
        <f>IF(PSH7=0,0,IF(MAX($F9:PSG9)=$D12,0,PSG9+1))</f>
        <v>0</v>
      </c>
      <c r="PSI9" s="26">
        <f>IF(PSI7=0,0,IF(MAX($F9:PSH9)=$D12,0,PSH9+1))</f>
        <v>0</v>
      </c>
      <c r="PSJ9" s="26">
        <f>IF(PSJ7=0,0,IF(MAX($F9:PSI9)=$D12,0,PSI9+1))</f>
        <v>0</v>
      </c>
      <c r="PSK9" s="26">
        <f>IF(PSK7=0,0,IF(MAX($F9:PSJ9)=$D12,0,PSJ9+1))</f>
        <v>0</v>
      </c>
      <c r="PSL9" s="26">
        <f>IF(PSL7=0,0,IF(MAX($F9:PSK9)=$D12,0,PSK9+1))</f>
        <v>0</v>
      </c>
      <c r="PSM9" s="26">
        <f>IF(PSM7=0,0,IF(MAX($F9:PSL9)=$D12,0,PSL9+1))</f>
        <v>0</v>
      </c>
      <c r="PSN9" s="26">
        <f>IF(PSN7=0,0,IF(MAX($F9:PSM9)=$D12,0,PSM9+1))</f>
        <v>0</v>
      </c>
      <c r="PSO9" s="26">
        <f>IF(PSO7=0,0,IF(MAX($F9:PSN9)=$D12,0,PSN9+1))</f>
        <v>0</v>
      </c>
      <c r="PSP9" s="26">
        <f>IF(PSP7=0,0,IF(MAX($F9:PSO9)=$D12,0,PSO9+1))</f>
        <v>0</v>
      </c>
      <c r="PSQ9" s="26">
        <f>IF(PSQ7=0,0,IF(MAX($F9:PSP9)=$D12,0,PSP9+1))</f>
        <v>0</v>
      </c>
      <c r="PSR9" s="26">
        <f>IF(PSR7=0,0,IF(MAX($F9:PSQ9)=$D12,0,PSQ9+1))</f>
        <v>0</v>
      </c>
      <c r="PSS9" s="26">
        <f>IF(PSS7=0,0,IF(MAX($F9:PSR9)=$D12,0,PSR9+1))</f>
        <v>0</v>
      </c>
      <c r="PST9" s="26">
        <f>IF(PST7=0,0,IF(MAX($F9:PSS9)=$D12,0,PSS9+1))</f>
        <v>0</v>
      </c>
      <c r="PSU9" s="26">
        <f>IF(PSU7=0,0,IF(MAX($F9:PST9)=$D12,0,PST9+1))</f>
        <v>0</v>
      </c>
      <c r="PSV9" s="26">
        <f>IF(PSV7=0,0,IF(MAX($F9:PSU9)=$D12,0,PSU9+1))</f>
        <v>0</v>
      </c>
      <c r="PSW9" s="26">
        <f>IF(PSW7=0,0,IF(MAX($F9:PSV9)=$D12,0,PSV9+1))</f>
        <v>0</v>
      </c>
      <c r="PSX9" s="26">
        <f>IF(PSX7=0,0,IF(MAX($F9:PSW9)=$D12,0,PSW9+1))</f>
        <v>0</v>
      </c>
      <c r="PSY9" s="26">
        <f>IF(PSY7=0,0,IF(MAX($F9:PSX9)=$D12,0,PSX9+1))</f>
        <v>0</v>
      </c>
      <c r="PSZ9" s="26">
        <f>IF(PSZ7=0,0,IF(MAX($F9:PSY9)=$D12,0,PSY9+1))</f>
        <v>0</v>
      </c>
      <c r="PTA9" s="26">
        <f>IF(PTA7=0,0,IF(MAX($F9:PSZ9)=$D12,0,PSZ9+1))</f>
        <v>0</v>
      </c>
      <c r="PTB9" s="26">
        <f>IF(PTB7=0,0,IF(MAX($F9:PTA9)=$D12,0,PTA9+1))</f>
        <v>0</v>
      </c>
      <c r="PTC9" s="26">
        <f>IF(PTC7=0,0,IF(MAX($F9:PTB9)=$D12,0,PTB9+1))</f>
        <v>0</v>
      </c>
      <c r="PTD9" s="26">
        <f>IF(PTD7=0,0,IF(MAX($F9:PTC9)=$D12,0,PTC9+1))</f>
        <v>0</v>
      </c>
      <c r="PTE9" s="26">
        <f>IF(PTE7=0,0,IF(MAX($F9:PTD9)=$D12,0,PTD9+1))</f>
        <v>0</v>
      </c>
      <c r="PTF9" s="26">
        <f>IF(PTF7=0,0,IF(MAX($F9:PTE9)=$D12,0,PTE9+1))</f>
        <v>0</v>
      </c>
      <c r="PTG9" s="26">
        <f>IF(PTG7=0,0,IF(MAX($F9:PTF9)=$D12,0,PTF9+1))</f>
        <v>0</v>
      </c>
      <c r="PTH9" s="26">
        <f>IF(PTH7=0,0,IF(MAX($F9:PTG9)=$D12,0,PTG9+1))</f>
        <v>0</v>
      </c>
      <c r="PTI9" s="26">
        <f>IF(PTI7=0,0,IF(MAX($F9:PTH9)=$D12,0,PTH9+1))</f>
        <v>0</v>
      </c>
      <c r="PTJ9" s="26">
        <f>IF(PTJ7=0,0,IF(MAX($F9:PTI9)=$D12,0,PTI9+1))</f>
        <v>0</v>
      </c>
      <c r="PTK9" s="26">
        <f>IF(PTK7=0,0,IF(MAX($F9:PTJ9)=$D12,0,PTJ9+1))</f>
        <v>0</v>
      </c>
      <c r="PTL9" s="26">
        <f>IF(PTL7=0,0,IF(MAX($F9:PTK9)=$D12,0,PTK9+1))</f>
        <v>0</v>
      </c>
      <c r="PTM9" s="26">
        <f>IF(PTM7=0,0,IF(MAX($F9:PTL9)=$D12,0,PTL9+1))</f>
        <v>0</v>
      </c>
      <c r="PTN9" s="26">
        <f>IF(PTN7=0,0,IF(MAX($F9:PTM9)=$D12,0,PTM9+1))</f>
        <v>0</v>
      </c>
      <c r="PTO9" s="26">
        <f>IF(PTO7=0,0,IF(MAX($F9:PTN9)=$D12,0,PTN9+1))</f>
        <v>0</v>
      </c>
      <c r="PTP9" s="26">
        <f>IF(PTP7=0,0,IF(MAX($F9:PTO9)=$D12,0,PTO9+1))</f>
        <v>0</v>
      </c>
      <c r="PTQ9" s="26">
        <f>IF(PTQ7=0,0,IF(MAX($F9:PTP9)=$D12,0,PTP9+1))</f>
        <v>0</v>
      </c>
      <c r="PTR9" s="26">
        <f>IF(PTR7=0,0,IF(MAX($F9:PTQ9)=$D12,0,PTQ9+1))</f>
        <v>0</v>
      </c>
      <c r="PTS9" s="26">
        <f>IF(PTS7=0,0,IF(MAX($F9:PTR9)=$D12,0,PTR9+1))</f>
        <v>0</v>
      </c>
      <c r="PTT9" s="26">
        <f>IF(PTT7=0,0,IF(MAX($F9:PTS9)=$D12,0,PTS9+1))</f>
        <v>0</v>
      </c>
      <c r="PTU9" s="26">
        <f>IF(PTU7=0,0,IF(MAX($F9:PTT9)=$D12,0,PTT9+1))</f>
        <v>0</v>
      </c>
      <c r="PTV9" s="26">
        <f>IF(PTV7=0,0,IF(MAX($F9:PTU9)=$D12,0,PTU9+1))</f>
        <v>0</v>
      </c>
      <c r="PTW9" s="26">
        <f>IF(PTW7=0,0,IF(MAX($F9:PTV9)=$D12,0,PTV9+1))</f>
        <v>0</v>
      </c>
      <c r="PTX9" s="26">
        <f>IF(PTX7=0,0,IF(MAX($F9:PTW9)=$D12,0,PTW9+1))</f>
        <v>0</v>
      </c>
      <c r="PTY9" s="26">
        <f>IF(PTY7=0,0,IF(MAX($F9:PTX9)=$D12,0,PTX9+1))</f>
        <v>0</v>
      </c>
      <c r="PTZ9" s="26">
        <f>IF(PTZ7=0,0,IF(MAX($F9:PTY9)=$D12,0,PTY9+1))</f>
        <v>0</v>
      </c>
      <c r="PUA9" s="26">
        <f>IF(PUA7=0,0,IF(MAX($F9:PTZ9)=$D12,0,PTZ9+1))</f>
        <v>0</v>
      </c>
      <c r="PUB9" s="26">
        <f>IF(PUB7=0,0,IF(MAX($F9:PUA9)=$D12,0,PUA9+1))</f>
        <v>0</v>
      </c>
      <c r="PUC9" s="26">
        <f>IF(PUC7=0,0,IF(MAX($F9:PUB9)=$D12,0,PUB9+1))</f>
        <v>0</v>
      </c>
      <c r="PUD9" s="26">
        <f>IF(PUD7=0,0,IF(MAX($F9:PUC9)=$D12,0,PUC9+1))</f>
        <v>0</v>
      </c>
      <c r="PUE9" s="26">
        <f>IF(PUE7=0,0,IF(MAX($F9:PUD9)=$D12,0,PUD9+1))</f>
        <v>0</v>
      </c>
      <c r="PUF9" s="26">
        <f>IF(PUF7=0,0,IF(MAX($F9:PUE9)=$D12,0,PUE9+1))</f>
        <v>0</v>
      </c>
      <c r="PUG9" s="26">
        <f>IF(PUG7=0,0,IF(MAX($F9:PUF9)=$D12,0,PUF9+1))</f>
        <v>0</v>
      </c>
      <c r="PUH9" s="26">
        <f>IF(PUH7=0,0,IF(MAX($F9:PUG9)=$D12,0,PUG9+1))</f>
        <v>0</v>
      </c>
      <c r="PUI9" s="26">
        <f>IF(PUI7=0,0,IF(MAX($F9:PUH9)=$D12,0,PUH9+1))</f>
        <v>0</v>
      </c>
      <c r="PUJ9" s="26">
        <f>IF(PUJ7=0,0,IF(MAX($F9:PUI9)=$D12,0,PUI9+1))</f>
        <v>0</v>
      </c>
      <c r="PUK9" s="26">
        <f>IF(PUK7=0,0,IF(MAX($F9:PUJ9)=$D12,0,PUJ9+1))</f>
        <v>0</v>
      </c>
      <c r="PUL9" s="26">
        <f>IF(PUL7=0,0,IF(MAX($F9:PUK9)=$D12,0,PUK9+1))</f>
        <v>0</v>
      </c>
      <c r="PUM9" s="26">
        <f>IF(PUM7=0,0,IF(MAX($F9:PUL9)=$D12,0,PUL9+1))</f>
        <v>0</v>
      </c>
      <c r="PUN9" s="26">
        <f>IF(PUN7=0,0,IF(MAX($F9:PUM9)=$D12,0,PUM9+1))</f>
        <v>0</v>
      </c>
      <c r="PUO9" s="26">
        <f>IF(PUO7=0,0,IF(MAX($F9:PUN9)=$D12,0,PUN9+1))</f>
        <v>0</v>
      </c>
      <c r="PUP9" s="26">
        <f>IF(PUP7=0,0,IF(MAX($F9:PUO9)=$D12,0,PUO9+1))</f>
        <v>0</v>
      </c>
      <c r="PUQ9" s="26">
        <f>IF(PUQ7=0,0,IF(MAX($F9:PUP9)=$D12,0,PUP9+1))</f>
        <v>0</v>
      </c>
      <c r="PUR9" s="26">
        <f>IF(PUR7=0,0,IF(MAX($F9:PUQ9)=$D12,0,PUQ9+1))</f>
        <v>0</v>
      </c>
      <c r="PUS9" s="26">
        <f>IF(PUS7=0,0,IF(MAX($F9:PUR9)=$D12,0,PUR9+1))</f>
        <v>0</v>
      </c>
      <c r="PUT9" s="26">
        <f>IF(PUT7=0,0,IF(MAX($F9:PUS9)=$D12,0,PUS9+1))</f>
        <v>0</v>
      </c>
      <c r="PUU9" s="26">
        <f>IF(PUU7=0,0,IF(MAX($F9:PUT9)=$D12,0,PUT9+1))</f>
        <v>0</v>
      </c>
      <c r="PUV9" s="26">
        <f>IF(PUV7=0,0,IF(MAX($F9:PUU9)=$D12,0,PUU9+1))</f>
        <v>0</v>
      </c>
      <c r="PUW9" s="26">
        <f>IF(PUW7=0,0,IF(MAX($F9:PUV9)=$D12,0,PUV9+1))</f>
        <v>0</v>
      </c>
      <c r="PUX9" s="26">
        <f>IF(PUX7=0,0,IF(MAX($F9:PUW9)=$D12,0,PUW9+1))</f>
        <v>0</v>
      </c>
      <c r="PUY9" s="26">
        <f>IF(PUY7=0,0,IF(MAX($F9:PUX9)=$D12,0,PUX9+1))</f>
        <v>0</v>
      </c>
      <c r="PUZ9" s="26">
        <f>IF(PUZ7=0,0,IF(MAX($F9:PUY9)=$D12,0,PUY9+1))</f>
        <v>0</v>
      </c>
      <c r="PVA9" s="26">
        <f>IF(PVA7=0,0,IF(MAX($F9:PUZ9)=$D12,0,PUZ9+1))</f>
        <v>0</v>
      </c>
      <c r="PVB9" s="26">
        <f>IF(PVB7=0,0,IF(MAX($F9:PVA9)=$D12,0,PVA9+1))</f>
        <v>0</v>
      </c>
      <c r="PVC9" s="26">
        <f>IF(PVC7=0,0,IF(MAX($F9:PVB9)=$D12,0,PVB9+1))</f>
        <v>0</v>
      </c>
      <c r="PVD9" s="26">
        <f>IF(PVD7=0,0,IF(MAX($F9:PVC9)=$D12,0,PVC9+1))</f>
        <v>0</v>
      </c>
      <c r="PVE9" s="26">
        <f>IF(PVE7=0,0,IF(MAX($F9:PVD9)=$D12,0,PVD9+1))</f>
        <v>0</v>
      </c>
      <c r="PVF9" s="26">
        <f>IF(PVF7=0,0,IF(MAX($F9:PVE9)=$D12,0,PVE9+1))</f>
        <v>0</v>
      </c>
      <c r="PVG9" s="26">
        <f>IF(PVG7=0,0,IF(MAX($F9:PVF9)=$D12,0,PVF9+1))</f>
        <v>0</v>
      </c>
      <c r="PVH9" s="26">
        <f>IF(PVH7=0,0,IF(MAX($F9:PVG9)=$D12,0,PVG9+1))</f>
        <v>0</v>
      </c>
      <c r="PVI9" s="26">
        <f>IF(PVI7=0,0,IF(MAX($F9:PVH9)=$D12,0,PVH9+1))</f>
        <v>0</v>
      </c>
      <c r="PVJ9" s="26">
        <f>IF(PVJ7=0,0,IF(MAX($F9:PVI9)=$D12,0,PVI9+1))</f>
        <v>0</v>
      </c>
      <c r="PVK9" s="26">
        <f>IF(PVK7=0,0,IF(MAX($F9:PVJ9)=$D12,0,PVJ9+1))</f>
        <v>0</v>
      </c>
      <c r="PVL9" s="26">
        <f>IF(PVL7=0,0,IF(MAX($F9:PVK9)=$D12,0,PVK9+1))</f>
        <v>0</v>
      </c>
      <c r="PVM9" s="26">
        <f>IF(PVM7=0,0,IF(MAX($F9:PVL9)=$D12,0,PVL9+1))</f>
        <v>0</v>
      </c>
      <c r="PVN9" s="26">
        <f>IF(PVN7=0,0,IF(MAX($F9:PVM9)=$D12,0,PVM9+1))</f>
        <v>0</v>
      </c>
      <c r="PVO9" s="26">
        <f>IF(PVO7=0,0,IF(MAX($F9:PVN9)=$D12,0,PVN9+1))</f>
        <v>0</v>
      </c>
      <c r="PVP9" s="26">
        <f>IF(PVP7=0,0,IF(MAX($F9:PVO9)=$D12,0,PVO9+1))</f>
        <v>0</v>
      </c>
      <c r="PVQ9" s="26">
        <f>IF(PVQ7=0,0,IF(MAX($F9:PVP9)=$D12,0,PVP9+1))</f>
        <v>0</v>
      </c>
      <c r="PVR9" s="26">
        <f>IF(PVR7=0,0,IF(MAX($F9:PVQ9)=$D12,0,PVQ9+1))</f>
        <v>0</v>
      </c>
      <c r="PVS9" s="26">
        <f>IF(PVS7=0,0,IF(MAX($F9:PVR9)=$D12,0,PVR9+1))</f>
        <v>0</v>
      </c>
      <c r="PVT9" s="26">
        <f>IF(PVT7=0,0,IF(MAX($F9:PVS9)=$D12,0,PVS9+1))</f>
        <v>0</v>
      </c>
      <c r="PVU9" s="26">
        <f>IF(PVU7=0,0,IF(MAX($F9:PVT9)=$D12,0,PVT9+1))</f>
        <v>0</v>
      </c>
      <c r="PVV9" s="26">
        <f>IF(PVV7=0,0,IF(MAX($F9:PVU9)=$D12,0,PVU9+1))</f>
        <v>0</v>
      </c>
      <c r="PVW9" s="26">
        <f>IF(PVW7=0,0,IF(MAX($F9:PVV9)=$D12,0,PVV9+1))</f>
        <v>0</v>
      </c>
      <c r="PVX9" s="26">
        <f>IF(PVX7=0,0,IF(MAX($F9:PVW9)=$D12,0,PVW9+1))</f>
        <v>0</v>
      </c>
      <c r="PVY9" s="26">
        <f>IF(PVY7=0,0,IF(MAX($F9:PVX9)=$D12,0,PVX9+1))</f>
        <v>0</v>
      </c>
      <c r="PVZ9" s="26">
        <f>IF(PVZ7=0,0,IF(MAX($F9:PVY9)=$D12,0,PVY9+1))</f>
        <v>0</v>
      </c>
      <c r="PWA9" s="26">
        <f>IF(PWA7=0,0,IF(MAX($F9:PVZ9)=$D12,0,PVZ9+1))</f>
        <v>0</v>
      </c>
      <c r="PWB9" s="26">
        <f>IF(PWB7=0,0,IF(MAX($F9:PWA9)=$D12,0,PWA9+1))</f>
        <v>0</v>
      </c>
      <c r="PWC9" s="26">
        <f>IF(PWC7=0,0,IF(MAX($F9:PWB9)=$D12,0,PWB9+1))</f>
        <v>0</v>
      </c>
      <c r="PWD9" s="26">
        <f>IF(PWD7=0,0,IF(MAX($F9:PWC9)=$D12,0,PWC9+1))</f>
        <v>0</v>
      </c>
      <c r="PWE9" s="26">
        <f>IF(PWE7=0,0,IF(MAX($F9:PWD9)=$D12,0,PWD9+1))</f>
        <v>0</v>
      </c>
      <c r="PWF9" s="26">
        <f>IF(PWF7=0,0,IF(MAX($F9:PWE9)=$D12,0,PWE9+1))</f>
        <v>0</v>
      </c>
      <c r="PWG9" s="26">
        <f>IF(PWG7=0,0,IF(MAX($F9:PWF9)=$D12,0,PWF9+1))</f>
        <v>0</v>
      </c>
      <c r="PWH9" s="26">
        <f>IF(PWH7=0,0,IF(MAX($F9:PWG9)=$D12,0,PWG9+1))</f>
        <v>0</v>
      </c>
      <c r="PWI9" s="26">
        <f>IF(PWI7=0,0,IF(MAX($F9:PWH9)=$D12,0,PWH9+1))</f>
        <v>0</v>
      </c>
      <c r="PWJ9" s="26">
        <f>IF(PWJ7=0,0,IF(MAX($F9:PWI9)=$D12,0,PWI9+1))</f>
        <v>0</v>
      </c>
      <c r="PWK9" s="26">
        <f>IF(PWK7=0,0,IF(MAX($F9:PWJ9)=$D12,0,PWJ9+1))</f>
        <v>0</v>
      </c>
      <c r="PWL9" s="26">
        <f>IF(PWL7=0,0,IF(MAX($F9:PWK9)=$D12,0,PWK9+1))</f>
        <v>0</v>
      </c>
      <c r="PWM9" s="26">
        <f>IF(PWM7=0,0,IF(MAX($F9:PWL9)=$D12,0,PWL9+1))</f>
        <v>0</v>
      </c>
      <c r="PWN9" s="26">
        <f>IF(PWN7=0,0,IF(MAX($F9:PWM9)=$D12,0,PWM9+1))</f>
        <v>0</v>
      </c>
      <c r="PWO9" s="26">
        <f>IF(PWO7=0,0,IF(MAX($F9:PWN9)=$D12,0,PWN9+1))</f>
        <v>0</v>
      </c>
      <c r="PWP9" s="26">
        <f>IF(PWP7=0,0,IF(MAX($F9:PWO9)=$D12,0,PWO9+1))</f>
        <v>0</v>
      </c>
      <c r="PWQ9" s="26">
        <f>IF(PWQ7=0,0,IF(MAX($F9:PWP9)=$D12,0,PWP9+1))</f>
        <v>0</v>
      </c>
      <c r="PWR9" s="26">
        <f>IF(PWR7=0,0,IF(MAX($F9:PWQ9)=$D12,0,PWQ9+1))</f>
        <v>0</v>
      </c>
      <c r="PWS9" s="26">
        <f>IF(PWS7=0,0,IF(MAX($F9:PWR9)=$D12,0,PWR9+1))</f>
        <v>0</v>
      </c>
      <c r="PWT9" s="26">
        <f>IF(PWT7=0,0,IF(MAX($F9:PWS9)=$D12,0,PWS9+1))</f>
        <v>0</v>
      </c>
      <c r="PWU9" s="26">
        <f>IF(PWU7=0,0,IF(MAX($F9:PWT9)=$D12,0,PWT9+1))</f>
        <v>0</v>
      </c>
      <c r="PWV9" s="26">
        <f>IF(PWV7=0,0,IF(MAX($F9:PWU9)=$D12,0,PWU9+1))</f>
        <v>0</v>
      </c>
      <c r="PWW9" s="26">
        <f>IF(PWW7=0,0,IF(MAX($F9:PWV9)=$D12,0,PWV9+1))</f>
        <v>0</v>
      </c>
      <c r="PWX9" s="26">
        <f>IF(PWX7=0,0,IF(MAX($F9:PWW9)=$D12,0,PWW9+1))</f>
        <v>0</v>
      </c>
      <c r="PWY9" s="26">
        <f>IF(PWY7=0,0,IF(MAX($F9:PWX9)=$D12,0,PWX9+1))</f>
        <v>0</v>
      </c>
      <c r="PWZ9" s="26">
        <f>IF(PWZ7=0,0,IF(MAX($F9:PWY9)=$D12,0,PWY9+1))</f>
        <v>0</v>
      </c>
      <c r="PXA9" s="26">
        <f>IF(PXA7=0,0,IF(MAX($F9:PWZ9)=$D12,0,PWZ9+1))</f>
        <v>0</v>
      </c>
      <c r="PXB9" s="26">
        <f>IF(PXB7=0,0,IF(MAX($F9:PXA9)=$D12,0,PXA9+1))</f>
        <v>0</v>
      </c>
      <c r="PXC9" s="26">
        <f>IF(PXC7=0,0,IF(MAX($F9:PXB9)=$D12,0,PXB9+1))</f>
        <v>0</v>
      </c>
      <c r="PXD9" s="26">
        <f>IF(PXD7=0,0,IF(MAX($F9:PXC9)=$D12,0,PXC9+1))</f>
        <v>0</v>
      </c>
      <c r="PXE9" s="26">
        <f>IF(PXE7=0,0,IF(MAX($F9:PXD9)=$D12,0,PXD9+1))</f>
        <v>0</v>
      </c>
      <c r="PXF9" s="26">
        <f>IF(PXF7=0,0,IF(MAX($F9:PXE9)=$D12,0,PXE9+1))</f>
        <v>0</v>
      </c>
      <c r="PXG9" s="26">
        <f>IF(PXG7=0,0,IF(MAX($F9:PXF9)=$D12,0,PXF9+1))</f>
        <v>0</v>
      </c>
      <c r="PXH9" s="26">
        <f>IF(PXH7=0,0,IF(MAX($F9:PXG9)=$D12,0,PXG9+1))</f>
        <v>0</v>
      </c>
      <c r="PXI9" s="26">
        <f>IF(PXI7=0,0,IF(MAX($F9:PXH9)=$D12,0,PXH9+1))</f>
        <v>0</v>
      </c>
      <c r="PXJ9" s="26">
        <f>IF(PXJ7=0,0,IF(MAX($F9:PXI9)=$D12,0,PXI9+1))</f>
        <v>0</v>
      </c>
      <c r="PXK9" s="26">
        <f>IF(PXK7=0,0,IF(MAX($F9:PXJ9)=$D12,0,PXJ9+1))</f>
        <v>0</v>
      </c>
      <c r="PXL9" s="26">
        <f>IF(PXL7=0,0,IF(MAX($F9:PXK9)=$D12,0,PXK9+1))</f>
        <v>0</v>
      </c>
      <c r="PXM9" s="26">
        <f>IF(PXM7=0,0,IF(MAX($F9:PXL9)=$D12,0,PXL9+1))</f>
        <v>0</v>
      </c>
      <c r="PXN9" s="26">
        <f>IF(PXN7=0,0,IF(MAX($F9:PXM9)=$D12,0,PXM9+1))</f>
        <v>0</v>
      </c>
      <c r="PXO9" s="26">
        <f>IF(PXO7=0,0,IF(MAX($F9:PXN9)=$D12,0,PXN9+1))</f>
        <v>0</v>
      </c>
      <c r="PXP9" s="26">
        <f>IF(PXP7=0,0,IF(MAX($F9:PXO9)=$D12,0,PXO9+1))</f>
        <v>0</v>
      </c>
      <c r="PXQ9" s="26">
        <f>IF(PXQ7=0,0,IF(MAX($F9:PXP9)=$D12,0,PXP9+1))</f>
        <v>0</v>
      </c>
      <c r="PXR9" s="26">
        <f>IF(PXR7=0,0,IF(MAX($F9:PXQ9)=$D12,0,PXQ9+1))</f>
        <v>0</v>
      </c>
      <c r="PXS9" s="26">
        <f>IF(PXS7=0,0,IF(MAX($F9:PXR9)=$D12,0,PXR9+1))</f>
        <v>0</v>
      </c>
      <c r="PXT9" s="26">
        <f>IF(PXT7=0,0,IF(MAX($F9:PXS9)=$D12,0,PXS9+1))</f>
        <v>0</v>
      </c>
      <c r="PXU9" s="26">
        <f>IF(PXU7=0,0,IF(MAX($F9:PXT9)=$D12,0,PXT9+1))</f>
        <v>0</v>
      </c>
      <c r="PXV9" s="26">
        <f>IF(PXV7=0,0,IF(MAX($F9:PXU9)=$D12,0,PXU9+1))</f>
        <v>0</v>
      </c>
      <c r="PXW9" s="26">
        <f>IF(PXW7=0,0,IF(MAX($F9:PXV9)=$D12,0,PXV9+1))</f>
        <v>0</v>
      </c>
      <c r="PXX9" s="26">
        <f>IF(PXX7=0,0,IF(MAX($F9:PXW9)=$D12,0,PXW9+1))</f>
        <v>0</v>
      </c>
      <c r="PXY9" s="26">
        <f>IF(PXY7=0,0,IF(MAX($F9:PXX9)=$D12,0,PXX9+1))</f>
        <v>0</v>
      </c>
      <c r="PXZ9" s="26">
        <f>IF(PXZ7=0,0,IF(MAX($F9:PXY9)=$D12,0,PXY9+1))</f>
        <v>0</v>
      </c>
      <c r="PYA9" s="26">
        <f>IF(PYA7=0,0,IF(MAX($F9:PXZ9)=$D12,0,PXZ9+1))</f>
        <v>0</v>
      </c>
      <c r="PYB9" s="26">
        <f>IF(PYB7=0,0,IF(MAX($F9:PYA9)=$D12,0,PYA9+1))</f>
        <v>0</v>
      </c>
      <c r="PYC9" s="26">
        <f>IF(PYC7=0,0,IF(MAX($F9:PYB9)=$D12,0,PYB9+1))</f>
        <v>0</v>
      </c>
      <c r="PYD9" s="26">
        <f>IF(PYD7=0,0,IF(MAX($F9:PYC9)=$D12,0,PYC9+1))</f>
        <v>0</v>
      </c>
      <c r="PYE9" s="26">
        <f>IF(PYE7=0,0,IF(MAX($F9:PYD9)=$D12,0,PYD9+1))</f>
        <v>0</v>
      </c>
      <c r="PYF9" s="26">
        <f>IF(PYF7=0,0,IF(MAX($F9:PYE9)=$D12,0,PYE9+1))</f>
        <v>0</v>
      </c>
      <c r="PYG9" s="26">
        <f>IF(PYG7=0,0,IF(MAX($F9:PYF9)=$D12,0,PYF9+1))</f>
        <v>0</v>
      </c>
      <c r="PYH9" s="26">
        <f>IF(PYH7=0,0,IF(MAX($F9:PYG9)=$D12,0,PYG9+1))</f>
        <v>0</v>
      </c>
      <c r="PYI9" s="26">
        <f>IF(PYI7=0,0,IF(MAX($F9:PYH9)=$D12,0,PYH9+1))</f>
        <v>0</v>
      </c>
      <c r="PYJ9" s="26">
        <f>IF(PYJ7=0,0,IF(MAX($F9:PYI9)=$D12,0,PYI9+1))</f>
        <v>0</v>
      </c>
      <c r="PYK9" s="26">
        <f>IF(PYK7=0,0,IF(MAX($F9:PYJ9)=$D12,0,PYJ9+1))</f>
        <v>0</v>
      </c>
      <c r="PYL9" s="26">
        <f>IF(PYL7=0,0,IF(MAX($F9:PYK9)=$D12,0,PYK9+1))</f>
        <v>0</v>
      </c>
      <c r="PYM9" s="26">
        <f>IF(PYM7=0,0,IF(MAX($F9:PYL9)=$D12,0,PYL9+1))</f>
        <v>0</v>
      </c>
      <c r="PYN9" s="26">
        <f>IF(PYN7=0,0,IF(MAX($F9:PYM9)=$D12,0,PYM9+1))</f>
        <v>0</v>
      </c>
      <c r="PYO9" s="26">
        <f>IF(PYO7=0,0,IF(MAX($F9:PYN9)=$D12,0,PYN9+1))</f>
        <v>0</v>
      </c>
      <c r="PYP9" s="26">
        <f>IF(PYP7=0,0,IF(MAX($F9:PYO9)=$D12,0,PYO9+1))</f>
        <v>0</v>
      </c>
      <c r="PYQ9" s="26">
        <f>IF(PYQ7=0,0,IF(MAX($F9:PYP9)=$D12,0,PYP9+1))</f>
        <v>0</v>
      </c>
      <c r="PYR9" s="26">
        <f>IF(PYR7=0,0,IF(MAX($F9:PYQ9)=$D12,0,PYQ9+1))</f>
        <v>0</v>
      </c>
      <c r="PYS9" s="26">
        <f>IF(PYS7=0,0,IF(MAX($F9:PYR9)=$D12,0,PYR9+1))</f>
        <v>0</v>
      </c>
      <c r="PYT9" s="26">
        <f>IF(PYT7=0,0,IF(MAX($F9:PYS9)=$D12,0,PYS9+1))</f>
        <v>0</v>
      </c>
      <c r="PYU9" s="26">
        <f>IF(PYU7=0,0,IF(MAX($F9:PYT9)=$D12,0,PYT9+1))</f>
        <v>0</v>
      </c>
      <c r="PYV9" s="26">
        <f>IF(PYV7=0,0,IF(MAX($F9:PYU9)=$D12,0,PYU9+1))</f>
        <v>0</v>
      </c>
      <c r="PYW9" s="26">
        <f>IF(PYW7=0,0,IF(MAX($F9:PYV9)=$D12,0,PYV9+1))</f>
        <v>0</v>
      </c>
      <c r="PYX9" s="26">
        <f>IF(PYX7=0,0,IF(MAX($F9:PYW9)=$D12,0,PYW9+1))</f>
        <v>0</v>
      </c>
      <c r="PYY9" s="26">
        <f>IF(PYY7=0,0,IF(MAX($F9:PYX9)=$D12,0,PYX9+1))</f>
        <v>0</v>
      </c>
      <c r="PYZ9" s="26">
        <f>IF(PYZ7=0,0,IF(MAX($F9:PYY9)=$D12,0,PYY9+1))</f>
        <v>0</v>
      </c>
      <c r="PZA9" s="26">
        <f>IF(PZA7=0,0,IF(MAX($F9:PYZ9)=$D12,0,PYZ9+1))</f>
        <v>0</v>
      </c>
      <c r="PZB9" s="26">
        <f>IF(PZB7=0,0,IF(MAX($F9:PZA9)=$D12,0,PZA9+1))</f>
        <v>0</v>
      </c>
      <c r="PZC9" s="26">
        <f>IF(PZC7=0,0,IF(MAX($F9:PZB9)=$D12,0,PZB9+1))</f>
        <v>0</v>
      </c>
      <c r="PZD9" s="26">
        <f>IF(PZD7=0,0,IF(MAX($F9:PZC9)=$D12,0,PZC9+1))</f>
        <v>0</v>
      </c>
      <c r="PZE9" s="26">
        <f>IF(PZE7=0,0,IF(MAX($F9:PZD9)=$D12,0,PZD9+1))</f>
        <v>0</v>
      </c>
      <c r="PZF9" s="26">
        <f>IF(PZF7=0,0,IF(MAX($F9:PZE9)=$D12,0,PZE9+1))</f>
        <v>0</v>
      </c>
      <c r="PZG9" s="26">
        <f>IF(PZG7=0,0,IF(MAX($F9:PZF9)=$D12,0,PZF9+1))</f>
        <v>0</v>
      </c>
      <c r="PZH9" s="26">
        <f>IF(PZH7=0,0,IF(MAX($F9:PZG9)=$D12,0,PZG9+1))</f>
        <v>0</v>
      </c>
      <c r="PZI9" s="26">
        <f>IF(PZI7=0,0,IF(MAX($F9:PZH9)=$D12,0,PZH9+1))</f>
        <v>0</v>
      </c>
      <c r="PZJ9" s="26">
        <f>IF(PZJ7=0,0,IF(MAX($F9:PZI9)=$D12,0,PZI9+1))</f>
        <v>0</v>
      </c>
      <c r="PZK9" s="26">
        <f>IF(PZK7=0,0,IF(MAX($F9:PZJ9)=$D12,0,PZJ9+1))</f>
        <v>0</v>
      </c>
      <c r="PZL9" s="26">
        <f>IF(PZL7=0,0,IF(MAX($F9:PZK9)=$D12,0,PZK9+1))</f>
        <v>0</v>
      </c>
      <c r="PZM9" s="26">
        <f>IF(PZM7=0,0,IF(MAX($F9:PZL9)=$D12,0,PZL9+1))</f>
        <v>0</v>
      </c>
      <c r="PZN9" s="26">
        <f>IF(PZN7=0,0,IF(MAX($F9:PZM9)=$D12,0,PZM9+1))</f>
        <v>0</v>
      </c>
      <c r="PZO9" s="26">
        <f>IF(PZO7=0,0,IF(MAX($F9:PZN9)=$D12,0,PZN9+1))</f>
        <v>0</v>
      </c>
      <c r="PZP9" s="26">
        <f>IF(PZP7=0,0,IF(MAX($F9:PZO9)=$D12,0,PZO9+1))</f>
        <v>0</v>
      </c>
      <c r="PZQ9" s="26">
        <f>IF(PZQ7=0,0,IF(MAX($F9:PZP9)=$D12,0,PZP9+1))</f>
        <v>0</v>
      </c>
      <c r="PZR9" s="26">
        <f>IF(PZR7=0,0,IF(MAX($F9:PZQ9)=$D12,0,PZQ9+1))</f>
        <v>0</v>
      </c>
      <c r="PZS9" s="26">
        <f>IF(PZS7=0,0,IF(MAX($F9:PZR9)=$D12,0,PZR9+1))</f>
        <v>0</v>
      </c>
      <c r="PZT9" s="26">
        <f>IF(PZT7=0,0,IF(MAX($F9:PZS9)=$D12,0,PZS9+1))</f>
        <v>0</v>
      </c>
      <c r="PZU9" s="26">
        <f>IF(PZU7=0,0,IF(MAX($F9:PZT9)=$D12,0,PZT9+1))</f>
        <v>0</v>
      </c>
      <c r="PZV9" s="26">
        <f>IF(PZV7=0,0,IF(MAX($F9:PZU9)=$D12,0,PZU9+1))</f>
        <v>0</v>
      </c>
      <c r="PZW9" s="26">
        <f>IF(PZW7=0,0,IF(MAX($F9:PZV9)=$D12,0,PZV9+1))</f>
        <v>0</v>
      </c>
      <c r="PZX9" s="26">
        <f>IF(PZX7=0,0,IF(MAX($F9:PZW9)=$D12,0,PZW9+1))</f>
        <v>0</v>
      </c>
      <c r="PZY9" s="26">
        <f>IF(PZY7=0,0,IF(MAX($F9:PZX9)=$D12,0,PZX9+1))</f>
        <v>0</v>
      </c>
      <c r="PZZ9" s="26">
        <f>IF(PZZ7=0,0,IF(MAX($F9:PZY9)=$D12,0,PZY9+1))</f>
        <v>0</v>
      </c>
      <c r="QAA9" s="26">
        <f>IF(QAA7=0,0,IF(MAX($F9:PZZ9)=$D12,0,PZZ9+1))</f>
        <v>0</v>
      </c>
      <c r="QAB9" s="26">
        <f>IF(QAB7=0,0,IF(MAX($F9:QAA9)=$D12,0,QAA9+1))</f>
        <v>0</v>
      </c>
      <c r="QAC9" s="26">
        <f>IF(QAC7=0,0,IF(MAX($F9:QAB9)=$D12,0,QAB9+1))</f>
        <v>0</v>
      </c>
      <c r="QAD9" s="26">
        <f>IF(QAD7=0,0,IF(MAX($F9:QAC9)=$D12,0,QAC9+1))</f>
        <v>0</v>
      </c>
      <c r="QAE9" s="26">
        <f>IF(QAE7=0,0,IF(MAX($F9:QAD9)=$D12,0,QAD9+1))</f>
        <v>0</v>
      </c>
      <c r="QAF9" s="26">
        <f>IF(QAF7=0,0,IF(MAX($F9:QAE9)=$D12,0,QAE9+1))</f>
        <v>0</v>
      </c>
      <c r="QAG9" s="26">
        <f>IF(QAG7=0,0,IF(MAX($F9:QAF9)=$D12,0,QAF9+1))</f>
        <v>0</v>
      </c>
      <c r="QAH9" s="26">
        <f>IF(QAH7=0,0,IF(MAX($F9:QAG9)=$D12,0,QAG9+1))</f>
        <v>0</v>
      </c>
      <c r="QAI9" s="26">
        <f>IF(QAI7=0,0,IF(MAX($F9:QAH9)=$D12,0,QAH9+1))</f>
        <v>0</v>
      </c>
      <c r="QAJ9" s="26">
        <f>IF(QAJ7=0,0,IF(MAX($F9:QAI9)=$D12,0,QAI9+1))</f>
        <v>0</v>
      </c>
      <c r="QAK9" s="26">
        <f>IF(QAK7=0,0,IF(MAX($F9:QAJ9)=$D12,0,QAJ9+1))</f>
        <v>0</v>
      </c>
      <c r="QAL9" s="26">
        <f>IF(QAL7=0,0,IF(MAX($F9:QAK9)=$D12,0,QAK9+1))</f>
        <v>0</v>
      </c>
      <c r="QAM9" s="26">
        <f>IF(QAM7=0,0,IF(MAX($F9:QAL9)=$D12,0,QAL9+1))</f>
        <v>0</v>
      </c>
      <c r="QAN9" s="26">
        <f>IF(QAN7=0,0,IF(MAX($F9:QAM9)=$D12,0,QAM9+1))</f>
        <v>0</v>
      </c>
      <c r="QAO9" s="26">
        <f>IF(QAO7=0,0,IF(MAX($F9:QAN9)=$D12,0,QAN9+1))</f>
        <v>0</v>
      </c>
      <c r="QAP9" s="26">
        <f>IF(QAP7=0,0,IF(MAX($F9:QAO9)=$D12,0,QAO9+1))</f>
        <v>0</v>
      </c>
      <c r="QAQ9" s="26">
        <f>IF(QAQ7=0,0,IF(MAX($F9:QAP9)=$D12,0,QAP9+1))</f>
        <v>0</v>
      </c>
      <c r="QAR9" s="26">
        <f>IF(QAR7=0,0,IF(MAX($F9:QAQ9)=$D12,0,QAQ9+1))</f>
        <v>0</v>
      </c>
      <c r="QAS9" s="26">
        <f>IF(QAS7=0,0,IF(MAX($F9:QAR9)=$D12,0,QAR9+1))</f>
        <v>0</v>
      </c>
      <c r="QAT9" s="26">
        <f>IF(QAT7=0,0,IF(MAX($F9:QAS9)=$D12,0,QAS9+1))</f>
        <v>0</v>
      </c>
      <c r="QAU9" s="26">
        <f>IF(QAU7=0,0,IF(MAX($F9:QAT9)=$D12,0,QAT9+1))</f>
        <v>0</v>
      </c>
      <c r="QAV9" s="26">
        <f>IF(QAV7=0,0,IF(MAX($F9:QAU9)=$D12,0,QAU9+1))</f>
        <v>0</v>
      </c>
      <c r="QAW9" s="26">
        <f>IF(QAW7=0,0,IF(MAX($F9:QAV9)=$D12,0,QAV9+1))</f>
        <v>0</v>
      </c>
      <c r="QAX9" s="26">
        <f>IF(QAX7=0,0,IF(MAX($F9:QAW9)=$D12,0,QAW9+1))</f>
        <v>0</v>
      </c>
      <c r="QAY9" s="26">
        <f>IF(QAY7=0,0,IF(MAX($F9:QAX9)=$D12,0,QAX9+1))</f>
        <v>0</v>
      </c>
      <c r="QAZ9" s="26">
        <f>IF(QAZ7=0,0,IF(MAX($F9:QAY9)=$D12,0,QAY9+1))</f>
        <v>0</v>
      </c>
      <c r="QBA9" s="26">
        <f>IF(QBA7=0,0,IF(MAX($F9:QAZ9)=$D12,0,QAZ9+1))</f>
        <v>0</v>
      </c>
      <c r="QBB9" s="26">
        <f>IF(QBB7=0,0,IF(MAX($F9:QBA9)=$D12,0,QBA9+1))</f>
        <v>0</v>
      </c>
      <c r="QBC9" s="26">
        <f>IF(QBC7=0,0,IF(MAX($F9:QBB9)=$D12,0,QBB9+1))</f>
        <v>0</v>
      </c>
      <c r="QBD9" s="26">
        <f>IF(QBD7=0,0,IF(MAX($F9:QBC9)=$D12,0,QBC9+1))</f>
        <v>0</v>
      </c>
      <c r="QBE9" s="26">
        <f>IF(QBE7=0,0,IF(MAX($F9:QBD9)=$D12,0,QBD9+1))</f>
        <v>0</v>
      </c>
      <c r="QBF9" s="26">
        <f>IF(QBF7=0,0,IF(MAX($F9:QBE9)=$D12,0,QBE9+1))</f>
        <v>0</v>
      </c>
      <c r="QBG9" s="26">
        <f>IF(QBG7=0,0,IF(MAX($F9:QBF9)=$D12,0,QBF9+1))</f>
        <v>0</v>
      </c>
      <c r="QBH9" s="26">
        <f>IF(QBH7=0,0,IF(MAX($F9:QBG9)=$D12,0,QBG9+1))</f>
        <v>0</v>
      </c>
      <c r="QBI9" s="26">
        <f>IF(QBI7=0,0,IF(MAX($F9:QBH9)=$D12,0,QBH9+1))</f>
        <v>0</v>
      </c>
      <c r="QBJ9" s="26">
        <f>IF(QBJ7=0,0,IF(MAX($F9:QBI9)=$D12,0,QBI9+1))</f>
        <v>0</v>
      </c>
      <c r="QBK9" s="26">
        <f>IF(QBK7=0,0,IF(MAX($F9:QBJ9)=$D12,0,QBJ9+1))</f>
        <v>0</v>
      </c>
      <c r="QBL9" s="26">
        <f>IF(QBL7=0,0,IF(MAX($F9:QBK9)=$D12,0,QBK9+1))</f>
        <v>0</v>
      </c>
      <c r="QBM9" s="26">
        <f>IF(QBM7=0,0,IF(MAX($F9:QBL9)=$D12,0,QBL9+1))</f>
        <v>0</v>
      </c>
      <c r="QBN9" s="26">
        <f>IF(QBN7=0,0,IF(MAX($F9:QBM9)=$D12,0,QBM9+1))</f>
        <v>0</v>
      </c>
      <c r="QBO9" s="26">
        <f>IF(QBO7=0,0,IF(MAX($F9:QBN9)=$D12,0,QBN9+1))</f>
        <v>0</v>
      </c>
      <c r="QBP9" s="26">
        <f>IF(QBP7=0,0,IF(MAX($F9:QBO9)=$D12,0,QBO9+1))</f>
        <v>0</v>
      </c>
      <c r="QBQ9" s="26">
        <f>IF(QBQ7=0,0,IF(MAX($F9:QBP9)=$D12,0,QBP9+1))</f>
        <v>0</v>
      </c>
      <c r="QBR9" s="26">
        <f>IF(QBR7=0,0,IF(MAX($F9:QBQ9)=$D12,0,QBQ9+1))</f>
        <v>0</v>
      </c>
      <c r="QBS9" s="26">
        <f>IF(QBS7=0,0,IF(MAX($F9:QBR9)=$D12,0,QBR9+1))</f>
        <v>0</v>
      </c>
      <c r="QBT9" s="26">
        <f>IF(QBT7=0,0,IF(MAX($F9:QBS9)=$D12,0,QBS9+1))</f>
        <v>0</v>
      </c>
      <c r="QBU9" s="26">
        <f>IF(QBU7=0,0,IF(MAX($F9:QBT9)=$D12,0,QBT9+1))</f>
        <v>0</v>
      </c>
      <c r="QBV9" s="26">
        <f>IF(QBV7=0,0,IF(MAX($F9:QBU9)=$D12,0,QBU9+1))</f>
        <v>0</v>
      </c>
      <c r="QBW9" s="26">
        <f>IF(QBW7=0,0,IF(MAX($F9:QBV9)=$D12,0,QBV9+1))</f>
        <v>0</v>
      </c>
      <c r="QBX9" s="26">
        <f>IF(QBX7=0,0,IF(MAX($F9:QBW9)=$D12,0,QBW9+1))</f>
        <v>0</v>
      </c>
      <c r="QBY9" s="26">
        <f>IF(QBY7=0,0,IF(MAX($F9:QBX9)=$D12,0,QBX9+1))</f>
        <v>0</v>
      </c>
      <c r="QBZ9" s="26">
        <f>IF(QBZ7=0,0,IF(MAX($F9:QBY9)=$D12,0,QBY9+1))</f>
        <v>0</v>
      </c>
      <c r="QCA9" s="26">
        <f>IF(QCA7=0,0,IF(MAX($F9:QBZ9)=$D12,0,QBZ9+1))</f>
        <v>0</v>
      </c>
      <c r="QCB9" s="26">
        <f>IF(QCB7=0,0,IF(MAX($F9:QCA9)=$D12,0,QCA9+1))</f>
        <v>0</v>
      </c>
      <c r="QCC9" s="26">
        <f>IF(QCC7=0,0,IF(MAX($F9:QCB9)=$D12,0,QCB9+1))</f>
        <v>0</v>
      </c>
      <c r="QCD9" s="26">
        <f>IF(QCD7=0,0,IF(MAX($F9:QCC9)=$D12,0,QCC9+1))</f>
        <v>0</v>
      </c>
      <c r="QCE9" s="26">
        <f>IF(QCE7=0,0,IF(MAX($F9:QCD9)=$D12,0,QCD9+1))</f>
        <v>0</v>
      </c>
      <c r="QCF9" s="26">
        <f>IF(QCF7=0,0,IF(MAX($F9:QCE9)=$D12,0,QCE9+1))</f>
        <v>0</v>
      </c>
      <c r="QCG9" s="26">
        <f>IF(QCG7=0,0,IF(MAX($F9:QCF9)=$D12,0,QCF9+1))</f>
        <v>0</v>
      </c>
      <c r="QCH9" s="26">
        <f>IF(QCH7=0,0,IF(MAX($F9:QCG9)=$D12,0,QCG9+1))</f>
        <v>0</v>
      </c>
      <c r="QCI9" s="26">
        <f>IF(QCI7=0,0,IF(MAX($F9:QCH9)=$D12,0,QCH9+1))</f>
        <v>0</v>
      </c>
      <c r="QCJ9" s="26">
        <f>IF(QCJ7=0,0,IF(MAX($F9:QCI9)=$D12,0,QCI9+1))</f>
        <v>0</v>
      </c>
      <c r="QCK9" s="26">
        <f>IF(QCK7=0,0,IF(MAX($F9:QCJ9)=$D12,0,QCJ9+1))</f>
        <v>0</v>
      </c>
      <c r="QCL9" s="26">
        <f>IF(QCL7=0,0,IF(MAX($F9:QCK9)=$D12,0,QCK9+1))</f>
        <v>0</v>
      </c>
      <c r="QCM9" s="26">
        <f>IF(QCM7=0,0,IF(MAX($F9:QCL9)=$D12,0,QCL9+1))</f>
        <v>0</v>
      </c>
      <c r="QCN9" s="26">
        <f>IF(QCN7=0,0,IF(MAX($F9:QCM9)=$D12,0,QCM9+1))</f>
        <v>0</v>
      </c>
      <c r="QCO9" s="26">
        <f>IF(QCO7=0,0,IF(MAX($F9:QCN9)=$D12,0,QCN9+1))</f>
        <v>0</v>
      </c>
      <c r="QCP9" s="26">
        <f>IF(QCP7=0,0,IF(MAX($F9:QCO9)=$D12,0,QCO9+1))</f>
        <v>0</v>
      </c>
      <c r="QCQ9" s="26">
        <f>IF(QCQ7=0,0,IF(MAX($F9:QCP9)=$D12,0,QCP9+1))</f>
        <v>0</v>
      </c>
      <c r="QCR9" s="26">
        <f>IF(QCR7=0,0,IF(MAX($F9:QCQ9)=$D12,0,QCQ9+1))</f>
        <v>0</v>
      </c>
      <c r="QCS9" s="26">
        <f>IF(QCS7=0,0,IF(MAX($F9:QCR9)=$D12,0,QCR9+1))</f>
        <v>0</v>
      </c>
      <c r="QCT9" s="26">
        <f>IF(QCT7=0,0,IF(MAX($F9:QCS9)=$D12,0,QCS9+1))</f>
        <v>0</v>
      </c>
      <c r="QCU9" s="26">
        <f>IF(QCU7=0,0,IF(MAX($F9:QCT9)=$D12,0,QCT9+1))</f>
        <v>0</v>
      </c>
      <c r="QCV9" s="26">
        <f>IF(QCV7=0,0,IF(MAX($F9:QCU9)=$D12,0,QCU9+1))</f>
        <v>0</v>
      </c>
      <c r="QCW9" s="26">
        <f>IF(QCW7=0,0,IF(MAX($F9:QCV9)=$D12,0,QCV9+1))</f>
        <v>0</v>
      </c>
      <c r="QCX9" s="26">
        <f>IF(QCX7=0,0,IF(MAX($F9:QCW9)=$D12,0,QCW9+1))</f>
        <v>0</v>
      </c>
      <c r="QCY9" s="26">
        <f>IF(QCY7=0,0,IF(MAX($F9:QCX9)=$D12,0,QCX9+1))</f>
        <v>0</v>
      </c>
      <c r="QCZ9" s="26">
        <f>IF(QCZ7=0,0,IF(MAX($F9:QCY9)=$D12,0,QCY9+1))</f>
        <v>0</v>
      </c>
      <c r="QDA9" s="26">
        <f>IF(QDA7=0,0,IF(MAX($F9:QCZ9)=$D12,0,QCZ9+1))</f>
        <v>0</v>
      </c>
      <c r="QDB9" s="26">
        <f>IF(QDB7=0,0,IF(MAX($F9:QDA9)=$D12,0,QDA9+1))</f>
        <v>0</v>
      </c>
      <c r="QDC9" s="26">
        <f>IF(QDC7=0,0,IF(MAX($F9:QDB9)=$D12,0,QDB9+1))</f>
        <v>0</v>
      </c>
      <c r="QDD9" s="26">
        <f>IF(QDD7=0,0,IF(MAX($F9:QDC9)=$D12,0,QDC9+1))</f>
        <v>0</v>
      </c>
      <c r="QDE9" s="26">
        <f>IF(QDE7=0,0,IF(MAX($F9:QDD9)=$D12,0,QDD9+1))</f>
        <v>0</v>
      </c>
      <c r="QDF9" s="26">
        <f>IF(QDF7=0,0,IF(MAX($F9:QDE9)=$D12,0,QDE9+1))</f>
        <v>0</v>
      </c>
      <c r="QDG9" s="26">
        <f>IF(QDG7=0,0,IF(MAX($F9:QDF9)=$D12,0,QDF9+1))</f>
        <v>0</v>
      </c>
      <c r="QDH9" s="26">
        <f>IF(QDH7=0,0,IF(MAX($F9:QDG9)=$D12,0,QDG9+1))</f>
        <v>0</v>
      </c>
      <c r="QDI9" s="26">
        <f>IF(QDI7=0,0,IF(MAX($F9:QDH9)=$D12,0,QDH9+1))</f>
        <v>0</v>
      </c>
      <c r="QDJ9" s="26">
        <f>IF(QDJ7=0,0,IF(MAX($F9:QDI9)=$D12,0,QDI9+1))</f>
        <v>0</v>
      </c>
      <c r="QDK9" s="26">
        <f>IF(QDK7=0,0,IF(MAX($F9:QDJ9)=$D12,0,QDJ9+1))</f>
        <v>0</v>
      </c>
      <c r="QDL9" s="26">
        <f>IF(QDL7=0,0,IF(MAX($F9:QDK9)=$D12,0,QDK9+1))</f>
        <v>0</v>
      </c>
      <c r="QDM9" s="26">
        <f>IF(QDM7=0,0,IF(MAX($F9:QDL9)=$D12,0,QDL9+1))</f>
        <v>0</v>
      </c>
      <c r="QDN9" s="26">
        <f>IF(QDN7=0,0,IF(MAX($F9:QDM9)=$D12,0,QDM9+1))</f>
        <v>0</v>
      </c>
      <c r="QDO9" s="26">
        <f>IF(QDO7=0,0,IF(MAX($F9:QDN9)=$D12,0,QDN9+1))</f>
        <v>0</v>
      </c>
      <c r="QDP9" s="26">
        <f>IF(QDP7=0,0,IF(MAX($F9:QDO9)=$D12,0,QDO9+1))</f>
        <v>0</v>
      </c>
      <c r="QDQ9" s="26">
        <f>IF(QDQ7=0,0,IF(MAX($F9:QDP9)=$D12,0,QDP9+1))</f>
        <v>0</v>
      </c>
      <c r="QDR9" s="26">
        <f>IF(QDR7=0,0,IF(MAX($F9:QDQ9)=$D12,0,QDQ9+1))</f>
        <v>0</v>
      </c>
      <c r="QDS9" s="26">
        <f>IF(QDS7=0,0,IF(MAX($F9:QDR9)=$D12,0,QDR9+1))</f>
        <v>0</v>
      </c>
      <c r="QDT9" s="26">
        <f>IF(QDT7=0,0,IF(MAX($F9:QDS9)=$D12,0,QDS9+1))</f>
        <v>0</v>
      </c>
      <c r="QDU9" s="26">
        <f>IF(QDU7=0,0,IF(MAX($F9:QDT9)=$D12,0,QDT9+1))</f>
        <v>0</v>
      </c>
      <c r="QDV9" s="26">
        <f>IF(QDV7=0,0,IF(MAX($F9:QDU9)=$D12,0,QDU9+1))</f>
        <v>0</v>
      </c>
      <c r="QDW9" s="26">
        <f>IF(QDW7=0,0,IF(MAX($F9:QDV9)=$D12,0,QDV9+1))</f>
        <v>0</v>
      </c>
      <c r="QDX9" s="26">
        <f>IF(QDX7=0,0,IF(MAX($F9:QDW9)=$D12,0,QDW9+1))</f>
        <v>0</v>
      </c>
      <c r="QDY9" s="26">
        <f>IF(QDY7=0,0,IF(MAX($F9:QDX9)=$D12,0,QDX9+1))</f>
        <v>0</v>
      </c>
      <c r="QDZ9" s="26">
        <f>IF(QDZ7=0,0,IF(MAX($F9:QDY9)=$D12,0,QDY9+1))</f>
        <v>0</v>
      </c>
      <c r="QEA9" s="26">
        <f>IF(QEA7=0,0,IF(MAX($F9:QDZ9)=$D12,0,QDZ9+1))</f>
        <v>0</v>
      </c>
      <c r="QEB9" s="26">
        <f>IF(QEB7=0,0,IF(MAX($F9:QEA9)=$D12,0,QEA9+1))</f>
        <v>0</v>
      </c>
      <c r="QEC9" s="26">
        <f>IF(QEC7=0,0,IF(MAX($F9:QEB9)=$D12,0,QEB9+1))</f>
        <v>0</v>
      </c>
      <c r="QED9" s="26">
        <f>IF(QED7=0,0,IF(MAX($F9:QEC9)=$D12,0,QEC9+1))</f>
        <v>0</v>
      </c>
      <c r="QEE9" s="26">
        <f>IF(QEE7=0,0,IF(MAX($F9:QED9)=$D12,0,QED9+1))</f>
        <v>0</v>
      </c>
      <c r="QEF9" s="26">
        <f>IF(QEF7=0,0,IF(MAX($F9:QEE9)=$D12,0,QEE9+1))</f>
        <v>0</v>
      </c>
      <c r="QEG9" s="26">
        <f>IF(QEG7=0,0,IF(MAX($F9:QEF9)=$D12,0,QEF9+1))</f>
        <v>0</v>
      </c>
      <c r="QEH9" s="26">
        <f>IF(QEH7=0,0,IF(MAX($F9:QEG9)=$D12,0,QEG9+1))</f>
        <v>0</v>
      </c>
      <c r="QEI9" s="26">
        <f>IF(QEI7=0,0,IF(MAX($F9:QEH9)=$D12,0,QEH9+1))</f>
        <v>0</v>
      </c>
      <c r="QEJ9" s="26">
        <f>IF(QEJ7=0,0,IF(MAX($F9:QEI9)=$D12,0,QEI9+1))</f>
        <v>0</v>
      </c>
      <c r="QEK9" s="26">
        <f>IF(QEK7=0,0,IF(MAX($F9:QEJ9)=$D12,0,QEJ9+1))</f>
        <v>0</v>
      </c>
      <c r="QEL9" s="26">
        <f>IF(QEL7=0,0,IF(MAX($F9:QEK9)=$D12,0,QEK9+1))</f>
        <v>0</v>
      </c>
      <c r="QEM9" s="26">
        <f>IF(QEM7=0,0,IF(MAX($F9:QEL9)=$D12,0,QEL9+1))</f>
        <v>0</v>
      </c>
      <c r="QEN9" s="26">
        <f>IF(QEN7=0,0,IF(MAX($F9:QEM9)=$D12,0,QEM9+1))</f>
        <v>0</v>
      </c>
      <c r="QEO9" s="26">
        <f>IF(QEO7=0,0,IF(MAX($F9:QEN9)=$D12,0,QEN9+1))</f>
        <v>0</v>
      </c>
      <c r="QEP9" s="26">
        <f>IF(QEP7=0,0,IF(MAX($F9:QEO9)=$D12,0,QEO9+1))</f>
        <v>0</v>
      </c>
      <c r="QEQ9" s="26">
        <f>IF(QEQ7=0,0,IF(MAX($F9:QEP9)=$D12,0,QEP9+1))</f>
        <v>0</v>
      </c>
      <c r="QER9" s="26">
        <f>IF(QER7=0,0,IF(MAX($F9:QEQ9)=$D12,0,QEQ9+1))</f>
        <v>0</v>
      </c>
      <c r="QES9" s="26">
        <f>IF(QES7=0,0,IF(MAX($F9:QER9)=$D12,0,QER9+1))</f>
        <v>0</v>
      </c>
      <c r="QET9" s="26">
        <f>IF(QET7=0,0,IF(MAX($F9:QES9)=$D12,0,QES9+1))</f>
        <v>0</v>
      </c>
      <c r="QEU9" s="26">
        <f>IF(QEU7=0,0,IF(MAX($F9:QET9)=$D12,0,QET9+1))</f>
        <v>0</v>
      </c>
      <c r="QEV9" s="26">
        <f>IF(QEV7=0,0,IF(MAX($F9:QEU9)=$D12,0,QEU9+1))</f>
        <v>0</v>
      </c>
      <c r="QEW9" s="26">
        <f>IF(QEW7=0,0,IF(MAX($F9:QEV9)=$D12,0,QEV9+1))</f>
        <v>0</v>
      </c>
      <c r="QEX9" s="26">
        <f>IF(QEX7=0,0,IF(MAX($F9:QEW9)=$D12,0,QEW9+1))</f>
        <v>0</v>
      </c>
      <c r="QEY9" s="26">
        <f>IF(QEY7=0,0,IF(MAX($F9:QEX9)=$D12,0,QEX9+1))</f>
        <v>0</v>
      </c>
      <c r="QEZ9" s="26">
        <f>IF(QEZ7=0,0,IF(MAX($F9:QEY9)=$D12,0,QEY9+1))</f>
        <v>0</v>
      </c>
      <c r="QFA9" s="26">
        <f>IF(QFA7=0,0,IF(MAX($F9:QEZ9)=$D12,0,QEZ9+1))</f>
        <v>0</v>
      </c>
      <c r="QFB9" s="26">
        <f>IF(QFB7=0,0,IF(MAX($F9:QFA9)=$D12,0,QFA9+1))</f>
        <v>0</v>
      </c>
      <c r="QFC9" s="26">
        <f>IF(QFC7=0,0,IF(MAX($F9:QFB9)=$D12,0,QFB9+1))</f>
        <v>0</v>
      </c>
      <c r="QFD9" s="26">
        <f>IF(QFD7=0,0,IF(MAX($F9:QFC9)=$D12,0,QFC9+1))</f>
        <v>0</v>
      </c>
      <c r="QFE9" s="26">
        <f>IF(QFE7=0,0,IF(MAX($F9:QFD9)=$D12,0,QFD9+1))</f>
        <v>0</v>
      </c>
      <c r="QFF9" s="26">
        <f>IF(QFF7=0,0,IF(MAX($F9:QFE9)=$D12,0,QFE9+1))</f>
        <v>0</v>
      </c>
      <c r="QFG9" s="26">
        <f>IF(QFG7=0,0,IF(MAX($F9:QFF9)=$D12,0,QFF9+1))</f>
        <v>0</v>
      </c>
      <c r="QFH9" s="26">
        <f>IF(QFH7=0,0,IF(MAX($F9:QFG9)=$D12,0,QFG9+1))</f>
        <v>0</v>
      </c>
      <c r="QFI9" s="26">
        <f>IF(QFI7=0,0,IF(MAX($F9:QFH9)=$D12,0,QFH9+1))</f>
        <v>0</v>
      </c>
      <c r="QFJ9" s="26">
        <f>IF(QFJ7=0,0,IF(MAX($F9:QFI9)=$D12,0,QFI9+1))</f>
        <v>0</v>
      </c>
      <c r="QFK9" s="26">
        <f>IF(QFK7=0,0,IF(MAX($F9:QFJ9)=$D12,0,QFJ9+1))</f>
        <v>0</v>
      </c>
      <c r="QFL9" s="26">
        <f>IF(QFL7=0,0,IF(MAX($F9:QFK9)=$D12,0,QFK9+1))</f>
        <v>0</v>
      </c>
      <c r="QFM9" s="26">
        <f>IF(QFM7=0,0,IF(MAX($F9:QFL9)=$D12,0,QFL9+1))</f>
        <v>0</v>
      </c>
      <c r="QFN9" s="26">
        <f>IF(QFN7=0,0,IF(MAX($F9:QFM9)=$D12,0,QFM9+1))</f>
        <v>0</v>
      </c>
      <c r="QFO9" s="26">
        <f>IF(QFO7=0,0,IF(MAX($F9:QFN9)=$D12,0,QFN9+1))</f>
        <v>0</v>
      </c>
      <c r="QFP9" s="26">
        <f>IF(QFP7=0,0,IF(MAX($F9:QFO9)=$D12,0,QFO9+1))</f>
        <v>0</v>
      </c>
      <c r="QFQ9" s="26">
        <f>IF(QFQ7=0,0,IF(MAX($F9:QFP9)=$D12,0,QFP9+1))</f>
        <v>0</v>
      </c>
      <c r="QFR9" s="26">
        <f>IF(QFR7=0,0,IF(MAX($F9:QFQ9)=$D12,0,QFQ9+1))</f>
        <v>0</v>
      </c>
      <c r="QFS9" s="26">
        <f>IF(QFS7=0,0,IF(MAX($F9:QFR9)=$D12,0,QFR9+1))</f>
        <v>0</v>
      </c>
      <c r="QFT9" s="26">
        <f>IF(QFT7=0,0,IF(MAX($F9:QFS9)=$D12,0,QFS9+1))</f>
        <v>0</v>
      </c>
      <c r="QFU9" s="26">
        <f>IF(QFU7=0,0,IF(MAX($F9:QFT9)=$D12,0,QFT9+1))</f>
        <v>0</v>
      </c>
      <c r="QFV9" s="26">
        <f>IF(QFV7=0,0,IF(MAX($F9:QFU9)=$D12,0,QFU9+1))</f>
        <v>0</v>
      </c>
      <c r="QFW9" s="26">
        <f>IF(QFW7=0,0,IF(MAX($F9:QFV9)=$D12,0,QFV9+1))</f>
        <v>0</v>
      </c>
      <c r="QFX9" s="26">
        <f>IF(QFX7=0,0,IF(MAX($F9:QFW9)=$D12,0,QFW9+1))</f>
        <v>0</v>
      </c>
      <c r="QFY9" s="26">
        <f>IF(QFY7=0,0,IF(MAX($F9:QFX9)=$D12,0,QFX9+1))</f>
        <v>0</v>
      </c>
      <c r="QFZ9" s="26">
        <f>IF(QFZ7=0,0,IF(MAX($F9:QFY9)=$D12,0,QFY9+1))</f>
        <v>0</v>
      </c>
      <c r="QGA9" s="26">
        <f>IF(QGA7=0,0,IF(MAX($F9:QFZ9)=$D12,0,QFZ9+1))</f>
        <v>0</v>
      </c>
      <c r="QGB9" s="26">
        <f>IF(QGB7=0,0,IF(MAX($F9:QGA9)=$D12,0,QGA9+1))</f>
        <v>0</v>
      </c>
      <c r="QGC9" s="26">
        <f>IF(QGC7=0,0,IF(MAX($F9:QGB9)=$D12,0,QGB9+1))</f>
        <v>0</v>
      </c>
      <c r="QGD9" s="26">
        <f>IF(QGD7=0,0,IF(MAX($F9:QGC9)=$D12,0,QGC9+1))</f>
        <v>0</v>
      </c>
      <c r="QGE9" s="26">
        <f>IF(QGE7=0,0,IF(MAX($F9:QGD9)=$D12,0,QGD9+1))</f>
        <v>0</v>
      </c>
      <c r="QGF9" s="26">
        <f>IF(QGF7=0,0,IF(MAX($F9:QGE9)=$D12,0,QGE9+1))</f>
        <v>0</v>
      </c>
      <c r="QGG9" s="26">
        <f>IF(QGG7=0,0,IF(MAX($F9:QGF9)=$D12,0,QGF9+1))</f>
        <v>0</v>
      </c>
      <c r="QGH9" s="26">
        <f>IF(QGH7=0,0,IF(MAX($F9:QGG9)=$D12,0,QGG9+1))</f>
        <v>0</v>
      </c>
      <c r="QGI9" s="26">
        <f>IF(QGI7=0,0,IF(MAX($F9:QGH9)=$D12,0,QGH9+1))</f>
        <v>0</v>
      </c>
      <c r="QGJ9" s="26">
        <f>IF(QGJ7=0,0,IF(MAX($F9:QGI9)=$D12,0,QGI9+1))</f>
        <v>0</v>
      </c>
      <c r="QGK9" s="26">
        <f>IF(QGK7=0,0,IF(MAX($F9:QGJ9)=$D12,0,QGJ9+1))</f>
        <v>0</v>
      </c>
      <c r="QGL9" s="26">
        <f>IF(QGL7=0,0,IF(MAX($F9:QGK9)=$D12,0,QGK9+1))</f>
        <v>0</v>
      </c>
      <c r="QGM9" s="26">
        <f>IF(QGM7=0,0,IF(MAX($F9:QGL9)=$D12,0,QGL9+1))</f>
        <v>0</v>
      </c>
      <c r="QGN9" s="26">
        <f>IF(QGN7=0,0,IF(MAX($F9:QGM9)=$D12,0,QGM9+1))</f>
        <v>0</v>
      </c>
      <c r="QGO9" s="26">
        <f>IF(QGO7=0,0,IF(MAX($F9:QGN9)=$D12,0,QGN9+1))</f>
        <v>0</v>
      </c>
      <c r="QGP9" s="26">
        <f>IF(QGP7=0,0,IF(MAX($F9:QGO9)=$D12,0,QGO9+1))</f>
        <v>0</v>
      </c>
      <c r="QGQ9" s="26">
        <f>IF(QGQ7=0,0,IF(MAX($F9:QGP9)=$D12,0,QGP9+1))</f>
        <v>0</v>
      </c>
      <c r="QGR9" s="26">
        <f>IF(QGR7=0,0,IF(MAX($F9:QGQ9)=$D12,0,QGQ9+1))</f>
        <v>0</v>
      </c>
      <c r="QGS9" s="26">
        <f>IF(QGS7=0,0,IF(MAX($F9:QGR9)=$D12,0,QGR9+1))</f>
        <v>0</v>
      </c>
      <c r="QGT9" s="26">
        <f>IF(QGT7=0,0,IF(MAX($F9:QGS9)=$D12,0,QGS9+1))</f>
        <v>0</v>
      </c>
      <c r="QGU9" s="26">
        <f>IF(QGU7=0,0,IF(MAX($F9:QGT9)=$D12,0,QGT9+1))</f>
        <v>0</v>
      </c>
      <c r="QGV9" s="26">
        <f>IF(QGV7=0,0,IF(MAX($F9:QGU9)=$D12,0,QGU9+1))</f>
        <v>0</v>
      </c>
      <c r="QGW9" s="26">
        <f>IF(QGW7=0,0,IF(MAX($F9:QGV9)=$D12,0,QGV9+1))</f>
        <v>0</v>
      </c>
      <c r="QGX9" s="26">
        <f>IF(QGX7=0,0,IF(MAX($F9:QGW9)=$D12,0,QGW9+1))</f>
        <v>0</v>
      </c>
      <c r="QGY9" s="26">
        <f>IF(QGY7=0,0,IF(MAX($F9:QGX9)=$D12,0,QGX9+1))</f>
        <v>0</v>
      </c>
      <c r="QGZ9" s="26">
        <f>IF(QGZ7=0,0,IF(MAX($F9:QGY9)=$D12,0,QGY9+1))</f>
        <v>0</v>
      </c>
      <c r="QHA9" s="26">
        <f>IF(QHA7=0,0,IF(MAX($F9:QGZ9)=$D12,0,QGZ9+1))</f>
        <v>0</v>
      </c>
      <c r="QHB9" s="26">
        <f>IF(QHB7=0,0,IF(MAX($F9:QHA9)=$D12,0,QHA9+1))</f>
        <v>0</v>
      </c>
      <c r="QHC9" s="26">
        <f>IF(QHC7=0,0,IF(MAX($F9:QHB9)=$D12,0,QHB9+1))</f>
        <v>0</v>
      </c>
      <c r="QHD9" s="26">
        <f>IF(QHD7=0,0,IF(MAX($F9:QHC9)=$D12,0,QHC9+1))</f>
        <v>0</v>
      </c>
      <c r="QHE9" s="26">
        <f>IF(QHE7=0,0,IF(MAX($F9:QHD9)=$D12,0,QHD9+1))</f>
        <v>0</v>
      </c>
      <c r="QHF9" s="26">
        <f>IF(QHF7=0,0,IF(MAX($F9:QHE9)=$D12,0,QHE9+1))</f>
        <v>0</v>
      </c>
      <c r="QHG9" s="26">
        <f>IF(QHG7=0,0,IF(MAX($F9:QHF9)=$D12,0,QHF9+1))</f>
        <v>0</v>
      </c>
      <c r="QHH9" s="26">
        <f>IF(QHH7=0,0,IF(MAX($F9:QHG9)=$D12,0,QHG9+1))</f>
        <v>0</v>
      </c>
      <c r="QHI9" s="26">
        <f>IF(QHI7=0,0,IF(MAX($F9:QHH9)=$D12,0,QHH9+1))</f>
        <v>0</v>
      </c>
      <c r="QHJ9" s="26">
        <f>IF(QHJ7=0,0,IF(MAX($F9:QHI9)=$D12,0,QHI9+1))</f>
        <v>0</v>
      </c>
      <c r="QHK9" s="26">
        <f>IF(QHK7=0,0,IF(MAX($F9:QHJ9)=$D12,0,QHJ9+1))</f>
        <v>0</v>
      </c>
      <c r="QHL9" s="26">
        <f>IF(QHL7=0,0,IF(MAX($F9:QHK9)=$D12,0,QHK9+1))</f>
        <v>0</v>
      </c>
      <c r="QHM9" s="26">
        <f>IF(QHM7=0,0,IF(MAX($F9:QHL9)=$D12,0,QHL9+1))</f>
        <v>0</v>
      </c>
      <c r="QHN9" s="26">
        <f>IF(QHN7=0,0,IF(MAX($F9:QHM9)=$D12,0,QHM9+1))</f>
        <v>0</v>
      </c>
      <c r="QHO9" s="26">
        <f>IF(QHO7=0,0,IF(MAX($F9:QHN9)=$D12,0,QHN9+1))</f>
        <v>0</v>
      </c>
      <c r="QHP9" s="26">
        <f>IF(QHP7=0,0,IF(MAX($F9:QHO9)=$D12,0,QHO9+1))</f>
        <v>0</v>
      </c>
      <c r="QHQ9" s="26">
        <f>IF(QHQ7=0,0,IF(MAX($F9:QHP9)=$D12,0,QHP9+1))</f>
        <v>0</v>
      </c>
      <c r="QHR9" s="26">
        <f>IF(QHR7=0,0,IF(MAX($F9:QHQ9)=$D12,0,QHQ9+1))</f>
        <v>0</v>
      </c>
      <c r="QHS9" s="26">
        <f>IF(QHS7=0,0,IF(MAX($F9:QHR9)=$D12,0,QHR9+1))</f>
        <v>0</v>
      </c>
      <c r="QHT9" s="26">
        <f>IF(QHT7=0,0,IF(MAX($F9:QHS9)=$D12,0,QHS9+1))</f>
        <v>0</v>
      </c>
      <c r="QHU9" s="26">
        <f>IF(QHU7=0,0,IF(MAX($F9:QHT9)=$D12,0,QHT9+1))</f>
        <v>0</v>
      </c>
      <c r="QHV9" s="26">
        <f>IF(QHV7=0,0,IF(MAX($F9:QHU9)=$D12,0,QHU9+1))</f>
        <v>0</v>
      </c>
      <c r="QHW9" s="26">
        <f>IF(QHW7=0,0,IF(MAX($F9:QHV9)=$D12,0,QHV9+1))</f>
        <v>0</v>
      </c>
      <c r="QHX9" s="26">
        <f>IF(QHX7=0,0,IF(MAX($F9:QHW9)=$D12,0,QHW9+1))</f>
        <v>0</v>
      </c>
      <c r="QHY9" s="26">
        <f>IF(QHY7=0,0,IF(MAX($F9:QHX9)=$D12,0,QHX9+1))</f>
        <v>0</v>
      </c>
      <c r="QHZ9" s="26">
        <f>IF(QHZ7=0,0,IF(MAX($F9:QHY9)=$D12,0,QHY9+1))</f>
        <v>0</v>
      </c>
      <c r="QIA9" s="26">
        <f>IF(QIA7=0,0,IF(MAX($F9:QHZ9)=$D12,0,QHZ9+1))</f>
        <v>0</v>
      </c>
      <c r="QIB9" s="26">
        <f>IF(QIB7=0,0,IF(MAX($F9:QIA9)=$D12,0,QIA9+1))</f>
        <v>0</v>
      </c>
      <c r="QIC9" s="26">
        <f>IF(QIC7=0,0,IF(MAX($F9:QIB9)=$D12,0,QIB9+1))</f>
        <v>0</v>
      </c>
      <c r="QID9" s="26">
        <f>IF(QID7=0,0,IF(MAX($F9:QIC9)=$D12,0,QIC9+1))</f>
        <v>0</v>
      </c>
      <c r="QIE9" s="26">
        <f>IF(QIE7=0,0,IF(MAX($F9:QID9)=$D12,0,QID9+1))</f>
        <v>0</v>
      </c>
      <c r="QIF9" s="26">
        <f>IF(QIF7=0,0,IF(MAX($F9:QIE9)=$D12,0,QIE9+1))</f>
        <v>0</v>
      </c>
      <c r="QIG9" s="26">
        <f>IF(QIG7=0,0,IF(MAX($F9:QIF9)=$D12,0,QIF9+1))</f>
        <v>0</v>
      </c>
      <c r="QIH9" s="26">
        <f>IF(QIH7=0,0,IF(MAX($F9:QIG9)=$D12,0,QIG9+1))</f>
        <v>0</v>
      </c>
      <c r="QII9" s="26">
        <f>IF(QII7=0,0,IF(MAX($F9:QIH9)=$D12,0,QIH9+1))</f>
        <v>0</v>
      </c>
      <c r="QIJ9" s="26">
        <f>IF(QIJ7=0,0,IF(MAX($F9:QII9)=$D12,0,QII9+1))</f>
        <v>0</v>
      </c>
      <c r="QIK9" s="26">
        <f>IF(QIK7=0,0,IF(MAX($F9:QIJ9)=$D12,0,QIJ9+1))</f>
        <v>0</v>
      </c>
      <c r="QIL9" s="26">
        <f>IF(QIL7=0,0,IF(MAX($F9:QIK9)=$D12,0,QIK9+1))</f>
        <v>0</v>
      </c>
      <c r="QIM9" s="26">
        <f>IF(QIM7=0,0,IF(MAX($F9:QIL9)=$D12,0,QIL9+1))</f>
        <v>0</v>
      </c>
      <c r="QIN9" s="26">
        <f>IF(QIN7=0,0,IF(MAX($F9:QIM9)=$D12,0,QIM9+1))</f>
        <v>0</v>
      </c>
      <c r="QIO9" s="26">
        <f>IF(QIO7=0,0,IF(MAX($F9:QIN9)=$D12,0,QIN9+1))</f>
        <v>0</v>
      </c>
      <c r="QIP9" s="26">
        <f>IF(QIP7=0,0,IF(MAX($F9:QIO9)=$D12,0,QIO9+1))</f>
        <v>0</v>
      </c>
      <c r="QIQ9" s="26">
        <f>IF(QIQ7=0,0,IF(MAX($F9:QIP9)=$D12,0,QIP9+1))</f>
        <v>0</v>
      </c>
      <c r="QIR9" s="26">
        <f>IF(QIR7=0,0,IF(MAX($F9:QIQ9)=$D12,0,QIQ9+1))</f>
        <v>0</v>
      </c>
      <c r="QIS9" s="26">
        <f>IF(QIS7=0,0,IF(MAX($F9:QIR9)=$D12,0,QIR9+1))</f>
        <v>0</v>
      </c>
      <c r="QIT9" s="26">
        <f>IF(QIT7=0,0,IF(MAX($F9:QIS9)=$D12,0,QIS9+1))</f>
        <v>0</v>
      </c>
      <c r="QIU9" s="26">
        <f>IF(QIU7=0,0,IF(MAX($F9:QIT9)=$D12,0,QIT9+1))</f>
        <v>0</v>
      </c>
      <c r="QIV9" s="26">
        <f>IF(QIV7=0,0,IF(MAX($F9:QIU9)=$D12,0,QIU9+1))</f>
        <v>0</v>
      </c>
      <c r="QIW9" s="26">
        <f>IF(QIW7=0,0,IF(MAX($F9:QIV9)=$D12,0,QIV9+1))</f>
        <v>0</v>
      </c>
      <c r="QIX9" s="26">
        <f>IF(QIX7=0,0,IF(MAX($F9:QIW9)=$D12,0,QIW9+1))</f>
        <v>0</v>
      </c>
      <c r="QIY9" s="26">
        <f>IF(QIY7=0,0,IF(MAX($F9:QIX9)=$D12,0,QIX9+1))</f>
        <v>0</v>
      </c>
      <c r="QIZ9" s="26">
        <f>IF(QIZ7=0,0,IF(MAX($F9:QIY9)=$D12,0,QIY9+1))</f>
        <v>0</v>
      </c>
      <c r="QJA9" s="26">
        <f>IF(QJA7=0,0,IF(MAX($F9:QIZ9)=$D12,0,QIZ9+1))</f>
        <v>0</v>
      </c>
      <c r="QJB9" s="26">
        <f>IF(QJB7=0,0,IF(MAX($F9:QJA9)=$D12,0,QJA9+1))</f>
        <v>0</v>
      </c>
      <c r="QJC9" s="26">
        <f>IF(QJC7=0,0,IF(MAX($F9:QJB9)=$D12,0,QJB9+1))</f>
        <v>0</v>
      </c>
      <c r="QJD9" s="26">
        <f>IF(QJD7=0,0,IF(MAX($F9:QJC9)=$D12,0,QJC9+1))</f>
        <v>0</v>
      </c>
      <c r="QJE9" s="26">
        <f>IF(QJE7=0,0,IF(MAX($F9:QJD9)=$D12,0,QJD9+1))</f>
        <v>0</v>
      </c>
      <c r="QJF9" s="26">
        <f>IF(QJF7=0,0,IF(MAX($F9:QJE9)=$D12,0,QJE9+1))</f>
        <v>0</v>
      </c>
      <c r="QJG9" s="26">
        <f>IF(QJG7=0,0,IF(MAX($F9:QJF9)=$D12,0,QJF9+1))</f>
        <v>0</v>
      </c>
      <c r="QJH9" s="26">
        <f>IF(QJH7=0,0,IF(MAX($F9:QJG9)=$D12,0,QJG9+1))</f>
        <v>0</v>
      </c>
      <c r="QJI9" s="26">
        <f>IF(QJI7=0,0,IF(MAX($F9:QJH9)=$D12,0,QJH9+1))</f>
        <v>0</v>
      </c>
      <c r="QJJ9" s="26">
        <f>IF(QJJ7=0,0,IF(MAX($F9:QJI9)=$D12,0,QJI9+1))</f>
        <v>0</v>
      </c>
      <c r="QJK9" s="26">
        <f>IF(QJK7=0,0,IF(MAX($F9:QJJ9)=$D12,0,QJJ9+1))</f>
        <v>0</v>
      </c>
      <c r="QJL9" s="26">
        <f>IF(QJL7=0,0,IF(MAX($F9:QJK9)=$D12,0,QJK9+1))</f>
        <v>0</v>
      </c>
      <c r="QJM9" s="26">
        <f>IF(QJM7=0,0,IF(MAX($F9:QJL9)=$D12,0,QJL9+1))</f>
        <v>0</v>
      </c>
      <c r="QJN9" s="26">
        <f>IF(QJN7=0,0,IF(MAX($F9:QJM9)=$D12,0,QJM9+1))</f>
        <v>0</v>
      </c>
      <c r="QJO9" s="26">
        <f>IF(QJO7=0,0,IF(MAX($F9:QJN9)=$D12,0,QJN9+1))</f>
        <v>0</v>
      </c>
      <c r="QJP9" s="26">
        <f>IF(QJP7=0,0,IF(MAX($F9:QJO9)=$D12,0,QJO9+1))</f>
        <v>0</v>
      </c>
      <c r="QJQ9" s="26">
        <f>IF(QJQ7=0,0,IF(MAX($F9:QJP9)=$D12,0,QJP9+1))</f>
        <v>0</v>
      </c>
      <c r="QJR9" s="26">
        <f>IF(QJR7=0,0,IF(MAX($F9:QJQ9)=$D12,0,QJQ9+1))</f>
        <v>0</v>
      </c>
      <c r="QJS9" s="26">
        <f>IF(QJS7=0,0,IF(MAX($F9:QJR9)=$D12,0,QJR9+1))</f>
        <v>0</v>
      </c>
      <c r="QJT9" s="26">
        <f>IF(QJT7=0,0,IF(MAX($F9:QJS9)=$D12,0,QJS9+1))</f>
        <v>0</v>
      </c>
      <c r="QJU9" s="26">
        <f>IF(QJU7=0,0,IF(MAX($F9:QJT9)=$D12,0,QJT9+1))</f>
        <v>0</v>
      </c>
      <c r="QJV9" s="26">
        <f>IF(QJV7=0,0,IF(MAX($F9:QJU9)=$D12,0,QJU9+1))</f>
        <v>0</v>
      </c>
      <c r="QJW9" s="26">
        <f>IF(QJW7=0,0,IF(MAX($F9:QJV9)=$D12,0,QJV9+1))</f>
        <v>0</v>
      </c>
      <c r="QJX9" s="26">
        <f>IF(QJX7=0,0,IF(MAX($F9:QJW9)=$D12,0,QJW9+1))</f>
        <v>0</v>
      </c>
      <c r="QJY9" s="26">
        <f>IF(QJY7=0,0,IF(MAX($F9:QJX9)=$D12,0,QJX9+1))</f>
        <v>0</v>
      </c>
      <c r="QJZ9" s="26">
        <f>IF(QJZ7=0,0,IF(MAX($F9:QJY9)=$D12,0,QJY9+1))</f>
        <v>0</v>
      </c>
      <c r="QKA9" s="26">
        <f>IF(QKA7=0,0,IF(MAX($F9:QJZ9)=$D12,0,QJZ9+1))</f>
        <v>0</v>
      </c>
      <c r="QKB9" s="26">
        <f>IF(QKB7=0,0,IF(MAX($F9:QKA9)=$D12,0,QKA9+1))</f>
        <v>0</v>
      </c>
      <c r="QKC9" s="26">
        <f>IF(QKC7=0,0,IF(MAX($F9:QKB9)=$D12,0,QKB9+1))</f>
        <v>0</v>
      </c>
      <c r="QKD9" s="26">
        <f>IF(QKD7=0,0,IF(MAX($F9:QKC9)=$D12,0,QKC9+1))</f>
        <v>0</v>
      </c>
      <c r="QKE9" s="26">
        <f>IF(QKE7=0,0,IF(MAX($F9:QKD9)=$D12,0,QKD9+1))</f>
        <v>0</v>
      </c>
      <c r="QKF9" s="26">
        <f>IF(QKF7=0,0,IF(MAX($F9:QKE9)=$D12,0,QKE9+1))</f>
        <v>0</v>
      </c>
      <c r="QKG9" s="26">
        <f>IF(QKG7=0,0,IF(MAX($F9:QKF9)=$D12,0,QKF9+1))</f>
        <v>0</v>
      </c>
      <c r="QKH9" s="26">
        <f>IF(QKH7=0,0,IF(MAX($F9:QKG9)=$D12,0,QKG9+1))</f>
        <v>0</v>
      </c>
      <c r="QKI9" s="26">
        <f>IF(QKI7=0,0,IF(MAX($F9:QKH9)=$D12,0,QKH9+1))</f>
        <v>0</v>
      </c>
      <c r="QKJ9" s="26">
        <f>IF(QKJ7=0,0,IF(MAX($F9:QKI9)=$D12,0,QKI9+1))</f>
        <v>0</v>
      </c>
      <c r="QKK9" s="26">
        <f>IF(QKK7=0,0,IF(MAX($F9:QKJ9)=$D12,0,QKJ9+1))</f>
        <v>0</v>
      </c>
      <c r="QKL9" s="26">
        <f>IF(QKL7=0,0,IF(MAX($F9:QKK9)=$D12,0,QKK9+1))</f>
        <v>0</v>
      </c>
      <c r="QKM9" s="26">
        <f>IF(QKM7=0,0,IF(MAX($F9:QKL9)=$D12,0,QKL9+1))</f>
        <v>0</v>
      </c>
      <c r="QKN9" s="26">
        <f>IF(QKN7=0,0,IF(MAX($F9:QKM9)=$D12,0,QKM9+1))</f>
        <v>0</v>
      </c>
      <c r="QKO9" s="26">
        <f>IF(QKO7=0,0,IF(MAX($F9:QKN9)=$D12,0,QKN9+1))</f>
        <v>0</v>
      </c>
      <c r="QKP9" s="26">
        <f>IF(QKP7=0,0,IF(MAX($F9:QKO9)=$D12,0,QKO9+1))</f>
        <v>0</v>
      </c>
      <c r="QKQ9" s="26">
        <f>IF(QKQ7=0,0,IF(MAX($F9:QKP9)=$D12,0,QKP9+1))</f>
        <v>0</v>
      </c>
      <c r="QKR9" s="26">
        <f>IF(QKR7=0,0,IF(MAX($F9:QKQ9)=$D12,0,QKQ9+1))</f>
        <v>0</v>
      </c>
      <c r="QKS9" s="26">
        <f>IF(QKS7=0,0,IF(MAX($F9:QKR9)=$D12,0,QKR9+1))</f>
        <v>0</v>
      </c>
      <c r="QKT9" s="26">
        <f>IF(QKT7=0,0,IF(MAX($F9:QKS9)=$D12,0,QKS9+1))</f>
        <v>0</v>
      </c>
      <c r="QKU9" s="26">
        <f>IF(QKU7=0,0,IF(MAX($F9:QKT9)=$D12,0,QKT9+1))</f>
        <v>0</v>
      </c>
      <c r="QKV9" s="26">
        <f>IF(QKV7=0,0,IF(MAX($F9:QKU9)=$D12,0,QKU9+1))</f>
        <v>0</v>
      </c>
      <c r="QKW9" s="26">
        <f>IF(QKW7=0,0,IF(MAX($F9:QKV9)=$D12,0,QKV9+1))</f>
        <v>0</v>
      </c>
      <c r="QKX9" s="26">
        <f>IF(QKX7=0,0,IF(MAX($F9:QKW9)=$D12,0,QKW9+1))</f>
        <v>0</v>
      </c>
      <c r="QKY9" s="26">
        <f>IF(QKY7=0,0,IF(MAX($F9:QKX9)=$D12,0,QKX9+1))</f>
        <v>0</v>
      </c>
      <c r="QKZ9" s="26">
        <f>IF(QKZ7=0,0,IF(MAX($F9:QKY9)=$D12,0,QKY9+1))</f>
        <v>0</v>
      </c>
      <c r="QLA9" s="26">
        <f>IF(QLA7=0,0,IF(MAX($F9:QKZ9)=$D12,0,QKZ9+1))</f>
        <v>0</v>
      </c>
      <c r="QLB9" s="26">
        <f>IF(QLB7=0,0,IF(MAX($F9:QLA9)=$D12,0,QLA9+1))</f>
        <v>0</v>
      </c>
      <c r="QLC9" s="26">
        <f>IF(QLC7=0,0,IF(MAX($F9:QLB9)=$D12,0,QLB9+1))</f>
        <v>0</v>
      </c>
      <c r="QLD9" s="26">
        <f>IF(QLD7=0,0,IF(MAX($F9:QLC9)=$D12,0,QLC9+1))</f>
        <v>0</v>
      </c>
      <c r="QLE9" s="26">
        <f>IF(QLE7=0,0,IF(MAX($F9:QLD9)=$D12,0,QLD9+1))</f>
        <v>0</v>
      </c>
      <c r="QLF9" s="26">
        <f>IF(QLF7=0,0,IF(MAX($F9:QLE9)=$D12,0,QLE9+1))</f>
        <v>0</v>
      </c>
      <c r="QLG9" s="26">
        <f>IF(QLG7=0,0,IF(MAX($F9:QLF9)=$D12,0,QLF9+1))</f>
        <v>0</v>
      </c>
      <c r="QLH9" s="26">
        <f>IF(QLH7=0,0,IF(MAX($F9:QLG9)=$D12,0,QLG9+1))</f>
        <v>0</v>
      </c>
      <c r="QLI9" s="26">
        <f>IF(QLI7=0,0,IF(MAX($F9:QLH9)=$D12,0,QLH9+1))</f>
        <v>0</v>
      </c>
      <c r="QLJ9" s="26">
        <f>IF(QLJ7=0,0,IF(MAX($F9:QLI9)=$D12,0,QLI9+1))</f>
        <v>0</v>
      </c>
      <c r="QLK9" s="26">
        <f>IF(QLK7=0,0,IF(MAX($F9:QLJ9)=$D12,0,QLJ9+1))</f>
        <v>0</v>
      </c>
      <c r="QLL9" s="26">
        <f>IF(QLL7=0,0,IF(MAX($F9:QLK9)=$D12,0,QLK9+1))</f>
        <v>0</v>
      </c>
      <c r="QLM9" s="26">
        <f>IF(QLM7=0,0,IF(MAX($F9:QLL9)=$D12,0,QLL9+1))</f>
        <v>0</v>
      </c>
      <c r="QLN9" s="26">
        <f>IF(QLN7=0,0,IF(MAX($F9:QLM9)=$D12,0,QLM9+1))</f>
        <v>0</v>
      </c>
      <c r="QLO9" s="26">
        <f>IF(QLO7=0,0,IF(MAX($F9:QLN9)=$D12,0,QLN9+1))</f>
        <v>0</v>
      </c>
      <c r="QLP9" s="26">
        <f>IF(QLP7=0,0,IF(MAX($F9:QLO9)=$D12,0,QLO9+1))</f>
        <v>0</v>
      </c>
      <c r="QLQ9" s="26">
        <f>IF(QLQ7=0,0,IF(MAX($F9:QLP9)=$D12,0,QLP9+1))</f>
        <v>0</v>
      </c>
      <c r="QLR9" s="26">
        <f>IF(QLR7=0,0,IF(MAX($F9:QLQ9)=$D12,0,QLQ9+1))</f>
        <v>0</v>
      </c>
      <c r="QLS9" s="26">
        <f>IF(QLS7=0,0,IF(MAX($F9:QLR9)=$D12,0,QLR9+1))</f>
        <v>0</v>
      </c>
      <c r="QLT9" s="26">
        <f>IF(QLT7=0,0,IF(MAX($F9:QLS9)=$D12,0,QLS9+1))</f>
        <v>0</v>
      </c>
      <c r="QLU9" s="26">
        <f>IF(QLU7=0,0,IF(MAX($F9:QLT9)=$D12,0,QLT9+1))</f>
        <v>0</v>
      </c>
      <c r="QLV9" s="26">
        <f>IF(QLV7=0,0,IF(MAX($F9:QLU9)=$D12,0,QLU9+1))</f>
        <v>0</v>
      </c>
      <c r="QLW9" s="26">
        <f>IF(QLW7=0,0,IF(MAX($F9:QLV9)=$D12,0,QLV9+1))</f>
        <v>0</v>
      </c>
      <c r="QLX9" s="26">
        <f>IF(QLX7=0,0,IF(MAX($F9:QLW9)=$D12,0,QLW9+1))</f>
        <v>0</v>
      </c>
      <c r="QLY9" s="26">
        <f>IF(QLY7=0,0,IF(MAX($F9:QLX9)=$D12,0,QLX9+1))</f>
        <v>0</v>
      </c>
      <c r="QLZ9" s="26">
        <f>IF(QLZ7=0,0,IF(MAX($F9:QLY9)=$D12,0,QLY9+1))</f>
        <v>0</v>
      </c>
      <c r="QMA9" s="26">
        <f>IF(QMA7=0,0,IF(MAX($F9:QLZ9)=$D12,0,QLZ9+1))</f>
        <v>0</v>
      </c>
      <c r="QMB9" s="26">
        <f>IF(QMB7=0,0,IF(MAX($F9:QMA9)=$D12,0,QMA9+1))</f>
        <v>0</v>
      </c>
      <c r="QMC9" s="26">
        <f>IF(QMC7=0,0,IF(MAX($F9:QMB9)=$D12,0,QMB9+1))</f>
        <v>0</v>
      </c>
      <c r="QMD9" s="26">
        <f>IF(QMD7=0,0,IF(MAX($F9:QMC9)=$D12,0,QMC9+1))</f>
        <v>0</v>
      </c>
      <c r="QME9" s="26">
        <f>IF(QME7=0,0,IF(MAX($F9:QMD9)=$D12,0,QMD9+1))</f>
        <v>0</v>
      </c>
      <c r="QMF9" s="26">
        <f>IF(QMF7=0,0,IF(MAX($F9:QME9)=$D12,0,QME9+1))</f>
        <v>0</v>
      </c>
      <c r="QMG9" s="26">
        <f>IF(QMG7=0,0,IF(MAX($F9:QMF9)=$D12,0,QMF9+1))</f>
        <v>0</v>
      </c>
      <c r="QMH9" s="26">
        <f>IF(QMH7=0,0,IF(MAX($F9:QMG9)=$D12,0,QMG9+1))</f>
        <v>0</v>
      </c>
      <c r="QMI9" s="26">
        <f>IF(QMI7=0,0,IF(MAX($F9:QMH9)=$D12,0,QMH9+1))</f>
        <v>0</v>
      </c>
      <c r="QMJ9" s="26">
        <f>IF(QMJ7=0,0,IF(MAX($F9:QMI9)=$D12,0,QMI9+1))</f>
        <v>0</v>
      </c>
      <c r="QMK9" s="26">
        <f>IF(QMK7=0,0,IF(MAX($F9:QMJ9)=$D12,0,QMJ9+1))</f>
        <v>0</v>
      </c>
      <c r="QML9" s="26">
        <f>IF(QML7=0,0,IF(MAX($F9:QMK9)=$D12,0,QMK9+1))</f>
        <v>0</v>
      </c>
      <c r="QMM9" s="26">
        <f>IF(QMM7=0,0,IF(MAX($F9:QML9)=$D12,0,QML9+1))</f>
        <v>0</v>
      </c>
      <c r="QMN9" s="26">
        <f>IF(QMN7=0,0,IF(MAX($F9:QMM9)=$D12,0,QMM9+1))</f>
        <v>0</v>
      </c>
      <c r="QMO9" s="26">
        <f>IF(QMO7=0,0,IF(MAX($F9:QMN9)=$D12,0,QMN9+1))</f>
        <v>0</v>
      </c>
      <c r="QMP9" s="26">
        <f>IF(QMP7=0,0,IF(MAX($F9:QMO9)=$D12,0,QMO9+1))</f>
        <v>0</v>
      </c>
      <c r="QMQ9" s="26">
        <f>IF(QMQ7=0,0,IF(MAX($F9:QMP9)=$D12,0,QMP9+1))</f>
        <v>0</v>
      </c>
      <c r="QMR9" s="26">
        <f>IF(QMR7=0,0,IF(MAX($F9:QMQ9)=$D12,0,QMQ9+1))</f>
        <v>0</v>
      </c>
      <c r="QMS9" s="26">
        <f>IF(QMS7=0,0,IF(MAX($F9:QMR9)=$D12,0,QMR9+1))</f>
        <v>0</v>
      </c>
      <c r="QMT9" s="26">
        <f>IF(QMT7=0,0,IF(MAX($F9:QMS9)=$D12,0,QMS9+1))</f>
        <v>0</v>
      </c>
      <c r="QMU9" s="26">
        <f>IF(QMU7=0,0,IF(MAX($F9:QMT9)=$D12,0,QMT9+1))</f>
        <v>0</v>
      </c>
      <c r="QMV9" s="26">
        <f>IF(QMV7=0,0,IF(MAX($F9:QMU9)=$D12,0,QMU9+1))</f>
        <v>0</v>
      </c>
      <c r="QMW9" s="26">
        <f>IF(QMW7=0,0,IF(MAX($F9:QMV9)=$D12,0,QMV9+1))</f>
        <v>0</v>
      </c>
      <c r="QMX9" s="26">
        <f>IF(QMX7=0,0,IF(MAX($F9:QMW9)=$D12,0,QMW9+1))</f>
        <v>0</v>
      </c>
      <c r="QMY9" s="26">
        <f>IF(QMY7=0,0,IF(MAX($F9:QMX9)=$D12,0,QMX9+1))</f>
        <v>0</v>
      </c>
      <c r="QMZ9" s="26">
        <f>IF(QMZ7=0,0,IF(MAX($F9:QMY9)=$D12,0,QMY9+1))</f>
        <v>0</v>
      </c>
      <c r="QNA9" s="26">
        <f>IF(QNA7=0,0,IF(MAX($F9:QMZ9)=$D12,0,QMZ9+1))</f>
        <v>0</v>
      </c>
      <c r="QNB9" s="26">
        <f>IF(QNB7=0,0,IF(MAX($F9:QNA9)=$D12,0,QNA9+1))</f>
        <v>0</v>
      </c>
      <c r="QNC9" s="26">
        <f>IF(QNC7=0,0,IF(MAX($F9:QNB9)=$D12,0,QNB9+1))</f>
        <v>0</v>
      </c>
      <c r="QND9" s="26">
        <f>IF(QND7=0,0,IF(MAX($F9:QNC9)=$D12,0,QNC9+1))</f>
        <v>0</v>
      </c>
      <c r="QNE9" s="26">
        <f>IF(QNE7=0,0,IF(MAX($F9:QND9)=$D12,0,QND9+1))</f>
        <v>0</v>
      </c>
      <c r="QNF9" s="26">
        <f>IF(QNF7=0,0,IF(MAX($F9:QNE9)=$D12,0,QNE9+1))</f>
        <v>0</v>
      </c>
      <c r="QNG9" s="26">
        <f>IF(QNG7=0,0,IF(MAX($F9:QNF9)=$D12,0,QNF9+1))</f>
        <v>0</v>
      </c>
      <c r="QNH9" s="26">
        <f>IF(QNH7=0,0,IF(MAX($F9:QNG9)=$D12,0,QNG9+1))</f>
        <v>0</v>
      </c>
      <c r="QNI9" s="26">
        <f>IF(QNI7=0,0,IF(MAX($F9:QNH9)=$D12,0,QNH9+1))</f>
        <v>0</v>
      </c>
      <c r="QNJ9" s="26">
        <f>IF(QNJ7=0,0,IF(MAX($F9:QNI9)=$D12,0,QNI9+1))</f>
        <v>0</v>
      </c>
      <c r="QNK9" s="26">
        <f>IF(QNK7=0,0,IF(MAX($F9:QNJ9)=$D12,0,QNJ9+1))</f>
        <v>0</v>
      </c>
      <c r="QNL9" s="26">
        <f>IF(QNL7=0,0,IF(MAX($F9:QNK9)=$D12,0,QNK9+1))</f>
        <v>0</v>
      </c>
      <c r="QNM9" s="26">
        <f>IF(QNM7=0,0,IF(MAX($F9:QNL9)=$D12,0,QNL9+1))</f>
        <v>0</v>
      </c>
      <c r="QNN9" s="26">
        <f>IF(QNN7=0,0,IF(MAX($F9:QNM9)=$D12,0,QNM9+1))</f>
        <v>0</v>
      </c>
      <c r="QNO9" s="26">
        <f>IF(QNO7=0,0,IF(MAX($F9:QNN9)=$D12,0,QNN9+1))</f>
        <v>0</v>
      </c>
      <c r="QNP9" s="26">
        <f>IF(QNP7=0,0,IF(MAX($F9:QNO9)=$D12,0,QNO9+1))</f>
        <v>0</v>
      </c>
      <c r="QNQ9" s="26">
        <f>IF(QNQ7=0,0,IF(MAX($F9:QNP9)=$D12,0,QNP9+1))</f>
        <v>0</v>
      </c>
      <c r="QNR9" s="26">
        <f>IF(QNR7=0,0,IF(MAX($F9:QNQ9)=$D12,0,QNQ9+1))</f>
        <v>0</v>
      </c>
      <c r="QNS9" s="26">
        <f>IF(QNS7=0,0,IF(MAX($F9:QNR9)=$D12,0,QNR9+1))</f>
        <v>0</v>
      </c>
      <c r="QNT9" s="26">
        <f>IF(QNT7=0,0,IF(MAX($F9:QNS9)=$D12,0,QNS9+1))</f>
        <v>0</v>
      </c>
      <c r="QNU9" s="26">
        <f>IF(QNU7=0,0,IF(MAX($F9:QNT9)=$D12,0,QNT9+1))</f>
        <v>0</v>
      </c>
      <c r="QNV9" s="26">
        <f>IF(QNV7=0,0,IF(MAX($F9:QNU9)=$D12,0,QNU9+1))</f>
        <v>0</v>
      </c>
      <c r="QNW9" s="26">
        <f>IF(QNW7=0,0,IF(MAX($F9:QNV9)=$D12,0,QNV9+1))</f>
        <v>0</v>
      </c>
      <c r="QNX9" s="26">
        <f>IF(QNX7=0,0,IF(MAX($F9:QNW9)=$D12,0,QNW9+1))</f>
        <v>0</v>
      </c>
      <c r="QNY9" s="26">
        <f>IF(QNY7=0,0,IF(MAX($F9:QNX9)=$D12,0,QNX9+1))</f>
        <v>0</v>
      </c>
      <c r="QNZ9" s="26">
        <f>IF(QNZ7=0,0,IF(MAX($F9:QNY9)=$D12,0,QNY9+1))</f>
        <v>0</v>
      </c>
      <c r="QOA9" s="26">
        <f>IF(QOA7=0,0,IF(MAX($F9:QNZ9)=$D12,0,QNZ9+1))</f>
        <v>0</v>
      </c>
      <c r="QOB9" s="26">
        <f>IF(QOB7=0,0,IF(MAX($F9:QOA9)=$D12,0,QOA9+1))</f>
        <v>0</v>
      </c>
      <c r="QOC9" s="26">
        <f>IF(QOC7=0,0,IF(MAX($F9:QOB9)=$D12,0,QOB9+1))</f>
        <v>0</v>
      </c>
      <c r="QOD9" s="26">
        <f>IF(QOD7=0,0,IF(MAX($F9:QOC9)=$D12,0,QOC9+1))</f>
        <v>0</v>
      </c>
      <c r="QOE9" s="26">
        <f>IF(QOE7=0,0,IF(MAX($F9:QOD9)=$D12,0,QOD9+1))</f>
        <v>0</v>
      </c>
      <c r="QOF9" s="26">
        <f>IF(QOF7=0,0,IF(MAX($F9:QOE9)=$D12,0,QOE9+1))</f>
        <v>0</v>
      </c>
      <c r="QOG9" s="26">
        <f>IF(QOG7=0,0,IF(MAX($F9:QOF9)=$D12,0,QOF9+1))</f>
        <v>0</v>
      </c>
      <c r="QOH9" s="26">
        <f>IF(QOH7=0,0,IF(MAX($F9:QOG9)=$D12,0,QOG9+1))</f>
        <v>0</v>
      </c>
      <c r="QOI9" s="26">
        <f>IF(QOI7=0,0,IF(MAX($F9:QOH9)=$D12,0,QOH9+1))</f>
        <v>0</v>
      </c>
      <c r="QOJ9" s="26">
        <f>IF(QOJ7=0,0,IF(MAX($F9:QOI9)=$D12,0,QOI9+1))</f>
        <v>0</v>
      </c>
      <c r="QOK9" s="26">
        <f>IF(QOK7=0,0,IF(MAX($F9:QOJ9)=$D12,0,QOJ9+1))</f>
        <v>0</v>
      </c>
      <c r="QOL9" s="26">
        <f>IF(QOL7=0,0,IF(MAX($F9:QOK9)=$D12,0,QOK9+1))</f>
        <v>0</v>
      </c>
      <c r="QOM9" s="26">
        <f>IF(QOM7=0,0,IF(MAX($F9:QOL9)=$D12,0,QOL9+1))</f>
        <v>0</v>
      </c>
      <c r="QON9" s="26">
        <f>IF(QON7=0,0,IF(MAX($F9:QOM9)=$D12,0,QOM9+1))</f>
        <v>0</v>
      </c>
      <c r="QOO9" s="26">
        <f>IF(QOO7=0,0,IF(MAX($F9:QON9)=$D12,0,QON9+1))</f>
        <v>0</v>
      </c>
      <c r="QOP9" s="26">
        <f>IF(QOP7=0,0,IF(MAX($F9:QOO9)=$D12,0,QOO9+1))</f>
        <v>0</v>
      </c>
      <c r="QOQ9" s="26">
        <f>IF(QOQ7=0,0,IF(MAX($F9:QOP9)=$D12,0,QOP9+1))</f>
        <v>0</v>
      </c>
      <c r="QOR9" s="26">
        <f>IF(QOR7=0,0,IF(MAX($F9:QOQ9)=$D12,0,QOQ9+1))</f>
        <v>0</v>
      </c>
      <c r="QOS9" s="26">
        <f>IF(QOS7=0,0,IF(MAX($F9:QOR9)=$D12,0,QOR9+1))</f>
        <v>0</v>
      </c>
      <c r="QOT9" s="26">
        <f>IF(QOT7=0,0,IF(MAX($F9:QOS9)=$D12,0,QOS9+1))</f>
        <v>0</v>
      </c>
      <c r="QOU9" s="26">
        <f>IF(QOU7=0,0,IF(MAX($F9:QOT9)=$D12,0,QOT9+1))</f>
        <v>0</v>
      </c>
      <c r="QOV9" s="26">
        <f>IF(QOV7=0,0,IF(MAX($F9:QOU9)=$D12,0,QOU9+1))</f>
        <v>0</v>
      </c>
      <c r="QOW9" s="26">
        <f>IF(QOW7=0,0,IF(MAX($F9:QOV9)=$D12,0,QOV9+1))</f>
        <v>0</v>
      </c>
      <c r="QOX9" s="26">
        <f>IF(QOX7=0,0,IF(MAX($F9:QOW9)=$D12,0,QOW9+1))</f>
        <v>0</v>
      </c>
      <c r="QOY9" s="26">
        <f>IF(QOY7=0,0,IF(MAX($F9:QOX9)=$D12,0,QOX9+1))</f>
        <v>0</v>
      </c>
      <c r="QOZ9" s="26">
        <f>IF(QOZ7=0,0,IF(MAX($F9:QOY9)=$D12,0,QOY9+1))</f>
        <v>0</v>
      </c>
      <c r="QPA9" s="26">
        <f>IF(QPA7=0,0,IF(MAX($F9:QOZ9)=$D12,0,QOZ9+1))</f>
        <v>0</v>
      </c>
      <c r="QPB9" s="26">
        <f>IF(QPB7=0,0,IF(MAX($F9:QPA9)=$D12,0,QPA9+1))</f>
        <v>0</v>
      </c>
      <c r="QPC9" s="26">
        <f>IF(QPC7=0,0,IF(MAX($F9:QPB9)=$D12,0,QPB9+1))</f>
        <v>0</v>
      </c>
      <c r="QPD9" s="26">
        <f>IF(QPD7=0,0,IF(MAX($F9:QPC9)=$D12,0,QPC9+1))</f>
        <v>0</v>
      </c>
      <c r="QPE9" s="26">
        <f>IF(QPE7=0,0,IF(MAX($F9:QPD9)=$D12,0,QPD9+1))</f>
        <v>0</v>
      </c>
      <c r="QPF9" s="26">
        <f>IF(QPF7=0,0,IF(MAX($F9:QPE9)=$D12,0,QPE9+1))</f>
        <v>0</v>
      </c>
      <c r="QPG9" s="26">
        <f>IF(QPG7=0,0,IF(MAX($F9:QPF9)=$D12,0,QPF9+1))</f>
        <v>0</v>
      </c>
      <c r="QPH9" s="26">
        <f>IF(QPH7=0,0,IF(MAX($F9:QPG9)=$D12,0,QPG9+1))</f>
        <v>0</v>
      </c>
      <c r="QPI9" s="26">
        <f>IF(QPI7=0,0,IF(MAX($F9:QPH9)=$D12,0,QPH9+1))</f>
        <v>0</v>
      </c>
      <c r="QPJ9" s="26">
        <f>IF(QPJ7=0,0,IF(MAX($F9:QPI9)=$D12,0,QPI9+1))</f>
        <v>0</v>
      </c>
      <c r="QPK9" s="26">
        <f>IF(QPK7=0,0,IF(MAX($F9:QPJ9)=$D12,0,QPJ9+1))</f>
        <v>0</v>
      </c>
      <c r="QPL9" s="26">
        <f>IF(QPL7=0,0,IF(MAX($F9:QPK9)=$D12,0,QPK9+1))</f>
        <v>0</v>
      </c>
      <c r="QPM9" s="26">
        <f>IF(QPM7=0,0,IF(MAX($F9:QPL9)=$D12,0,QPL9+1))</f>
        <v>0</v>
      </c>
      <c r="QPN9" s="26">
        <f>IF(QPN7=0,0,IF(MAX($F9:QPM9)=$D12,0,QPM9+1))</f>
        <v>0</v>
      </c>
      <c r="QPO9" s="26">
        <f>IF(QPO7=0,0,IF(MAX($F9:QPN9)=$D12,0,QPN9+1))</f>
        <v>0</v>
      </c>
      <c r="QPP9" s="26">
        <f>IF(QPP7=0,0,IF(MAX($F9:QPO9)=$D12,0,QPO9+1))</f>
        <v>0</v>
      </c>
      <c r="QPQ9" s="26">
        <f>IF(QPQ7=0,0,IF(MAX($F9:QPP9)=$D12,0,QPP9+1))</f>
        <v>0</v>
      </c>
      <c r="QPR9" s="26">
        <f>IF(QPR7=0,0,IF(MAX($F9:QPQ9)=$D12,0,QPQ9+1))</f>
        <v>0</v>
      </c>
      <c r="QPS9" s="26">
        <f>IF(QPS7=0,0,IF(MAX($F9:QPR9)=$D12,0,QPR9+1))</f>
        <v>0</v>
      </c>
      <c r="QPT9" s="26">
        <f>IF(QPT7=0,0,IF(MAX($F9:QPS9)=$D12,0,QPS9+1))</f>
        <v>0</v>
      </c>
      <c r="QPU9" s="26">
        <f>IF(QPU7=0,0,IF(MAX($F9:QPT9)=$D12,0,QPT9+1))</f>
        <v>0</v>
      </c>
      <c r="QPV9" s="26">
        <f>IF(QPV7=0,0,IF(MAX($F9:QPU9)=$D12,0,QPU9+1))</f>
        <v>0</v>
      </c>
      <c r="QPW9" s="26">
        <f>IF(QPW7=0,0,IF(MAX($F9:QPV9)=$D12,0,QPV9+1))</f>
        <v>0</v>
      </c>
      <c r="QPX9" s="26">
        <f>IF(QPX7=0,0,IF(MAX($F9:QPW9)=$D12,0,QPW9+1))</f>
        <v>0</v>
      </c>
      <c r="QPY9" s="26">
        <f>IF(QPY7=0,0,IF(MAX($F9:QPX9)=$D12,0,QPX9+1))</f>
        <v>0</v>
      </c>
      <c r="QPZ9" s="26">
        <f>IF(QPZ7=0,0,IF(MAX($F9:QPY9)=$D12,0,QPY9+1))</f>
        <v>0</v>
      </c>
      <c r="QQA9" s="26">
        <f>IF(QQA7=0,0,IF(MAX($F9:QPZ9)=$D12,0,QPZ9+1))</f>
        <v>0</v>
      </c>
      <c r="QQB9" s="26">
        <f>IF(QQB7=0,0,IF(MAX($F9:QQA9)=$D12,0,QQA9+1))</f>
        <v>0</v>
      </c>
      <c r="QQC9" s="26">
        <f>IF(QQC7=0,0,IF(MAX($F9:QQB9)=$D12,0,QQB9+1))</f>
        <v>0</v>
      </c>
      <c r="QQD9" s="26">
        <f>IF(QQD7=0,0,IF(MAX($F9:QQC9)=$D12,0,QQC9+1))</f>
        <v>0</v>
      </c>
      <c r="QQE9" s="26">
        <f>IF(QQE7=0,0,IF(MAX($F9:QQD9)=$D12,0,QQD9+1))</f>
        <v>0</v>
      </c>
      <c r="QQF9" s="26">
        <f>IF(QQF7=0,0,IF(MAX($F9:QQE9)=$D12,0,QQE9+1))</f>
        <v>0</v>
      </c>
      <c r="QQG9" s="26">
        <f>IF(QQG7=0,0,IF(MAX($F9:QQF9)=$D12,0,QQF9+1))</f>
        <v>0</v>
      </c>
      <c r="QQH9" s="26">
        <f>IF(QQH7=0,0,IF(MAX($F9:QQG9)=$D12,0,QQG9+1))</f>
        <v>0</v>
      </c>
      <c r="QQI9" s="26">
        <f>IF(QQI7=0,0,IF(MAX($F9:QQH9)=$D12,0,QQH9+1))</f>
        <v>0</v>
      </c>
      <c r="QQJ9" s="26">
        <f>IF(QQJ7=0,0,IF(MAX($F9:QQI9)=$D12,0,QQI9+1))</f>
        <v>0</v>
      </c>
      <c r="QQK9" s="26">
        <f>IF(QQK7=0,0,IF(MAX($F9:QQJ9)=$D12,0,QQJ9+1))</f>
        <v>0</v>
      </c>
      <c r="QQL9" s="26">
        <f>IF(QQL7=0,0,IF(MAX($F9:QQK9)=$D12,0,QQK9+1))</f>
        <v>0</v>
      </c>
      <c r="QQM9" s="26">
        <f>IF(QQM7=0,0,IF(MAX($F9:QQL9)=$D12,0,QQL9+1))</f>
        <v>0</v>
      </c>
      <c r="QQN9" s="26">
        <f>IF(QQN7=0,0,IF(MAX($F9:QQM9)=$D12,0,QQM9+1))</f>
        <v>0</v>
      </c>
      <c r="QQO9" s="26">
        <f>IF(QQO7=0,0,IF(MAX($F9:QQN9)=$D12,0,QQN9+1))</f>
        <v>0</v>
      </c>
      <c r="QQP9" s="26">
        <f>IF(QQP7=0,0,IF(MAX($F9:QQO9)=$D12,0,QQO9+1))</f>
        <v>0</v>
      </c>
      <c r="QQQ9" s="26">
        <f>IF(QQQ7=0,0,IF(MAX($F9:QQP9)=$D12,0,QQP9+1))</f>
        <v>0</v>
      </c>
      <c r="QQR9" s="26">
        <f>IF(QQR7=0,0,IF(MAX($F9:QQQ9)=$D12,0,QQQ9+1))</f>
        <v>0</v>
      </c>
      <c r="QQS9" s="26">
        <f>IF(QQS7=0,0,IF(MAX($F9:QQR9)=$D12,0,QQR9+1))</f>
        <v>0</v>
      </c>
      <c r="QQT9" s="26">
        <f>IF(QQT7=0,0,IF(MAX($F9:QQS9)=$D12,0,QQS9+1))</f>
        <v>0</v>
      </c>
      <c r="QQU9" s="26">
        <f>IF(QQU7=0,0,IF(MAX($F9:QQT9)=$D12,0,QQT9+1))</f>
        <v>0</v>
      </c>
      <c r="QQV9" s="26">
        <f>IF(QQV7=0,0,IF(MAX($F9:QQU9)=$D12,0,QQU9+1))</f>
        <v>0</v>
      </c>
      <c r="QQW9" s="26">
        <f>IF(QQW7=0,0,IF(MAX($F9:QQV9)=$D12,0,QQV9+1))</f>
        <v>0</v>
      </c>
      <c r="QQX9" s="26">
        <f>IF(QQX7=0,0,IF(MAX($F9:QQW9)=$D12,0,QQW9+1))</f>
        <v>0</v>
      </c>
      <c r="QQY9" s="26">
        <f>IF(QQY7=0,0,IF(MAX($F9:QQX9)=$D12,0,QQX9+1))</f>
        <v>0</v>
      </c>
      <c r="QQZ9" s="26">
        <f>IF(QQZ7=0,0,IF(MAX($F9:QQY9)=$D12,0,QQY9+1))</f>
        <v>0</v>
      </c>
      <c r="QRA9" s="26">
        <f>IF(QRA7=0,0,IF(MAX($F9:QQZ9)=$D12,0,QQZ9+1))</f>
        <v>0</v>
      </c>
      <c r="QRB9" s="26">
        <f>IF(QRB7=0,0,IF(MAX($F9:QRA9)=$D12,0,QRA9+1))</f>
        <v>0</v>
      </c>
      <c r="QRC9" s="26">
        <f>IF(QRC7=0,0,IF(MAX($F9:QRB9)=$D12,0,QRB9+1))</f>
        <v>0</v>
      </c>
      <c r="QRD9" s="26">
        <f>IF(QRD7=0,0,IF(MAX($F9:QRC9)=$D12,0,QRC9+1))</f>
        <v>0</v>
      </c>
      <c r="QRE9" s="26">
        <f>IF(QRE7=0,0,IF(MAX($F9:QRD9)=$D12,0,QRD9+1))</f>
        <v>0</v>
      </c>
      <c r="QRF9" s="26">
        <f>IF(QRF7=0,0,IF(MAX($F9:QRE9)=$D12,0,QRE9+1))</f>
        <v>0</v>
      </c>
      <c r="QRG9" s="26">
        <f>IF(QRG7=0,0,IF(MAX($F9:QRF9)=$D12,0,QRF9+1))</f>
        <v>0</v>
      </c>
      <c r="QRH9" s="26">
        <f>IF(QRH7=0,0,IF(MAX($F9:QRG9)=$D12,0,QRG9+1))</f>
        <v>0</v>
      </c>
      <c r="QRI9" s="26">
        <f>IF(QRI7=0,0,IF(MAX($F9:QRH9)=$D12,0,QRH9+1))</f>
        <v>0</v>
      </c>
      <c r="QRJ9" s="26">
        <f>IF(QRJ7=0,0,IF(MAX($F9:QRI9)=$D12,0,QRI9+1))</f>
        <v>0</v>
      </c>
      <c r="QRK9" s="26">
        <f>IF(QRK7=0,0,IF(MAX($F9:QRJ9)=$D12,0,QRJ9+1))</f>
        <v>0</v>
      </c>
      <c r="QRL9" s="26">
        <f>IF(QRL7=0,0,IF(MAX($F9:QRK9)=$D12,0,QRK9+1))</f>
        <v>0</v>
      </c>
      <c r="QRM9" s="26">
        <f>IF(QRM7=0,0,IF(MAX($F9:QRL9)=$D12,0,QRL9+1))</f>
        <v>0</v>
      </c>
      <c r="QRN9" s="26">
        <f>IF(QRN7=0,0,IF(MAX($F9:QRM9)=$D12,0,QRM9+1))</f>
        <v>0</v>
      </c>
      <c r="QRO9" s="26">
        <f>IF(QRO7=0,0,IF(MAX($F9:QRN9)=$D12,0,QRN9+1))</f>
        <v>0</v>
      </c>
      <c r="QRP9" s="26">
        <f>IF(QRP7=0,0,IF(MAX($F9:QRO9)=$D12,0,QRO9+1))</f>
        <v>0</v>
      </c>
      <c r="QRQ9" s="26">
        <f>IF(QRQ7=0,0,IF(MAX($F9:QRP9)=$D12,0,QRP9+1))</f>
        <v>0</v>
      </c>
      <c r="QRR9" s="26">
        <f>IF(QRR7=0,0,IF(MAX($F9:QRQ9)=$D12,0,QRQ9+1))</f>
        <v>0</v>
      </c>
      <c r="QRS9" s="26">
        <f>IF(QRS7=0,0,IF(MAX($F9:QRR9)=$D12,0,QRR9+1))</f>
        <v>0</v>
      </c>
      <c r="QRT9" s="26">
        <f>IF(QRT7=0,0,IF(MAX($F9:QRS9)=$D12,0,QRS9+1))</f>
        <v>0</v>
      </c>
      <c r="QRU9" s="26">
        <f>IF(QRU7=0,0,IF(MAX($F9:QRT9)=$D12,0,QRT9+1))</f>
        <v>0</v>
      </c>
      <c r="QRV9" s="26">
        <f>IF(QRV7=0,0,IF(MAX($F9:QRU9)=$D12,0,QRU9+1))</f>
        <v>0</v>
      </c>
      <c r="QRW9" s="26">
        <f>IF(QRW7=0,0,IF(MAX($F9:QRV9)=$D12,0,QRV9+1))</f>
        <v>0</v>
      </c>
      <c r="QRX9" s="26">
        <f>IF(QRX7=0,0,IF(MAX($F9:QRW9)=$D12,0,QRW9+1))</f>
        <v>0</v>
      </c>
      <c r="QRY9" s="26">
        <f>IF(QRY7=0,0,IF(MAX($F9:QRX9)=$D12,0,QRX9+1))</f>
        <v>0</v>
      </c>
      <c r="QRZ9" s="26">
        <f>IF(QRZ7=0,0,IF(MAX($F9:QRY9)=$D12,0,QRY9+1))</f>
        <v>0</v>
      </c>
      <c r="QSA9" s="26">
        <f>IF(QSA7=0,0,IF(MAX($F9:QRZ9)=$D12,0,QRZ9+1))</f>
        <v>0</v>
      </c>
      <c r="QSB9" s="26">
        <f>IF(QSB7=0,0,IF(MAX($F9:QSA9)=$D12,0,QSA9+1))</f>
        <v>0</v>
      </c>
      <c r="QSC9" s="26">
        <f>IF(QSC7=0,0,IF(MAX($F9:QSB9)=$D12,0,QSB9+1))</f>
        <v>0</v>
      </c>
      <c r="QSD9" s="26">
        <f>IF(QSD7=0,0,IF(MAX($F9:QSC9)=$D12,0,QSC9+1))</f>
        <v>0</v>
      </c>
      <c r="QSE9" s="26">
        <f>IF(QSE7=0,0,IF(MAX($F9:QSD9)=$D12,0,QSD9+1))</f>
        <v>0</v>
      </c>
      <c r="QSF9" s="26">
        <f>IF(QSF7=0,0,IF(MAX($F9:QSE9)=$D12,0,QSE9+1))</f>
        <v>0</v>
      </c>
      <c r="QSG9" s="26">
        <f>IF(QSG7=0,0,IF(MAX($F9:QSF9)=$D12,0,QSF9+1))</f>
        <v>0</v>
      </c>
      <c r="QSH9" s="26">
        <f>IF(QSH7=0,0,IF(MAX($F9:QSG9)=$D12,0,QSG9+1))</f>
        <v>0</v>
      </c>
      <c r="QSI9" s="26">
        <f>IF(QSI7=0,0,IF(MAX($F9:QSH9)=$D12,0,QSH9+1))</f>
        <v>0</v>
      </c>
      <c r="QSJ9" s="26">
        <f>IF(QSJ7=0,0,IF(MAX($F9:QSI9)=$D12,0,QSI9+1))</f>
        <v>0</v>
      </c>
      <c r="QSK9" s="26">
        <f>IF(QSK7=0,0,IF(MAX($F9:QSJ9)=$D12,0,QSJ9+1))</f>
        <v>0</v>
      </c>
      <c r="QSL9" s="26">
        <f>IF(QSL7=0,0,IF(MAX($F9:QSK9)=$D12,0,QSK9+1))</f>
        <v>0</v>
      </c>
      <c r="QSM9" s="26">
        <f>IF(QSM7=0,0,IF(MAX($F9:QSL9)=$D12,0,QSL9+1))</f>
        <v>0</v>
      </c>
      <c r="QSN9" s="26">
        <f>IF(QSN7=0,0,IF(MAX($F9:QSM9)=$D12,0,QSM9+1))</f>
        <v>0</v>
      </c>
      <c r="QSO9" s="26">
        <f>IF(QSO7=0,0,IF(MAX($F9:QSN9)=$D12,0,QSN9+1))</f>
        <v>0</v>
      </c>
      <c r="QSP9" s="26">
        <f>IF(QSP7=0,0,IF(MAX($F9:QSO9)=$D12,0,QSO9+1))</f>
        <v>0</v>
      </c>
      <c r="QSQ9" s="26">
        <f>IF(QSQ7=0,0,IF(MAX($F9:QSP9)=$D12,0,QSP9+1))</f>
        <v>0</v>
      </c>
      <c r="QSR9" s="26">
        <f>IF(QSR7=0,0,IF(MAX($F9:QSQ9)=$D12,0,QSQ9+1))</f>
        <v>0</v>
      </c>
      <c r="QSS9" s="26">
        <f>IF(QSS7=0,0,IF(MAX($F9:QSR9)=$D12,0,QSR9+1))</f>
        <v>0</v>
      </c>
      <c r="QST9" s="26">
        <f>IF(QST7=0,0,IF(MAX($F9:QSS9)=$D12,0,QSS9+1))</f>
        <v>0</v>
      </c>
      <c r="QSU9" s="26">
        <f>IF(QSU7=0,0,IF(MAX($F9:QST9)=$D12,0,QST9+1))</f>
        <v>0</v>
      </c>
      <c r="QSV9" s="26">
        <f>IF(QSV7=0,0,IF(MAX($F9:QSU9)=$D12,0,QSU9+1))</f>
        <v>0</v>
      </c>
      <c r="QSW9" s="26">
        <f>IF(QSW7=0,0,IF(MAX($F9:QSV9)=$D12,0,QSV9+1))</f>
        <v>0</v>
      </c>
      <c r="QSX9" s="26">
        <f>IF(QSX7=0,0,IF(MAX($F9:QSW9)=$D12,0,QSW9+1))</f>
        <v>0</v>
      </c>
      <c r="QSY9" s="26">
        <f>IF(QSY7=0,0,IF(MAX($F9:QSX9)=$D12,0,QSX9+1))</f>
        <v>0</v>
      </c>
      <c r="QSZ9" s="26">
        <f>IF(QSZ7=0,0,IF(MAX($F9:QSY9)=$D12,0,QSY9+1))</f>
        <v>0</v>
      </c>
      <c r="QTA9" s="26">
        <f>IF(QTA7=0,0,IF(MAX($F9:QSZ9)=$D12,0,QSZ9+1))</f>
        <v>0</v>
      </c>
      <c r="QTB9" s="26">
        <f>IF(QTB7=0,0,IF(MAX($F9:QTA9)=$D12,0,QTA9+1))</f>
        <v>0</v>
      </c>
      <c r="QTC9" s="26">
        <f>IF(QTC7=0,0,IF(MAX($F9:QTB9)=$D12,0,QTB9+1))</f>
        <v>0</v>
      </c>
      <c r="QTD9" s="26">
        <f>IF(QTD7=0,0,IF(MAX($F9:QTC9)=$D12,0,QTC9+1))</f>
        <v>0</v>
      </c>
      <c r="QTE9" s="26">
        <f>IF(QTE7=0,0,IF(MAX($F9:QTD9)=$D12,0,QTD9+1))</f>
        <v>0</v>
      </c>
      <c r="QTF9" s="26">
        <f>IF(QTF7=0,0,IF(MAX($F9:QTE9)=$D12,0,QTE9+1))</f>
        <v>0</v>
      </c>
      <c r="QTG9" s="26">
        <f>IF(QTG7=0,0,IF(MAX($F9:QTF9)=$D12,0,QTF9+1))</f>
        <v>0</v>
      </c>
      <c r="QTH9" s="26">
        <f>IF(QTH7=0,0,IF(MAX($F9:QTG9)=$D12,0,QTG9+1))</f>
        <v>0</v>
      </c>
      <c r="QTI9" s="26">
        <f>IF(QTI7=0,0,IF(MAX($F9:QTH9)=$D12,0,QTH9+1))</f>
        <v>0</v>
      </c>
      <c r="QTJ9" s="26">
        <f>IF(QTJ7=0,0,IF(MAX($F9:QTI9)=$D12,0,QTI9+1))</f>
        <v>0</v>
      </c>
      <c r="QTK9" s="26">
        <f>IF(QTK7=0,0,IF(MAX($F9:QTJ9)=$D12,0,QTJ9+1))</f>
        <v>0</v>
      </c>
      <c r="QTL9" s="26">
        <f>IF(QTL7=0,0,IF(MAX($F9:QTK9)=$D12,0,QTK9+1))</f>
        <v>0</v>
      </c>
      <c r="QTM9" s="26">
        <f>IF(QTM7=0,0,IF(MAX($F9:QTL9)=$D12,0,QTL9+1))</f>
        <v>0</v>
      </c>
      <c r="QTN9" s="26">
        <f>IF(QTN7=0,0,IF(MAX($F9:QTM9)=$D12,0,QTM9+1))</f>
        <v>0</v>
      </c>
      <c r="QTO9" s="26">
        <f>IF(QTO7=0,0,IF(MAX($F9:QTN9)=$D12,0,QTN9+1))</f>
        <v>0</v>
      </c>
      <c r="QTP9" s="26">
        <f>IF(QTP7=0,0,IF(MAX($F9:QTO9)=$D12,0,QTO9+1))</f>
        <v>0</v>
      </c>
      <c r="QTQ9" s="26">
        <f>IF(QTQ7=0,0,IF(MAX($F9:QTP9)=$D12,0,QTP9+1))</f>
        <v>0</v>
      </c>
      <c r="QTR9" s="26">
        <f>IF(QTR7=0,0,IF(MAX($F9:QTQ9)=$D12,0,QTQ9+1))</f>
        <v>0</v>
      </c>
      <c r="QTS9" s="26">
        <f>IF(QTS7=0,0,IF(MAX($F9:QTR9)=$D12,0,QTR9+1))</f>
        <v>0</v>
      </c>
      <c r="QTT9" s="26">
        <f>IF(QTT7=0,0,IF(MAX($F9:QTS9)=$D12,0,QTS9+1))</f>
        <v>0</v>
      </c>
      <c r="QTU9" s="26">
        <f>IF(QTU7=0,0,IF(MAX($F9:QTT9)=$D12,0,QTT9+1))</f>
        <v>0</v>
      </c>
      <c r="QTV9" s="26">
        <f>IF(QTV7=0,0,IF(MAX($F9:QTU9)=$D12,0,QTU9+1))</f>
        <v>0</v>
      </c>
      <c r="QTW9" s="26">
        <f>IF(QTW7=0,0,IF(MAX($F9:QTV9)=$D12,0,QTV9+1))</f>
        <v>0</v>
      </c>
      <c r="QTX9" s="26">
        <f>IF(QTX7=0,0,IF(MAX($F9:QTW9)=$D12,0,QTW9+1))</f>
        <v>0</v>
      </c>
      <c r="QTY9" s="26">
        <f>IF(QTY7=0,0,IF(MAX($F9:QTX9)=$D12,0,QTX9+1))</f>
        <v>0</v>
      </c>
      <c r="QTZ9" s="26">
        <f>IF(QTZ7=0,0,IF(MAX($F9:QTY9)=$D12,0,QTY9+1))</f>
        <v>0</v>
      </c>
      <c r="QUA9" s="26">
        <f>IF(QUA7=0,0,IF(MAX($F9:QTZ9)=$D12,0,QTZ9+1))</f>
        <v>0</v>
      </c>
      <c r="QUB9" s="26">
        <f>IF(QUB7=0,0,IF(MAX($F9:QUA9)=$D12,0,QUA9+1))</f>
        <v>0</v>
      </c>
      <c r="QUC9" s="26">
        <f>IF(QUC7=0,0,IF(MAX($F9:QUB9)=$D12,0,QUB9+1))</f>
        <v>0</v>
      </c>
      <c r="QUD9" s="26">
        <f>IF(QUD7=0,0,IF(MAX($F9:QUC9)=$D12,0,QUC9+1))</f>
        <v>0</v>
      </c>
      <c r="QUE9" s="26">
        <f>IF(QUE7=0,0,IF(MAX($F9:QUD9)=$D12,0,QUD9+1))</f>
        <v>0</v>
      </c>
      <c r="QUF9" s="26">
        <f>IF(QUF7=0,0,IF(MAX($F9:QUE9)=$D12,0,QUE9+1))</f>
        <v>0</v>
      </c>
      <c r="QUG9" s="26">
        <f>IF(QUG7=0,0,IF(MAX($F9:QUF9)=$D12,0,QUF9+1))</f>
        <v>0</v>
      </c>
      <c r="QUH9" s="26">
        <f>IF(QUH7=0,0,IF(MAX($F9:QUG9)=$D12,0,QUG9+1))</f>
        <v>0</v>
      </c>
      <c r="QUI9" s="26">
        <f>IF(QUI7=0,0,IF(MAX($F9:QUH9)=$D12,0,QUH9+1))</f>
        <v>0</v>
      </c>
      <c r="QUJ9" s="26">
        <f>IF(QUJ7=0,0,IF(MAX($F9:QUI9)=$D12,0,QUI9+1))</f>
        <v>0</v>
      </c>
      <c r="QUK9" s="26">
        <f>IF(QUK7=0,0,IF(MAX($F9:QUJ9)=$D12,0,QUJ9+1))</f>
        <v>0</v>
      </c>
      <c r="QUL9" s="26">
        <f>IF(QUL7=0,0,IF(MAX($F9:QUK9)=$D12,0,QUK9+1))</f>
        <v>0</v>
      </c>
      <c r="QUM9" s="26">
        <f>IF(QUM7=0,0,IF(MAX($F9:QUL9)=$D12,0,QUL9+1))</f>
        <v>0</v>
      </c>
      <c r="QUN9" s="26">
        <f>IF(QUN7=0,0,IF(MAX($F9:QUM9)=$D12,0,QUM9+1))</f>
        <v>0</v>
      </c>
      <c r="QUO9" s="26">
        <f>IF(QUO7=0,0,IF(MAX($F9:QUN9)=$D12,0,QUN9+1))</f>
        <v>0</v>
      </c>
      <c r="QUP9" s="26">
        <f>IF(QUP7=0,0,IF(MAX($F9:QUO9)=$D12,0,QUO9+1))</f>
        <v>0</v>
      </c>
      <c r="QUQ9" s="26">
        <f>IF(QUQ7=0,0,IF(MAX($F9:QUP9)=$D12,0,QUP9+1))</f>
        <v>0</v>
      </c>
      <c r="QUR9" s="26">
        <f>IF(QUR7=0,0,IF(MAX($F9:QUQ9)=$D12,0,QUQ9+1))</f>
        <v>0</v>
      </c>
      <c r="QUS9" s="26">
        <f>IF(QUS7=0,0,IF(MAX($F9:QUR9)=$D12,0,QUR9+1))</f>
        <v>0</v>
      </c>
      <c r="QUT9" s="26">
        <f>IF(QUT7=0,0,IF(MAX($F9:QUS9)=$D12,0,QUS9+1))</f>
        <v>0</v>
      </c>
      <c r="QUU9" s="26">
        <f>IF(QUU7=0,0,IF(MAX($F9:QUT9)=$D12,0,QUT9+1))</f>
        <v>0</v>
      </c>
      <c r="QUV9" s="26">
        <f>IF(QUV7=0,0,IF(MAX($F9:QUU9)=$D12,0,QUU9+1))</f>
        <v>0</v>
      </c>
      <c r="QUW9" s="26">
        <f>IF(QUW7=0,0,IF(MAX($F9:QUV9)=$D12,0,QUV9+1))</f>
        <v>0</v>
      </c>
      <c r="QUX9" s="26">
        <f>IF(QUX7=0,0,IF(MAX($F9:QUW9)=$D12,0,QUW9+1))</f>
        <v>0</v>
      </c>
      <c r="QUY9" s="26">
        <f>IF(QUY7=0,0,IF(MAX($F9:QUX9)=$D12,0,QUX9+1))</f>
        <v>0</v>
      </c>
      <c r="QUZ9" s="26">
        <f>IF(QUZ7=0,0,IF(MAX($F9:QUY9)=$D12,0,QUY9+1))</f>
        <v>0</v>
      </c>
      <c r="QVA9" s="26">
        <f>IF(QVA7=0,0,IF(MAX($F9:QUZ9)=$D12,0,QUZ9+1))</f>
        <v>0</v>
      </c>
      <c r="QVB9" s="26">
        <f>IF(QVB7=0,0,IF(MAX($F9:QVA9)=$D12,0,QVA9+1))</f>
        <v>0</v>
      </c>
      <c r="QVC9" s="26">
        <f>IF(QVC7=0,0,IF(MAX($F9:QVB9)=$D12,0,QVB9+1))</f>
        <v>0</v>
      </c>
      <c r="QVD9" s="26">
        <f>IF(QVD7=0,0,IF(MAX($F9:QVC9)=$D12,0,QVC9+1))</f>
        <v>0</v>
      </c>
      <c r="QVE9" s="26">
        <f>IF(QVE7=0,0,IF(MAX($F9:QVD9)=$D12,0,QVD9+1))</f>
        <v>0</v>
      </c>
      <c r="QVF9" s="26">
        <f>IF(QVF7=0,0,IF(MAX($F9:QVE9)=$D12,0,QVE9+1))</f>
        <v>0</v>
      </c>
      <c r="QVG9" s="26">
        <f>IF(QVG7=0,0,IF(MAX($F9:QVF9)=$D12,0,QVF9+1))</f>
        <v>0</v>
      </c>
      <c r="QVH9" s="26">
        <f>IF(QVH7=0,0,IF(MAX($F9:QVG9)=$D12,0,QVG9+1))</f>
        <v>0</v>
      </c>
      <c r="QVI9" s="26">
        <f>IF(QVI7=0,0,IF(MAX($F9:QVH9)=$D12,0,QVH9+1))</f>
        <v>0</v>
      </c>
      <c r="QVJ9" s="26">
        <f>IF(QVJ7=0,0,IF(MAX($F9:QVI9)=$D12,0,QVI9+1))</f>
        <v>0</v>
      </c>
      <c r="QVK9" s="26">
        <f>IF(QVK7=0,0,IF(MAX($F9:QVJ9)=$D12,0,QVJ9+1))</f>
        <v>0</v>
      </c>
      <c r="QVL9" s="26">
        <f>IF(QVL7=0,0,IF(MAX($F9:QVK9)=$D12,0,QVK9+1))</f>
        <v>0</v>
      </c>
      <c r="QVM9" s="26">
        <f>IF(QVM7=0,0,IF(MAX($F9:QVL9)=$D12,0,QVL9+1))</f>
        <v>0</v>
      </c>
      <c r="QVN9" s="26">
        <f>IF(QVN7=0,0,IF(MAX($F9:QVM9)=$D12,0,QVM9+1))</f>
        <v>0</v>
      </c>
      <c r="QVO9" s="26">
        <f>IF(QVO7=0,0,IF(MAX($F9:QVN9)=$D12,0,QVN9+1))</f>
        <v>0</v>
      </c>
      <c r="QVP9" s="26">
        <f>IF(QVP7=0,0,IF(MAX($F9:QVO9)=$D12,0,QVO9+1))</f>
        <v>0</v>
      </c>
      <c r="QVQ9" s="26">
        <f>IF(QVQ7=0,0,IF(MAX($F9:QVP9)=$D12,0,QVP9+1))</f>
        <v>0</v>
      </c>
      <c r="QVR9" s="26">
        <f>IF(QVR7=0,0,IF(MAX($F9:QVQ9)=$D12,0,QVQ9+1))</f>
        <v>0</v>
      </c>
      <c r="QVS9" s="26">
        <f>IF(QVS7=0,0,IF(MAX($F9:QVR9)=$D12,0,QVR9+1))</f>
        <v>0</v>
      </c>
      <c r="QVT9" s="26">
        <f>IF(QVT7=0,0,IF(MAX($F9:QVS9)=$D12,0,QVS9+1))</f>
        <v>0</v>
      </c>
      <c r="QVU9" s="26">
        <f>IF(QVU7=0,0,IF(MAX($F9:QVT9)=$D12,0,QVT9+1))</f>
        <v>0</v>
      </c>
      <c r="QVV9" s="26">
        <f>IF(QVV7=0,0,IF(MAX($F9:QVU9)=$D12,0,QVU9+1))</f>
        <v>0</v>
      </c>
      <c r="QVW9" s="26">
        <f>IF(QVW7=0,0,IF(MAX($F9:QVV9)=$D12,0,QVV9+1))</f>
        <v>0</v>
      </c>
      <c r="QVX9" s="26">
        <f>IF(QVX7=0,0,IF(MAX($F9:QVW9)=$D12,0,QVW9+1))</f>
        <v>0</v>
      </c>
      <c r="QVY9" s="26">
        <f>IF(QVY7=0,0,IF(MAX($F9:QVX9)=$D12,0,QVX9+1))</f>
        <v>0</v>
      </c>
      <c r="QVZ9" s="26">
        <f>IF(QVZ7=0,0,IF(MAX($F9:QVY9)=$D12,0,QVY9+1))</f>
        <v>0</v>
      </c>
      <c r="QWA9" s="26">
        <f>IF(QWA7=0,0,IF(MAX($F9:QVZ9)=$D12,0,QVZ9+1))</f>
        <v>0</v>
      </c>
      <c r="QWB9" s="26">
        <f>IF(QWB7=0,0,IF(MAX($F9:QWA9)=$D12,0,QWA9+1))</f>
        <v>0</v>
      </c>
      <c r="QWC9" s="26">
        <f>IF(QWC7=0,0,IF(MAX($F9:QWB9)=$D12,0,QWB9+1))</f>
        <v>0</v>
      </c>
      <c r="QWD9" s="26">
        <f>IF(QWD7=0,0,IF(MAX($F9:QWC9)=$D12,0,QWC9+1))</f>
        <v>0</v>
      </c>
      <c r="QWE9" s="26">
        <f>IF(QWE7=0,0,IF(MAX($F9:QWD9)=$D12,0,QWD9+1))</f>
        <v>0</v>
      </c>
      <c r="QWF9" s="26">
        <f>IF(QWF7=0,0,IF(MAX($F9:QWE9)=$D12,0,QWE9+1))</f>
        <v>0</v>
      </c>
      <c r="QWG9" s="26">
        <f>IF(QWG7=0,0,IF(MAX($F9:QWF9)=$D12,0,QWF9+1))</f>
        <v>0</v>
      </c>
      <c r="QWH9" s="26">
        <f>IF(QWH7=0,0,IF(MAX($F9:QWG9)=$D12,0,QWG9+1))</f>
        <v>0</v>
      </c>
      <c r="QWI9" s="26">
        <f>IF(QWI7=0,0,IF(MAX($F9:QWH9)=$D12,0,QWH9+1))</f>
        <v>0</v>
      </c>
      <c r="QWJ9" s="26">
        <f>IF(QWJ7=0,0,IF(MAX($F9:QWI9)=$D12,0,QWI9+1))</f>
        <v>0</v>
      </c>
      <c r="QWK9" s="26">
        <f>IF(QWK7=0,0,IF(MAX($F9:QWJ9)=$D12,0,QWJ9+1))</f>
        <v>0</v>
      </c>
      <c r="QWL9" s="26">
        <f>IF(QWL7=0,0,IF(MAX($F9:QWK9)=$D12,0,QWK9+1))</f>
        <v>0</v>
      </c>
      <c r="QWM9" s="26">
        <f>IF(QWM7=0,0,IF(MAX($F9:QWL9)=$D12,0,QWL9+1))</f>
        <v>0</v>
      </c>
      <c r="QWN9" s="26">
        <f>IF(QWN7=0,0,IF(MAX($F9:QWM9)=$D12,0,QWM9+1))</f>
        <v>0</v>
      </c>
      <c r="QWO9" s="26">
        <f>IF(QWO7=0,0,IF(MAX($F9:QWN9)=$D12,0,QWN9+1))</f>
        <v>0</v>
      </c>
      <c r="QWP9" s="26">
        <f>IF(QWP7=0,0,IF(MAX($F9:QWO9)=$D12,0,QWO9+1))</f>
        <v>0</v>
      </c>
      <c r="QWQ9" s="26">
        <f>IF(QWQ7=0,0,IF(MAX($F9:QWP9)=$D12,0,QWP9+1))</f>
        <v>0</v>
      </c>
      <c r="QWR9" s="26">
        <f>IF(QWR7=0,0,IF(MAX($F9:QWQ9)=$D12,0,QWQ9+1))</f>
        <v>0</v>
      </c>
      <c r="QWS9" s="26">
        <f>IF(QWS7=0,0,IF(MAX($F9:QWR9)=$D12,0,QWR9+1))</f>
        <v>0</v>
      </c>
      <c r="QWT9" s="26">
        <f>IF(QWT7=0,0,IF(MAX($F9:QWS9)=$D12,0,QWS9+1))</f>
        <v>0</v>
      </c>
      <c r="QWU9" s="26">
        <f>IF(QWU7=0,0,IF(MAX($F9:QWT9)=$D12,0,QWT9+1))</f>
        <v>0</v>
      </c>
      <c r="QWV9" s="26">
        <f>IF(QWV7=0,0,IF(MAX($F9:QWU9)=$D12,0,QWU9+1))</f>
        <v>0</v>
      </c>
      <c r="QWW9" s="26">
        <f>IF(QWW7=0,0,IF(MAX($F9:QWV9)=$D12,0,QWV9+1))</f>
        <v>0</v>
      </c>
      <c r="QWX9" s="26">
        <f>IF(QWX7=0,0,IF(MAX($F9:QWW9)=$D12,0,QWW9+1))</f>
        <v>0</v>
      </c>
      <c r="QWY9" s="26">
        <f>IF(QWY7=0,0,IF(MAX($F9:QWX9)=$D12,0,QWX9+1))</f>
        <v>0</v>
      </c>
      <c r="QWZ9" s="26">
        <f>IF(QWZ7=0,0,IF(MAX($F9:QWY9)=$D12,0,QWY9+1))</f>
        <v>0</v>
      </c>
      <c r="QXA9" s="26">
        <f>IF(QXA7=0,0,IF(MAX($F9:QWZ9)=$D12,0,QWZ9+1))</f>
        <v>0</v>
      </c>
      <c r="QXB9" s="26">
        <f>IF(QXB7=0,0,IF(MAX($F9:QXA9)=$D12,0,QXA9+1))</f>
        <v>0</v>
      </c>
      <c r="QXC9" s="26">
        <f>IF(QXC7=0,0,IF(MAX($F9:QXB9)=$D12,0,QXB9+1))</f>
        <v>0</v>
      </c>
      <c r="QXD9" s="26">
        <f>IF(QXD7=0,0,IF(MAX($F9:QXC9)=$D12,0,QXC9+1))</f>
        <v>0</v>
      </c>
      <c r="QXE9" s="26">
        <f>IF(QXE7=0,0,IF(MAX($F9:QXD9)=$D12,0,QXD9+1))</f>
        <v>0</v>
      </c>
      <c r="QXF9" s="26">
        <f>IF(QXF7=0,0,IF(MAX($F9:QXE9)=$D12,0,QXE9+1))</f>
        <v>0</v>
      </c>
      <c r="QXG9" s="26">
        <f>IF(QXG7=0,0,IF(MAX($F9:QXF9)=$D12,0,QXF9+1))</f>
        <v>0</v>
      </c>
      <c r="QXH9" s="26">
        <f>IF(QXH7=0,0,IF(MAX($F9:QXG9)=$D12,0,QXG9+1))</f>
        <v>0</v>
      </c>
      <c r="QXI9" s="26">
        <f>IF(QXI7=0,0,IF(MAX($F9:QXH9)=$D12,0,QXH9+1))</f>
        <v>0</v>
      </c>
      <c r="QXJ9" s="26">
        <f>IF(QXJ7=0,0,IF(MAX($F9:QXI9)=$D12,0,QXI9+1))</f>
        <v>0</v>
      </c>
      <c r="QXK9" s="26">
        <f>IF(QXK7=0,0,IF(MAX($F9:QXJ9)=$D12,0,QXJ9+1))</f>
        <v>0</v>
      </c>
      <c r="QXL9" s="26">
        <f>IF(QXL7=0,0,IF(MAX($F9:QXK9)=$D12,0,QXK9+1))</f>
        <v>0</v>
      </c>
      <c r="QXM9" s="26">
        <f>IF(QXM7=0,0,IF(MAX($F9:QXL9)=$D12,0,QXL9+1))</f>
        <v>0</v>
      </c>
      <c r="QXN9" s="26">
        <f>IF(QXN7=0,0,IF(MAX($F9:QXM9)=$D12,0,QXM9+1))</f>
        <v>0</v>
      </c>
      <c r="QXO9" s="26">
        <f>IF(QXO7=0,0,IF(MAX($F9:QXN9)=$D12,0,QXN9+1))</f>
        <v>0</v>
      </c>
      <c r="QXP9" s="26">
        <f>IF(QXP7=0,0,IF(MAX($F9:QXO9)=$D12,0,QXO9+1))</f>
        <v>0</v>
      </c>
      <c r="QXQ9" s="26">
        <f>IF(QXQ7=0,0,IF(MAX($F9:QXP9)=$D12,0,QXP9+1))</f>
        <v>0</v>
      </c>
      <c r="QXR9" s="26">
        <f>IF(QXR7=0,0,IF(MAX($F9:QXQ9)=$D12,0,QXQ9+1))</f>
        <v>0</v>
      </c>
      <c r="QXS9" s="26">
        <f>IF(QXS7=0,0,IF(MAX($F9:QXR9)=$D12,0,QXR9+1))</f>
        <v>0</v>
      </c>
      <c r="QXT9" s="26">
        <f>IF(QXT7=0,0,IF(MAX($F9:QXS9)=$D12,0,QXS9+1))</f>
        <v>0</v>
      </c>
      <c r="QXU9" s="26">
        <f>IF(QXU7=0,0,IF(MAX($F9:QXT9)=$D12,0,QXT9+1))</f>
        <v>0</v>
      </c>
      <c r="QXV9" s="26">
        <f>IF(QXV7=0,0,IF(MAX($F9:QXU9)=$D12,0,QXU9+1))</f>
        <v>0</v>
      </c>
      <c r="QXW9" s="26">
        <f>IF(QXW7=0,0,IF(MAX($F9:QXV9)=$D12,0,QXV9+1))</f>
        <v>0</v>
      </c>
      <c r="QXX9" s="26">
        <f>IF(QXX7=0,0,IF(MAX($F9:QXW9)=$D12,0,QXW9+1))</f>
        <v>0</v>
      </c>
      <c r="QXY9" s="26">
        <f>IF(QXY7=0,0,IF(MAX($F9:QXX9)=$D12,0,QXX9+1))</f>
        <v>0</v>
      </c>
      <c r="QXZ9" s="26">
        <f>IF(QXZ7=0,0,IF(MAX($F9:QXY9)=$D12,0,QXY9+1))</f>
        <v>0</v>
      </c>
      <c r="QYA9" s="26">
        <f>IF(QYA7=0,0,IF(MAX($F9:QXZ9)=$D12,0,QXZ9+1))</f>
        <v>0</v>
      </c>
      <c r="QYB9" s="26">
        <f>IF(QYB7=0,0,IF(MAX($F9:QYA9)=$D12,0,QYA9+1))</f>
        <v>0</v>
      </c>
      <c r="QYC9" s="26">
        <f>IF(QYC7=0,0,IF(MAX($F9:QYB9)=$D12,0,QYB9+1))</f>
        <v>0</v>
      </c>
      <c r="QYD9" s="26">
        <f>IF(QYD7=0,0,IF(MAX($F9:QYC9)=$D12,0,QYC9+1))</f>
        <v>0</v>
      </c>
      <c r="QYE9" s="26">
        <f>IF(QYE7=0,0,IF(MAX($F9:QYD9)=$D12,0,QYD9+1))</f>
        <v>0</v>
      </c>
      <c r="QYF9" s="26">
        <f>IF(QYF7=0,0,IF(MAX($F9:QYE9)=$D12,0,QYE9+1))</f>
        <v>0</v>
      </c>
      <c r="QYG9" s="26">
        <f>IF(QYG7=0,0,IF(MAX($F9:QYF9)=$D12,0,QYF9+1))</f>
        <v>0</v>
      </c>
      <c r="QYH9" s="26">
        <f>IF(QYH7=0,0,IF(MAX($F9:QYG9)=$D12,0,QYG9+1))</f>
        <v>0</v>
      </c>
      <c r="QYI9" s="26">
        <f>IF(QYI7=0,0,IF(MAX($F9:QYH9)=$D12,0,QYH9+1))</f>
        <v>0</v>
      </c>
      <c r="QYJ9" s="26">
        <f>IF(QYJ7=0,0,IF(MAX($F9:QYI9)=$D12,0,QYI9+1))</f>
        <v>0</v>
      </c>
      <c r="QYK9" s="26">
        <f>IF(QYK7=0,0,IF(MAX($F9:QYJ9)=$D12,0,QYJ9+1))</f>
        <v>0</v>
      </c>
      <c r="QYL9" s="26">
        <f>IF(QYL7=0,0,IF(MAX($F9:QYK9)=$D12,0,QYK9+1))</f>
        <v>0</v>
      </c>
      <c r="QYM9" s="26">
        <f>IF(QYM7=0,0,IF(MAX($F9:QYL9)=$D12,0,QYL9+1))</f>
        <v>0</v>
      </c>
      <c r="QYN9" s="26">
        <f>IF(QYN7=0,0,IF(MAX($F9:QYM9)=$D12,0,QYM9+1))</f>
        <v>0</v>
      </c>
      <c r="QYO9" s="26">
        <f>IF(QYO7=0,0,IF(MAX($F9:QYN9)=$D12,0,QYN9+1))</f>
        <v>0</v>
      </c>
      <c r="QYP9" s="26">
        <f>IF(QYP7=0,0,IF(MAX($F9:QYO9)=$D12,0,QYO9+1))</f>
        <v>0</v>
      </c>
      <c r="QYQ9" s="26">
        <f>IF(QYQ7=0,0,IF(MAX($F9:QYP9)=$D12,0,QYP9+1))</f>
        <v>0</v>
      </c>
      <c r="QYR9" s="26">
        <f>IF(QYR7=0,0,IF(MAX($F9:QYQ9)=$D12,0,QYQ9+1))</f>
        <v>0</v>
      </c>
      <c r="QYS9" s="26">
        <f>IF(QYS7=0,0,IF(MAX($F9:QYR9)=$D12,0,QYR9+1))</f>
        <v>0</v>
      </c>
      <c r="QYT9" s="26">
        <f>IF(QYT7=0,0,IF(MAX($F9:QYS9)=$D12,0,QYS9+1))</f>
        <v>0</v>
      </c>
      <c r="QYU9" s="26">
        <f>IF(QYU7=0,0,IF(MAX($F9:QYT9)=$D12,0,QYT9+1))</f>
        <v>0</v>
      </c>
      <c r="QYV9" s="26">
        <f>IF(QYV7=0,0,IF(MAX($F9:QYU9)=$D12,0,QYU9+1))</f>
        <v>0</v>
      </c>
      <c r="QYW9" s="26">
        <f>IF(QYW7=0,0,IF(MAX($F9:QYV9)=$D12,0,QYV9+1))</f>
        <v>0</v>
      </c>
      <c r="QYX9" s="26">
        <f>IF(QYX7=0,0,IF(MAX($F9:QYW9)=$D12,0,QYW9+1))</f>
        <v>0</v>
      </c>
      <c r="QYY9" s="26">
        <f>IF(QYY7=0,0,IF(MAX($F9:QYX9)=$D12,0,QYX9+1))</f>
        <v>0</v>
      </c>
      <c r="QYZ9" s="26">
        <f>IF(QYZ7=0,0,IF(MAX($F9:QYY9)=$D12,0,QYY9+1))</f>
        <v>0</v>
      </c>
      <c r="QZA9" s="26">
        <f>IF(QZA7=0,0,IF(MAX($F9:QYZ9)=$D12,0,QYZ9+1))</f>
        <v>0</v>
      </c>
      <c r="QZB9" s="26">
        <f>IF(QZB7=0,0,IF(MAX($F9:QZA9)=$D12,0,QZA9+1))</f>
        <v>0</v>
      </c>
      <c r="QZC9" s="26">
        <f>IF(QZC7=0,0,IF(MAX($F9:QZB9)=$D12,0,QZB9+1))</f>
        <v>0</v>
      </c>
      <c r="QZD9" s="26">
        <f>IF(QZD7=0,0,IF(MAX($F9:QZC9)=$D12,0,QZC9+1))</f>
        <v>0</v>
      </c>
      <c r="QZE9" s="26">
        <f>IF(QZE7=0,0,IF(MAX($F9:QZD9)=$D12,0,QZD9+1))</f>
        <v>0</v>
      </c>
      <c r="QZF9" s="26">
        <f>IF(QZF7=0,0,IF(MAX($F9:QZE9)=$D12,0,QZE9+1))</f>
        <v>0</v>
      </c>
      <c r="QZG9" s="26">
        <f>IF(QZG7=0,0,IF(MAX($F9:QZF9)=$D12,0,QZF9+1))</f>
        <v>0</v>
      </c>
      <c r="QZH9" s="26">
        <f>IF(QZH7=0,0,IF(MAX($F9:QZG9)=$D12,0,QZG9+1))</f>
        <v>0</v>
      </c>
      <c r="QZI9" s="26">
        <f>IF(QZI7=0,0,IF(MAX($F9:QZH9)=$D12,0,QZH9+1))</f>
        <v>0</v>
      </c>
      <c r="QZJ9" s="26">
        <f>IF(QZJ7=0,0,IF(MAX($F9:QZI9)=$D12,0,QZI9+1))</f>
        <v>0</v>
      </c>
      <c r="QZK9" s="26">
        <f>IF(QZK7=0,0,IF(MAX($F9:QZJ9)=$D12,0,QZJ9+1))</f>
        <v>0</v>
      </c>
      <c r="QZL9" s="26">
        <f>IF(QZL7=0,0,IF(MAX($F9:QZK9)=$D12,0,QZK9+1))</f>
        <v>0</v>
      </c>
      <c r="QZM9" s="26">
        <f>IF(QZM7=0,0,IF(MAX($F9:QZL9)=$D12,0,QZL9+1))</f>
        <v>0</v>
      </c>
      <c r="QZN9" s="26">
        <f>IF(QZN7=0,0,IF(MAX($F9:QZM9)=$D12,0,QZM9+1))</f>
        <v>0</v>
      </c>
      <c r="QZO9" s="26">
        <f>IF(QZO7=0,0,IF(MAX($F9:QZN9)=$D12,0,QZN9+1))</f>
        <v>0</v>
      </c>
      <c r="QZP9" s="26">
        <f>IF(QZP7=0,0,IF(MAX($F9:QZO9)=$D12,0,QZO9+1))</f>
        <v>0</v>
      </c>
      <c r="QZQ9" s="26">
        <f>IF(QZQ7=0,0,IF(MAX($F9:QZP9)=$D12,0,QZP9+1))</f>
        <v>0</v>
      </c>
      <c r="QZR9" s="26">
        <f>IF(QZR7=0,0,IF(MAX($F9:QZQ9)=$D12,0,QZQ9+1))</f>
        <v>0</v>
      </c>
      <c r="QZS9" s="26">
        <f>IF(QZS7=0,0,IF(MAX($F9:QZR9)=$D12,0,QZR9+1))</f>
        <v>0</v>
      </c>
      <c r="QZT9" s="26">
        <f>IF(QZT7=0,0,IF(MAX($F9:QZS9)=$D12,0,QZS9+1))</f>
        <v>0</v>
      </c>
      <c r="QZU9" s="26">
        <f>IF(QZU7=0,0,IF(MAX($F9:QZT9)=$D12,0,QZT9+1))</f>
        <v>0</v>
      </c>
      <c r="QZV9" s="26">
        <f>IF(QZV7=0,0,IF(MAX($F9:QZU9)=$D12,0,QZU9+1))</f>
        <v>0</v>
      </c>
      <c r="QZW9" s="26">
        <f>IF(QZW7=0,0,IF(MAX($F9:QZV9)=$D12,0,QZV9+1))</f>
        <v>0</v>
      </c>
      <c r="QZX9" s="26">
        <f>IF(QZX7=0,0,IF(MAX($F9:QZW9)=$D12,0,QZW9+1))</f>
        <v>0</v>
      </c>
      <c r="QZY9" s="26">
        <f>IF(QZY7=0,0,IF(MAX($F9:QZX9)=$D12,0,QZX9+1))</f>
        <v>0</v>
      </c>
      <c r="QZZ9" s="26">
        <f>IF(QZZ7=0,0,IF(MAX($F9:QZY9)=$D12,0,QZY9+1))</f>
        <v>0</v>
      </c>
      <c r="RAA9" s="26">
        <f>IF(RAA7=0,0,IF(MAX($F9:QZZ9)=$D12,0,QZZ9+1))</f>
        <v>0</v>
      </c>
      <c r="RAB9" s="26">
        <f>IF(RAB7=0,0,IF(MAX($F9:RAA9)=$D12,0,RAA9+1))</f>
        <v>0</v>
      </c>
      <c r="RAC9" s="26">
        <f>IF(RAC7=0,0,IF(MAX($F9:RAB9)=$D12,0,RAB9+1))</f>
        <v>0</v>
      </c>
      <c r="RAD9" s="26">
        <f>IF(RAD7=0,0,IF(MAX($F9:RAC9)=$D12,0,RAC9+1))</f>
        <v>0</v>
      </c>
      <c r="RAE9" s="26">
        <f>IF(RAE7=0,0,IF(MAX($F9:RAD9)=$D12,0,RAD9+1))</f>
        <v>0</v>
      </c>
      <c r="RAF9" s="26">
        <f>IF(RAF7=0,0,IF(MAX($F9:RAE9)=$D12,0,RAE9+1))</f>
        <v>0</v>
      </c>
      <c r="RAG9" s="26">
        <f>IF(RAG7=0,0,IF(MAX($F9:RAF9)=$D12,0,RAF9+1))</f>
        <v>0</v>
      </c>
      <c r="RAH9" s="26">
        <f>IF(RAH7=0,0,IF(MAX($F9:RAG9)=$D12,0,RAG9+1))</f>
        <v>0</v>
      </c>
      <c r="RAI9" s="26">
        <f>IF(RAI7=0,0,IF(MAX($F9:RAH9)=$D12,0,RAH9+1))</f>
        <v>0</v>
      </c>
      <c r="RAJ9" s="26">
        <f>IF(RAJ7=0,0,IF(MAX($F9:RAI9)=$D12,0,RAI9+1))</f>
        <v>0</v>
      </c>
      <c r="RAK9" s="26">
        <f>IF(RAK7=0,0,IF(MAX($F9:RAJ9)=$D12,0,RAJ9+1))</f>
        <v>0</v>
      </c>
      <c r="RAL9" s="26">
        <f>IF(RAL7=0,0,IF(MAX($F9:RAK9)=$D12,0,RAK9+1))</f>
        <v>0</v>
      </c>
      <c r="RAM9" s="26">
        <f>IF(RAM7=0,0,IF(MAX($F9:RAL9)=$D12,0,RAL9+1))</f>
        <v>0</v>
      </c>
      <c r="RAN9" s="26">
        <f>IF(RAN7=0,0,IF(MAX($F9:RAM9)=$D12,0,RAM9+1))</f>
        <v>0</v>
      </c>
      <c r="RAO9" s="26">
        <f>IF(RAO7=0,0,IF(MAX($F9:RAN9)=$D12,0,RAN9+1))</f>
        <v>0</v>
      </c>
      <c r="RAP9" s="26">
        <f>IF(RAP7=0,0,IF(MAX($F9:RAO9)=$D12,0,RAO9+1))</f>
        <v>0</v>
      </c>
      <c r="RAQ9" s="26">
        <f>IF(RAQ7=0,0,IF(MAX($F9:RAP9)=$D12,0,RAP9+1))</f>
        <v>0</v>
      </c>
      <c r="RAR9" s="26">
        <f>IF(RAR7=0,0,IF(MAX($F9:RAQ9)=$D12,0,RAQ9+1))</f>
        <v>0</v>
      </c>
      <c r="RAS9" s="26">
        <f>IF(RAS7=0,0,IF(MAX($F9:RAR9)=$D12,0,RAR9+1))</f>
        <v>0</v>
      </c>
      <c r="RAT9" s="26">
        <f>IF(RAT7=0,0,IF(MAX($F9:RAS9)=$D12,0,RAS9+1))</f>
        <v>0</v>
      </c>
      <c r="RAU9" s="26">
        <f>IF(RAU7=0,0,IF(MAX($F9:RAT9)=$D12,0,RAT9+1))</f>
        <v>0</v>
      </c>
      <c r="RAV9" s="26">
        <f>IF(RAV7=0,0,IF(MAX($F9:RAU9)=$D12,0,RAU9+1))</f>
        <v>0</v>
      </c>
      <c r="RAW9" s="26">
        <f>IF(RAW7=0,0,IF(MAX($F9:RAV9)=$D12,0,RAV9+1))</f>
        <v>0</v>
      </c>
      <c r="RAX9" s="26">
        <f>IF(RAX7=0,0,IF(MAX($F9:RAW9)=$D12,0,RAW9+1))</f>
        <v>0</v>
      </c>
      <c r="RAY9" s="26">
        <f>IF(RAY7=0,0,IF(MAX($F9:RAX9)=$D12,0,RAX9+1))</f>
        <v>0</v>
      </c>
      <c r="RAZ9" s="26">
        <f>IF(RAZ7=0,0,IF(MAX($F9:RAY9)=$D12,0,RAY9+1))</f>
        <v>0</v>
      </c>
      <c r="RBA9" s="26">
        <f>IF(RBA7=0,0,IF(MAX($F9:RAZ9)=$D12,0,RAZ9+1))</f>
        <v>0</v>
      </c>
      <c r="RBB9" s="26">
        <f>IF(RBB7=0,0,IF(MAX($F9:RBA9)=$D12,0,RBA9+1))</f>
        <v>0</v>
      </c>
      <c r="RBC9" s="26">
        <f>IF(RBC7=0,0,IF(MAX($F9:RBB9)=$D12,0,RBB9+1))</f>
        <v>0</v>
      </c>
      <c r="RBD9" s="26">
        <f>IF(RBD7=0,0,IF(MAX($F9:RBC9)=$D12,0,RBC9+1))</f>
        <v>0</v>
      </c>
      <c r="RBE9" s="26">
        <f>IF(RBE7=0,0,IF(MAX($F9:RBD9)=$D12,0,RBD9+1))</f>
        <v>0</v>
      </c>
      <c r="RBF9" s="26">
        <f>IF(RBF7=0,0,IF(MAX($F9:RBE9)=$D12,0,RBE9+1))</f>
        <v>0</v>
      </c>
      <c r="RBG9" s="26">
        <f>IF(RBG7=0,0,IF(MAX($F9:RBF9)=$D12,0,RBF9+1))</f>
        <v>0</v>
      </c>
      <c r="RBH9" s="26">
        <f>IF(RBH7=0,0,IF(MAX($F9:RBG9)=$D12,0,RBG9+1))</f>
        <v>0</v>
      </c>
      <c r="RBI9" s="26">
        <f>IF(RBI7=0,0,IF(MAX($F9:RBH9)=$D12,0,RBH9+1))</f>
        <v>0</v>
      </c>
      <c r="RBJ9" s="26">
        <f>IF(RBJ7=0,0,IF(MAX($F9:RBI9)=$D12,0,RBI9+1))</f>
        <v>0</v>
      </c>
      <c r="RBK9" s="26">
        <f>IF(RBK7=0,0,IF(MAX($F9:RBJ9)=$D12,0,RBJ9+1))</f>
        <v>0</v>
      </c>
      <c r="RBL9" s="26">
        <f>IF(RBL7=0,0,IF(MAX($F9:RBK9)=$D12,0,RBK9+1))</f>
        <v>0</v>
      </c>
      <c r="RBM9" s="26">
        <f>IF(RBM7=0,0,IF(MAX($F9:RBL9)=$D12,0,RBL9+1))</f>
        <v>0</v>
      </c>
      <c r="RBN9" s="26">
        <f>IF(RBN7=0,0,IF(MAX($F9:RBM9)=$D12,0,RBM9+1))</f>
        <v>0</v>
      </c>
      <c r="RBO9" s="26">
        <f>IF(RBO7=0,0,IF(MAX($F9:RBN9)=$D12,0,RBN9+1))</f>
        <v>0</v>
      </c>
      <c r="RBP9" s="26">
        <f>IF(RBP7=0,0,IF(MAX($F9:RBO9)=$D12,0,RBO9+1))</f>
        <v>0</v>
      </c>
      <c r="RBQ9" s="26">
        <f>IF(RBQ7=0,0,IF(MAX($F9:RBP9)=$D12,0,RBP9+1))</f>
        <v>0</v>
      </c>
      <c r="RBR9" s="26">
        <f>IF(RBR7=0,0,IF(MAX($F9:RBQ9)=$D12,0,RBQ9+1))</f>
        <v>0</v>
      </c>
      <c r="RBS9" s="26">
        <f>IF(RBS7=0,0,IF(MAX($F9:RBR9)=$D12,0,RBR9+1))</f>
        <v>0</v>
      </c>
      <c r="RBT9" s="26">
        <f>IF(RBT7=0,0,IF(MAX($F9:RBS9)=$D12,0,RBS9+1))</f>
        <v>0</v>
      </c>
      <c r="RBU9" s="26">
        <f>IF(RBU7=0,0,IF(MAX($F9:RBT9)=$D12,0,RBT9+1))</f>
        <v>0</v>
      </c>
      <c r="RBV9" s="26">
        <f>IF(RBV7=0,0,IF(MAX($F9:RBU9)=$D12,0,RBU9+1))</f>
        <v>0</v>
      </c>
      <c r="RBW9" s="26">
        <f>IF(RBW7=0,0,IF(MAX($F9:RBV9)=$D12,0,RBV9+1))</f>
        <v>0</v>
      </c>
      <c r="RBX9" s="26">
        <f>IF(RBX7=0,0,IF(MAX($F9:RBW9)=$D12,0,RBW9+1))</f>
        <v>0</v>
      </c>
      <c r="RBY9" s="26">
        <f>IF(RBY7=0,0,IF(MAX($F9:RBX9)=$D12,0,RBX9+1))</f>
        <v>0</v>
      </c>
      <c r="RBZ9" s="26">
        <f>IF(RBZ7=0,0,IF(MAX($F9:RBY9)=$D12,0,RBY9+1))</f>
        <v>0</v>
      </c>
      <c r="RCA9" s="26">
        <f>IF(RCA7=0,0,IF(MAX($F9:RBZ9)=$D12,0,RBZ9+1))</f>
        <v>0</v>
      </c>
      <c r="RCB9" s="26">
        <f>IF(RCB7=0,0,IF(MAX($F9:RCA9)=$D12,0,RCA9+1))</f>
        <v>0</v>
      </c>
      <c r="RCC9" s="26">
        <f>IF(RCC7=0,0,IF(MAX($F9:RCB9)=$D12,0,RCB9+1))</f>
        <v>0</v>
      </c>
      <c r="RCD9" s="26">
        <f>IF(RCD7=0,0,IF(MAX($F9:RCC9)=$D12,0,RCC9+1))</f>
        <v>0</v>
      </c>
      <c r="RCE9" s="26">
        <f>IF(RCE7=0,0,IF(MAX($F9:RCD9)=$D12,0,RCD9+1))</f>
        <v>0</v>
      </c>
      <c r="RCF9" s="26">
        <f>IF(RCF7=0,0,IF(MAX($F9:RCE9)=$D12,0,RCE9+1))</f>
        <v>0</v>
      </c>
      <c r="RCG9" s="26">
        <f>IF(RCG7=0,0,IF(MAX($F9:RCF9)=$D12,0,RCF9+1))</f>
        <v>0</v>
      </c>
      <c r="RCH9" s="26">
        <f>IF(RCH7=0,0,IF(MAX($F9:RCG9)=$D12,0,RCG9+1))</f>
        <v>0</v>
      </c>
      <c r="RCI9" s="26">
        <f>IF(RCI7=0,0,IF(MAX($F9:RCH9)=$D12,0,RCH9+1))</f>
        <v>0</v>
      </c>
      <c r="RCJ9" s="26">
        <f>IF(RCJ7=0,0,IF(MAX($F9:RCI9)=$D12,0,RCI9+1))</f>
        <v>0</v>
      </c>
      <c r="RCK9" s="26">
        <f>IF(RCK7=0,0,IF(MAX($F9:RCJ9)=$D12,0,RCJ9+1))</f>
        <v>0</v>
      </c>
      <c r="RCL9" s="26">
        <f>IF(RCL7=0,0,IF(MAX($F9:RCK9)=$D12,0,RCK9+1))</f>
        <v>0</v>
      </c>
      <c r="RCM9" s="26">
        <f>IF(RCM7=0,0,IF(MAX($F9:RCL9)=$D12,0,RCL9+1))</f>
        <v>0</v>
      </c>
      <c r="RCN9" s="26">
        <f>IF(RCN7=0,0,IF(MAX($F9:RCM9)=$D12,0,RCM9+1))</f>
        <v>0</v>
      </c>
      <c r="RCO9" s="26">
        <f>IF(RCO7=0,0,IF(MAX($F9:RCN9)=$D12,0,RCN9+1))</f>
        <v>0</v>
      </c>
      <c r="RCP9" s="26">
        <f>IF(RCP7=0,0,IF(MAX($F9:RCO9)=$D12,0,RCO9+1))</f>
        <v>0</v>
      </c>
      <c r="RCQ9" s="26">
        <f>IF(RCQ7=0,0,IF(MAX($F9:RCP9)=$D12,0,RCP9+1))</f>
        <v>0</v>
      </c>
      <c r="RCR9" s="26">
        <f>IF(RCR7=0,0,IF(MAX($F9:RCQ9)=$D12,0,RCQ9+1))</f>
        <v>0</v>
      </c>
      <c r="RCS9" s="26">
        <f>IF(RCS7=0,0,IF(MAX($F9:RCR9)=$D12,0,RCR9+1))</f>
        <v>0</v>
      </c>
      <c r="RCT9" s="26">
        <f>IF(RCT7=0,0,IF(MAX($F9:RCS9)=$D12,0,RCS9+1))</f>
        <v>0</v>
      </c>
      <c r="RCU9" s="26">
        <f>IF(RCU7=0,0,IF(MAX($F9:RCT9)=$D12,0,RCT9+1))</f>
        <v>0</v>
      </c>
      <c r="RCV9" s="26">
        <f>IF(RCV7=0,0,IF(MAX($F9:RCU9)=$D12,0,RCU9+1))</f>
        <v>0</v>
      </c>
      <c r="RCW9" s="26">
        <f>IF(RCW7=0,0,IF(MAX($F9:RCV9)=$D12,0,RCV9+1))</f>
        <v>0</v>
      </c>
      <c r="RCX9" s="26">
        <f>IF(RCX7=0,0,IF(MAX($F9:RCW9)=$D12,0,RCW9+1))</f>
        <v>0</v>
      </c>
      <c r="RCY9" s="26">
        <f>IF(RCY7=0,0,IF(MAX($F9:RCX9)=$D12,0,RCX9+1))</f>
        <v>0</v>
      </c>
      <c r="RCZ9" s="26">
        <f>IF(RCZ7=0,0,IF(MAX($F9:RCY9)=$D12,0,RCY9+1))</f>
        <v>0</v>
      </c>
      <c r="RDA9" s="26">
        <f>IF(RDA7=0,0,IF(MAX($F9:RCZ9)=$D12,0,RCZ9+1))</f>
        <v>0</v>
      </c>
      <c r="RDB9" s="26">
        <f>IF(RDB7=0,0,IF(MAX($F9:RDA9)=$D12,0,RDA9+1))</f>
        <v>0</v>
      </c>
      <c r="RDC9" s="26">
        <f>IF(RDC7=0,0,IF(MAX($F9:RDB9)=$D12,0,RDB9+1))</f>
        <v>0</v>
      </c>
      <c r="RDD9" s="26">
        <f>IF(RDD7=0,0,IF(MAX($F9:RDC9)=$D12,0,RDC9+1))</f>
        <v>0</v>
      </c>
      <c r="RDE9" s="26">
        <f>IF(RDE7=0,0,IF(MAX($F9:RDD9)=$D12,0,RDD9+1))</f>
        <v>0</v>
      </c>
      <c r="RDF9" s="26">
        <f>IF(RDF7=0,0,IF(MAX($F9:RDE9)=$D12,0,RDE9+1))</f>
        <v>0</v>
      </c>
      <c r="RDG9" s="26">
        <f>IF(RDG7=0,0,IF(MAX($F9:RDF9)=$D12,0,RDF9+1))</f>
        <v>0</v>
      </c>
      <c r="RDH9" s="26">
        <f>IF(RDH7=0,0,IF(MAX($F9:RDG9)=$D12,0,RDG9+1))</f>
        <v>0</v>
      </c>
      <c r="RDI9" s="26">
        <f>IF(RDI7=0,0,IF(MAX($F9:RDH9)=$D12,0,RDH9+1))</f>
        <v>0</v>
      </c>
      <c r="RDJ9" s="26">
        <f>IF(RDJ7=0,0,IF(MAX($F9:RDI9)=$D12,0,RDI9+1))</f>
        <v>0</v>
      </c>
      <c r="RDK9" s="26">
        <f>IF(RDK7=0,0,IF(MAX($F9:RDJ9)=$D12,0,RDJ9+1))</f>
        <v>0</v>
      </c>
      <c r="RDL9" s="26">
        <f>IF(RDL7=0,0,IF(MAX($F9:RDK9)=$D12,0,RDK9+1))</f>
        <v>0</v>
      </c>
      <c r="RDM9" s="26">
        <f>IF(RDM7=0,0,IF(MAX($F9:RDL9)=$D12,0,RDL9+1))</f>
        <v>0</v>
      </c>
      <c r="RDN9" s="26">
        <f>IF(RDN7=0,0,IF(MAX($F9:RDM9)=$D12,0,RDM9+1))</f>
        <v>0</v>
      </c>
      <c r="RDO9" s="26">
        <f>IF(RDO7=0,0,IF(MAX($F9:RDN9)=$D12,0,RDN9+1))</f>
        <v>0</v>
      </c>
      <c r="RDP9" s="26">
        <f>IF(RDP7=0,0,IF(MAX($F9:RDO9)=$D12,0,RDO9+1))</f>
        <v>0</v>
      </c>
      <c r="RDQ9" s="26">
        <f>IF(RDQ7=0,0,IF(MAX($F9:RDP9)=$D12,0,RDP9+1))</f>
        <v>0</v>
      </c>
      <c r="RDR9" s="26">
        <f>IF(RDR7=0,0,IF(MAX($F9:RDQ9)=$D12,0,RDQ9+1))</f>
        <v>0</v>
      </c>
      <c r="RDS9" s="26">
        <f>IF(RDS7=0,0,IF(MAX($F9:RDR9)=$D12,0,RDR9+1))</f>
        <v>0</v>
      </c>
      <c r="RDT9" s="26">
        <f>IF(RDT7=0,0,IF(MAX($F9:RDS9)=$D12,0,RDS9+1))</f>
        <v>0</v>
      </c>
      <c r="RDU9" s="26">
        <f>IF(RDU7=0,0,IF(MAX($F9:RDT9)=$D12,0,RDT9+1))</f>
        <v>0</v>
      </c>
      <c r="RDV9" s="26">
        <f>IF(RDV7=0,0,IF(MAX($F9:RDU9)=$D12,0,RDU9+1))</f>
        <v>0</v>
      </c>
      <c r="RDW9" s="26">
        <f>IF(RDW7=0,0,IF(MAX($F9:RDV9)=$D12,0,RDV9+1))</f>
        <v>0</v>
      </c>
      <c r="RDX9" s="26">
        <f>IF(RDX7=0,0,IF(MAX($F9:RDW9)=$D12,0,RDW9+1))</f>
        <v>0</v>
      </c>
      <c r="RDY9" s="26">
        <f>IF(RDY7=0,0,IF(MAX($F9:RDX9)=$D12,0,RDX9+1))</f>
        <v>0</v>
      </c>
      <c r="RDZ9" s="26">
        <f>IF(RDZ7=0,0,IF(MAX($F9:RDY9)=$D12,0,RDY9+1))</f>
        <v>0</v>
      </c>
      <c r="REA9" s="26">
        <f>IF(REA7=0,0,IF(MAX($F9:RDZ9)=$D12,0,RDZ9+1))</f>
        <v>0</v>
      </c>
      <c r="REB9" s="26">
        <f>IF(REB7=0,0,IF(MAX($F9:REA9)=$D12,0,REA9+1))</f>
        <v>0</v>
      </c>
      <c r="REC9" s="26">
        <f>IF(REC7=0,0,IF(MAX($F9:REB9)=$D12,0,REB9+1))</f>
        <v>0</v>
      </c>
      <c r="RED9" s="26">
        <f>IF(RED7=0,0,IF(MAX($F9:REC9)=$D12,0,REC9+1))</f>
        <v>0</v>
      </c>
      <c r="REE9" s="26">
        <f>IF(REE7=0,0,IF(MAX($F9:RED9)=$D12,0,RED9+1))</f>
        <v>0</v>
      </c>
      <c r="REF9" s="26">
        <f>IF(REF7=0,0,IF(MAX($F9:REE9)=$D12,0,REE9+1))</f>
        <v>0</v>
      </c>
      <c r="REG9" s="26">
        <f>IF(REG7=0,0,IF(MAX($F9:REF9)=$D12,0,REF9+1))</f>
        <v>0</v>
      </c>
      <c r="REH9" s="26">
        <f>IF(REH7=0,0,IF(MAX($F9:REG9)=$D12,0,REG9+1))</f>
        <v>0</v>
      </c>
      <c r="REI9" s="26">
        <f>IF(REI7=0,0,IF(MAX($F9:REH9)=$D12,0,REH9+1))</f>
        <v>0</v>
      </c>
      <c r="REJ9" s="26">
        <f>IF(REJ7=0,0,IF(MAX($F9:REI9)=$D12,0,REI9+1))</f>
        <v>0</v>
      </c>
      <c r="REK9" s="26">
        <f>IF(REK7=0,0,IF(MAX($F9:REJ9)=$D12,0,REJ9+1))</f>
        <v>0</v>
      </c>
      <c r="REL9" s="26">
        <f>IF(REL7=0,0,IF(MAX($F9:REK9)=$D12,0,REK9+1))</f>
        <v>0</v>
      </c>
      <c r="REM9" s="26">
        <f>IF(REM7=0,0,IF(MAX($F9:REL9)=$D12,0,REL9+1))</f>
        <v>0</v>
      </c>
      <c r="REN9" s="26">
        <f>IF(REN7=0,0,IF(MAX($F9:REM9)=$D12,0,REM9+1))</f>
        <v>0</v>
      </c>
      <c r="REO9" s="26">
        <f>IF(REO7=0,0,IF(MAX($F9:REN9)=$D12,0,REN9+1))</f>
        <v>0</v>
      </c>
      <c r="REP9" s="26">
        <f>IF(REP7=0,0,IF(MAX($F9:REO9)=$D12,0,REO9+1))</f>
        <v>0</v>
      </c>
      <c r="REQ9" s="26">
        <f>IF(REQ7=0,0,IF(MAX($F9:REP9)=$D12,0,REP9+1))</f>
        <v>0</v>
      </c>
      <c r="RER9" s="26">
        <f>IF(RER7=0,0,IF(MAX($F9:REQ9)=$D12,0,REQ9+1))</f>
        <v>0</v>
      </c>
      <c r="RES9" s="26">
        <f>IF(RES7=0,0,IF(MAX($F9:RER9)=$D12,0,RER9+1))</f>
        <v>0</v>
      </c>
      <c r="RET9" s="26">
        <f>IF(RET7=0,0,IF(MAX($F9:RES9)=$D12,0,RES9+1))</f>
        <v>0</v>
      </c>
      <c r="REU9" s="26">
        <f>IF(REU7=0,0,IF(MAX($F9:RET9)=$D12,0,RET9+1))</f>
        <v>0</v>
      </c>
      <c r="REV9" s="26">
        <f>IF(REV7=0,0,IF(MAX($F9:REU9)=$D12,0,REU9+1))</f>
        <v>0</v>
      </c>
      <c r="REW9" s="26">
        <f>IF(REW7=0,0,IF(MAX($F9:REV9)=$D12,0,REV9+1))</f>
        <v>0</v>
      </c>
      <c r="REX9" s="26">
        <f>IF(REX7=0,0,IF(MAX($F9:REW9)=$D12,0,REW9+1))</f>
        <v>0</v>
      </c>
      <c r="REY9" s="26">
        <f>IF(REY7=0,0,IF(MAX($F9:REX9)=$D12,0,REX9+1))</f>
        <v>0</v>
      </c>
      <c r="REZ9" s="26">
        <f>IF(REZ7=0,0,IF(MAX($F9:REY9)=$D12,0,REY9+1))</f>
        <v>0</v>
      </c>
      <c r="RFA9" s="26">
        <f>IF(RFA7=0,0,IF(MAX($F9:REZ9)=$D12,0,REZ9+1))</f>
        <v>0</v>
      </c>
      <c r="RFB9" s="26">
        <f>IF(RFB7=0,0,IF(MAX($F9:RFA9)=$D12,0,RFA9+1))</f>
        <v>0</v>
      </c>
      <c r="RFC9" s="26">
        <f>IF(RFC7=0,0,IF(MAX($F9:RFB9)=$D12,0,RFB9+1))</f>
        <v>0</v>
      </c>
      <c r="RFD9" s="26">
        <f>IF(RFD7=0,0,IF(MAX($F9:RFC9)=$D12,0,RFC9+1))</f>
        <v>0</v>
      </c>
      <c r="RFE9" s="26">
        <f>IF(RFE7=0,0,IF(MAX($F9:RFD9)=$D12,0,RFD9+1))</f>
        <v>0</v>
      </c>
      <c r="RFF9" s="26">
        <f>IF(RFF7=0,0,IF(MAX($F9:RFE9)=$D12,0,RFE9+1))</f>
        <v>0</v>
      </c>
      <c r="RFG9" s="26">
        <f>IF(RFG7=0,0,IF(MAX($F9:RFF9)=$D12,0,RFF9+1))</f>
        <v>0</v>
      </c>
      <c r="RFH9" s="26">
        <f>IF(RFH7=0,0,IF(MAX($F9:RFG9)=$D12,0,RFG9+1))</f>
        <v>0</v>
      </c>
      <c r="RFI9" s="26">
        <f>IF(RFI7=0,0,IF(MAX($F9:RFH9)=$D12,0,RFH9+1))</f>
        <v>0</v>
      </c>
      <c r="RFJ9" s="26">
        <f>IF(RFJ7=0,0,IF(MAX($F9:RFI9)=$D12,0,RFI9+1))</f>
        <v>0</v>
      </c>
      <c r="RFK9" s="26">
        <f>IF(RFK7=0,0,IF(MAX($F9:RFJ9)=$D12,0,RFJ9+1))</f>
        <v>0</v>
      </c>
      <c r="RFL9" s="26">
        <f>IF(RFL7=0,0,IF(MAX($F9:RFK9)=$D12,0,RFK9+1))</f>
        <v>0</v>
      </c>
      <c r="RFM9" s="26">
        <f>IF(RFM7=0,0,IF(MAX($F9:RFL9)=$D12,0,RFL9+1))</f>
        <v>0</v>
      </c>
      <c r="RFN9" s="26">
        <f>IF(RFN7=0,0,IF(MAX($F9:RFM9)=$D12,0,RFM9+1))</f>
        <v>0</v>
      </c>
      <c r="RFO9" s="26">
        <f>IF(RFO7=0,0,IF(MAX($F9:RFN9)=$D12,0,RFN9+1))</f>
        <v>0</v>
      </c>
      <c r="RFP9" s="26">
        <f>IF(RFP7=0,0,IF(MAX($F9:RFO9)=$D12,0,RFO9+1))</f>
        <v>0</v>
      </c>
      <c r="RFQ9" s="26">
        <f>IF(RFQ7=0,0,IF(MAX($F9:RFP9)=$D12,0,RFP9+1))</f>
        <v>0</v>
      </c>
      <c r="RFR9" s="26">
        <f>IF(RFR7=0,0,IF(MAX($F9:RFQ9)=$D12,0,RFQ9+1))</f>
        <v>0</v>
      </c>
      <c r="RFS9" s="26">
        <f>IF(RFS7=0,0,IF(MAX($F9:RFR9)=$D12,0,RFR9+1))</f>
        <v>0</v>
      </c>
      <c r="RFT9" s="26">
        <f>IF(RFT7=0,0,IF(MAX($F9:RFS9)=$D12,0,RFS9+1))</f>
        <v>0</v>
      </c>
      <c r="RFU9" s="26">
        <f>IF(RFU7=0,0,IF(MAX($F9:RFT9)=$D12,0,RFT9+1))</f>
        <v>0</v>
      </c>
      <c r="RFV9" s="26">
        <f>IF(RFV7=0,0,IF(MAX($F9:RFU9)=$D12,0,RFU9+1))</f>
        <v>0</v>
      </c>
      <c r="RFW9" s="26">
        <f>IF(RFW7=0,0,IF(MAX($F9:RFV9)=$D12,0,RFV9+1))</f>
        <v>0</v>
      </c>
      <c r="RFX9" s="26">
        <f>IF(RFX7=0,0,IF(MAX($F9:RFW9)=$D12,0,RFW9+1))</f>
        <v>0</v>
      </c>
      <c r="RFY9" s="26">
        <f>IF(RFY7=0,0,IF(MAX($F9:RFX9)=$D12,0,RFX9+1))</f>
        <v>0</v>
      </c>
      <c r="RFZ9" s="26">
        <f>IF(RFZ7=0,0,IF(MAX($F9:RFY9)=$D12,0,RFY9+1))</f>
        <v>0</v>
      </c>
      <c r="RGA9" s="26">
        <f>IF(RGA7=0,0,IF(MAX($F9:RFZ9)=$D12,0,RFZ9+1))</f>
        <v>0</v>
      </c>
      <c r="RGB9" s="26">
        <f>IF(RGB7=0,0,IF(MAX($F9:RGA9)=$D12,0,RGA9+1))</f>
        <v>0</v>
      </c>
      <c r="RGC9" s="26">
        <f>IF(RGC7=0,0,IF(MAX($F9:RGB9)=$D12,0,RGB9+1))</f>
        <v>0</v>
      </c>
      <c r="RGD9" s="26">
        <f>IF(RGD7=0,0,IF(MAX($F9:RGC9)=$D12,0,RGC9+1))</f>
        <v>0</v>
      </c>
      <c r="RGE9" s="26">
        <f>IF(RGE7=0,0,IF(MAX($F9:RGD9)=$D12,0,RGD9+1))</f>
        <v>0</v>
      </c>
      <c r="RGF9" s="26">
        <f>IF(RGF7=0,0,IF(MAX($F9:RGE9)=$D12,0,RGE9+1))</f>
        <v>0</v>
      </c>
      <c r="RGG9" s="26">
        <f>IF(RGG7=0,0,IF(MAX($F9:RGF9)=$D12,0,RGF9+1))</f>
        <v>0</v>
      </c>
      <c r="RGH9" s="26">
        <f>IF(RGH7=0,0,IF(MAX($F9:RGG9)=$D12,0,RGG9+1))</f>
        <v>0</v>
      </c>
      <c r="RGI9" s="26">
        <f>IF(RGI7=0,0,IF(MAX($F9:RGH9)=$D12,0,RGH9+1))</f>
        <v>0</v>
      </c>
      <c r="RGJ9" s="26">
        <f>IF(RGJ7=0,0,IF(MAX($F9:RGI9)=$D12,0,RGI9+1))</f>
        <v>0</v>
      </c>
      <c r="RGK9" s="26">
        <f>IF(RGK7=0,0,IF(MAX($F9:RGJ9)=$D12,0,RGJ9+1))</f>
        <v>0</v>
      </c>
      <c r="RGL9" s="26">
        <f>IF(RGL7=0,0,IF(MAX($F9:RGK9)=$D12,0,RGK9+1))</f>
        <v>0</v>
      </c>
      <c r="RGM9" s="26">
        <f>IF(RGM7=0,0,IF(MAX($F9:RGL9)=$D12,0,RGL9+1))</f>
        <v>0</v>
      </c>
      <c r="RGN9" s="26">
        <f>IF(RGN7=0,0,IF(MAX($F9:RGM9)=$D12,0,RGM9+1))</f>
        <v>0</v>
      </c>
      <c r="RGO9" s="26">
        <f>IF(RGO7=0,0,IF(MAX($F9:RGN9)=$D12,0,RGN9+1))</f>
        <v>0</v>
      </c>
      <c r="RGP9" s="26">
        <f>IF(RGP7=0,0,IF(MAX($F9:RGO9)=$D12,0,RGO9+1))</f>
        <v>0</v>
      </c>
      <c r="RGQ9" s="26">
        <f>IF(RGQ7=0,0,IF(MAX($F9:RGP9)=$D12,0,RGP9+1))</f>
        <v>0</v>
      </c>
      <c r="RGR9" s="26">
        <f>IF(RGR7=0,0,IF(MAX($F9:RGQ9)=$D12,0,RGQ9+1))</f>
        <v>0</v>
      </c>
      <c r="RGS9" s="26">
        <f>IF(RGS7=0,0,IF(MAX($F9:RGR9)=$D12,0,RGR9+1))</f>
        <v>0</v>
      </c>
      <c r="RGT9" s="26">
        <f>IF(RGT7=0,0,IF(MAX($F9:RGS9)=$D12,0,RGS9+1))</f>
        <v>0</v>
      </c>
      <c r="RGU9" s="26">
        <f>IF(RGU7=0,0,IF(MAX($F9:RGT9)=$D12,0,RGT9+1))</f>
        <v>0</v>
      </c>
      <c r="RGV9" s="26">
        <f>IF(RGV7=0,0,IF(MAX($F9:RGU9)=$D12,0,RGU9+1))</f>
        <v>0</v>
      </c>
      <c r="RGW9" s="26">
        <f>IF(RGW7=0,0,IF(MAX($F9:RGV9)=$D12,0,RGV9+1))</f>
        <v>0</v>
      </c>
      <c r="RGX9" s="26">
        <f>IF(RGX7=0,0,IF(MAX($F9:RGW9)=$D12,0,RGW9+1))</f>
        <v>0</v>
      </c>
      <c r="RGY9" s="26">
        <f>IF(RGY7=0,0,IF(MAX($F9:RGX9)=$D12,0,RGX9+1))</f>
        <v>0</v>
      </c>
      <c r="RGZ9" s="26">
        <f>IF(RGZ7=0,0,IF(MAX($F9:RGY9)=$D12,0,RGY9+1))</f>
        <v>0</v>
      </c>
      <c r="RHA9" s="26">
        <f>IF(RHA7=0,0,IF(MAX($F9:RGZ9)=$D12,0,RGZ9+1))</f>
        <v>0</v>
      </c>
      <c r="RHB9" s="26">
        <f>IF(RHB7=0,0,IF(MAX($F9:RHA9)=$D12,0,RHA9+1))</f>
        <v>0</v>
      </c>
      <c r="RHC9" s="26">
        <f>IF(RHC7=0,0,IF(MAX($F9:RHB9)=$D12,0,RHB9+1))</f>
        <v>0</v>
      </c>
      <c r="RHD9" s="26">
        <f>IF(RHD7=0,0,IF(MAX($F9:RHC9)=$D12,0,RHC9+1))</f>
        <v>0</v>
      </c>
      <c r="RHE9" s="26">
        <f>IF(RHE7=0,0,IF(MAX($F9:RHD9)=$D12,0,RHD9+1))</f>
        <v>0</v>
      </c>
      <c r="RHF9" s="26">
        <f>IF(RHF7=0,0,IF(MAX($F9:RHE9)=$D12,0,RHE9+1))</f>
        <v>0</v>
      </c>
      <c r="RHG9" s="26">
        <f>IF(RHG7=0,0,IF(MAX($F9:RHF9)=$D12,0,RHF9+1))</f>
        <v>0</v>
      </c>
      <c r="RHH9" s="26">
        <f>IF(RHH7=0,0,IF(MAX($F9:RHG9)=$D12,0,RHG9+1))</f>
        <v>0</v>
      </c>
      <c r="RHI9" s="26">
        <f>IF(RHI7=0,0,IF(MAX($F9:RHH9)=$D12,0,RHH9+1))</f>
        <v>0</v>
      </c>
      <c r="RHJ9" s="26">
        <f>IF(RHJ7=0,0,IF(MAX($F9:RHI9)=$D12,0,RHI9+1))</f>
        <v>0</v>
      </c>
      <c r="RHK9" s="26">
        <f>IF(RHK7=0,0,IF(MAX($F9:RHJ9)=$D12,0,RHJ9+1))</f>
        <v>0</v>
      </c>
      <c r="RHL9" s="26">
        <f>IF(RHL7=0,0,IF(MAX($F9:RHK9)=$D12,0,RHK9+1))</f>
        <v>0</v>
      </c>
      <c r="RHM9" s="26">
        <f>IF(RHM7=0,0,IF(MAX($F9:RHL9)=$D12,0,RHL9+1))</f>
        <v>0</v>
      </c>
      <c r="RHN9" s="26">
        <f>IF(RHN7=0,0,IF(MAX($F9:RHM9)=$D12,0,RHM9+1))</f>
        <v>0</v>
      </c>
      <c r="RHO9" s="26">
        <f>IF(RHO7=0,0,IF(MAX($F9:RHN9)=$D12,0,RHN9+1))</f>
        <v>0</v>
      </c>
      <c r="RHP9" s="26">
        <f>IF(RHP7=0,0,IF(MAX($F9:RHO9)=$D12,0,RHO9+1))</f>
        <v>0</v>
      </c>
      <c r="RHQ9" s="26">
        <f>IF(RHQ7=0,0,IF(MAX($F9:RHP9)=$D12,0,RHP9+1))</f>
        <v>0</v>
      </c>
      <c r="RHR9" s="26">
        <f>IF(RHR7=0,0,IF(MAX($F9:RHQ9)=$D12,0,RHQ9+1))</f>
        <v>0</v>
      </c>
      <c r="RHS9" s="26">
        <f>IF(RHS7=0,0,IF(MAX($F9:RHR9)=$D12,0,RHR9+1))</f>
        <v>0</v>
      </c>
      <c r="RHT9" s="26">
        <f>IF(RHT7=0,0,IF(MAX($F9:RHS9)=$D12,0,RHS9+1))</f>
        <v>0</v>
      </c>
      <c r="RHU9" s="26">
        <f>IF(RHU7=0,0,IF(MAX($F9:RHT9)=$D12,0,RHT9+1))</f>
        <v>0</v>
      </c>
      <c r="RHV9" s="26">
        <f>IF(RHV7=0,0,IF(MAX($F9:RHU9)=$D12,0,RHU9+1))</f>
        <v>0</v>
      </c>
      <c r="RHW9" s="26">
        <f>IF(RHW7=0,0,IF(MAX($F9:RHV9)=$D12,0,RHV9+1))</f>
        <v>0</v>
      </c>
      <c r="RHX9" s="26">
        <f>IF(RHX7=0,0,IF(MAX($F9:RHW9)=$D12,0,RHW9+1))</f>
        <v>0</v>
      </c>
      <c r="RHY9" s="26">
        <f>IF(RHY7=0,0,IF(MAX($F9:RHX9)=$D12,0,RHX9+1))</f>
        <v>0</v>
      </c>
      <c r="RHZ9" s="26">
        <f>IF(RHZ7=0,0,IF(MAX($F9:RHY9)=$D12,0,RHY9+1))</f>
        <v>0</v>
      </c>
      <c r="RIA9" s="26">
        <f>IF(RIA7=0,0,IF(MAX($F9:RHZ9)=$D12,0,RHZ9+1))</f>
        <v>0</v>
      </c>
      <c r="RIB9" s="26">
        <f>IF(RIB7=0,0,IF(MAX($F9:RIA9)=$D12,0,RIA9+1))</f>
        <v>0</v>
      </c>
      <c r="RIC9" s="26">
        <f>IF(RIC7=0,0,IF(MAX($F9:RIB9)=$D12,0,RIB9+1))</f>
        <v>0</v>
      </c>
      <c r="RID9" s="26">
        <f>IF(RID7=0,0,IF(MAX($F9:RIC9)=$D12,0,RIC9+1))</f>
        <v>0</v>
      </c>
      <c r="RIE9" s="26">
        <f>IF(RIE7=0,0,IF(MAX($F9:RID9)=$D12,0,RID9+1))</f>
        <v>0</v>
      </c>
      <c r="RIF9" s="26">
        <f>IF(RIF7=0,0,IF(MAX($F9:RIE9)=$D12,0,RIE9+1))</f>
        <v>0</v>
      </c>
      <c r="RIG9" s="26">
        <f>IF(RIG7=0,0,IF(MAX($F9:RIF9)=$D12,0,RIF9+1))</f>
        <v>0</v>
      </c>
      <c r="RIH9" s="26">
        <f>IF(RIH7=0,0,IF(MAX($F9:RIG9)=$D12,0,RIG9+1))</f>
        <v>0</v>
      </c>
      <c r="RII9" s="26">
        <f>IF(RII7=0,0,IF(MAX($F9:RIH9)=$D12,0,RIH9+1))</f>
        <v>0</v>
      </c>
      <c r="RIJ9" s="26">
        <f>IF(RIJ7=0,0,IF(MAX($F9:RII9)=$D12,0,RII9+1))</f>
        <v>0</v>
      </c>
      <c r="RIK9" s="26">
        <f>IF(RIK7=0,0,IF(MAX($F9:RIJ9)=$D12,0,RIJ9+1))</f>
        <v>0</v>
      </c>
      <c r="RIL9" s="26">
        <f>IF(RIL7=0,0,IF(MAX($F9:RIK9)=$D12,0,RIK9+1))</f>
        <v>0</v>
      </c>
      <c r="RIM9" s="26">
        <f>IF(RIM7=0,0,IF(MAX($F9:RIL9)=$D12,0,RIL9+1))</f>
        <v>0</v>
      </c>
      <c r="RIN9" s="26">
        <f>IF(RIN7=0,0,IF(MAX($F9:RIM9)=$D12,0,RIM9+1))</f>
        <v>0</v>
      </c>
      <c r="RIO9" s="26">
        <f>IF(RIO7=0,0,IF(MAX($F9:RIN9)=$D12,0,RIN9+1))</f>
        <v>0</v>
      </c>
      <c r="RIP9" s="26">
        <f>IF(RIP7=0,0,IF(MAX($F9:RIO9)=$D12,0,RIO9+1))</f>
        <v>0</v>
      </c>
      <c r="RIQ9" s="26">
        <f>IF(RIQ7=0,0,IF(MAX($F9:RIP9)=$D12,0,RIP9+1))</f>
        <v>0</v>
      </c>
      <c r="RIR9" s="26">
        <f>IF(RIR7=0,0,IF(MAX($F9:RIQ9)=$D12,0,RIQ9+1))</f>
        <v>0</v>
      </c>
      <c r="RIS9" s="26">
        <f>IF(RIS7=0,0,IF(MAX($F9:RIR9)=$D12,0,RIR9+1))</f>
        <v>0</v>
      </c>
      <c r="RIT9" s="26">
        <f>IF(RIT7=0,0,IF(MAX($F9:RIS9)=$D12,0,RIS9+1))</f>
        <v>0</v>
      </c>
      <c r="RIU9" s="26">
        <f>IF(RIU7=0,0,IF(MAX($F9:RIT9)=$D12,0,RIT9+1))</f>
        <v>0</v>
      </c>
      <c r="RIV9" s="26">
        <f>IF(RIV7=0,0,IF(MAX($F9:RIU9)=$D12,0,RIU9+1))</f>
        <v>0</v>
      </c>
      <c r="RIW9" s="26">
        <f>IF(RIW7=0,0,IF(MAX($F9:RIV9)=$D12,0,RIV9+1))</f>
        <v>0</v>
      </c>
      <c r="RIX9" s="26">
        <f>IF(RIX7=0,0,IF(MAX($F9:RIW9)=$D12,0,RIW9+1))</f>
        <v>0</v>
      </c>
      <c r="RIY9" s="26">
        <f>IF(RIY7=0,0,IF(MAX($F9:RIX9)=$D12,0,RIX9+1))</f>
        <v>0</v>
      </c>
      <c r="RIZ9" s="26">
        <f>IF(RIZ7=0,0,IF(MAX($F9:RIY9)=$D12,0,RIY9+1))</f>
        <v>0</v>
      </c>
      <c r="RJA9" s="26">
        <f>IF(RJA7=0,0,IF(MAX($F9:RIZ9)=$D12,0,RIZ9+1))</f>
        <v>0</v>
      </c>
      <c r="RJB9" s="26">
        <f>IF(RJB7=0,0,IF(MAX($F9:RJA9)=$D12,0,RJA9+1))</f>
        <v>0</v>
      </c>
      <c r="RJC9" s="26">
        <f>IF(RJC7=0,0,IF(MAX($F9:RJB9)=$D12,0,RJB9+1))</f>
        <v>0</v>
      </c>
      <c r="RJD9" s="26">
        <f>IF(RJD7=0,0,IF(MAX($F9:RJC9)=$D12,0,RJC9+1))</f>
        <v>0</v>
      </c>
      <c r="RJE9" s="26">
        <f>IF(RJE7=0,0,IF(MAX($F9:RJD9)=$D12,0,RJD9+1))</f>
        <v>0</v>
      </c>
      <c r="RJF9" s="26">
        <f>IF(RJF7=0,0,IF(MAX($F9:RJE9)=$D12,0,RJE9+1))</f>
        <v>0</v>
      </c>
      <c r="RJG9" s="26">
        <f>IF(RJG7=0,0,IF(MAX($F9:RJF9)=$D12,0,RJF9+1))</f>
        <v>0</v>
      </c>
      <c r="RJH9" s="26">
        <f>IF(RJH7=0,0,IF(MAX($F9:RJG9)=$D12,0,RJG9+1))</f>
        <v>0</v>
      </c>
      <c r="RJI9" s="26">
        <f>IF(RJI7=0,0,IF(MAX($F9:RJH9)=$D12,0,RJH9+1))</f>
        <v>0</v>
      </c>
      <c r="RJJ9" s="26">
        <f>IF(RJJ7=0,0,IF(MAX($F9:RJI9)=$D12,0,RJI9+1))</f>
        <v>0</v>
      </c>
      <c r="RJK9" s="26">
        <f>IF(RJK7=0,0,IF(MAX($F9:RJJ9)=$D12,0,RJJ9+1))</f>
        <v>0</v>
      </c>
      <c r="RJL9" s="26">
        <f>IF(RJL7=0,0,IF(MAX($F9:RJK9)=$D12,0,RJK9+1))</f>
        <v>0</v>
      </c>
      <c r="RJM9" s="26">
        <f>IF(RJM7=0,0,IF(MAX($F9:RJL9)=$D12,0,RJL9+1))</f>
        <v>0</v>
      </c>
      <c r="RJN9" s="26">
        <f>IF(RJN7=0,0,IF(MAX($F9:RJM9)=$D12,0,RJM9+1))</f>
        <v>0</v>
      </c>
      <c r="RJO9" s="26">
        <f>IF(RJO7=0,0,IF(MAX($F9:RJN9)=$D12,0,RJN9+1))</f>
        <v>0</v>
      </c>
      <c r="RJP9" s="26">
        <f>IF(RJP7=0,0,IF(MAX($F9:RJO9)=$D12,0,RJO9+1))</f>
        <v>0</v>
      </c>
      <c r="RJQ9" s="26">
        <f>IF(RJQ7=0,0,IF(MAX($F9:RJP9)=$D12,0,RJP9+1))</f>
        <v>0</v>
      </c>
      <c r="RJR9" s="26">
        <f>IF(RJR7=0,0,IF(MAX($F9:RJQ9)=$D12,0,RJQ9+1))</f>
        <v>0</v>
      </c>
      <c r="RJS9" s="26">
        <f>IF(RJS7=0,0,IF(MAX($F9:RJR9)=$D12,0,RJR9+1))</f>
        <v>0</v>
      </c>
      <c r="RJT9" s="26">
        <f>IF(RJT7=0,0,IF(MAX($F9:RJS9)=$D12,0,RJS9+1))</f>
        <v>0</v>
      </c>
      <c r="RJU9" s="26">
        <f>IF(RJU7=0,0,IF(MAX($F9:RJT9)=$D12,0,RJT9+1))</f>
        <v>0</v>
      </c>
      <c r="RJV9" s="26">
        <f>IF(RJV7=0,0,IF(MAX($F9:RJU9)=$D12,0,RJU9+1))</f>
        <v>0</v>
      </c>
      <c r="RJW9" s="26">
        <f>IF(RJW7=0,0,IF(MAX($F9:RJV9)=$D12,0,RJV9+1))</f>
        <v>0</v>
      </c>
      <c r="RJX9" s="26">
        <f>IF(RJX7=0,0,IF(MAX($F9:RJW9)=$D12,0,RJW9+1))</f>
        <v>0</v>
      </c>
      <c r="RJY9" s="26">
        <f>IF(RJY7=0,0,IF(MAX($F9:RJX9)=$D12,0,RJX9+1))</f>
        <v>0</v>
      </c>
      <c r="RJZ9" s="26">
        <f>IF(RJZ7=0,0,IF(MAX($F9:RJY9)=$D12,0,RJY9+1))</f>
        <v>0</v>
      </c>
      <c r="RKA9" s="26">
        <f>IF(RKA7=0,0,IF(MAX($F9:RJZ9)=$D12,0,RJZ9+1))</f>
        <v>0</v>
      </c>
      <c r="RKB9" s="26">
        <f>IF(RKB7=0,0,IF(MAX($F9:RKA9)=$D12,0,RKA9+1))</f>
        <v>0</v>
      </c>
      <c r="RKC9" s="26">
        <f>IF(RKC7=0,0,IF(MAX($F9:RKB9)=$D12,0,RKB9+1))</f>
        <v>0</v>
      </c>
      <c r="RKD9" s="26">
        <f>IF(RKD7=0,0,IF(MAX($F9:RKC9)=$D12,0,RKC9+1))</f>
        <v>0</v>
      </c>
      <c r="RKE9" s="26">
        <f>IF(RKE7=0,0,IF(MAX($F9:RKD9)=$D12,0,RKD9+1))</f>
        <v>0</v>
      </c>
      <c r="RKF9" s="26">
        <f>IF(RKF7=0,0,IF(MAX($F9:RKE9)=$D12,0,RKE9+1))</f>
        <v>0</v>
      </c>
      <c r="RKG9" s="26">
        <f>IF(RKG7=0,0,IF(MAX($F9:RKF9)=$D12,0,RKF9+1))</f>
        <v>0</v>
      </c>
      <c r="RKH9" s="26">
        <f>IF(RKH7=0,0,IF(MAX($F9:RKG9)=$D12,0,RKG9+1))</f>
        <v>0</v>
      </c>
      <c r="RKI9" s="26">
        <f>IF(RKI7=0,0,IF(MAX($F9:RKH9)=$D12,0,RKH9+1))</f>
        <v>0</v>
      </c>
      <c r="RKJ9" s="26">
        <f>IF(RKJ7=0,0,IF(MAX($F9:RKI9)=$D12,0,RKI9+1))</f>
        <v>0</v>
      </c>
      <c r="RKK9" s="26">
        <f>IF(RKK7=0,0,IF(MAX($F9:RKJ9)=$D12,0,RKJ9+1))</f>
        <v>0</v>
      </c>
      <c r="RKL9" s="26">
        <f>IF(RKL7=0,0,IF(MAX($F9:RKK9)=$D12,0,RKK9+1))</f>
        <v>0</v>
      </c>
      <c r="RKM9" s="26">
        <f>IF(RKM7=0,0,IF(MAX($F9:RKL9)=$D12,0,RKL9+1))</f>
        <v>0</v>
      </c>
      <c r="RKN9" s="26">
        <f>IF(RKN7=0,0,IF(MAX($F9:RKM9)=$D12,0,RKM9+1))</f>
        <v>0</v>
      </c>
      <c r="RKO9" s="26">
        <f>IF(RKO7=0,0,IF(MAX($F9:RKN9)=$D12,0,RKN9+1))</f>
        <v>0</v>
      </c>
      <c r="RKP9" s="26">
        <f>IF(RKP7=0,0,IF(MAX($F9:RKO9)=$D12,0,RKO9+1))</f>
        <v>0</v>
      </c>
      <c r="RKQ9" s="26">
        <f>IF(RKQ7=0,0,IF(MAX($F9:RKP9)=$D12,0,RKP9+1))</f>
        <v>0</v>
      </c>
      <c r="RKR9" s="26">
        <f>IF(RKR7=0,0,IF(MAX($F9:RKQ9)=$D12,0,RKQ9+1))</f>
        <v>0</v>
      </c>
      <c r="RKS9" s="26">
        <f>IF(RKS7=0,0,IF(MAX($F9:RKR9)=$D12,0,RKR9+1))</f>
        <v>0</v>
      </c>
      <c r="RKT9" s="26">
        <f>IF(RKT7=0,0,IF(MAX($F9:RKS9)=$D12,0,RKS9+1))</f>
        <v>0</v>
      </c>
      <c r="RKU9" s="26">
        <f>IF(RKU7=0,0,IF(MAX($F9:RKT9)=$D12,0,RKT9+1))</f>
        <v>0</v>
      </c>
      <c r="RKV9" s="26">
        <f>IF(RKV7=0,0,IF(MAX($F9:RKU9)=$D12,0,RKU9+1))</f>
        <v>0</v>
      </c>
      <c r="RKW9" s="26">
        <f>IF(RKW7=0,0,IF(MAX($F9:RKV9)=$D12,0,RKV9+1))</f>
        <v>0</v>
      </c>
      <c r="RKX9" s="26">
        <f>IF(RKX7=0,0,IF(MAX($F9:RKW9)=$D12,0,RKW9+1))</f>
        <v>0</v>
      </c>
      <c r="RKY9" s="26">
        <f>IF(RKY7=0,0,IF(MAX($F9:RKX9)=$D12,0,RKX9+1))</f>
        <v>0</v>
      </c>
      <c r="RKZ9" s="26">
        <f>IF(RKZ7=0,0,IF(MAX($F9:RKY9)=$D12,0,RKY9+1))</f>
        <v>0</v>
      </c>
      <c r="RLA9" s="26">
        <f>IF(RLA7=0,0,IF(MAX($F9:RKZ9)=$D12,0,RKZ9+1))</f>
        <v>0</v>
      </c>
      <c r="RLB9" s="26">
        <f>IF(RLB7=0,0,IF(MAX($F9:RLA9)=$D12,0,RLA9+1))</f>
        <v>0</v>
      </c>
      <c r="RLC9" s="26">
        <f>IF(RLC7=0,0,IF(MAX($F9:RLB9)=$D12,0,RLB9+1))</f>
        <v>0</v>
      </c>
      <c r="RLD9" s="26">
        <f>IF(RLD7=0,0,IF(MAX($F9:RLC9)=$D12,0,RLC9+1))</f>
        <v>0</v>
      </c>
      <c r="RLE9" s="26">
        <f>IF(RLE7=0,0,IF(MAX($F9:RLD9)=$D12,0,RLD9+1))</f>
        <v>0</v>
      </c>
      <c r="RLF9" s="26">
        <f>IF(RLF7=0,0,IF(MAX($F9:RLE9)=$D12,0,RLE9+1))</f>
        <v>0</v>
      </c>
      <c r="RLG9" s="26">
        <f>IF(RLG7=0,0,IF(MAX($F9:RLF9)=$D12,0,RLF9+1))</f>
        <v>0</v>
      </c>
      <c r="RLH9" s="26">
        <f>IF(RLH7=0,0,IF(MAX($F9:RLG9)=$D12,0,RLG9+1))</f>
        <v>0</v>
      </c>
      <c r="RLI9" s="26">
        <f>IF(RLI7=0,0,IF(MAX($F9:RLH9)=$D12,0,RLH9+1))</f>
        <v>0</v>
      </c>
      <c r="RLJ9" s="26">
        <f>IF(RLJ7=0,0,IF(MAX($F9:RLI9)=$D12,0,RLI9+1))</f>
        <v>0</v>
      </c>
      <c r="RLK9" s="26">
        <f>IF(RLK7=0,0,IF(MAX($F9:RLJ9)=$D12,0,RLJ9+1))</f>
        <v>0</v>
      </c>
      <c r="RLL9" s="26">
        <f>IF(RLL7=0,0,IF(MAX($F9:RLK9)=$D12,0,RLK9+1))</f>
        <v>0</v>
      </c>
      <c r="RLM9" s="26">
        <f>IF(RLM7=0,0,IF(MAX($F9:RLL9)=$D12,0,RLL9+1))</f>
        <v>0</v>
      </c>
      <c r="RLN9" s="26">
        <f>IF(RLN7=0,0,IF(MAX($F9:RLM9)=$D12,0,RLM9+1))</f>
        <v>0</v>
      </c>
      <c r="RLO9" s="26">
        <f>IF(RLO7=0,0,IF(MAX($F9:RLN9)=$D12,0,RLN9+1))</f>
        <v>0</v>
      </c>
      <c r="RLP9" s="26">
        <f>IF(RLP7=0,0,IF(MAX($F9:RLO9)=$D12,0,RLO9+1))</f>
        <v>0</v>
      </c>
      <c r="RLQ9" s="26">
        <f>IF(RLQ7=0,0,IF(MAX($F9:RLP9)=$D12,0,RLP9+1))</f>
        <v>0</v>
      </c>
      <c r="RLR9" s="26">
        <f>IF(RLR7=0,0,IF(MAX($F9:RLQ9)=$D12,0,RLQ9+1))</f>
        <v>0</v>
      </c>
      <c r="RLS9" s="26">
        <f>IF(RLS7=0,0,IF(MAX($F9:RLR9)=$D12,0,RLR9+1))</f>
        <v>0</v>
      </c>
      <c r="RLT9" s="26">
        <f>IF(RLT7=0,0,IF(MAX($F9:RLS9)=$D12,0,RLS9+1))</f>
        <v>0</v>
      </c>
      <c r="RLU9" s="26">
        <f>IF(RLU7=0,0,IF(MAX($F9:RLT9)=$D12,0,RLT9+1))</f>
        <v>0</v>
      </c>
      <c r="RLV9" s="26">
        <f>IF(RLV7=0,0,IF(MAX($F9:RLU9)=$D12,0,RLU9+1))</f>
        <v>0</v>
      </c>
      <c r="RLW9" s="26">
        <f>IF(RLW7=0,0,IF(MAX($F9:RLV9)=$D12,0,RLV9+1))</f>
        <v>0</v>
      </c>
      <c r="RLX9" s="26">
        <f>IF(RLX7=0,0,IF(MAX($F9:RLW9)=$D12,0,RLW9+1))</f>
        <v>0</v>
      </c>
      <c r="RLY9" s="26">
        <f>IF(RLY7=0,0,IF(MAX($F9:RLX9)=$D12,0,RLX9+1))</f>
        <v>0</v>
      </c>
      <c r="RLZ9" s="26">
        <f>IF(RLZ7=0,0,IF(MAX($F9:RLY9)=$D12,0,RLY9+1))</f>
        <v>0</v>
      </c>
      <c r="RMA9" s="26">
        <f>IF(RMA7=0,0,IF(MAX($F9:RLZ9)=$D12,0,RLZ9+1))</f>
        <v>0</v>
      </c>
      <c r="RMB9" s="26">
        <f>IF(RMB7=0,0,IF(MAX($F9:RMA9)=$D12,0,RMA9+1))</f>
        <v>0</v>
      </c>
      <c r="RMC9" s="26">
        <f>IF(RMC7=0,0,IF(MAX($F9:RMB9)=$D12,0,RMB9+1))</f>
        <v>0</v>
      </c>
      <c r="RMD9" s="26">
        <f>IF(RMD7=0,0,IF(MAX($F9:RMC9)=$D12,0,RMC9+1))</f>
        <v>0</v>
      </c>
      <c r="RME9" s="26">
        <f>IF(RME7=0,0,IF(MAX($F9:RMD9)=$D12,0,RMD9+1))</f>
        <v>0</v>
      </c>
      <c r="RMF9" s="26">
        <f>IF(RMF7=0,0,IF(MAX($F9:RME9)=$D12,0,RME9+1))</f>
        <v>0</v>
      </c>
      <c r="RMG9" s="26">
        <f>IF(RMG7=0,0,IF(MAX($F9:RMF9)=$D12,0,RMF9+1))</f>
        <v>0</v>
      </c>
      <c r="RMH9" s="26">
        <f>IF(RMH7=0,0,IF(MAX($F9:RMG9)=$D12,0,RMG9+1))</f>
        <v>0</v>
      </c>
      <c r="RMI9" s="26">
        <f>IF(RMI7=0,0,IF(MAX($F9:RMH9)=$D12,0,RMH9+1))</f>
        <v>0</v>
      </c>
      <c r="RMJ9" s="26">
        <f>IF(RMJ7=0,0,IF(MAX($F9:RMI9)=$D12,0,RMI9+1))</f>
        <v>0</v>
      </c>
      <c r="RMK9" s="26">
        <f>IF(RMK7=0,0,IF(MAX($F9:RMJ9)=$D12,0,RMJ9+1))</f>
        <v>0</v>
      </c>
      <c r="RML9" s="26">
        <f>IF(RML7=0,0,IF(MAX($F9:RMK9)=$D12,0,RMK9+1))</f>
        <v>0</v>
      </c>
      <c r="RMM9" s="26">
        <f>IF(RMM7=0,0,IF(MAX($F9:RML9)=$D12,0,RML9+1))</f>
        <v>0</v>
      </c>
      <c r="RMN9" s="26">
        <f>IF(RMN7=0,0,IF(MAX($F9:RMM9)=$D12,0,RMM9+1))</f>
        <v>0</v>
      </c>
      <c r="RMO9" s="26">
        <f>IF(RMO7=0,0,IF(MAX($F9:RMN9)=$D12,0,RMN9+1))</f>
        <v>0</v>
      </c>
      <c r="RMP9" s="26">
        <f>IF(RMP7=0,0,IF(MAX($F9:RMO9)=$D12,0,RMO9+1))</f>
        <v>0</v>
      </c>
      <c r="RMQ9" s="26">
        <f>IF(RMQ7=0,0,IF(MAX($F9:RMP9)=$D12,0,RMP9+1))</f>
        <v>0</v>
      </c>
      <c r="RMR9" s="26">
        <f>IF(RMR7=0,0,IF(MAX($F9:RMQ9)=$D12,0,RMQ9+1))</f>
        <v>0</v>
      </c>
      <c r="RMS9" s="26">
        <f>IF(RMS7=0,0,IF(MAX($F9:RMR9)=$D12,0,RMR9+1))</f>
        <v>0</v>
      </c>
      <c r="RMT9" s="26">
        <f>IF(RMT7=0,0,IF(MAX($F9:RMS9)=$D12,0,RMS9+1))</f>
        <v>0</v>
      </c>
      <c r="RMU9" s="26">
        <f>IF(RMU7=0,0,IF(MAX($F9:RMT9)=$D12,0,RMT9+1))</f>
        <v>0</v>
      </c>
      <c r="RMV9" s="26">
        <f>IF(RMV7=0,0,IF(MAX($F9:RMU9)=$D12,0,RMU9+1))</f>
        <v>0</v>
      </c>
      <c r="RMW9" s="26">
        <f>IF(RMW7=0,0,IF(MAX($F9:RMV9)=$D12,0,RMV9+1))</f>
        <v>0</v>
      </c>
      <c r="RMX9" s="26">
        <f>IF(RMX7=0,0,IF(MAX($F9:RMW9)=$D12,0,RMW9+1))</f>
        <v>0</v>
      </c>
      <c r="RMY9" s="26">
        <f>IF(RMY7=0,0,IF(MAX($F9:RMX9)=$D12,0,RMX9+1))</f>
        <v>0</v>
      </c>
      <c r="RMZ9" s="26">
        <f>IF(RMZ7=0,0,IF(MAX($F9:RMY9)=$D12,0,RMY9+1))</f>
        <v>0</v>
      </c>
      <c r="RNA9" s="26">
        <f>IF(RNA7=0,0,IF(MAX($F9:RMZ9)=$D12,0,RMZ9+1))</f>
        <v>0</v>
      </c>
      <c r="RNB9" s="26">
        <f>IF(RNB7=0,0,IF(MAX($F9:RNA9)=$D12,0,RNA9+1))</f>
        <v>0</v>
      </c>
      <c r="RNC9" s="26">
        <f>IF(RNC7=0,0,IF(MAX($F9:RNB9)=$D12,0,RNB9+1))</f>
        <v>0</v>
      </c>
      <c r="RND9" s="26">
        <f>IF(RND7=0,0,IF(MAX($F9:RNC9)=$D12,0,RNC9+1))</f>
        <v>0</v>
      </c>
      <c r="RNE9" s="26">
        <f>IF(RNE7=0,0,IF(MAX($F9:RND9)=$D12,0,RND9+1))</f>
        <v>0</v>
      </c>
      <c r="RNF9" s="26">
        <f>IF(RNF7=0,0,IF(MAX($F9:RNE9)=$D12,0,RNE9+1))</f>
        <v>0</v>
      </c>
      <c r="RNG9" s="26">
        <f>IF(RNG7=0,0,IF(MAX($F9:RNF9)=$D12,0,RNF9+1))</f>
        <v>0</v>
      </c>
      <c r="RNH9" s="26">
        <f>IF(RNH7=0,0,IF(MAX($F9:RNG9)=$D12,0,RNG9+1))</f>
        <v>0</v>
      </c>
      <c r="RNI9" s="26">
        <f>IF(RNI7=0,0,IF(MAX($F9:RNH9)=$D12,0,RNH9+1))</f>
        <v>0</v>
      </c>
      <c r="RNJ9" s="26">
        <f>IF(RNJ7=0,0,IF(MAX($F9:RNI9)=$D12,0,RNI9+1))</f>
        <v>0</v>
      </c>
      <c r="RNK9" s="26">
        <f>IF(RNK7=0,0,IF(MAX($F9:RNJ9)=$D12,0,RNJ9+1))</f>
        <v>0</v>
      </c>
      <c r="RNL9" s="26">
        <f>IF(RNL7=0,0,IF(MAX($F9:RNK9)=$D12,0,RNK9+1))</f>
        <v>0</v>
      </c>
      <c r="RNM9" s="26">
        <f>IF(RNM7=0,0,IF(MAX($F9:RNL9)=$D12,0,RNL9+1))</f>
        <v>0</v>
      </c>
      <c r="RNN9" s="26">
        <f>IF(RNN7=0,0,IF(MAX($F9:RNM9)=$D12,0,RNM9+1))</f>
        <v>0</v>
      </c>
      <c r="RNO9" s="26">
        <f>IF(RNO7=0,0,IF(MAX($F9:RNN9)=$D12,0,RNN9+1))</f>
        <v>0</v>
      </c>
      <c r="RNP9" s="26">
        <f>IF(RNP7=0,0,IF(MAX($F9:RNO9)=$D12,0,RNO9+1))</f>
        <v>0</v>
      </c>
      <c r="RNQ9" s="26">
        <f>IF(RNQ7=0,0,IF(MAX($F9:RNP9)=$D12,0,RNP9+1))</f>
        <v>0</v>
      </c>
      <c r="RNR9" s="26">
        <f>IF(RNR7=0,0,IF(MAX($F9:RNQ9)=$D12,0,RNQ9+1))</f>
        <v>0</v>
      </c>
      <c r="RNS9" s="26">
        <f>IF(RNS7=0,0,IF(MAX($F9:RNR9)=$D12,0,RNR9+1))</f>
        <v>0</v>
      </c>
      <c r="RNT9" s="26">
        <f>IF(RNT7=0,0,IF(MAX($F9:RNS9)=$D12,0,RNS9+1))</f>
        <v>0</v>
      </c>
      <c r="RNU9" s="26">
        <f>IF(RNU7=0,0,IF(MAX($F9:RNT9)=$D12,0,RNT9+1))</f>
        <v>0</v>
      </c>
      <c r="RNV9" s="26">
        <f>IF(RNV7=0,0,IF(MAX($F9:RNU9)=$D12,0,RNU9+1))</f>
        <v>0</v>
      </c>
      <c r="RNW9" s="26">
        <f>IF(RNW7=0,0,IF(MAX($F9:RNV9)=$D12,0,RNV9+1))</f>
        <v>0</v>
      </c>
      <c r="RNX9" s="26">
        <f>IF(RNX7=0,0,IF(MAX($F9:RNW9)=$D12,0,RNW9+1))</f>
        <v>0</v>
      </c>
      <c r="RNY9" s="26">
        <f>IF(RNY7=0,0,IF(MAX($F9:RNX9)=$D12,0,RNX9+1))</f>
        <v>0</v>
      </c>
      <c r="RNZ9" s="26">
        <f>IF(RNZ7=0,0,IF(MAX($F9:RNY9)=$D12,0,RNY9+1))</f>
        <v>0</v>
      </c>
      <c r="ROA9" s="26">
        <f>IF(ROA7=0,0,IF(MAX($F9:RNZ9)=$D12,0,RNZ9+1))</f>
        <v>0</v>
      </c>
      <c r="ROB9" s="26">
        <f>IF(ROB7=0,0,IF(MAX($F9:ROA9)=$D12,0,ROA9+1))</f>
        <v>0</v>
      </c>
      <c r="ROC9" s="26">
        <f>IF(ROC7=0,0,IF(MAX($F9:ROB9)=$D12,0,ROB9+1))</f>
        <v>0</v>
      </c>
      <c r="ROD9" s="26">
        <f>IF(ROD7=0,0,IF(MAX($F9:ROC9)=$D12,0,ROC9+1))</f>
        <v>0</v>
      </c>
      <c r="ROE9" s="26">
        <f>IF(ROE7=0,0,IF(MAX($F9:ROD9)=$D12,0,ROD9+1))</f>
        <v>0</v>
      </c>
      <c r="ROF9" s="26">
        <f>IF(ROF7=0,0,IF(MAX($F9:ROE9)=$D12,0,ROE9+1))</f>
        <v>0</v>
      </c>
      <c r="ROG9" s="26">
        <f>IF(ROG7=0,0,IF(MAX($F9:ROF9)=$D12,0,ROF9+1))</f>
        <v>0</v>
      </c>
      <c r="ROH9" s="26">
        <f>IF(ROH7=0,0,IF(MAX($F9:ROG9)=$D12,0,ROG9+1))</f>
        <v>0</v>
      </c>
      <c r="ROI9" s="26">
        <f>IF(ROI7=0,0,IF(MAX($F9:ROH9)=$D12,0,ROH9+1))</f>
        <v>0</v>
      </c>
      <c r="ROJ9" s="26">
        <f>IF(ROJ7=0,0,IF(MAX($F9:ROI9)=$D12,0,ROI9+1))</f>
        <v>0</v>
      </c>
      <c r="ROK9" s="26">
        <f>IF(ROK7=0,0,IF(MAX($F9:ROJ9)=$D12,0,ROJ9+1))</f>
        <v>0</v>
      </c>
      <c r="ROL9" s="26">
        <f>IF(ROL7=0,0,IF(MAX($F9:ROK9)=$D12,0,ROK9+1))</f>
        <v>0</v>
      </c>
      <c r="ROM9" s="26">
        <f>IF(ROM7=0,0,IF(MAX($F9:ROL9)=$D12,0,ROL9+1))</f>
        <v>0</v>
      </c>
      <c r="RON9" s="26">
        <f>IF(RON7=0,0,IF(MAX($F9:ROM9)=$D12,0,ROM9+1))</f>
        <v>0</v>
      </c>
      <c r="ROO9" s="26">
        <f>IF(ROO7=0,0,IF(MAX($F9:RON9)=$D12,0,RON9+1))</f>
        <v>0</v>
      </c>
      <c r="ROP9" s="26">
        <f>IF(ROP7=0,0,IF(MAX($F9:ROO9)=$D12,0,ROO9+1))</f>
        <v>0</v>
      </c>
      <c r="ROQ9" s="26">
        <f>IF(ROQ7=0,0,IF(MAX($F9:ROP9)=$D12,0,ROP9+1))</f>
        <v>0</v>
      </c>
      <c r="ROR9" s="26">
        <f>IF(ROR7=0,0,IF(MAX($F9:ROQ9)=$D12,0,ROQ9+1))</f>
        <v>0</v>
      </c>
      <c r="ROS9" s="26">
        <f>IF(ROS7=0,0,IF(MAX($F9:ROR9)=$D12,0,ROR9+1))</f>
        <v>0</v>
      </c>
      <c r="ROT9" s="26">
        <f>IF(ROT7=0,0,IF(MAX($F9:ROS9)=$D12,0,ROS9+1))</f>
        <v>0</v>
      </c>
      <c r="ROU9" s="26">
        <f>IF(ROU7=0,0,IF(MAX($F9:ROT9)=$D12,0,ROT9+1))</f>
        <v>0</v>
      </c>
      <c r="ROV9" s="26">
        <f>IF(ROV7=0,0,IF(MAX($F9:ROU9)=$D12,0,ROU9+1))</f>
        <v>0</v>
      </c>
      <c r="ROW9" s="26">
        <f>IF(ROW7=0,0,IF(MAX($F9:ROV9)=$D12,0,ROV9+1))</f>
        <v>0</v>
      </c>
      <c r="ROX9" s="26">
        <f>IF(ROX7=0,0,IF(MAX($F9:ROW9)=$D12,0,ROW9+1))</f>
        <v>0</v>
      </c>
      <c r="ROY9" s="26">
        <f>IF(ROY7=0,0,IF(MAX($F9:ROX9)=$D12,0,ROX9+1))</f>
        <v>0</v>
      </c>
      <c r="ROZ9" s="26">
        <f>IF(ROZ7=0,0,IF(MAX($F9:ROY9)=$D12,0,ROY9+1))</f>
        <v>0</v>
      </c>
      <c r="RPA9" s="26">
        <f>IF(RPA7=0,0,IF(MAX($F9:ROZ9)=$D12,0,ROZ9+1))</f>
        <v>0</v>
      </c>
      <c r="RPB9" s="26">
        <f>IF(RPB7=0,0,IF(MAX($F9:RPA9)=$D12,0,RPA9+1))</f>
        <v>0</v>
      </c>
      <c r="RPC9" s="26">
        <f>IF(RPC7=0,0,IF(MAX($F9:RPB9)=$D12,0,RPB9+1))</f>
        <v>0</v>
      </c>
      <c r="RPD9" s="26">
        <f>IF(RPD7=0,0,IF(MAX($F9:RPC9)=$D12,0,RPC9+1))</f>
        <v>0</v>
      </c>
      <c r="RPE9" s="26">
        <f>IF(RPE7=0,0,IF(MAX($F9:RPD9)=$D12,0,RPD9+1))</f>
        <v>0</v>
      </c>
      <c r="RPF9" s="26">
        <f>IF(RPF7=0,0,IF(MAX($F9:RPE9)=$D12,0,RPE9+1))</f>
        <v>0</v>
      </c>
      <c r="RPG9" s="26">
        <f>IF(RPG7=0,0,IF(MAX($F9:RPF9)=$D12,0,RPF9+1))</f>
        <v>0</v>
      </c>
      <c r="RPH9" s="26">
        <f>IF(RPH7=0,0,IF(MAX($F9:RPG9)=$D12,0,RPG9+1))</f>
        <v>0</v>
      </c>
      <c r="RPI9" s="26">
        <f>IF(RPI7=0,0,IF(MAX($F9:RPH9)=$D12,0,RPH9+1))</f>
        <v>0</v>
      </c>
      <c r="RPJ9" s="26">
        <f>IF(RPJ7=0,0,IF(MAX($F9:RPI9)=$D12,0,RPI9+1))</f>
        <v>0</v>
      </c>
      <c r="RPK9" s="26">
        <f>IF(RPK7=0,0,IF(MAX($F9:RPJ9)=$D12,0,RPJ9+1))</f>
        <v>0</v>
      </c>
      <c r="RPL9" s="26">
        <f>IF(RPL7=0,0,IF(MAX($F9:RPK9)=$D12,0,RPK9+1))</f>
        <v>0</v>
      </c>
      <c r="RPM9" s="26">
        <f>IF(RPM7=0,0,IF(MAX($F9:RPL9)=$D12,0,RPL9+1))</f>
        <v>0</v>
      </c>
      <c r="RPN9" s="26">
        <f>IF(RPN7=0,0,IF(MAX($F9:RPM9)=$D12,0,RPM9+1))</f>
        <v>0</v>
      </c>
      <c r="RPO9" s="26">
        <f>IF(RPO7=0,0,IF(MAX($F9:RPN9)=$D12,0,RPN9+1))</f>
        <v>0</v>
      </c>
      <c r="RPP9" s="26">
        <f>IF(RPP7=0,0,IF(MAX($F9:RPO9)=$D12,0,RPO9+1))</f>
        <v>0</v>
      </c>
      <c r="RPQ9" s="26">
        <f>IF(RPQ7=0,0,IF(MAX($F9:RPP9)=$D12,0,RPP9+1))</f>
        <v>0</v>
      </c>
      <c r="RPR9" s="26">
        <f>IF(RPR7=0,0,IF(MAX($F9:RPQ9)=$D12,0,RPQ9+1))</f>
        <v>0</v>
      </c>
      <c r="RPS9" s="26">
        <f>IF(RPS7=0,0,IF(MAX($F9:RPR9)=$D12,0,RPR9+1))</f>
        <v>0</v>
      </c>
      <c r="RPT9" s="26">
        <f>IF(RPT7=0,0,IF(MAX($F9:RPS9)=$D12,0,RPS9+1))</f>
        <v>0</v>
      </c>
      <c r="RPU9" s="26">
        <f>IF(RPU7=0,0,IF(MAX($F9:RPT9)=$D12,0,RPT9+1))</f>
        <v>0</v>
      </c>
      <c r="RPV9" s="26">
        <f>IF(RPV7=0,0,IF(MAX($F9:RPU9)=$D12,0,RPU9+1))</f>
        <v>0</v>
      </c>
      <c r="RPW9" s="26">
        <f>IF(RPW7=0,0,IF(MAX($F9:RPV9)=$D12,0,RPV9+1))</f>
        <v>0</v>
      </c>
      <c r="RPX9" s="26">
        <f>IF(RPX7=0,0,IF(MAX($F9:RPW9)=$D12,0,RPW9+1))</f>
        <v>0</v>
      </c>
      <c r="RPY9" s="26">
        <f>IF(RPY7=0,0,IF(MAX($F9:RPX9)=$D12,0,RPX9+1))</f>
        <v>0</v>
      </c>
      <c r="RPZ9" s="26">
        <f>IF(RPZ7=0,0,IF(MAX($F9:RPY9)=$D12,0,RPY9+1))</f>
        <v>0</v>
      </c>
      <c r="RQA9" s="26">
        <f>IF(RQA7=0,0,IF(MAX($F9:RPZ9)=$D12,0,RPZ9+1))</f>
        <v>0</v>
      </c>
      <c r="RQB9" s="26">
        <f>IF(RQB7=0,0,IF(MAX($F9:RQA9)=$D12,0,RQA9+1))</f>
        <v>0</v>
      </c>
      <c r="RQC9" s="26">
        <f>IF(RQC7=0,0,IF(MAX($F9:RQB9)=$D12,0,RQB9+1))</f>
        <v>0</v>
      </c>
      <c r="RQD9" s="26">
        <f>IF(RQD7=0,0,IF(MAX($F9:RQC9)=$D12,0,RQC9+1))</f>
        <v>0</v>
      </c>
      <c r="RQE9" s="26">
        <f>IF(RQE7=0,0,IF(MAX($F9:RQD9)=$D12,0,RQD9+1))</f>
        <v>0</v>
      </c>
      <c r="RQF9" s="26">
        <f>IF(RQF7=0,0,IF(MAX($F9:RQE9)=$D12,0,RQE9+1))</f>
        <v>0</v>
      </c>
      <c r="RQG9" s="26">
        <f>IF(RQG7=0,0,IF(MAX($F9:RQF9)=$D12,0,RQF9+1))</f>
        <v>0</v>
      </c>
      <c r="RQH9" s="26">
        <f>IF(RQH7=0,0,IF(MAX($F9:RQG9)=$D12,0,RQG9+1))</f>
        <v>0</v>
      </c>
      <c r="RQI9" s="26">
        <f>IF(RQI7=0,0,IF(MAX($F9:RQH9)=$D12,0,RQH9+1))</f>
        <v>0</v>
      </c>
      <c r="RQJ9" s="26">
        <f>IF(RQJ7=0,0,IF(MAX($F9:RQI9)=$D12,0,RQI9+1))</f>
        <v>0</v>
      </c>
      <c r="RQK9" s="26">
        <f>IF(RQK7=0,0,IF(MAX($F9:RQJ9)=$D12,0,RQJ9+1))</f>
        <v>0</v>
      </c>
      <c r="RQL9" s="26">
        <f>IF(RQL7=0,0,IF(MAX($F9:RQK9)=$D12,0,RQK9+1))</f>
        <v>0</v>
      </c>
      <c r="RQM9" s="26">
        <f>IF(RQM7=0,0,IF(MAX($F9:RQL9)=$D12,0,RQL9+1))</f>
        <v>0</v>
      </c>
      <c r="RQN9" s="26">
        <f>IF(RQN7=0,0,IF(MAX($F9:RQM9)=$D12,0,RQM9+1))</f>
        <v>0</v>
      </c>
      <c r="RQO9" s="26">
        <f>IF(RQO7=0,0,IF(MAX($F9:RQN9)=$D12,0,RQN9+1))</f>
        <v>0</v>
      </c>
      <c r="RQP9" s="26">
        <f>IF(RQP7=0,0,IF(MAX($F9:RQO9)=$D12,0,RQO9+1))</f>
        <v>0</v>
      </c>
      <c r="RQQ9" s="26">
        <f>IF(RQQ7=0,0,IF(MAX($F9:RQP9)=$D12,0,RQP9+1))</f>
        <v>0</v>
      </c>
      <c r="RQR9" s="26">
        <f>IF(RQR7=0,0,IF(MAX($F9:RQQ9)=$D12,0,RQQ9+1))</f>
        <v>0</v>
      </c>
      <c r="RQS9" s="26">
        <f>IF(RQS7=0,0,IF(MAX($F9:RQR9)=$D12,0,RQR9+1))</f>
        <v>0</v>
      </c>
      <c r="RQT9" s="26">
        <f>IF(RQT7=0,0,IF(MAX($F9:RQS9)=$D12,0,RQS9+1))</f>
        <v>0</v>
      </c>
      <c r="RQU9" s="26">
        <f>IF(RQU7=0,0,IF(MAX($F9:RQT9)=$D12,0,RQT9+1))</f>
        <v>0</v>
      </c>
      <c r="RQV9" s="26">
        <f>IF(RQV7=0,0,IF(MAX($F9:RQU9)=$D12,0,RQU9+1))</f>
        <v>0</v>
      </c>
      <c r="RQW9" s="26">
        <f>IF(RQW7=0,0,IF(MAX($F9:RQV9)=$D12,0,RQV9+1))</f>
        <v>0</v>
      </c>
      <c r="RQX9" s="26">
        <f>IF(RQX7=0,0,IF(MAX($F9:RQW9)=$D12,0,RQW9+1))</f>
        <v>0</v>
      </c>
      <c r="RQY9" s="26">
        <f>IF(RQY7=0,0,IF(MAX($F9:RQX9)=$D12,0,RQX9+1))</f>
        <v>0</v>
      </c>
      <c r="RQZ9" s="26">
        <f>IF(RQZ7=0,0,IF(MAX($F9:RQY9)=$D12,0,RQY9+1))</f>
        <v>0</v>
      </c>
      <c r="RRA9" s="26">
        <f>IF(RRA7=0,0,IF(MAX($F9:RQZ9)=$D12,0,RQZ9+1))</f>
        <v>0</v>
      </c>
      <c r="RRB9" s="26">
        <f>IF(RRB7=0,0,IF(MAX($F9:RRA9)=$D12,0,RRA9+1))</f>
        <v>0</v>
      </c>
      <c r="RRC9" s="26">
        <f>IF(RRC7=0,0,IF(MAX($F9:RRB9)=$D12,0,RRB9+1))</f>
        <v>0</v>
      </c>
      <c r="RRD9" s="26">
        <f>IF(RRD7=0,0,IF(MAX($F9:RRC9)=$D12,0,RRC9+1))</f>
        <v>0</v>
      </c>
      <c r="RRE9" s="26">
        <f>IF(RRE7=0,0,IF(MAX($F9:RRD9)=$D12,0,RRD9+1))</f>
        <v>0</v>
      </c>
      <c r="RRF9" s="26">
        <f>IF(RRF7=0,0,IF(MAX($F9:RRE9)=$D12,0,RRE9+1))</f>
        <v>0</v>
      </c>
      <c r="RRG9" s="26">
        <f>IF(RRG7=0,0,IF(MAX($F9:RRF9)=$D12,0,RRF9+1))</f>
        <v>0</v>
      </c>
      <c r="RRH9" s="26">
        <f>IF(RRH7=0,0,IF(MAX($F9:RRG9)=$D12,0,RRG9+1))</f>
        <v>0</v>
      </c>
      <c r="RRI9" s="26">
        <f>IF(RRI7=0,0,IF(MAX($F9:RRH9)=$D12,0,RRH9+1))</f>
        <v>0</v>
      </c>
      <c r="RRJ9" s="26">
        <f>IF(RRJ7=0,0,IF(MAX($F9:RRI9)=$D12,0,RRI9+1))</f>
        <v>0</v>
      </c>
      <c r="RRK9" s="26">
        <f>IF(RRK7=0,0,IF(MAX($F9:RRJ9)=$D12,0,RRJ9+1))</f>
        <v>0</v>
      </c>
      <c r="RRL9" s="26">
        <f>IF(RRL7=0,0,IF(MAX($F9:RRK9)=$D12,0,RRK9+1))</f>
        <v>0</v>
      </c>
      <c r="RRM9" s="26">
        <f>IF(RRM7=0,0,IF(MAX($F9:RRL9)=$D12,0,RRL9+1))</f>
        <v>0</v>
      </c>
      <c r="RRN9" s="26">
        <f>IF(RRN7=0,0,IF(MAX($F9:RRM9)=$D12,0,RRM9+1))</f>
        <v>0</v>
      </c>
      <c r="RRO9" s="26">
        <f>IF(RRO7=0,0,IF(MAX($F9:RRN9)=$D12,0,RRN9+1))</f>
        <v>0</v>
      </c>
      <c r="RRP9" s="26">
        <f>IF(RRP7=0,0,IF(MAX($F9:RRO9)=$D12,0,RRO9+1))</f>
        <v>0</v>
      </c>
      <c r="RRQ9" s="26">
        <f>IF(RRQ7=0,0,IF(MAX($F9:RRP9)=$D12,0,RRP9+1))</f>
        <v>0</v>
      </c>
      <c r="RRR9" s="26">
        <f>IF(RRR7=0,0,IF(MAX($F9:RRQ9)=$D12,0,RRQ9+1))</f>
        <v>0</v>
      </c>
      <c r="RRS9" s="26">
        <f>IF(RRS7=0,0,IF(MAX($F9:RRR9)=$D12,0,RRR9+1))</f>
        <v>0</v>
      </c>
      <c r="RRT9" s="26">
        <f>IF(RRT7=0,0,IF(MAX($F9:RRS9)=$D12,0,RRS9+1))</f>
        <v>0</v>
      </c>
      <c r="RRU9" s="26">
        <f>IF(RRU7=0,0,IF(MAX($F9:RRT9)=$D12,0,RRT9+1))</f>
        <v>0</v>
      </c>
      <c r="RRV9" s="26">
        <f>IF(RRV7=0,0,IF(MAX($F9:RRU9)=$D12,0,RRU9+1))</f>
        <v>0</v>
      </c>
      <c r="RRW9" s="26">
        <f>IF(RRW7=0,0,IF(MAX($F9:RRV9)=$D12,0,RRV9+1))</f>
        <v>0</v>
      </c>
      <c r="RRX9" s="26">
        <f>IF(RRX7=0,0,IF(MAX($F9:RRW9)=$D12,0,RRW9+1))</f>
        <v>0</v>
      </c>
      <c r="RRY9" s="26">
        <f>IF(RRY7=0,0,IF(MAX($F9:RRX9)=$D12,0,RRX9+1))</f>
        <v>0</v>
      </c>
      <c r="RRZ9" s="26">
        <f>IF(RRZ7=0,0,IF(MAX($F9:RRY9)=$D12,0,RRY9+1))</f>
        <v>0</v>
      </c>
      <c r="RSA9" s="26">
        <f>IF(RSA7=0,0,IF(MAX($F9:RRZ9)=$D12,0,RRZ9+1))</f>
        <v>0</v>
      </c>
      <c r="RSB9" s="26">
        <f>IF(RSB7=0,0,IF(MAX($F9:RSA9)=$D12,0,RSA9+1))</f>
        <v>0</v>
      </c>
      <c r="RSC9" s="26">
        <f>IF(RSC7=0,0,IF(MAX($F9:RSB9)=$D12,0,RSB9+1))</f>
        <v>0</v>
      </c>
      <c r="RSD9" s="26">
        <f>IF(RSD7=0,0,IF(MAX($F9:RSC9)=$D12,0,RSC9+1))</f>
        <v>0</v>
      </c>
      <c r="RSE9" s="26">
        <f>IF(RSE7=0,0,IF(MAX($F9:RSD9)=$D12,0,RSD9+1))</f>
        <v>0</v>
      </c>
      <c r="RSF9" s="26">
        <f>IF(RSF7=0,0,IF(MAX($F9:RSE9)=$D12,0,RSE9+1))</f>
        <v>0</v>
      </c>
      <c r="RSG9" s="26">
        <f>IF(RSG7=0,0,IF(MAX($F9:RSF9)=$D12,0,RSF9+1))</f>
        <v>0</v>
      </c>
      <c r="RSH9" s="26">
        <f>IF(RSH7=0,0,IF(MAX($F9:RSG9)=$D12,0,RSG9+1))</f>
        <v>0</v>
      </c>
      <c r="RSI9" s="26">
        <f>IF(RSI7=0,0,IF(MAX($F9:RSH9)=$D12,0,RSH9+1))</f>
        <v>0</v>
      </c>
      <c r="RSJ9" s="26">
        <f>IF(RSJ7=0,0,IF(MAX($F9:RSI9)=$D12,0,RSI9+1))</f>
        <v>0</v>
      </c>
      <c r="RSK9" s="26">
        <f>IF(RSK7=0,0,IF(MAX($F9:RSJ9)=$D12,0,RSJ9+1))</f>
        <v>0</v>
      </c>
      <c r="RSL9" s="26">
        <f>IF(RSL7=0,0,IF(MAX($F9:RSK9)=$D12,0,RSK9+1))</f>
        <v>0</v>
      </c>
      <c r="RSM9" s="26">
        <f>IF(RSM7=0,0,IF(MAX($F9:RSL9)=$D12,0,RSL9+1))</f>
        <v>0</v>
      </c>
      <c r="RSN9" s="26">
        <f>IF(RSN7=0,0,IF(MAX($F9:RSM9)=$D12,0,RSM9+1))</f>
        <v>0</v>
      </c>
      <c r="RSO9" s="26">
        <f>IF(RSO7=0,0,IF(MAX($F9:RSN9)=$D12,0,RSN9+1))</f>
        <v>0</v>
      </c>
      <c r="RSP9" s="26">
        <f>IF(RSP7=0,0,IF(MAX($F9:RSO9)=$D12,0,RSO9+1))</f>
        <v>0</v>
      </c>
      <c r="RSQ9" s="26">
        <f>IF(RSQ7=0,0,IF(MAX($F9:RSP9)=$D12,0,RSP9+1))</f>
        <v>0</v>
      </c>
      <c r="RSR9" s="26">
        <f>IF(RSR7=0,0,IF(MAX($F9:RSQ9)=$D12,0,RSQ9+1))</f>
        <v>0</v>
      </c>
      <c r="RSS9" s="26">
        <f>IF(RSS7=0,0,IF(MAX($F9:RSR9)=$D12,0,RSR9+1))</f>
        <v>0</v>
      </c>
      <c r="RST9" s="26">
        <f>IF(RST7=0,0,IF(MAX($F9:RSS9)=$D12,0,RSS9+1))</f>
        <v>0</v>
      </c>
      <c r="RSU9" s="26">
        <f>IF(RSU7=0,0,IF(MAX($F9:RST9)=$D12,0,RST9+1))</f>
        <v>0</v>
      </c>
      <c r="RSV9" s="26">
        <f>IF(RSV7=0,0,IF(MAX($F9:RSU9)=$D12,0,RSU9+1))</f>
        <v>0</v>
      </c>
      <c r="RSW9" s="26">
        <f>IF(RSW7=0,0,IF(MAX($F9:RSV9)=$D12,0,RSV9+1))</f>
        <v>0</v>
      </c>
      <c r="RSX9" s="26">
        <f>IF(RSX7=0,0,IF(MAX($F9:RSW9)=$D12,0,RSW9+1))</f>
        <v>0</v>
      </c>
      <c r="RSY9" s="26">
        <f>IF(RSY7=0,0,IF(MAX($F9:RSX9)=$D12,0,RSX9+1))</f>
        <v>0</v>
      </c>
      <c r="RSZ9" s="26">
        <f>IF(RSZ7=0,0,IF(MAX($F9:RSY9)=$D12,0,RSY9+1))</f>
        <v>0</v>
      </c>
      <c r="RTA9" s="26">
        <f>IF(RTA7=0,0,IF(MAX($F9:RSZ9)=$D12,0,RSZ9+1))</f>
        <v>0</v>
      </c>
      <c r="RTB9" s="26">
        <f>IF(RTB7=0,0,IF(MAX($F9:RTA9)=$D12,0,RTA9+1))</f>
        <v>0</v>
      </c>
      <c r="RTC9" s="26">
        <f>IF(RTC7=0,0,IF(MAX($F9:RTB9)=$D12,0,RTB9+1))</f>
        <v>0</v>
      </c>
      <c r="RTD9" s="26">
        <f>IF(RTD7=0,0,IF(MAX($F9:RTC9)=$D12,0,RTC9+1))</f>
        <v>0</v>
      </c>
      <c r="RTE9" s="26">
        <f>IF(RTE7=0,0,IF(MAX($F9:RTD9)=$D12,0,RTD9+1))</f>
        <v>0</v>
      </c>
      <c r="RTF9" s="26">
        <f>IF(RTF7=0,0,IF(MAX($F9:RTE9)=$D12,0,RTE9+1))</f>
        <v>0</v>
      </c>
      <c r="RTG9" s="26">
        <f>IF(RTG7=0,0,IF(MAX($F9:RTF9)=$D12,0,RTF9+1))</f>
        <v>0</v>
      </c>
      <c r="RTH9" s="26">
        <f>IF(RTH7=0,0,IF(MAX($F9:RTG9)=$D12,0,RTG9+1))</f>
        <v>0</v>
      </c>
      <c r="RTI9" s="26">
        <f>IF(RTI7=0,0,IF(MAX($F9:RTH9)=$D12,0,RTH9+1))</f>
        <v>0</v>
      </c>
      <c r="RTJ9" s="26">
        <f>IF(RTJ7=0,0,IF(MAX($F9:RTI9)=$D12,0,RTI9+1))</f>
        <v>0</v>
      </c>
      <c r="RTK9" s="26">
        <f>IF(RTK7=0,0,IF(MAX($F9:RTJ9)=$D12,0,RTJ9+1))</f>
        <v>0</v>
      </c>
      <c r="RTL9" s="26">
        <f>IF(RTL7=0,0,IF(MAX($F9:RTK9)=$D12,0,RTK9+1))</f>
        <v>0</v>
      </c>
      <c r="RTM9" s="26">
        <f>IF(RTM7=0,0,IF(MAX($F9:RTL9)=$D12,0,RTL9+1))</f>
        <v>0</v>
      </c>
      <c r="RTN9" s="26">
        <f>IF(RTN7=0,0,IF(MAX($F9:RTM9)=$D12,0,RTM9+1))</f>
        <v>0</v>
      </c>
      <c r="RTO9" s="26">
        <f>IF(RTO7=0,0,IF(MAX($F9:RTN9)=$D12,0,RTN9+1))</f>
        <v>0</v>
      </c>
      <c r="RTP9" s="26">
        <f>IF(RTP7=0,0,IF(MAX($F9:RTO9)=$D12,0,RTO9+1))</f>
        <v>0</v>
      </c>
      <c r="RTQ9" s="26">
        <f>IF(RTQ7=0,0,IF(MAX($F9:RTP9)=$D12,0,RTP9+1))</f>
        <v>0</v>
      </c>
      <c r="RTR9" s="26">
        <f>IF(RTR7=0,0,IF(MAX($F9:RTQ9)=$D12,0,RTQ9+1))</f>
        <v>0</v>
      </c>
      <c r="RTS9" s="26">
        <f>IF(RTS7=0,0,IF(MAX($F9:RTR9)=$D12,0,RTR9+1))</f>
        <v>0</v>
      </c>
      <c r="RTT9" s="26">
        <f>IF(RTT7=0,0,IF(MAX($F9:RTS9)=$D12,0,RTS9+1))</f>
        <v>0</v>
      </c>
      <c r="RTU9" s="26">
        <f>IF(RTU7=0,0,IF(MAX($F9:RTT9)=$D12,0,RTT9+1))</f>
        <v>0</v>
      </c>
      <c r="RTV9" s="26">
        <f>IF(RTV7=0,0,IF(MAX($F9:RTU9)=$D12,0,RTU9+1))</f>
        <v>0</v>
      </c>
      <c r="RTW9" s="26">
        <f>IF(RTW7=0,0,IF(MAX($F9:RTV9)=$D12,0,RTV9+1))</f>
        <v>0</v>
      </c>
      <c r="RTX9" s="26">
        <f>IF(RTX7=0,0,IF(MAX($F9:RTW9)=$D12,0,RTW9+1))</f>
        <v>0</v>
      </c>
      <c r="RTY9" s="26">
        <f>IF(RTY7=0,0,IF(MAX($F9:RTX9)=$D12,0,RTX9+1))</f>
        <v>0</v>
      </c>
      <c r="RTZ9" s="26">
        <f>IF(RTZ7=0,0,IF(MAX($F9:RTY9)=$D12,0,RTY9+1))</f>
        <v>0</v>
      </c>
      <c r="RUA9" s="26">
        <f>IF(RUA7=0,0,IF(MAX($F9:RTZ9)=$D12,0,RTZ9+1))</f>
        <v>0</v>
      </c>
      <c r="RUB9" s="26">
        <f>IF(RUB7=0,0,IF(MAX($F9:RUA9)=$D12,0,RUA9+1))</f>
        <v>0</v>
      </c>
      <c r="RUC9" s="26">
        <f>IF(RUC7=0,0,IF(MAX($F9:RUB9)=$D12,0,RUB9+1))</f>
        <v>0</v>
      </c>
      <c r="RUD9" s="26">
        <f>IF(RUD7=0,0,IF(MAX($F9:RUC9)=$D12,0,RUC9+1))</f>
        <v>0</v>
      </c>
      <c r="RUE9" s="26">
        <f>IF(RUE7=0,0,IF(MAX($F9:RUD9)=$D12,0,RUD9+1))</f>
        <v>0</v>
      </c>
      <c r="RUF9" s="26">
        <f>IF(RUF7=0,0,IF(MAX($F9:RUE9)=$D12,0,RUE9+1))</f>
        <v>0</v>
      </c>
      <c r="RUG9" s="26">
        <f>IF(RUG7=0,0,IF(MAX($F9:RUF9)=$D12,0,RUF9+1))</f>
        <v>0</v>
      </c>
      <c r="RUH9" s="26">
        <f>IF(RUH7=0,0,IF(MAX($F9:RUG9)=$D12,0,RUG9+1))</f>
        <v>0</v>
      </c>
      <c r="RUI9" s="26">
        <f>IF(RUI7=0,0,IF(MAX($F9:RUH9)=$D12,0,RUH9+1))</f>
        <v>0</v>
      </c>
      <c r="RUJ9" s="26">
        <f>IF(RUJ7=0,0,IF(MAX($F9:RUI9)=$D12,0,RUI9+1))</f>
        <v>0</v>
      </c>
      <c r="RUK9" s="26">
        <f>IF(RUK7=0,0,IF(MAX($F9:RUJ9)=$D12,0,RUJ9+1))</f>
        <v>0</v>
      </c>
      <c r="RUL9" s="26">
        <f>IF(RUL7=0,0,IF(MAX($F9:RUK9)=$D12,0,RUK9+1))</f>
        <v>0</v>
      </c>
      <c r="RUM9" s="26">
        <f>IF(RUM7=0,0,IF(MAX($F9:RUL9)=$D12,0,RUL9+1))</f>
        <v>0</v>
      </c>
      <c r="RUN9" s="26">
        <f>IF(RUN7=0,0,IF(MAX($F9:RUM9)=$D12,0,RUM9+1))</f>
        <v>0</v>
      </c>
      <c r="RUO9" s="26">
        <f>IF(RUO7=0,0,IF(MAX($F9:RUN9)=$D12,0,RUN9+1))</f>
        <v>0</v>
      </c>
      <c r="RUP9" s="26">
        <f>IF(RUP7=0,0,IF(MAX($F9:RUO9)=$D12,0,RUO9+1))</f>
        <v>0</v>
      </c>
      <c r="RUQ9" s="26">
        <f>IF(RUQ7=0,0,IF(MAX($F9:RUP9)=$D12,0,RUP9+1))</f>
        <v>0</v>
      </c>
      <c r="RUR9" s="26">
        <f>IF(RUR7=0,0,IF(MAX($F9:RUQ9)=$D12,0,RUQ9+1))</f>
        <v>0</v>
      </c>
      <c r="RUS9" s="26">
        <f>IF(RUS7=0,0,IF(MAX($F9:RUR9)=$D12,0,RUR9+1))</f>
        <v>0</v>
      </c>
      <c r="RUT9" s="26">
        <f>IF(RUT7=0,0,IF(MAX($F9:RUS9)=$D12,0,RUS9+1))</f>
        <v>0</v>
      </c>
      <c r="RUU9" s="26">
        <f>IF(RUU7=0,0,IF(MAX($F9:RUT9)=$D12,0,RUT9+1))</f>
        <v>0</v>
      </c>
      <c r="RUV9" s="26">
        <f>IF(RUV7=0,0,IF(MAX($F9:RUU9)=$D12,0,RUU9+1))</f>
        <v>0</v>
      </c>
      <c r="RUW9" s="26">
        <f>IF(RUW7=0,0,IF(MAX($F9:RUV9)=$D12,0,RUV9+1))</f>
        <v>0</v>
      </c>
      <c r="RUX9" s="26">
        <f>IF(RUX7=0,0,IF(MAX($F9:RUW9)=$D12,0,RUW9+1))</f>
        <v>0</v>
      </c>
      <c r="RUY9" s="26">
        <f>IF(RUY7=0,0,IF(MAX($F9:RUX9)=$D12,0,RUX9+1))</f>
        <v>0</v>
      </c>
      <c r="RUZ9" s="26">
        <f>IF(RUZ7=0,0,IF(MAX($F9:RUY9)=$D12,0,RUY9+1))</f>
        <v>0</v>
      </c>
      <c r="RVA9" s="26">
        <f>IF(RVA7=0,0,IF(MAX($F9:RUZ9)=$D12,0,RUZ9+1))</f>
        <v>0</v>
      </c>
      <c r="RVB9" s="26">
        <f>IF(RVB7=0,0,IF(MAX($F9:RVA9)=$D12,0,RVA9+1))</f>
        <v>0</v>
      </c>
      <c r="RVC9" s="26">
        <f>IF(RVC7=0,0,IF(MAX($F9:RVB9)=$D12,0,RVB9+1))</f>
        <v>0</v>
      </c>
      <c r="RVD9" s="26">
        <f>IF(RVD7=0,0,IF(MAX($F9:RVC9)=$D12,0,RVC9+1))</f>
        <v>0</v>
      </c>
      <c r="RVE9" s="26">
        <f>IF(RVE7=0,0,IF(MAX($F9:RVD9)=$D12,0,RVD9+1))</f>
        <v>0</v>
      </c>
      <c r="RVF9" s="26">
        <f>IF(RVF7=0,0,IF(MAX($F9:RVE9)=$D12,0,RVE9+1))</f>
        <v>0</v>
      </c>
      <c r="RVG9" s="26">
        <f>IF(RVG7=0,0,IF(MAX($F9:RVF9)=$D12,0,RVF9+1))</f>
        <v>0</v>
      </c>
      <c r="RVH9" s="26">
        <f>IF(RVH7=0,0,IF(MAX($F9:RVG9)=$D12,0,RVG9+1))</f>
        <v>0</v>
      </c>
      <c r="RVI9" s="26">
        <f>IF(RVI7=0,0,IF(MAX($F9:RVH9)=$D12,0,RVH9+1))</f>
        <v>0</v>
      </c>
      <c r="RVJ9" s="26">
        <f>IF(RVJ7=0,0,IF(MAX($F9:RVI9)=$D12,0,RVI9+1))</f>
        <v>0</v>
      </c>
      <c r="RVK9" s="26">
        <f>IF(RVK7=0,0,IF(MAX($F9:RVJ9)=$D12,0,RVJ9+1))</f>
        <v>0</v>
      </c>
      <c r="RVL9" s="26">
        <f>IF(RVL7=0,0,IF(MAX($F9:RVK9)=$D12,0,RVK9+1))</f>
        <v>0</v>
      </c>
      <c r="RVM9" s="26">
        <f>IF(RVM7=0,0,IF(MAX($F9:RVL9)=$D12,0,RVL9+1))</f>
        <v>0</v>
      </c>
      <c r="RVN9" s="26">
        <f>IF(RVN7=0,0,IF(MAX($F9:RVM9)=$D12,0,RVM9+1))</f>
        <v>0</v>
      </c>
      <c r="RVO9" s="26">
        <f>IF(RVO7=0,0,IF(MAX($F9:RVN9)=$D12,0,RVN9+1))</f>
        <v>0</v>
      </c>
      <c r="RVP9" s="26">
        <f>IF(RVP7=0,0,IF(MAX($F9:RVO9)=$D12,0,RVO9+1))</f>
        <v>0</v>
      </c>
      <c r="RVQ9" s="26">
        <f>IF(RVQ7=0,0,IF(MAX($F9:RVP9)=$D12,0,RVP9+1))</f>
        <v>0</v>
      </c>
      <c r="RVR9" s="26">
        <f>IF(RVR7=0,0,IF(MAX($F9:RVQ9)=$D12,0,RVQ9+1))</f>
        <v>0</v>
      </c>
      <c r="RVS9" s="26">
        <f>IF(RVS7=0,0,IF(MAX($F9:RVR9)=$D12,0,RVR9+1))</f>
        <v>0</v>
      </c>
      <c r="RVT9" s="26">
        <f>IF(RVT7=0,0,IF(MAX($F9:RVS9)=$D12,0,RVS9+1))</f>
        <v>0</v>
      </c>
      <c r="RVU9" s="26">
        <f>IF(RVU7=0,0,IF(MAX($F9:RVT9)=$D12,0,RVT9+1))</f>
        <v>0</v>
      </c>
      <c r="RVV9" s="26">
        <f>IF(RVV7=0,0,IF(MAX($F9:RVU9)=$D12,0,RVU9+1))</f>
        <v>0</v>
      </c>
      <c r="RVW9" s="26">
        <f>IF(RVW7=0,0,IF(MAX($F9:RVV9)=$D12,0,RVV9+1))</f>
        <v>0</v>
      </c>
      <c r="RVX9" s="26">
        <f>IF(RVX7=0,0,IF(MAX($F9:RVW9)=$D12,0,RVW9+1))</f>
        <v>0</v>
      </c>
      <c r="RVY9" s="26">
        <f>IF(RVY7=0,0,IF(MAX($F9:RVX9)=$D12,0,RVX9+1))</f>
        <v>0</v>
      </c>
      <c r="RVZ9" s="26">
        <f>IF(RVZ7=0,0,IF(MAX($F9:RVY9)=$D12,0,RVY9+1))</f>
        <v>0</v>
      </c>
      <c r="RWA9" s="26">
        <f>IF(RWA7=0,0,IF(MAX($F9:RVZ9)=$D12,0,RVZ9+1))</f>
        <v>0</v>
      </c>
      <c r="RWB9" s="26">
        <f>IF(RWB7=0,0,IF(MAX($F9:RWA9)=$D12,0,RWA9+1))</f>
        <v>0</v>
      </c>
      <c r="RWC9" s="26">
        <f>IF(RWC7=0,0,IF(MAX($F9:RWB9)=$D12,0,RWB9+1))</f>
        <v>0</v>
      </c>
      <c r="RWD9" s="26">
        <f>IF(RWD7=0,0,IF(MAX($F9:RWC9)=$D12,0,RWC9+1))</f>
        <v>0</v>
      </c>
      <c r="RWE9" s="26">
        <f>IF(RWE7=0,0,IF(MAX($F9:RWD9)=$D12,0,RWD9+1))</f>
        <v>0</v>
      </c>
      <c r="RWF9" s="26">
        <f>IF(RWF7=0,0,IF(MAX($F9:RWE9)=$D12,0,RWE9+1))</f>
        <v>0</v>
      </c>
      <c r="RWG9" s="26">
        <f>IF(RWG7=0,0,IF(MAX($F9:RWF9)=$D12,0,RWF9+1))</f>
        <v>0</v>
      </c>
      <c r="RWH9" s="26">
        <f>IF(RWH7=0,0,IF(MAX($F9:RWG9)=$D12,0,RWG9+1))</f>
        <v>0</v>
      </c>
      <c r="RWI9" s="26">
        <f>IF(RWI7=0,0,IF(MAX($F9:RWH9)=$D12,0,RWH9+1))</f>
        <v>0</v>
      </c>
      <c r="RWJ9" s="26">
        <f>IF(RWJ7=0,0,IF(MAX($F9:RWI9)=$D12,0,RWI9+1))</f>
        <v>0</v>
      </c>
      <c r="RWK9" s="26">
        <f>IF(RWK7=0,0,IF(MAX($F9:RWJ9)=$D12,0,RWJ9+1))</f>
        <v>0</v>
      </c>
      <c r="RWL9" s="26">
        <f>IF(RWL7=0,0,IF(MAX($F9:RWK9)=$D12,0,RWK9+1))</f>
        <v>0</v>
      </c>
      <c r="RWM9" s="26">
        <f>IF(RWM7=0,0,IF(MAX($F9:RWL9)=$D12,0,RWL9+1))</f>
        <v>0</v>
      </c>
      <c r="RWN9" s="26">
        <f>IF(RWN7=0,0,IF(MAX($F9:RWM9)=$D12,0,RWM9+1))</f>
        <v>0</v>
      </c>
      <c r="RWO9" s="26">
        <f>IF(RWO7=0,0,IF(MAX($F9:RWN9)=$D12,0,RWN9+1))</f>
        <v>0</v>
      </c>
      <c r="RWP9" s="26">
        <f>IF(RWP7=0,0,IF(MAX($F9:RWO9)=$D12,0,RWO9+1))</f>
        <v>0</v>
      </c>
      <c r="RWQ9" s="26">
        <f>IF(RWQ7=0,0,IF(MAX($F9:RWP9)=$D12,0,RWP9+1))</f>
        <v>0</v>
      </c>
      <c r="RWR9" s="26">
        <f>IF(RWR7=0,0,IF(MAX($F9:RWQ9)=$D12,0,RWQ9+1))</f>
        <v>0</v>
      </c>
      <c r="RWS9" s="26">
        <f>IF(RWS7=0,0,IF(MAX($F9:RWR9)=$D12,0,RWR9+1))</f>
        <v>0</v>
      </c>
      <c r="RWT9" s="26">
        <f>IF(RWT7=0,0,IF(MAX($F9:RWS9)=$D12,0,RWS9+1))</f>
        <v>0</v>
      </c>
      <c r="RWU9" s="26">
        <f>IF(RWU7=0,0,IF(MAX($F9:RWT9)=$D12,0,RWT9+1))</f>
        <v>0</v>
      </c>
      <c r="RWV9" s="26">
        <f>IF(RWV7=0,0,IF(MAX($F9:RWU9)=$D12,0,RWU9+1))</f>
        <v>0</v>
      </c>
      <c r="RWW9" s="26">
        <f>IF(RWW7=0,0,IF(MAX($F9:RWV9)=$D12,0,RWV9+1))</f>
        <v>0</v>
      </c>
      <c r="RWX9" s="26">
        <f>IF(RWX7=0,0,IF(MAX($F9:RWW9)=$D12,0,RWW9+1))</f>
        <v>0</v>
      </c>
      <c r="RWY9" s="26">
        <f>IF(RWY7=0,0,IF(MAX($F9:RWX9)=$D12,0,RWX9+1))</f>
        <v>0</v>
      </c>
      <c r="RWZ9" s="26">
        <f>IF(RWZ7=0,0,IF(MAX($F9:RWY9)=$D12,0,RWY9+1))</f>
        <v>0</v>
      </c>
      <c r="RXA9" s="26">
        <f>IF(RXA7=0,0,IF(MAX($F9:RWZ9)=$D12,0,RWZ9+1))</f>
        <v>0</v>
      </c>
      <c r="RXB9" s="26">
        <f>IF(RXB7=0,0,IF(MAX($F9:RXA9)=$D12,0,RXA9+1))</f>
        <v>0</v>
      </c>
      <c r="RXC9" s="26">
        <f>IF(RXC7=0,0,IF(MAX($F9:RXB9)=$D12,0,RXB9+1))</f>
        <v>0</v>
      </c>
      <c r="RXD9" s="26">
        <f>IF(RXD7=0,0,IF(MAX($F9:RXC9)=$D12,0,RXC9+1))</f>
        <v>0</v>
      </c>
      <c r="RXE9" s="26">
        <f>IF(RXE7=0,0,IF(MAX($F9:RXD9)=$D12,0,RXD9+1))</f>
        <v>0</v>
      </c>
      <c r="RXF9" s="26">
        <f>IF(RXF7=0,0,IF(MAX($F9:RXE9)=$D12,0,RXE9+1))</f>
        <v>0</v>
      </c>
      <c r="RXG9" s="26">
        <f>IF(RXG7=0,0,IF(MAX($F9:RXF9)=$D12,0,RXF9+1))</f>
        <v>0</v>
      </c>
      <c r="RXH9" s="26">
        <f>IF(RXH7=0,0,IF(MAX($F9:RXG9)=$D12,0,RXG9+1))</f>
        <v>0</v>
      </c>
      <c r="RXI9" s="26">
        <f>IF(RXI7=0,0,IF(MAX($F9:RXH9)=$D12,0,RXH9+1))</f>
        <v>0</v>
      </c>
      <c r="RXJ9" s="26">
        <f>IF(RXJ7=0,0,IF(MAX($F9:RXI9)=$D12,0,RXI9+1))</f>
        <v>0</v>
      </c>
      <c r="RXK9" s="26">
        <f>IF(RXK7=0,0,IF(MAX($F9:RXJ9)=$D12,0,RXJ9+1))</f>
        <v>0</v>
      </c>
      <c r="RXL9" s="26">
        <f>IF(RXL7=0,0,IF(MAX($F9:RXK9)=$D12,0,RXK9+1))</f>
        <v>0</v>
      </c>
      <c r="RXM9" s="26">
        <f>IF(RXM7=0,0,IF(MAX($F9:RXL9)=$D12,0,RXL9+1))</f>
        <v>0</v>
      </c>
      <c r="RXN9" s="26">
        <f>IF(RXN7=0,0,IF(MAX($F9:RXM9)=$D12,0,RXM9+1))</f>
        <v>0</v>
      </c>
      <c r="RXO9" s="26">
        <f>IF(RXO7=0,0,IF(MAX($F9:RXN9)=$D12,0,RXN9+1))</f>
        <v>0</v>
      </c>
      <c r="RXP9" s="26">
        <f>IF(RXP7=0,0,IF(MAX($F9:RXO9)=$D12,0,RXO9+1))</f>
        <v>0</v>
      </c>
      <c r="RXQ9" s="26">
        <f>IF(RXQ7=0,0,IF(MAX($F9:RXP9)=$D12,0,RXP9+1))</f>
        <v>0</v>
      </c>
      <c r="RXR9" s="26">
        <f>IF(RXR7=0,0,IF(MAX($F9:RXQ9)=$D12,0,RXQ9+1))</f>
        <v>0</v>
      </c>
      <c r="RXS9" s="26">
        <f>IF(RXS7=0,0,IF(MAX($F9:RXR9)=$D12,0,RXR9+1))</f>
        <v>0</v>
      </c>
      <c r="RXT9" s="26">
        <f>IF(RXT7=0,0,IF(MAX($F9:RXS9)=$D12,0,RXS9+1))</f>
        <v>0</v>
      </c>
      <c r="RXU9" s="26">
        <f>IF(RXU7=0,0,IF(MAX($F9:RXT9)=$D12,0,RXT9+1))</f>
        <v>0</v>
      </c>
      <c r="RXV9" s="26">
        <f>IF(RXV7=0,0,IF(MAX($F9:RXU9)=$D12,0,RXU9+1))</f>
        <v>0</v>
      </c>
      <c r="RXW9" s="26">
        <f>IF(RXW7=0,0,IF(MAX($F9:RXV9)=$D12,0,RXV9+1))</f>
        <v>0</v>
      </c>
      <c r="RXX9" s="26">
        <f>IF(RXX7=0,0,IF(MAX($F9:RXW9)=$D12,0,RXW9+1))</f>
        <v>0</v>
      </c>
      <c r="RXY9" s="26">
        <f>IF(RXY7=0,0,IF(MAX($F9:RXX9)=$D12,0,RXX9+1))</f>
        <v>0</v>
      </c>
      <c r="RXZ9" s="26">
        <f>IF(RXZ7=0,0,IF(MAX($F9:RXY9)=$D12,0,RXY9+1))</f>
        <v>0</v>
      </c>
      <c r="RYA9" s="26">
        <f>IF(RYA7=0,0,IF(MAX($F9:RXZ9)=$D12,0,RXZ9+1))</f>
        <v>0</v>
      </c>
      <c r="RYB9" s="26">
        <f>IF(RYB7=0,0,IF(MAX($F9:RYA9)=$D12,0,RYA9+1))</f>
        <v>0</v>
      </c>
      <c r="RYC9" s="26">
        <f>IF(RYC7=0,0,IF(MAX($F9:RYB9)=$D12,0,RYB9+1))</f>
        <v>0</v>
      </c>
      <c r="RYD9" s="26">
        <f>IF(RYD7=0,0,IF(MAX($F9:RYC9)=$D12,0,RYC9+1))</f>
        <v>0</v>
      </c>
      <c r="RYE9" s="26">
        <f>IF(RYE7=0,0,IF(MAX($F9:RYD9)=$D12,0,RYD9+1))</f>
        <v>0</v>
      </c>
      <c r="RYF9" s="26">
        <f>IF(RYF7=0,0,IF(MAX($F9:RYE9)=$D12,0,RYE9+1))</f>
        <v>0</v>
      </c>
      <c r="RYG9" s="26">
        <f>IF(RYG7=0,0,IF(MAX($F9:RYF9)=$D12,0,RYF9+1))</f>
        <v>0</v>
      </c>
      <c r="RYH9" s="26">
        <f>IF(RYH7=0,0,IF(MAX($F9:RYG9)=$D12,0,RYG9+1))</f>
        <v>0</v>
      </c>
      <c r="RYI9" s="26">
        <f>IF(RYI7=0,0,IF(MAX($F9:RYH9)=$D12,0,RYH9+1))</f>
        <v>0</v>
      </c>
      <c r="RYJ9" s="26">
        <f>IF(RYJ7=0,0,IF(MAX($F9:RYI9)=$D12,0,RYI9+1))</f>
        <v>0</v>
      </c>
      <c r="RYK9" s="26">
        <f>IF(RYK7=0,0,IF(MAX($F9:RYJ9)=$D12,0,RYJ9+1))</f>
        <v>0</v>
      </c>
      <c r="RYL9" s="26">
        <f>IF(RYL7=0,0,IF(MAX($F9:RYK9)=$D12,0,RYK9+1))</f>
        <v>0</v>
      </c>
      <c r="RYM9" s="26">
        <f>IF(RYM7=0,0,IF(MAX($F9:RYL9)=$D12,0,RYL9+1))</f>
        <v>0</v>
      </c>
      <c r="RYN9" s="26">
        <f>IF(RYN7=0,0,IF(MAX($F9:RYM9)=$D12,0,RYM9+1))</f>
        <v>0</v>
      </c>
      <c r="RYO9" s="26">
        <f>IF(RYO7=0,0,IF(MAX($F9:RYN9)=$D12,0,RYN9+1))</f>
        <v>0</v>
      </c>
      <c r="RYP9" s="26">
        <f>IF(RYP7=0,0,IF(MAX($F9:RYO9)=$D12,0,RYO9+1))</f>
        <v>0</v>
      </c>
      <c r="RYQ9" s="26">
        <f>IF(RYQ7=0,0,IF(MAX($F9:RYP9)=$D12,0,RYP9+1))</f>
        <v>0</v>
      </c>
      <c r="RYR9" s="26">
        <f>IF(RYR7=0,0,IF(MAX($F9:RYQ9)=$D12,0,RYQ9+1))</f>
        <v>0</v>
      </c>
      <c r="RYS9" s="26">
        <f>IF(RYS7=0,0,IF(MAX($F9:RYR9)=$D12,0,RYR9+1))</f>
        <v>0</v>
      </c>
      <c r="RYT9" s="26">
        <f>IF(RYT7=0,0,IF(MAX($F9:RYS9)=$D12,0,RYS9+1))</f>
        <v>0</v>
      </c>
      <c r="RYU9" s="26">
        <f>IF(RYU7=0,0,IF(MAX($F9:RYT9)=$D12,0,RYT9+1))</f>
        <v>0</v>
      </c>
      <c r="RYV9" s="26">
        <f>IF(RYV7=0,0,IF(MAX($F9:RYU9)=$D12,0,RYU9+1))</f>
        <v>0</v>
      </c>
      <c r="RYW9" s="26">
        <f>IF(RYW7=0,0,IF(MAX($F9:RYV9)=$D12,0,RYV9+1))</f>
        <v>0</v>
      </c>
      <c r="RYX9" s="26">
        <f>IF(RYX7=0,0,IF(MAX($F9:RYW9)=$D12,0,RYW9+1))</f>
        <v>0</v>
      </c>
      <c r="RYY9" s="26">
        <f>IF(RYY7=0,0,IF(MAX($F9:RYX9)=$D12,0,RYX9+1))</f>
        <v>0</v>
      </c>
      <c r="RYZ9" s="26">
        <f>IF(RYZ7=0,0,IF(MAX($F9:RYY9)=$D12,0,RYY9+1))</f>
        <v>0</v>
      </c>
      <c r="RZA9" s="26">
        <f>IF(RZA7=0,0,IF(MAX($F9:RYZ9)=$D12,0,RYZ9+1))</f>
        <v>0</v>
      </c>
      <c r="RZB9" s="26">
        <f>IF(RZB7=0,0,IF(MAX($F9:RZA9)=$D12,0,RZA9+1))</f>
        <v>0</v>
      </c>
      <c r="RZC9" s="26">
        <f>IF(RZC7=0,0,IF(MAX($F9:RZB9)=$D12,0,RZB9+1))</f>
        <v>0</v>
      </c>
      <c r="RZD9" s="26">
        <f>IF(RZD7=0,0,IF(MAX($F9:RZC9)=$D12,0,RZC9+1))</f>
        <v>0</v>
      </c>
      <c r="RZE9" s="26">
        <f>IF(RZE7=0,0,IF(MAX($F9:RZD9)=$D12,0,RZD9+1))</f>
        <v>0</v>
      </c>
      <c r="RZF9" s="26">
        <f>IF(RZF7=0,0,IF(MAX($F9:RZE9)=$D12,0,RZE9+1))</f>
        <v>0</v>
      </c>
      <c r="RZG9" s="26">
        <f>IF(RZG7=0,0,IF(MAX($F9:RZF9)=$D12,0,RZF9+1))</f>
        <v>0</v>
      </c>
      <c r="RZH9" s="26">
        <f>IF(RZH7=0,0,IF(MAX($F9:RZG9)=$D12,0,RZG9+1))</f>
        <v>0</v>
      </c>
      <c r="RZI9" s="26">
        <f>IF(RZI7=0,0,IF(MAX($F9:RZH9)=$D12,0,RZH9+1))</f>
        <v>0</v>
      </c>
      <c r="RZJ9" s="26">
        <f>IF(RZJ7=0,0,IF(MAX($F9:RZI9)=$D12,0,RZI9+1))</f>
        <v>0</v>
      </c>
      <c r="RZK9" s="26">
        <f>IF(RZK7=0,0,IF(MAX($F9:RZJ9)=$D12,0,RZJ9+1))</f>
        <v>0</v>
      </c>
      <c r="RZL9" s="26">
        <f>IF(RZL7=0,0,IF(MAX($F9:RZK9)=$D12,0,RZK9+1))</f>
        <v>0</v>
      </c>
      <c r="RZM9" s="26">
        <f>IF(RZM7=0,0,IF(MAX($F9:RZL9)=$D12,0,RZL9+1))</f>
        <v>0</v>
      </c>
      <c r="RZN9" s="26">
        <f>IF(RZN7=0,0,IF(MAX($F9:RZM9)=$D12,0,RZM9+1))</f>
        <v>0</v>
      </c>
      <c r="RZO9" s="26">
        <f>IF(RZO7=0,0,IF(MAX($F9:RZN9)=$D12,0,RZN9+1))</f>
        <v>0</v>
      </c>
      <c r="RZP9" s="26">
        <f>IF(RZP7=0,0,IF(MAX($F9:RZO9)=$D12,0,RZO9+1))</f>
        <v>0</v>
      </c>
      <c r="RZQ9" s="26">
        <f>IF(RZQ7=0,0,IF(MAX($F9:RZP9)=$D12,0,RZP9+1))</f>
        <v>0</v>
      </c>
      <c r="RZR9" s="26">
        <f>IF(RZR7=0,0,IF(MAX($F9:RZQ9)=$D12,0,RZQ9+1))</f>
        <v>0</v>
      </c>
      <c r="RZS9" s="26">
        <f>IF(RZS7=0,0,IF(MAX($F9:RZR9)=$D12,0,RZR9+1))</f>
        <v>0</v>
      </c>
      <c r="RZT9" s="26">
        <f>IF(RZT7=0,0,IF(MAX($F9:RZS9)=$D12,0,RZS9+1))</f>
        <v>0</v>
      </c>
      <c r="RZU9" s="26">
        <f>IF(RZU7=0,0,IF(MAX($F9:RZT9)=$D12,0,RZT9+1))</f>
        <v>0</v>
      </c>
      <c r="RZV9" s="26">
        <f>IF(RZV7=0,0,IF(MAX($F9:RZU9)=$D12,0,RZU9+1))</f>
        <v>0</v>
      </c>
      <c r="RZW9" s="26">
        <f>IF(RZW7=0,0,IF(MAX($F9:RZV9)=$D12,0,RZV9+1))</f>
        <v>0</v>
      </c>
      <c r="RZX9" s="26">
        <f>IF(RZX7=0,0,IF(MAX($F9:RZW9)=$D12,0,RZW9+1))</f>
        <v>0</v>
      </c>
      <c r="RZY9" s="26">
        <f>IF(RZY7=0,0,IF(MAX($F9:RZX9)=$D12,0,RZX9+1))</f>
        <v>0</v>
      </c>
      <c r="RZZ9" s="26">
        <f>IF(RZZ7=0,0,IF(MAX($F9:RZY9)=$D12,0,RZY9+1))</f>
        <v>0</v>
      </c>
      <c r="SAA9" s="26">
        <f>IF(SAA7=0,0,IF(MAX($F9:RZZ9)=$D12,0,RZZ9+1))</f>
        <v>0</v>
      </c>
      <c r="SAB9" s="26">
        <f>IF(SAB7=0,0,IF(MAX($F9:SAA9)=$D12,0,SAA9+1))</f>
        <v>0</v>
      </c>
      <c r="SAC9" s="26">
        <f>IF(SAC7=0,0,IF(MAX($F9:SAB9)=$D12,0,SAB9+1))</f>
        <v>0</v>
      </c>
      <c r="SAD9" s="26">
        <f>IF(SAD7=0,0,IF(MAX($F9:SAC9)=$D12,0,SAC9+1))</f>
        <v>0</v>
      </c>
      <c r="SAE9" s="26">
        <f>IF(SAE7=0,0,IF(MAX($F9:SAD9)=$D12,0,SAD9+1))</f>
        <v>0</v>
      </c>
      <c r="SAF9" s="26">
        <f>IF(SAF7=0,0,IF(MAX($F9:SAE9)=$D12,0,SAE9+1))</f>
        <v>0</v>
      </c>
      <c r="SAG9" s="26">
        <f>IF(SAG7=0,0,IF(MAX($F9:SAF9)=$D12,0,SAF9+1))</f>
        <v>0</v>
      </c>
      <c r="SAH9" s="26">
        <f>IF(SAH7=0,0,IF(MAX($F9:SAG9)=$D12,0,SAG9+1))</f>
        <v>0</v>
      </c>
      <c r="SAI9" s="26">
        <f>IF(SAI7=0,0,IF(MAX($F9:SAH9)=$D12,0,SAH9+1))</f>
        <v>0</v>
      </c>
      <c r="SAJ9" s="26">
        <f>IF(SAJ7=0,0,IF(MAX($F9:SAI9)=$D12,0,SAI9+1))</f>
        <v>0</v>
      </c>
      <c r="SAK9" s="26">
        <f>IF(SAK7=0,0,IF(MAX($F9:SAJ9)=$D12,0,SAJ9+1))</f>
        <v>0</v>
      </c>
      <c r="SAL9" s="26">
        <f>IF(SAL7=0,0,IF(MAX($F9:SAK9)=$D12,0,SAK9+1))</f>
        <v>0</v>
      </c>
      <c r="SAM9" s="26">
        <f>IF(SAM7=0,0,IF(MAX($F9:SAL9)=$D12,0,SAL9+1))</f>
        <v>0</v>
      </c>
      <c r="SAN9" s="26">
        <f>IF(SAN7=0,0,IF(MAX($F9:SAM9)=$D12,0,SAM9+1))</f>
        <v>0</v>
      </c>
      <c r="SAO9" s="26">
        <f>IF(SAO7=0,0,IF(MAX($F9:SAN9)=$D12,0,SAN9+1))</f>
        <v>0</v>
      </c>
      <c r="SAP9" s="26">
        <f>IF(SAP7=0,0,IF(MAX($F9:SAO9)=$D12,0,SAO9+1))</f>
        <v>0</v>
      </c>
      <c r="SAQ9" s="26">
        <f>IF(SAQ7=0,0,IF(MAX($F9:SAP9)=$D12,0,SAP9+1))</f>
        <v>0</v>
      </c>
      <c r="SAR9" s="26">
        <f>IF(SAR7=0,0,IF(MAX($F9:SAQ9)=$D12,0,SAQ9+1))</f>
        <v>0</v>
      </c>
      <c r="SAS9" s="26">
        <f>IF(SAS7=0,0,IF(MAX($F9:SAR9)=$D12,0,SAR9+1))</f>
        <v>0</v>
      </c>
      <c r="SAT9" s="26">
        <f>IF(SAT7=0,0,IF(MAX($F9:SAS9)=$D12,0,SAS9+1))</f>
        <v>0</v>
      </c>
      <c r="SAU9" s="26">
        <f>IF(SAU7=0,0,IF(MAX($F9:SAT9)=$D12,0,SAT9+1))</f>
        <v>0</v>
      </c>
      <c r="SAV9" s="26">
        <f>IF(SAV7=0,0,IF(MAX($F9:SAU9)=$D12,0,SAU9+1))</f>
        <v>0</v>
      </c>
      <c r="SAW9" s="26">
        <f>IF(SAW7=0,0,IF(MAX($F9:SAV9)=$D12,0,SAV9+1))</f>
        <v>0</v>
      </c>
      <c r="SAX9" s="26">
        <f>IF(SAX7=0,0,IF(MAX($F9:SAW9)=$D12,0,SAW9+1))</f>
        <v>0</v>
      </c>
      <c r="SAY9" s="26">
        <f>IF(SAY7=0,0,IF(MAX($F9:SAX9)=$D12,0,SAX9+1))</f>
        <v>0</v>
      </c>
      <c r="SAZ9" s="26">
        <f>IF(SAZ7=0,0,IF(MAX($F9:SAY9)=$D12,0,SAY9+1))</f>
        <v>0</v>
      </c>
      <c r="SBA9" s="26">
        <f>IF(SBA7=0,0,IF(MAX($F9:SAZ9)=$D12,0,SAZ9+1))</f>
        <v>0</v>
      </c>
      <c r="SBB9" s="26">
        <f>IF(SBB7=0,0,IF(MAX($F9:SBA9)=$D12,0,SBA9+1))</f>
        <v>0</v>
      </c>
      <c r="SBC9" s="26">
        <f>IF(SBC7=0,0,IF(MAX($F9:SBB9)=$D12,0,SBB9+1))</f>
        <v>0</v>
      </c>
      <c r="SBD9" s="26">
        <f>IF(SBD7=0,0,IF(MAX($F9:SBC9)=$D12,0,SBC9+1))</f>
        <v>0</v>
      </c>
      <c r="SBE9" s="26">
        <f>IF(SBE7=0,0,IF(MAX($F9:SBD9)=$D12,0,SBD9+1))</f>
        <v>0</v>
      </c>
      <c r="SBF9" s="26">
        <f>IF(SBF7=0,0,IF(MAX($F9:SBE9)=$D12,0,SBE9+1))</f>
        <v>0</v>
      </c>
      <c r="SBG9" s="26">
        <f>IF(SBG7=0,0,IF(MAX($F9:SBF9)=$D12,0,SBF9+1))</f>
        <v>0</v>
      </c>
      <c r="SBH9" s="26">
        <f>IF(SBH7=0,0,IF(MAX($F9:SBG9)=$D12,0,SBG9+1))</f>
        <v>0</v>
      </c>
      <c r="SBI9" s="26">
        <f>IF(SBI7=0,0,IF(MAX($F9:SBH9)=$D12,0,SBH9+1))</f>
        <v>0</v>
      </c>
      <c r="SBJ9" s="26">
        <f>IF(SBJ7=0,0,IF(MAX($F9:SBI9)=$D12,0,SBI9+1))</f>
        <v>0</v>
      </c>
      <c r="SBK9" s="26">
        <f>IF(SBK7=0,0,IF(MAX($F9:SBJ9)=$D12,0,SBJ9+1))</f>
        <v>0</v>
      </c>
      <c r="SBL9" s="26">
        <f>IF(SBL7=0,0,IF(MAX($F9:SBK9)=$D12,0,SBK9+1))</f>
        <v>0</v>
      </c>
      <c r="SBM9" s="26">
        <f>IF(SBM7=0,0,IF(MAX($F9:SBL9)=$D12,0,SBL9+1))</f>
        <v>0</v>
      </c>
      <c r="SBN9" s="26">
        <f>IF(SBN7=0,0,IF(MAX($F9:SBM9)=$D12,0,SBM9+1))</f>
        <v>0</v>
      </c>
      <c r="SBO9" s="26">
        <f>IF(SBO7=0,0,IF(MAX($F9:SBN9)=$D12,0,SBN9+1))</f>
        <v>0</v>
      </c>
      <c r="SBP9" s="26">
        <f>IF(SBP7=0,0,IF(MAX($F9:SBO9)=$D12,0,SBO9+1))</f>
        <v>0</v>
      </c>
      <c r="SBQ9" s="26">
        <f>IF(SBQ7=0,0,IF(MAX($F9:SBP9)=$D12,0,SBP9+1))</f>
        <v>0</v>
      </c>
      <c r="SBR9" s="26">
        <f>IF(SBR7=0,0,IF(MAX($F9:SBQ9)=$D12,0,SBQ9+1))</f>
        <v>0</v>
      </c>
      <c r="SBS9" s="26">
        <f>IF(SBS7=0,0,IF(MAX($F9:SBR9)=$D12,0,SBR9+1))</f>
        <v>0</v>
      </c>
      <c r="SBT9" s="26">
        <f>IF(SBT7=0,0,IF(MAX($F9:SBS9)=$D12,0,SBS9+1))</f>
        <v>0</v>
      </c>
      <c r="SBU9" s="26">
        <f>IF(SBU7=0,0,IF(MAX($F9:SBT9)=$D12,0,SBT9+1))</f>
        <v>0</v>
      </c>
      <c r="SBV9" s="26">
        <f>IF(SBV7=0,0,IF(MAX($F9:SBU9)=$D12,0,SBU9+1))</f>
        <v>0</v>
      </c>
      <c r="SBW9" s="26">
        <f>IF(SBW7=0,0,IF(MAX($F9:SBV9)=$D12,0,SBV9+1))</f>
        <v>0</v>
      </c>
      <c r="SBX9" s="26">
        <f>IF(SBX7=0,0,IF(MAX($F9:SBW9)=$D12,0,SBW9+1))</f>
        <v>0</v>
      </c>
      <c r="SBY9" s="26">
        <f>IF(SBY7=0,0,IF(MAX($F9:SBX9)=$D12,0,SBX9+1))</f>
        <v>0</v>
      </c>
      <c r="SBZ9" s="26">
        <f>IF(SBZ7=0,0,IF(MAX($F9:SBY9)=$D12,0,SBY9+1))</f>
        <v>0</v>
      </c>
      <c r="SCA9" s="26">
        <f>IF(SCA7=0,0,IF(MAX($F9:SBZ9)=$D12,0,SBZ9+1))</f>
        <v>0</v>
      </c>
      <c r="SCB9" s="26">
        <f>IF(SCB7=0,0,IF(MAX($F9:SCA9)=$D12,0,SCA9+1))</f>
        <v>0</v>
      </c>
      <c r="SCC9" s="26">
        <f>IF(SCC7=0,0,IF(MAX($F9:SCB9)=$D12,0,SCB9+1))</f>
        <v>0</v>
      </c>
      <c r="SCD9" s="26">
        <f>IF(SCD7=0,0,IF(MAX($F9:SCC9)=$D12,0,SCC9+1))</f>
        <v>0</v>
      </c>
      <c r="SCE9" s="26">
        <f>IF(SCE7=0,0,IF(MAX($F9:SCD9)=$D12,0,SCD9+1))</f>
        <v>0</v>
      </c>
      <c r="SCF9" s="26">
        <f>IF(SCF7=0,0,IF(MAX($F9:SCE9)=$D12,0,SCE9+1))</f>
        <v>0</v>
      </c>
      <c r="SCG9" s="26">
        <f>IF(SCG7=0,0,IF(MAX($F9:SCF9)=$D12,0,SCF9+1))</f>
        <v>0</v>
      </c>
      <c r="SCH9" s="26">
        <f>IF(SCH7=0,0,IF(MAX($F9:SCG9)=$D12,0,SCG9+1))</f>
        <v>0</v>
      </c>
      <c r="SCI9" s="26">
        <f>IF(SCI7=0,0,IF(MAX($F9:SCH9)=$D12,0,SCH9+1))</f>
        <v>0</v>
      </c>
      <c r="SCJ9" s="26">
        <f>IF(SCJ7=0,0,IF(MAX($F9:SCI9)=$D12,0,SCI9+1))</f>
        <v>0</v>
      </c>
      <c r="SCK9" s="26">
        <f>IF(SCK7=0,0,IF(MAX($F9:SCJ9)=$D12,0,SCJ9+1))</f>
        <v>0</v>
      </c>
      <c r="SCL9" s="26">
        <f>IF(SCL7=0,0,IF(MAX($F9:SCK9)=$D12,0,SCK9+1))</f>
        <v>0</v>
      </c>
      <c r="SCM9" s="26">
        <f>IF(SCM7=0,0,IF(MAX($F9:SCL9)=$D12,0,SCL9+1))</f>
        <v>0</v>
      </c>
      <c r="SCN9" s="26">
        <f>IF(SCN7=0,0,IF(MAX($F9:SCM9)=$D12,0,SCM9+1))</f>
        <v>0</v>
      </c>
      <c r="SCO9" s="26">
        <f>IF(SCO7=0,0,IF(MAX($F9:SCN9)=$D12,0,SCN9+1))</f>
        <v>0</v>
      </c>
      <c r="SCP9" s="26">
        <f>IF(SCP7=0,0,IF(MAX($F9:SCO9)=$D12,0,SCO9+1))</f>
        <v>0</v>
      </c>
      <c r="SCQ9" s="26">
        <f>IF(SCQ7=0,0,IF(MAX($F9:SCP9)=$D12,0,SCP9+1))</f>
        <v>0</v>
      </c>
      <c r="SCR9" s="26">
        <f>IF(SCR7=0,0,IF(MAX($F9:SCQ9)=$D12,0,SCQ9+1))</f>
        <v>0</v>
      </c>
      <c r="SCS9" s="26">
        <f>IF(SCS7=0,0,IF(MAX($F9:SCR9)=$D12,0,SCR9+1))</f>
        <v>0</v>
      </c>
      <c r="SCT9" s="26">
        <f>IF(SCT7=0,0,IF(MAX($F9:SCS9)=$D12,0,SCS9+1))</f>
        <v>0</v>
      </c>
      <c r="SCU9" s="26">
        <f>IF(SCU7=0,0,IF(MAX($F9:SCT9)=$D12,0,SCT9+1))</f>
        <v>0</v>
      </c>
      <c r="SCV9" s="26">
        <f>IF(SCV7=0,0,IF(MAX($F9:SCU9)=$D12,0,SCU9+1))</f>
        <v>0</v>
      </c>
      <c r="SCW9" s="26">
        <f>IF(SCW7=0,0,IF(MAX($F9:SCV9)=$D12,0,SCV9+1))</f>
        <v>0</v>
      </c>
      <c r="SCX9" s="26">
        <f>IF(SCX7=0,0,IF(MAX($F9:SCW9)=$D12,0,SCW9+1))</f>
        <v>0</v>
      </c>
      <c r="SCY9" s="26">
        <f>IF(SCY7=0,0,IF(MAX($F9:SCX9)=$D12,0,SCX9+1))</f>
        <v>0</v>
      </c>
      <c r="SCZ9" s="26">
        <f>IF(SCZ7=0,0,IF(MAX($F9:SCY9)=$D12,0,SCY9+1))</f>
        <v>0</v>
      </c>
      <c r="SDA9" s="26">
        <f>IF(SDA7=0,0,IF(MAX($F9:SCZ9)=$D12,0,SCZ9+1))</f>
        <v>0</v>
      </c>
      <c r="SDB9" s="26">
        <f>IF(SDB7=0,0,IF(MAX($F9:SDA9)=$D12,0,SDA9+1))</f>
        <v>0</v>
      </c>
      <c r="SDC9" s="26">
        <f>IF(SDC7=0,0,IF(MAX($F9:SDB9)=$D12,0,SDB9+1))</f>
        <v>0</v>
      </c>
      <c r="SDD9" s="26">
        <f>IF(SDD7=0,0,IF(MAX($F9:SDC9)=$D12,0,SDC9+1))</f>
        <v>0</v>
      </c>
      <c r="SDE9" s="26">
        <f>IF(SDE7=0,0,IF(MAX($F9:SDD9)=$D12,0,SDD9+1))</f>
        <v>0</v>
      </c>
      <c r="SDF9" s="26">
        <f>IF(SDF7=0,0,IF(MAX($F9:SDE9)=$D12,0,SDE9+1))</f>
        <v>0</v>
      </c>
      <c r="SDG9" s="26">
        <f>IF(SDG7=0,0,IF(MAX($F9:SDF9)=$D12,0,SDF9+1))</f>
        <v>0</v>
      </c>
      <c r="SDH9" s="26">
        <f>IF(SDH7=0,0,IF(MAX($F9:SDG9)=$D12,0,SDG9+1))</f>
        <v>0</v>
      </c>
      <c r="SDI9" s="26">
        <f>IF(SDI7=0,0,IF(MAX($F9:SDH9)=$D12,0,SDH9+1))</f>
        <v>0</v>
      </c>
      <c r="SDJ9" s="26">
        <f>IF(SDJ7=0,0,IF(MAX($F9:SDI9)=$D12,0,SDI9+1))</f>
        <v>0</v>
      </c>
      <c r="SDK9" s="26">
        <f>IF(SDK7=0,0,IF(MAX($F9:SDJ9)=$D12,0,SDJ9+1))</f>
        <v>0</v>
      </c>
      <c r="SDL9" s="26">
        <f>IF(SDL7=0,0,IF(MAX($F9:SDK9)=$D12,0,SDK9+1))</f>
        <v>0</v>
      </c>
      <c r="SDM9" s="26">
        <f>IF(SDM7=0,0,IF(MAX($F9:SDL9)=$D12,0,SDL9+1))</f>
        <v>0</v>
      </c>
      <c r="SDN9" s="26">
        <f>IF(SDN7=0,0,IF(MAX($F9:SDM9)=$D12,0,SDM9+1))</f>
        <v>0</v>
      </c>
      <c r="SDO9" s="26">
        <f>IF(SDO7=0,0,IF(MAX($F9:SDN9)=$D12,0,SDN9+1))</f>
        <v>0</v>
      </c>
      <c r="SDP9" s="26">
        <f>IF(SDP7=0,0,IF(MAX($F9:SDO9)=$D12,0,SDO9+1))</f>
        <v>0</v>
      </c>
      <c r="SDQ9" s="26">
        <f>IF(SDQ7=0,0,IF(MAX($F9:SDP9)=$D12,0,SDP9+1))</f>
        <v>0</v>
      </c>
      <c r="SDR9" s="26">
        <f>IF(SDR7=0,0,IF(MAX($F9:SDQ9)=$D12,0,SDQ9+1))</f>
        <v>0</v>
      </c>
      <c r="SDS9" s="26">
        <f>IF(SDS7=0,0,IF(MAX($F9:SDR9)=$D12,0,SDR9+1))</f>
        <v>0</v>
      </c>
      <c r="SDT9" s="26">
        <f>IF(SDT7=0,0,IF(MAX($F9:SDS9)=$D12,0,SDS9+1))</f>
        <v>0</v>
      </c>
      <c r="SDU9" s="26">
        <f>IF(SDU7=0,0,IF(MAX($F9:SDT9)=$D12,0,SDT9+1))</f>
        <v>0</v>
      </c>
      <c r="SDV9" s="26">
        <f>IF(SDV7=0,0,IF(MAX($F9:SDU9)=$D12,0,SDU9+1))</f>
        <v>0</v>
      </c>
      <c r="SDW9" s="26">
        <f>IF(SDW7=0,0,IF(MAX($F9:SDV9)=$D12,0,SDV9+1))</f>
        <v>0</v>
      </c>
      <c r="SDX9" s="26">
        <f>IF(SDX7=0,0,IF(MAX($F9:SDW9)=$D12,0,SDW9+1))</f>
        <v>0</v>
      </c>
      <c r="SDY9" s="26">
        <f>IF(SDY7=0,0,IF(MAX($F9:SDX9)=$D12,0,SDX9+1))</f>
        <v>0</v>
      </c>
      <c r="SDZ9" s="26">
        <f>IF(SDZ7=0,0,IF(MAX($F9:SDY9)=$D12,0,SDY9+1))</f>
        <v>0</v>
      </c>
      <c r="SEA9" s="26">
        <f>IF(SEA7=0,0,IF(MAX($F9:SDZ9)=$D12,0,SDZ9+1))</f>
        <v>0</v>
      </c>
      <c r="SEB9" s="26">
        <f>IF(SEB7=0,0,IF(MAX($F9:SEA9)=$D12,0,SEA9+1))</f>
        <v>0</v>
      </c>
      <c r="SEC9" s="26">
        <f>IF(SEC7=0,0,IF(MAX($F9:SEB9)=$D12,0,SEB9+1))</f>
        <v>0</v>
      </c>
      <c r="SED9" s="26">
        <f>IF(SED7=0,0,IF(MAX($F9:SEC9)=$D12,0,SEC9+1))</f>
        <v>0</v>
      </c>
      <c r="SEE9" s="26">
        <f>IF(SEE7=0,0,IF(MAX($F9:SED9)=$D12,0,SED9+1))</f>
        <v>0</v>
      </c>
      <c r="SEF9" s="26">
        <f>IF(SEF7=0,0,IF(MAX($F9:SEE9)=$D12,0,SEE9+1))</f>
        <v>0</v>
      </c>
      <c r="SEG9" s="26">
        <f>IF(SEG7=0,0,IF(MAX($F9:SEF9)=$D12,0,SEF9+1))</f>
        <v>0</v>
      </c>
      <c r="SEH9" s="26">
        <f>IF(SEH7=0,0,IF(MAX($F9:SEG9)=$D12,0,SEG9+1))</f>
        <v>0</v>
      </c>
      <c r="SEI9" s="26">
        <f>IF(SEI7=0,0,IF(MAX($F9:SEH9)=$D12,0,SEH9+1))</f>
        <v>0</v>
      </c>
      <c r="SEJ9" s="26">
        <f>IF(SEJ7=0,0,IF(MAX($F9:SEI9)=$D12,0,SEI9+1))</f>
        <v>0</v>
      </c>
      <c r="SEK9" s="26">
        <f>IF(SEK7=0,0,IF(MAX($F9:SEJ9)=$D12,0,SEJ9+1))</f>
        <v>0</v>
      </c>
      <c r="SEL9" s="26">
        <f>IF(SEL7=0,0,IF(MAX($F9:SEK9)=$D12,0,SEK9+1))</f>
        <v>0</v>
      </c>
      <c r="SEM9" s="26">
        <f>IF(SEM7=0,0,IF(MAX($F9:SEL9)=$D12,0,SEL9+1))</f>
        <v>0</v>
      </c>
      <c r="SEN9" s="26">
        <f>IF(SEN7=0,0,IF(MAX($F9:SEM9)=$D12,0,SEM9+1))</f>
        <v>0</v>
      </c>
      <c r="SEO9" s="26">
        <f>IF(SEO7=0,0,IF(MAX($F9:SEN9)=$D12,0,SEN9+1))</f>
        <v>0</v>
      </c>
      <c r="SEP9" s="26">
        <f>IF(SEP7=0,0,IF(MAX($F9:SEO9)=$D12,0,SEO9+1))</f>
        <v>0</v>
      </c>
      <c r="SEQ9" s="26">
        <f>IF(SEQ7=0,0,IF(MAX($F9:SEP9)=$D12,0,SEP9+1))</f>
        <v>0</v>
      </c>
      <c r="SER9" s="26">
        <f>IF(SER7=0,0,IF(MAX($F9:SEQ9)=$D12,0,SEQ9+1))</f>
        <v>0</v>
      </c>
      <c r="SES9" s="26">
        <f>IF(SES7=0,0,IF(MAX($F9:SER9)=$D12,0,SER9+1))</f>
        <v>0</v>
      </c>
      <c r="SET9" s="26">
        <f>IF(SET7=0,0,IF(MAX($F9:SES9)=$D12,0,SES9+1))</f>
        <v>0</v>
      </c>
      <c r="SEU9" s="26">
        <f>IF(SEU7=0,0,IF(MAX($F9:SET9)=$D12,0,SET9+1))</f>
        <v>0</v>
      </c>
      <c r="SEV9" s="26">
        <f>IF(SEV7=0,0,IF(MAX($F9:SEU9)=$D12,0,SEU9+1))</f>
        <v>0</v>
      </c>
      <c r="SEW9" s="26">
        <f>IF(SEW7=0,0,IF(MAX($F9:SEV9)=$D12,0,SEV9+1))</f>
        <v>0</v>
      </c>
      <c r="SEX9" s="26">
        <f>IF(SEX7=0,0,IF(MAX($F9:SEW9)=$D12,0,SEW9+1))</f>
        <v>0</v>
      </c>
      <c r="SEY9" s="26">
        <f>IF(SEY7=0,0,IF(MAX($F9:SEX9)=$D12,0,SEX9+1))</f>
        <v>0</v>
      </c>
      <c r="SEZ9" s="26">
        <f>IF(SEZ7=0,0,IF(MAX($F9:SEY9)=$D12,0,SEY9+1))</f>
        <v>0</v>
      </c>
      <c r="SFA9" s="26">
        <f>IF(SFA7=0,0,IF(MAX($F9:SEZ9)=$D12,0,SEZ9+1))</f>
        <v>0</v>
      </c>
      <c r="SFB9" s="26">
        <f>IF(SFB7=0,0,IF(MAX($F9:SFA9)=$D12,0,SFA9+1))</f>
        <v>0</v>
      </c>
      <c r="SFC9" s="26">
        <f>IF(SFC7=0,0,IF(MAX($F9:SFB9)=$D12,0,SFB9+1))</f>
        <v>0</v>
      </c>
      <c r="SFD9" s="26">
        <f>IF(SFD7=0,0,IF(MAX($F9:SFC9)=$D12,0,SFC9+1))</f>
        <v>0</v>
      </c>
      <c r="SFE9" s="26">
        <f>IF(SFE7=0,0,IF(MAX($F9:SFD9)=$D12,0,SFD9+1))</f>
        <v>0</v>
      </c>
      <c r="SFF9" s="26">
        <f>IF(SFF7=0,0,IF(MAX($F9:SFE9)=$D12,0,SFE9+1))</f>
        <v>0</v>
      </c>
      <c r="SFG9" s="26">
        <f>IF(SFG7=0,0,IF(MAX($F9:SFF9)=$D12,0,SFF9+1))</f>
        <v>0</v>
      </c>
      <c r="SFH9" s="26">
        <f>IF(SFH7=0,0,IF(MAX($F9:SFG9)=$D12,0,SFG9+1))</f>
        <v>0</v>
      </c>
      <c r="SFI9" s="26">
        <f>IF(SFI7=0,0,IF(MAX($F9:SFH9)=$D12,0,SFH9+1))</f>
        <v>0</v>
      </c>
      <c r="SFJ9" s="26">
        <f>IF(SFJ7=0,0,IF(MAX($F9:SFI9)=$D12,0,SFI9+1))</f>
        <v>0</v>
      </c>
      <c r="SFK9" s="26">
        <f>IF(SFK7=0,0,IF(MAX($F9:SFJ9)=$D12,0,SFJ9+1))</f>
        <v>0</v>
      </c>
      <c r="SFL9" s="26">
        <f>IF(SFL7=0,0,IF(MAX($F9:SFK9)=$D12,0,SFK9+1))</f>
        <v>0</v>
      </c>
      <c r="SFM9" s="26">
        <f>IF(SFM7=0,0,IF(MAX($F9:SFL9)=$D12,0,SFL9+1))</f>
        <v>0</v>
      </c>
      <c r="SFN9" s="26">
        <f>IF(SFN7=0,0,IF(MAX($F9:SFM9)=$D12,0,SFM9+1))</f>
        <v>0</v>
      </c>
      <c r="SFO9" s="26">
        <f>IF(SFO7=0,0,IF(MAX($F9:SFN9)=$D12,0,SFN9+1))</f>
        <v>0</v>
      </c>
      <c r="SFP9" s="26">
        <f>IF(SFP7=0,0,IF(MAX($F9:SFO9)=$D12,0,SFO9+1))</f>
        <v>0</v>
      </c>
      <c r="SFQ9" s="26">
        <f>IF(SFQ7=0,0,IF(MAX($F9:SFP9)=$D12,0,SFP9+1))</f>
        <v>0</v>
      </c>
      <c r="SFR9" s="26">
        <f>IF(SFR7=0,0,IF(MAX($F9:SFQ9)=$D12,0,SFQ9+1))</f>
        <v>0</v>
      </c>
      <c r="SFS9" s="26">
        <f>IF(SFS7=0,0,IF(MAX($F9:SFR9)=$D12,0,SFR9+1))</f>
        <v>0</v>
      </c>
      <c r="SFT9" s="26">
        <f>IF(SFT7=0,0,IF(MAX($F9:SFS9)=$D12,0,SFS9+1))</f>
        <v>0</v>
      </c>
      <c r="SFU9" s="26">
        <f>IF(SFU7=0,0,IF(MAX($F9:SFT9)=$D12,0,SFT9+1))</f>
        <v>0</v>
      </c>
      <c r="SFV9" s="26">
        <f>IF(SFV7=0,0,IF(MAX($F9:SFU9)=$D12,0,SFU9+1))</f>
        <v>0</v>
      </c>
      <c r="SFW9" s="26">
        <f>IF(SFW7=0,0,IF(MAX($F9:SFV9)=$D12,0,SFV9+1))</f>
        <v>0</v>
      </c>
      <c r="SFX9" s="26">
        <f>IF(SFX7=0,0,IF(MAX($F9:SFW9)=$D12,0,SFW9+1))</f>
        <v>0</v>
      </c>
      <c r="SFY9" s="26">
        <f>IF(SFY7=0,0,IF(MAX($F9:SFX9)=$D12,0,SFX9+1))</f>
        <v>0</v>
      </c>
      <c r="SFZ9" s="26">
        <f>IF(SFZ7=0,0,IF(MAX($F9:SFY9)=$D12,0,SFY9+1))</f>
        <v>0</v>
      </c>
      <c r="SGA9" s="26">
        <f>IF(SGA7=0,0,IF(MAX($F9:SFZ9)=$D12,0,SFZ9+1))</f>
        <v>0</v>
      </c>
      <c r="SGB9" s="26">
        <f>IF(SGB7=0,0,IF(MAX($F9:SGA9)=$D12,0,SGA9+1))</f>
        <v>0</v>
      </c>
      <c r="SGC9" s="26">
        <f>IF(SGC7=0,0,IF(MAX($F9:SGB9)=$D12,0,SGB9+1))</f>
        <v>0</v>
      </c>
      <c r="SGD9" s="26">
        <f>IF(SGD7=0,0,IF(MAX($F9:SGC9)=$D12,0,SGC9+1))</f>
        <v>0</v>
      </c>
      <c r="SGE9" s="26">
        <f>IF(SGE7=0,0,IF(MAX($F9:SGD9)=$D12,0,SGD9+1))</f>
        <v>0</v>
      </c>
      <c r="SGF9" s="26">
        <f>IF(SGF7=0,0,IF(MAX($F9:SGE9)=$D12,0,SGE9+1))</f>
        <v>0</v>
      </c>
      <c r="SGG9" s="26">
        <f>IF(SGG7=0,0,IF(MAX($F9:SGF9)=$D12,0,SGF9+1))</f>
        <v>0</v>
      </c>
      <c r="SGH9" s="26">
        <f>IF(SGH7=0,0,IF(MAX($F9:SGG9)=$D12,0,SGG9+1))</f>
        <v>0</v>
      </c>
      <c r="SGI9" s="26">
        <f>IF(SGI7=0,0,IF(MAX($F9:SGH9)=$D12,0,SGH9+1))</f>
        <v>0</v>
      </c>
      <c r="SGJ9" s="26">
        <f>IF(SGJ7=0,0,IF(MAX($F9:SGI9)=$D12,0,SGI9+1))</f>
        <v>0</v>
      </c>
      <c r="SGK9" s="26">
        <f>IF(SGK7=0,0,IF(MAX($F9:SGJ9)=$D12,0,SGJ9+1))</f>
        <v>0</v>
      </c>
      <c r="SGL9" s="26">
        <f>IF(SGL7=0,0,IF(MAX($F9:SGK9)=$D12,0,SGK9+1))</f>
        <v>0</v>
      </c>
      <c r="SGM9" s="26">
        <f>IF(SGM7=0,0,IF(MAX($F9:SGL9)=$D12,0,SGL9+1))</f>
        <v>0</v>
      </c>
      <c r="SGN9" s="26">
        <f>IF(SGN7=0,0,IF(MAX($F9:SGM9)=$D12,0,SGM9+1))</f>
        <v>0</v>
      </c>
      <c r="SGO9" s="26">
        <f>IF(SGO7=0,0,IF(MAX($F9:SGN9)=$D12,0,SGN9+1))</f>
        <v>0</v>
      </c>
      <c r="SGP9" s="26">
        <f>IF(SGP7=0,0,IF(MAX($F9:SGO9)=$D12,0,SGO9+1))</f>
        <v>0</v>
      </c>
      <c r="SGQ9" s="26">
        <f>IF(SGQ7=0,0,IF(MAX($F9:SGP9)=$D12,0,SGP9+1))</f>
        <v>0</v>
      </c>
      <c r="SGR9" s="26">
        <f>IF(SGR7=0,0,IF(MAX($F9:SGQ9)=$D12,0,SGQ9+1))</f>
        <v>0</v>
      </c>
      <c r="SGS9" s="26">
        <f>IF(SGS7=0,0,IF(MAX($F9:SGR9)=$D12,0,SGR9+1))</f>
        <v>0</v>
      </c>
      <c r="SGT9" s="26">
        <f>IF(SGT7=0,0,IF(MAX($F9:SGS9)=$D12,0,SGS9+1))</f>
        <v>0</v>
      </c>
      <c r="SGU9" s="26">
        <f>IF(SGU7=0,0,IF(MAX($F9:SGT9)=$D12,0,SGT9+1))</f>
        <v>0</v>
      </c>
      <c r="SGV9" s="26">
        <f>IF(SGV7=0,0,IF(MAX($F9:SGU9)=$D12,0,SGU9+1))</f>
        <v>0</v>
      </c>
      <c r="SGW9" s="26">
        <f>IF(SGW7=0,0,IF(MAX($F9:SGV9)=$D12,0,SGV9+1))</f>
        <v>0</v>
      </c>
      <c r="SGX9" s="26">
        <f>IF(SGX7=0,0,IF(MAX($F9:SGW9)=$D12,0,SGW9+1))</f>
        <v>0</v>
      </c>
      <c r="SGY9" s="26">
        <f>IF(SGY7=0,0,IF(MAX($F9:SGX9)=$D12,0,SGX9+1))</f>
        <v>0</v>
      </c>
      <c r="SGZ9" s="26">
        <f>IF(SGZ7=0,0,IF(MAX($F9:SGY9)=$D12,0,SGY9+1))</f>
        <v>0</v>
      </c>
      <c r="SHA9" s="26">
        <f>IF(SHA7=0,0,IF(MAX($F9:SGZ9)=$D12,0,SGZ9+1))</f>
        <v>0</v>
      </c>
      <c r="SHB9" s="26">
        <f>IF(SHB7=0,0,IF(MAX($F9:SHA9)=$D12,0,SHA9+1))</f>
        <v>0</v>
      </c>
      <c r="SHC9" s="26">
        <f>IF(SHC7=0,0,IF(MAX($F9:SHB9)=$D12,0,SHB9+1))</f>
        <v>0</v>
      </c>
      <c r="SHD9" s="26">
        <f>IF(SHD7=0,0,IF(MAX($F9:SHC9)=$D12,0,SHC9+1))</f>
        <v>0</v>
      </c>
      <c r="SHE9" s="26">
        <f>IF(SHE7=0,0,IF(MAX($F9:SHD9)=$D12,0,SHD9+1))</f>
        <v>0</v>
      </c>
      <c r="SHF9" s="26">
        <f>IF(SHF7=0,0,IF(MAX($F9:SHE9)=$D12,0,SHE9+1))</f>
        <v>0</v>
      </c>
      <c r="SHG9" s="26">
        <f>IF(SHG7=0,0,IF(MAX($F9:SHF9)=$D12,0,SHF9+1))</f>
        <v>0</v>
      </c>
      <c r="SHH9" s="26">
        <f>IF(SHH7=0,0,IF(MAX($F9:SHG9)=$D12,0,SHG9+1))</f>
        <v>0</v>
      </c>
      <c r="SHI9" s="26">
        <f>IF(SHI7=0,0,IF(MAX($F9:SHH9)=$D12,0,SHH9+1))</f>
        <v>0</v>
      </c>
      <c r="SHJ9" s="26">
        <f>IF(SHJ7=0,0,IF(MAX($F9:SHI9)=$D12,0,SHI9+1))</f>
        <v>0</v>
      </c>
      <c r="SHK9" s="26">
        <f>IF(SHK7=0,0,IF(MAX($F9:SHJ9)=$D12,0,SHJ9+1))</f>
        <v>0</v>
      </c>
      <c r="SHL9" s="26">
        <f>IF(SHL7=0,0,IF(MAX($F9:SHK9)=$D12,0,SHK9+1))</f>
        <v>0</v>
      </c>
      <c r="SHM9" s="26">
        <f>IF(SHM7=0,0,IF(MAX($F9:SHL9)=$D12,0,SHL9+1))</f>
        <v>0</v>
      </c>
      <c r="SHN9" s="26">
        <f>IF(SHN7=0,0,IF(MAX($F9:SHM9)=$D12,0,SHM9+1))</f>
        <v>0</v>
      </c>
      <c r="SHO9" s="26">
        <f>IF(SHO7=0,0,IF(MAX($F9:SHN9)=$D12,0,SHN9+1))</f>
        <v>0</v>
      </c>
      <c r="SHP9" s="26">
        <f>IF(SHP7=0,0,IF(MAX($F9:SHO9)=$D12,0,SHO9+1))</f>
        <v>0</v>
      </c>
      <c r="SHQ9" s="26">
        <f>IF(SHQ7=0,0,IF(MAX($F9:SHP9)=$D12,0,SHP9+1))</f>
        <v>0</v>
      </c>
      <c r="SHR9" s="26">
        <f>IF(SHR7=0,0,IF(MAX($F9:SHQ9)=$D12,0,SHQ9+1))</f>
        <v>0</v>
      </c>
      <c r="SHS9" s="26">
        <f>IF(SHS7=0,0,IF(MAX($F9:SHR9)=$D12,0,SHR9+1))</f>
        <v>0</v>
      </c>
      <c r="SHT9" s="26">
        <f>IF(SHT7=0,0,IF(MAX($F9:SHS9)=$D12,0,SHS9+1))</f>
        <v>0</v>
      </c>
      <c r="SHU9" s="26">
        <f>IF(SHU7=0,0,IF(MAX($F9:SHT9)=$D12,0,SHT9+1))</f>
        <v>0</v>
      </c>
      <c r="SHV9" s="26">
        <f>IF(SHV7=0,0,IF(MAX($F9:SHU9)=$D12,0,SHU9+1))</f>
        <v>0</v>
      </c>
      <c r="SHW9" s="26">
        <f>IF(SHW7=0,0,IF(MAX($F9:SHV9)=$D12,0,SHV9+1))</f>
        <v>0</v>
      </c>
      <c r="SHX9" s="26">
        <f>IF(SHX7=0,0,IF(MAX($F9:SHW9)=$D12,0,SHW9+1))</f>
        <v>0</v>
      </c>
      <c r="SHY9" s="26">
        <f>IF(SHY7=0,0,IF(MAX($F9:SHX9)=$D12,0,SHX9+1))</f>
        <v>0</v>
      </c>
      <c r="SHZ9" s="26">
        <f>IF(SHZ7=0,0,IF(MAX($F9:SHY9)=$D12,0,SHY9+1))</f>
        <v>0</v>
      </c>
      <c r="SIA9" s="26">
        <f>IF(SIA7=0,0,IF(MAX($F9:SHZ9)=$D12,0,SHZ9+1))</f>
        <v>0</v>
      </c>
      <c r="SIB9" s="26">
        <f>IF(SIB7=0,0,IF(MAX($F9:SIA9)=$D12,0,SIA9+1))</f>
        <v>0</v>
      </c>
      <c r="SIC9" s="26">
        <f>IF(SIC7=0,0,IF(MAX($F9:SIB9)=$D12,0,SIB9+1))</f>
        <v>0</v>
      </c>
      <c r="SID9" s="26">
        <f>IF(SID7=0,0,IF(MAX($F9:SIC9)=$D12,0,SIC9+1))</f>
        <v>0</v>
      </c>
      <c r="SIE9" s="26">
        <f>IF(SIE7=0,0,IF(MAX($F9:SID9)=$D12,0,SID9+1))</f>
        <v>0</v>
      </c>
      <c r="SIF9" s="26">
        <f>IF(SIF7=0,0,IF(MAX($F9:SIE9)=$D12,0,SIE9+1))</f>
        <v>0</v>
      </c>
      <c r="SIG9" s="26">
        <f>IF(SIG7=0,0,IF(MAX($F9:SIF9)=$D12,0,SIF9+1))</f>
        <v>0</v>
      </c>
      <c r="SIH9" s="26">
        <f>IF(SIH7=0,0,IF(MAX($F9:SIG9)=$D12,0,SIG9+1))</f>
        <v>0</v>
      </c>
      <c r="SII9" s="26">
        <f>IF(SII7=0,0,IF(MAX($F9:SIH9)=$D12,0,SIH9+1))</f>
        <v>0</v>
      </c>
      <c r="SIJ9" s="26">
        <f>IF(SIJ7=0,0,IF(MAX($F9:SII9)=$D12,0,SII9+1))</f>
        <v>0</v>
      </c>
      <c r="SIK9" s="26">
        <f>IF(SIK7=0,0,IF(MAX($F9:SIJ9)=$D12,0,SIJ9+1))</f>
        <v>0</v>
      </c>
      <c r="SIL9" s="26">
        <f>IF(SIL7=0,0,IF(MAX($F9:SIK9)=$D12,0,SIK9+1))</f>
        <v>0</v>
      </c>
      <c r="SIM9" s="26">
        <f>IF(SIM7=0,0,IF(MAX($F9:SIL9)=$D12,0,SIL9+1))</f>
        <v>0</v>
      </c>
      <c r="SIN9" s="26">
        <f>IF(SIN7=0,0,IF(MAX($F9:SIM9)=$D12,0,SIM9+1))</f>
        <v>0</v>
      </c>
      <c r="SIO9" s="26">
        <f>IF(SIO7=0,0,IF(MAX($F9:SIN9)=$D12,0,SIN9+1))</f>
        <v>0</v>
      </c>
      <c r="SIP9" s="26">
        <f>IF(SIP7=0,0,IF(MAX($F9:SIO9)=$D12,0,SIO9+1))</f>
        <v>0</v>
      </c>
      <c r="SIQ9" s="26">
        <f>IF(SIQ7=0,0,IF(MAX($F9:SIP9)=$D12,0,SIP9+1))</f>
        <v>0</v>
      </c>
      <c r="SIR9" s="26">
        <f>IF(SIR7=0,0,IF(MAX($F9:SIQ9)=$D12,0,SIQ9+1))</f>
        <v>0</v>
      </c>
      <c r="SIS9" s="26">
        <f>IF(SIS7=0,0,IF(MAX($F9:SIR9)=$D12,0,SIR9+1))</f>
        <v>0</v>
      </c>
      <c r="SIT9" s="26">
        <f>IF(SIT7=0,0,IF(MAX($F9:SIS9)=$D12,0,SIS9+1))</f>
        <v>0</v>
      </c>
      <c r="SIU9" s="26">
        <f>IF(SIU7=0,0,IF(MAX($F9:SIT9)=$D12,0,SIT9+1))</f>
        <v>0</v>
      </c>
      <c r="SIV9" s="26">
        <f>IF(SIV7=0,0,IF(MAX($F9:SIU9)=$D12,0,SIU9+1))</f>
        <v>0</v>
      </c>
      <c r="SIW9" s="26">
        <f>IF(SIW7=0,0,IF(MAX($F9:SIV9)=$D12,0,SIV9+1))</f>
        <v>0</v>
      </c>
      <c r="SIX9" s="26">
        <f>IF(SIX7=0,0,IF(MAX($F9:SIW9)=$D12,0,SIW9+1))</f>
        <v>0</v>
      </c>
      <c r="SIY9" s="26">
        <f>IF(SIY7=0,0,IF(MAX($F9:SIX9)=$D12,0,SIX9+1))</f>
        <v>0</v>
      </c>
      <c r="SIZ9" s="26">
        <f>IF(SIZ7=0,0,IF(MAX($F9:SIY9)=$D12,0,SIY9+1))</f>
        <v>0</v>
      </c>
      <c r="SJA9" s="26">
        <f>IF(SJA7=0,0,IF(MAX($F9:SIZ9)=$D12,0,SIZ9+1))</f>
        <v>0</v>
      </c>
      <c r="SJB9" s="26">
        <f>IF(SJB7=0,0,IF(MAX($F9:SJA9)=$D12,0,SJA9+1))</f>
        <v>0</v>
      </c>
      <c r="SJC9" s="26">
        <f>IF(SJC7=0,0,IF(MAX($F9:SJB9)=$D12,0,SJB9+1))</f>
        <v>0</v>
      </c>
      <c r="SJD9" s="26">
        <f>IF(SJD7=0,0,IF(MAX($F9:SJC9)=$D12,0,SJC9+1))</f>
        <v>0</v>
      </c>
      <c r="SJE9" s="26">
        <f>IF(SJE7=0,0,IF(MAX($F9:SJD9)=$D12,0,SJD9+1))</f>
        <v>0</v>
      </c>
      <c r="SJF9" s="26">
        <f>IF(SJF7=0,0,IF(MAX($F9:SJE9)=$D12,0,SJE9+1))</f>
        <v>0</v>
      </c>
      <c r="SJG9" s="26">
        <f>IF(SJG7=0,0,IF(MAX($F9:SJF9)=$D12,0,SJF9+1))</f>
        <v>0</v>
      </c>
      <c r="SJH9" s="26">
        <f>IF(SJH7=0,0,IF(MAX($F9:SJG9)=$D12,0,SJG9+1))</f>
        <v>0</v>
      </c>
      <c r="SJI9" s="26">
        <f>IF(SJI7=0,0,IF(MAX($F9:SJH9)=$D12,0,SJH9+1))</f>
        <v>0</v>
      </c>
      <c r="SJJ9" s="26">
        <f>IF(SJJ7=0,0,IF(MAX($F9:SJI9)=$D12,0,SJI9+1))</f>
        <v>0</v>
      </c>
      <c r="SJK9" s="26">
        <f>IF(SJK7=0,0,IF(MAX($F9:SJJ9)=$D12,0,SJJ9+1))</f>
        <v>0</v>
      </c>
      <c r="SJL9" s="26">
        <f>IF(SJL7=0,0,IF(MAX($F9:SJK9)=$D12,0,SJK9+1))</f>
        <v>0</v>
      </c>
      <c r="SJM9" s="26">
        <f>IF(SJM7=0,0,IF(MAX($F9:SJL9)=$D12,0,SJL9+1))</f>
        <v>0</v>
      </c>
      <c r="SJN9" s="26">
        <f>IF(SJN7=0,0,IF(MAX($F9:SJM9)=$D12,0,SJM9+1))</f>
        <v>0</v>
      </c>
      <c r="SJO9" s="26">
        <f>IF(SJO7=0,0,IF(MAX($F9:SJN9)=$D12,0,SJN9+1))</f>
        <v>0</v>
      </c>
      <c r="SJP9" s="26">
        <f>IF(SJP7=0,0,IF(MAX($F9:SJO9)=$D12,0,SJO9+1))</f>
        <v>0</v>
      </c>
      <c r="SJQ9" s="26">
        <f>IF(SJQ7=0,0,IF(MAX($F9:SJP9)=$D12,0,SJP9+1))</f>
        <v>0</v>
      </c>
      <c r="SJR9" s="26">
        <f>IF(SJR7=0,0,IF(MAX($F9:SJQ9)=$D12,0,SJQ9+1))</f>
        <v>0</v>
      </c>
      <c r="SJS9" s="26">
        <f>IF(SJS7=0,0,IF(MAX($F9:SJR9)=$D12,0,SJR9+1))</f>
        <v>0</v>
      </c>
      <c r="SJT9" s="26">
        <f>IF(SJT7=0,0,IF(MAX($F9:SJS9)=$D12,0,SJS9+1))</f>
        <v>0</v>
      </c>
      <c r="SJU9" s="26">
        <f>IF(SJU7=0,0,IF(MAX($F9:SJT9)=$D12,0,SJT9+1))</f>
        <v>0</v>
      </c>
      <c r="SJV9" s="26">
        <f>IF(SJV7=0,0,IF(MAX($F9:SJU9)=$D12,0,SJU9+1))</f>
        <v>0</v>
      </c>
      <c r="SJW9" s="26">
        <f>IF(SJW7=0,0,IF(MAX($F9:SJV9)=$D12,0,SJV9+1))</f>
        <v>0</v>
      </c>
      <c r="SJX9" s="26">
        <f>IF(SJX7=0,0,IF(MAX($F9:SJW9)=$D12,0,SJW9+1))</f>
        <v>0</v>
      </c>
      <c r="SJY9" s="26">
        <f>IF(SJY7=0,0,IF(MAX($F9:SJX9)=$D12,0,SJX9+1))</f>
        <v>0</v>
      </c>
      <c r="SJZ9" s="26">
        <f>IF(SJZ7=0,0,IF(MAX($F9:SJY9)=$D12,0,SJY9+1))</f>
        <v>0</v>
      </c>
      <c r="SKA9" s="26">
        <f>IF(SKA7=0,0,IF(MAX($F9:SJZ9)=$D12,0,SJZ9+1))</f>
        <v>0</v>
      </c>
      <c r="SKB9" s="26">
        <f>IF(SKB7=0,0,IF(MAX($F9:SKA9)=$D12,0,SKA9+1))</f>
        <v>0</v>
      </c>
      <c r="SKC9" s="26">
        <f>IF(SKC7=0,0,IF(MAX($F9:SKB9)=$D12,0,SKB9+1))</f>
        <v>0</v>
      </c>
      <c r="SKD9" s="26">
        <f>IF(SKD7=0,0,IF(MAX($F9:SKC9)=$D12,0,SKC9+1))</f>
        <v>0</v>
      </c>
      <c r="SKE9" s="26">
        <f>IF(SKE7=0,0,IF(MAX($F9:SKD9)=$D12,0,SKD9+1))</f>
        <v>0</v>
      </c>
      <c r="SKF9" s="26">
        <f>IF(SKF7=0,0,IF(MAX($F9:SKE9)=$D12,0,SKE9+1))</f>
        <v>0</v>
      </c>
      <c r="SKG9" s="26">
        <f>IF(SKG7=0,0,IF(MAX($F9:SKF9)=$D12,0,SKF9+1))</f>
        <v>0</v>
      </c>
      <c r="SKH9" s="26">
        <f>IF(SKH7=0,0,IF(MAX($F9:SKG9)=$D12,0,SKG9+1))</f>
        <v>0</v>
      </c>
      <c r="SKI9" s="26">
        <f>IF(SKI7=0,0,IF(MAX($F9:SKH9)=$D12,0,SKH9+1))</f>
        <v>0</v>
      </c>
      <c r="SKJ9" s="26">
        <f>IF(SKJ7=0,0,IF(MAX($F9:SKI9)=$D12,0,SKI9+1))</f>
        <v>0</v>
      </c>
      <c r="SKK9" s="26">
        <f>IF(SKK7=0,0,IF(MAX($F9:SKJ9)=$D12,0,SKJ9+1))</f>
        <v>0</v>
      </c>
      <c r="SKL9" s="26">
        <f>IF(SKL7=0,0,IF(MAX($F9:SKK9)=$D12,0,SKK9+1))</f>
        <v>0</v>
      </c>
      <c r="SKM9" s="26">
        <f>IF(SKM7=0,0,IF(MAX($F9:SKL9)=$D12,0,SKL9+1))</f>
        <v>0</v>
      </c>
      <c r="SKN9" s="26">
        <f>IF(SKN7=0,0,IF(MAX($F9:SKM9)=$D12,0,SKM9+1))</f>
        <v>0</v>
      </c>
      <c r="SKO9" s="26">
        <f>IF(SKO7=0,0,IF(MAX($F9:SKN9)=$D12,0,SKN9+1))</f>
        <v>0</v>
      </c>
      <c r="SKP9" s="26">
        <f>IF(SKP7=0,0,IF(MAX($F9:SKO9)=$D12,0,SKO9+1))</f>
        <v>0</v>
      </c>
      <c r="SKQ9" s="26">
        <f>IF(SKQ7=0,0,IF(MAX($F9:SKP9)=$D12,0,SKP9+1))</f>
        <v>0</v>
      </c>
      <c r="SKR9" s="26">
        <f>IF(SKR7=0,0,IF(MAX($F9:SKQ9)=$D12,0,SKQ9+1))</f>
        <v>0</v>
      </c>
      <c r="SKS9" s="26">
        <f>IF(SKS7=0,0,IF(MAX($F9:SKR9)=$D12,0,SKR9+1))</f>
        <v>0</v>
      </c>
      <c r="SKT9" s="26">
        <f>IF(SKT7=0,0,IF(MAX($F9:SKS9)=$D12,0,SKS9+1))</f>
        <v>0</v>
      </c>
      <c r="SKU9" s="26">
        <f>IF(SKU7=0,0,IF(MAX($F9:SKT9)=$D12,0,SKT9+1))</f>
        <v>0</v>
      </c>
      <c r="SKV9" s="26">
        <f>IF(SKV7=0,0,IF(MAX($F9:SKU9)=$D12,0,SKU9+1))</f>
        <v>0</v>
      </c>
      <c r="SKW9" s="26">
        <f>IF(SKW7=0,0,IF(MAX($F9:SKV9)=$D12,0,SKV9+1))</f>
        <v>0</v>
      </c>
      <c r="SKX9" s="26">
        <f>IF(SKX7=0,0,IF(MAX($F9:SKW9)=$D12,0,SKW9+1))</f>
        <v>0</v>
      </c>
      <c r="SKY9" s="26">
        <f>IF(SKY7=0,0,IF(MAX($F9:SKX9)=$D12,0,SKX9+1))</f>
        <v>0</v>
      </c>
      <c r="SKZ9" s="26">
        <f>IF(SKZ7=0,0,IF(MAX($F9:SKY9)=$D12,0,SKY9+1))</f>
        <v>0</v>
      </c>
      <c r="SLA9" s="26">
        <f>IF(SLA7=0,0,IF(MAX($F9:SKZ9)=$D12,0,SKZ9+1))</f>
        <v>0</v>
      </c>
      <c r="SLB9" s="26">
        <f>IF(SLB7=0,0,IF(MAX($F9:SLA9)=$D12,0,SLA9+1))</f>
        <v>0</v>
      </c>
      <c r="SLC9" s="26">
        <f>IF(SLC7=0,0,IF(MAX($F9:SLB9)=$D12,0,SLB9+1))</f>
        <v>0</v>
      </c>
      <c r="SLD9" s="26">
        <f>IF(SLD7=0,0,IF(MAX($F9:SLC9)=$D12,0,SLC9+1))</f>
        <v>0</v>
      </c>
      <c r="SLE9" s="26">
        <f>IF(SLE7=0,0,IF(MAX($F9:SLD9)=$D12,0,SLD9+1))</f>
        <v>0</v>
      </c>
      <c r="SLF9" s="26">
        <f>IF(SLF7=0,0,IF(MAX($F9:SLE9)=$D12,0,SLE9+1))</f>
        <v>0</v>
      </c>
      <c r="SLG9" s="26">
        <f>IF(SLG7=0,0,IF(MAX($F9:SLF9)=$D12,0,SLF9+1))</f>
        <v>0</v>
      </c>
      <c r="SLH9" s="26">
        <f>IF(SLH7=0,0,IF(MAX($F9:SLG9)=$D12,0,SLG9+1))</f>
        <v>0</v>
      </c>
      <c r="SLI9" s="26">
        <f>IF(SLI7=0,0,IF(MAX($F9:SLH9)=$D12,0,SLH9+1))</f>
        <v>0</v>
      </c>
      <c r="SLJ9" s="26">
        <f>IF(SLJ7=0,0,IF(MAX($F9:SLI9)=$D12,0,SLI9+1))</f>
        <v>0</v>
      </c>
      <c r="SLK9" s="26">
        <f>IF(SLK7=0,0,IF(MAX($F9:SLJ9)=$D12,0,SLJ9+1))</f>
        <v>0</v>
      </c>
      <c r="SLL9" s="26">
        <f>IF(CLP7=0,0,IF(MAX($F9:SLK9)=$D12,0,SLK9+1))</f>
        <v>0</v>
      </c>
      <c r="SLM9" s="26">
        <f>IF(SLM7=0,0,IF(MAX($F9:CLP9)=$D12,0,CLP9+1))</f>
        <v>0</v>
      </c>
      <c r="SLN9" s="26">
        <f>IF(SLN7=0,0,IF(MAX($F9:SLM9)=$D12,0,SLM9+1))</f>
        <v>0</v>
      </c>
      <c r="SLO9" s="26">
        <f>IF(SLO7=0,0,IF(MAX($F9:SLN9)=$D12,0,SLN9+1))</f>
        <v>0</v>
      </c>
      <c r="SLP9" s="26">
        <f>IF(SLP7=0,0,IF(MAX($F9:SLO9)=$D12,0,SLO9+1))</f>
        <v>0</v>
      </c>
      <c r="SLQ9" s="26">
        <f>IF(SLQ7=0,0,IF(MAX($F9:SLP9)=$D12,0,SLP9+1))</f>
        <v>0</v>
      </c>
      <c r="SLR9" s="26">
        <f>IF(SLR7=0,0,IF(MAX($F9:SLQ9)=$D12,0,SLQ9+1))</f>
        <v>0</v>
      </c>
      <c r="SLS9" s="26">
        <f>IF(SLS7=0,0,IF(MAX($F9:SLR9)=$D12,0,SLR9+1))</f>
        <v>0</v>
      </c>
      <c r="SLT9" s="26">
        <f>IF(SLT7=0,0,IF(MAX($F9:SLS9)=$D12,0,SLS9+1))</f>
        <v>0</v>
      </c>
      <c r="SLU9" s="26">
        <f>IF(SLU7=0,0,IF(MAX($F9:SLT9)=$D12,0,SLT9+1))</f>
        <v>0</v>
      </c>
      <c r="SLV9" s="26">
        <f>IF(SLV7=0,0,IF(MAX($F9:SLU9)=$D12,0,SLU9+1))</f>
        <v>0</v>
      </c>
      <c r="SLW9" s="26">
        <f>IF(SLW7=0,0,IF(MAX($F9:SLV9)=$D12,0,SLV9+1))</f>
        <v>0</v>
      </c>
      <c r="SLX9" s="26">
        <f>IF(SLX7=0,0,IF(MAX($F9:SLW9)=$D12,0,SLW9+1))</f>
        <v>0</v>
      </c>
      <c r="SLY9" s="26">
        <f>IF(SLY7=0,0,IF(MAX($F9:SLX9)=$D12,0,SLX9+1))</f>
        <v>0</v>
      </c>
      <c r="SLZ9" s="26">
        <f>IF(SLZ7=0,0,IF(MAX($F9:SLY9)=$D12,0,SLY9+1))</f>
        <v>0</v>
      </c>
      <c r="SMA9" s="26">
        <f>IF(SMA7=0,0,IF(MAX($F9:SLZ9)=$D12,0,SLZ9+1))</f>
        <v>0</v>
      </c>
      <c r="SMB9" s="26">
        <f>IF(SMB7=0,0,IF(MAX($F9:SMA9)=$D12,0,SMA9+1))</f>
        <v>0</v>
      </c>
      <c r="SMC9" s="26">
        <f>IF(SMC7=0,0,IF(MAX($F9:SMB9)=$D12,0,SMB9+1))</f>
        <v>0</v>
      </c>
      <c r="SMD9" s="26">
        <f>IF(SMD7=0,0,IF(MAX($F9:SMC9)=$D12,0,SMC9+1))</f>
        <v>0</v>
      </c>
      <c r="SME9" s="26">
        <f>IF(SME7=0,0,IF(MAX($F9:SMD9)=$D12,0,SMD9+1))</f>
        <v>0</v>
      </c>
      <c r="SMF9" s="26">
        <f>IF(SMF7=0,0,IF(MAX($F9:SME9)=$D12,0,SME9+1))</f>
        <v>0</v>
      </c>
      <c r="SMG9" s="26">
        <f>IF(SMG7=0,0,IF(MAX($F9:SMF9)=$D12,0,SMF9+1))</f>
        <v>0</v>
      </c>
      <c r="SMH9" s="26">
        <f>IF(SMH7=0,0,IF(MAX($F9:SMG9)=$D12,0,SMG9+1))</f>
        <v>0</v>
      </c>
      <c r="SMI9" s="26">
        <f>IF(SMI7=0,0,IF(MAX($F9:SMH9)=$D12,0,SMH9+1))</f>
        <v>0</v>
      </c>
      <c r="SMJ9" s="26">
        <f>IF(SMJ7=0,0,IF(MAX($F9:SMI9)=$D12,0,SMI9+1))</f>
        <v>0</v>
      </c>
      <c r="SMK9" s="26">
        <f>IF(SMK7=0,0,IF(MAX($F9:SMJ9)=$D12,0,SMJ9+1))</f>
        <v>0</v>
      </c>
      <c r="SML9" s="26">
        <f>IF(SML7=0,0,IF(MAX($F9:SMK9)=$D12,0,SMK9+1))</f>
        <v>0</v>
      </c>
      <c r="SMM9" s="26">
        <f>IF(SMM7=0,0,IF(MAX($F9:SML9)=$D12,0,SML9+1))</f>
        <v>0</v>
      </c>
      <c r="SMN9" s="26">
        <f>IF(SMN7=0,0,IF(MAX($F9:SMM9)=$D12,0,SMM9+1))</f>
        <v>0</v>
      </c>
      <c r="SMO9" s="26">
        <f>IF(SMO7=0,0,IF(MAX($F9:SMN9)=$D12,0,SMN9+1))</f>
        <v>0</v>
      </c>
      <c r="SMP9" s="26">
        <f>IF(SMP7=0,0,IF(MAX($F9:SMO9)=$D12,0,SMO9+1))</f>
        <v>0</v>
      </c>
      <c r="SMQ9" s="26">
        <f>IF(SMQ7=0,0,IF(MAX($F9:SMP9)=$D12,0,SMP9+1))</f>
        <v>0</v>
      </c>
      <c r="SMR9" s="26">
        <f>IF(SMR7=0,0,IF(MAX($F9:SMQ9)=$D12,0,SMQ9+1))</f>
        <v>0</v>
      </c>
      <c r="SMS9" s="26">
        <f>IF(SMS7=0,0,IF(MAX($F9:SMR9)=$D12,0,SMR9+1))</f>
        <v>0</v>
      </c>
      <c r="SMT9" s="26">
        <f>IF(SMT7=0,0,IF(MAX($F9:SMS9)=$D12,0,SMS9+1))</f>
        <v>0</v>
      </c>
      <c r="SMU9" s="26">
        <f>IF(SMU7=0,0,IF(MAX($F9:SMT9)=$D12,0,SMT9+1))</f>
        <v>0</v>
      </c>
      <c r="SMV9" s="26">
        <f>IF(SMV7=0,0,IF(MAX($F9:SMU9)=$D12,0,SMU9+1))</f>
        <v>0</v>
      </c>
      <c r="SMW9" s="26">
        <f>IF(SMW7=0,0,IF(MAX($F9:SMV9)=$D12,0,SMV9+1))</f>
        <v>0</v>
      </c>
      <c r="SMX9" s="26">
        <f>IF(SMX7=0,0,IF(MAX($F9:SMW9)=$D12,0,SMW9+1))</f>
        <v>0</v>
      </c>
      <c r="SMY9" s="26">
        <f>IF(SMY7=0,0,IF(MAX($F9:SMX9)=$D12,0,SMX9+1))</f>
        <v>0</v>
      </c>
      <c r="SMZ9" s="26">
        <f>IF(SMZ7=0,0,IF(MAX($F9:SMY9)=$D12,0,SMY9+1))</f>
        <v>0</v>
      </c>
      <c r="SNA9" s="26">
        <f>IF(SNA7=0,0,IF(MAX($F9:SMZ9)=$D12,0,SMZ9+1))</f>
        <v>0</v>
      </c>
      <c r="SNB9" s="26">
        <f>IF(SNB7=0,0,IF(MAX($F9:SNA9)=$D12,0,SNA9+1))</f>
        <v>0</v>
      </c>
      <c r="SNC9" s="26">
        <f>IF(SNC7=0,0,IF(MAX($F9:SNB9)=$D12,0,SNB9+1))</f>
        <v>0</v>
      </c>
      <c r="SND9" s="26">
        <f>IF(SND7=0,0,IF(MAX($F9:SNC9)=$D12,0,SNC9+1))</f>
        <v>0</v>
      </c>
      <c r="SNE9" s="26">
        <f>IF(SNE7=0,0,IF(MAX($F9:SND9)=$D12,0,SND9+1))</f>
        <v>0</v>
      </c>
      <c r="SNF9" s="26">
        <f>IF(SNF7=0,0,IF(MAX($F9:SNE9)=$D12,0,SNE9+1))</f>
        <v>0</v>
      </c>
      <c r="SNG9" s="26">
        <f>IF(SNG7=0,0,IF(MAX($F9:SNF9)=$D12,0,SNF9+1))</f>
        <v>0</v>
      </c>
      <c r="SNH9" s="26">
        <f>IF(SNH7=0,0,IF(MAX($F9:SNG9)=$D12,0,SNG9+1))</f>
        <v>0</v>
      </c>
      <c r="SNI9" s="26">
        <f>IF(SNI7=0,0,IF(MAX($F9:SNH9)=$D12,0,SNH9+1))</f>
        <v>0</v>
      </c>
      <c r="SNJ9" s="26">
        <f>IF(SNJ7=0,0,IF(MAX($F9:SNI9)=$D12,0,SNI9+1))</f>
        <v>0</v>
      </c>
      <c r="SNK9" s="26">
        <f>IF(SNK7=0,0,IF(MAX($F9:SNJ9)=$D12,0,SNJ9+1))</f>
        <v>0</v>
      </c>
      <c r="SNL9" s="26">
        <f>IF(SNL7=0,0,IF(MAX($F9:SNK9)=$D12,0,SNK9+1))</f>
        <v>0</v>
      </c>
      <c r="SNM9" s="26">
        <f>IF(SNM7=0,0,IF(MAX($F9:SNL9)=$D12,0,SNL9+1))</f>
        <v>0</v>
      </c>
      <c r="SNN9" s="26">
        <f>IF(SNN7=0,0,IF(MAX($F9:SNM9)=$D12,0,SNM9+1))</f>
        <v>0</v>
      </c>
      <c r="SNO9" s="26">
        <f>IF(SNO7=0,0,IF(MAX($F9:SNN9)=$D12,0,SNN9+1))</f>
        <v>0</v>
      </c>
      <c r="SNP9" s="26">
        <f>IF(SNP7=0,0,IF(MAX($F9:SNO9)=$D12,0,SNO9+1))</f>
        <v>0</v>
      </c>
      <c r="SNQ9" s="26">
        <f>IF(SNQ7=0,0,IF(MAX($F9:SNP9)=$D12,0,SNP9+1))</f>
        <v>0</v>
      </c>
      <c r="SNR9" s="26">
        <f>IF(SNR7=0,0,IF(MAX($F9:SNQ9)=$D12,0,SNQ9+1))</f>
        <v>0</v>
      </c>
      <c r="SNS9" s="26">
        <f>IF(SNS7=0,0,IF(MAX($F9:SNR9)=$D12,0,SNR9+1))</f>
        <v>0</v>
      </c>
      <c r="SNT9" s="26">
        <f>IF(SNT7=0,0,IF(MAX($F9:SNS9)=$D12,0,SNS9+1))</f>
        <v>0</v>
      </c>
      <c r="SNU9" s="26">
        <f>IF(SNU7=0,0,IF(MAX($F9:SNT9)=$D12,0,SNT9+1))</f>
        <v>0</v>
      </c>
      <c r="SNV9" s="26">
        <f>IF(SNV7=0,0,IF(MAX($F9:SNU9)=$D12,0,SNU9+1))</f>
        <v>0</v>
      </c>
      <c r="SNW9" s="26">
        <f>IF(SNW7=0,0,IF(MAX($F9:SNV9)=$D12,0,SNV9+1))</f>
        <v>0</v>
      </c>
      <c r="SNX9" s="26">
        <f>IF(SNX7=0,0,IF(MAX($F9:SNW9)=$D12,0,SNW9+1))</f>
        <v>0</v>
      </c>
      <c r="SNY9" s="26">
        <f>IF(SNY7=0,0,IF(MAX($F9:SNX9)=$D12,0,SNX9+1))</f>
        <v>0</v>
      </c>
      <c r="SNZ9" s="26">
        <f>IF(SNZ7=0,0,IF(MAX($F9:SNY9)=$D12,0,SNY9+1))</f>
        <v>0</v>
      </c>
      <c r="SOA9" s="26">
        <f>IF(SOA7=0,0,IF(MAX($F9:SNZ9)=$D12,0,SNZ9+1))</f>
        <v>0</v>
      </c>
      <c r="SOB9" s="26">
        <f>IF(SOB7=0,0,IF(MAX($F9:SOA9)=$D12,0,SOA9+1))</f>
        <v>0</v>
      </c>
      <c r="SOC9" s="26">
        <f>IF(SOC7=0,0,IF(MAX($F9:SOB9)=$D12,0,SOB9+1))</f>
        <v>0</v>
      </c>
      <c r="SOD9" s="26">
        <f>IF(SOD7=0,0,IF(MAX($F9:SOC9)=$D12,0,SOC9+1))</f>
        <v>0</v>
      </c>
      <c r="SOE9" s="26">
        <f>IF(SOE7=0,0,IF(MAX($F9:SOD9)=$D12,0,SOD9+1))</f>
        <v>0</v>
      </c>
      <c r="SOF9" s="26">
        <f>IF(SOF7=0,0,IF(MAX($F9:SOE9)=$D12,0,SOE9+1))</f>
        <v>0</v>
      </c>
      <c r="SOG9" s="26">
        <f>IF(SOG7=0,0,IF(MAX($F9:SOF9)=$D12,0,SOF9+1))</f>
        <v>0</v>
      </c>
      <c r="SOH9" s="26">
        <f>IF(SOH7=0,0,IF(MAX($F9:SOG9)=$D12,0,SOG9+1))</f>
        <v>0</v>
      </c>
      <c r="SOI9" s="26">
        <f>IF(SOI7=0,0,IF(MAX($F9:SOH9)=$D12,0,SOH9+1))</f>
        <v>0</v>
      </c>
      <c r="SOJ9" s="26">
        <f>IF(SOJ7=0,0,IF(MAX($F9:SOI9)=$D12,0,SOI9+1))</f>
        <v>0</v>
      </c>
      <c r="SOK9" s="26">
        <f>IF(SOK7=0,0,IF(MAX($F9:SOJ9)=$D12,0,SOJ9+1))</f>
        <v>0</v>
      </c>
      <c r="SOL9" s="26">
        <f>IF(SOL7=0,0,IF(MAX($F9:SOK9)=$D12,0,SOK9+1))</f>
        <v>0</v>
      </c>
      <c r="SOM9" s="26">
        <f>IF(SOM7=0,0,IF(MAX($F9:SOL9)=$D12,0,SOL9+1))</f>
        <v>0</v>
      </c>
      <c r="SON9" s="26">
        <f>IF(SON7=0,0,IF(MAX($F9:SOM9)=$D12,0,SOM9+1))</f>
        <v>0</v>
      </c>
      <c r="SOO9" s="26">
        <f>IF(SOO7=0,0,IF(MAX($F9:SON9)=$D12,0,SON9+1))</f>
        <v>0</v>
      </c>
      <c r="SOP9" s="26">
        <f>IF(SOP7=0,0,IF(MAX($F9:SOO9)=$D12,0,SOO9+1))</f>
        <v>0</v>
      </c>
      <c r="SOQ9" s="26">
        <f>IF(SOQ7=0,0,IF(MAX($F9:SOP9)=$D12,0,SOP9+1))</f>
        <v>0</v>
      </c>
      <c r="SOR9" s="26">
        <f>IF(SOR7=0,0,IF(MAX($F9:SOQ9)=$D12,0,SOQ9+1))</f>
        <v>0</v>
      </c>
      <c r="SOS9" s="26">
        <f>IF(SOS7=0,0,IF(MAX($F9:SOR9)=$D12,0,SOR9+1))</f>
        <v>0</v>
      </c>
      <c r="SOT9" s="26">
        <f>IF(SOT7=0,0,IF(MAX($F9:SOS9)=$D12,0,SOS9+1))</f>
        <v>0</v>
      </c>
      <c r="SOU9" s="26">
        <f>IF(SOU7=0,0,IF(MAX($F9:SOT9)=$D12,0,SOT9+1))</f>
        <v>0</v>
      </c>
      <c r="SOV9" s="26">
        <f>IF(SOV7=0,0,IF(MAX($F9:SOU9)=$D12,0,SOU9+1))</f>
        <v>0</v>
      </c>
      <c r="SOW9" s="26">
        <f>IF(SOW7=0,0,IF(MAX($F9:SOV9)=$D12,0,SOV9+1))</f>
        <v>0</v>
      </c>
      <c r="SOX9" s="26">
        <f>IF(SOX7=0,0,IF(MAX($F9:SOW9)=$D12,0,SOW9+1))</f>
        <v>0</v>
      </c>
      <c r="SOY9" s="26">
        <f>IF(SOY7=0,0,IF(MAX($F9:SOX9)=$D12,0,SOX9+1))</f>
        <v>0</v>
      </c>
      <c r="SOZ9" s="26">
        <f>IF(SOZ7=0,0,IF(MAX($F9:SOY9)=$D12,0,SOY9+1))</f>
        <v>0</v>
      </c>
      <c r="SPA9" s="26">
        <f>IF(SPA7=0,0,IF(MAX($F9:SOZ9)=$D12,0,SOZ9+1))</f>
        <v>0</v>
      </c>
      <c r="SPB9" s="26">
        <f>IF(SPB7=0,0,IF(MAX($F9:SPA9)=$D12,0,SPA9+1))</f>
        <v>0</v>
      </c>
      <c r="SPC9" s="26">
        <f>IF(SPC7=0,0,IF(MAX($F9:SPB9)=$D12,0,SPB9+1))</f>
        <v>0</v>
      </c>
      <c r="SPD9" s="26">
        <f>IF(SPD7=0,0,IF(MAX($F9:SPC9)=$D12,0,SPC9+1))</f>
        <v>0</v>
      </c>
      <c r="SPE9" s="26">
        <f>IF(SPE7=0,0,IF(MAX($F9:SPD9)=$D12,0,SPD9+1))</f>
        <v>0</v>
      </c>
      <c r="SPF9" s="26">
        <f>IF(SPF7=0,0,IF(MAX($F9:SPE9)=$D12,0,SPE9+1))</f>
        <v>0</v>
      </c>
      <c r="SPG9" s="26">
        <f>IF(SPG7=0,0,IF(MAX($F9:SPF9)=$D12,0,SPF9+1))</f>
        <v>0</v>
      </c>
      <c r="SPH9" s="26">
        <f>IF(SPH7=0,0,IF(MAX($F9:SPG9)=$D12,0,SPG9+1))</f>
        <v>0</v>
      </c>
      <c r="SPI9" s="26">
        <f>IF(SPI7=0,0,IF(MAX($F9:SPH9)=$D12,0,SPH9+1))</f>
        <v>0</v>
      </c>
      <c r="SPJ9" s="26">
        <f>IF(SPJ7=0,0,IF(MAX($F9:SPI9)=$D12,0,SPI9+1))</f>
        <v>0</v>
      </c>
      <c r="SPK9" s="26">
        <f>IF(SPK7=0,0,IF(MAX($F9:SPJ9)=$D12,0,SPJ9+1))</f>
        <v>0</v>
      </c>
      <c r="SPL9" s="26">
        <f>IF(SPL7=0,0,IF(MAX($F9:SPK9)=$D12,0,SPK9+1))</f>
        <v>0</v>
      </c>
      <c r="SPM9" s="26">
        <f>IF(SPM7=0,0,IF(MAX($F9:SPL9)=$D12,0,SPL9+1))</f>
        <v>0</v>
      </c>
      <c r="SPN9" s="26">
        <f>IF(SPN7=0,0,IF(MAX($F9:SPM9)=$D12,0,SPM9+1))</f>
        <v>0</v>
      </c>
      <c r="SPO9" s="26">
        <f>IF(SPO7=0,0,IF(MAX($F9:SPN9)=$D12,0,SPN9+1))</f>
        <v>0</v>
      </c>
      <c r="SPP9" s="26">
        <f>IF(SPP7=0,0,IF(MAX($F9:SPO9)=$D12,0,SPO9+1))</f>
        <v>0</v>
      </c>
      <c r="SPQ9" s="26">
        <f>IF(SPQ7=0,0,IF(MAX($F9:SPP9)=$D12,0,SPP9+1))</f>
        <v>0</v>
      </c>
      <c r="SPR9" s="26">
        <f>IF(SPR7=0,0,IF(MAX($F9:SPQ9)=$D12,0,SPQ9+1))</f>
        <v>0</v>
      </c>
      <c r="SPS9" s="26">
        <f>IF(SPS7=0,0,IF(MAX($F9:SPR9)=$D12,0,SPR9+1))</f>
        <v>0</v>
      </c>
      <c r="SPT9" s="26">
        <f>IF(SPT7=0,0,IF(MAX($F9:SPS9)=$D12,0,SPS9+1))</f>
        <v>0</v>
      </c>
      <c r="SPU9" s="26">
        <f>IF(SPU7=0,0,IF(MAX($F9:SPT9)=$D12,0,SPT9+1))</f>
        <v>0</v>
      </c>
      <c r="SPV9" s="26">
        <f>IF(SPV7=0,0,IF(MAX($F9:SPU9)=$D12,0,SPU9+1))</f>
        <v>0</v>
      </c>
      <c r="SPW9" s="26">
        <f>IF(SPW7=0,0,IF(MAX($F9:SPV9)=$D12,0,SPV9+1))</f>
        <v>0</v>
      </c>
      <c r="SPX9" s="26">
        <f>IF(SPX7=0,0,IF(MAX($F9:SPW9)=$D12,0,SPW9+1))</f>
        <v>0</v>
      </c>
      <c r="SPY9" s="26">
        <f>IF(SPY7=0,0,IF(MAX($F9:SPX9)=$D12,0,SPX9+1))</f>
        <v>0</v>
      </c>
      <c r="SPZ9" s="26">
        <f>IF(SPZ7=0,0,IF(MAX($F9:SPY9)=$D12,0,SPY9+1))</f>
        <v>0</v>
      </c>
      <c r="SQA9" s="26">
        <f>IF(SQA7=0,0,IF(MAX($F9:SPZ9)=$D12,0,SPZ9+1))</f>
        <v>0</v>
      </c>
      <c r="SQB9" s="26">
        <f>IF(SQB7=0,0,IF(MAX($F9:SQA9)=$D12,0,SQA9+1))</f>
        <v>0</v>
      </c>
      <c r="SQC9" s="26">
        <f>IF(SQC7=0,0,IF(MAX($F9:SQB9)=$D12,0,SQB9+1))</f>
        <v>0</v>
      </c>
      <c r="SQD9" s="26">
        <f>IF(SQD7=0,0,IF(MAX($F9:SQC9)=$D12,0,SQC9+1))</f>
        <v>0</v>
      </c>
      <c r="SQE9" s="26">
        <f>IF(SQE7=0,0,IF(MAX($F9:SQD9)=$D12,0,SQD9+1))</f>
        <v>0</v>
      </c>
      <c r="SQF9" s="26">
        <f>IF(SQF7=0,0,IF(MAX($F9:SQE9)=$D12,0,SQE9+1))</f>
        <v>0</v>
      </c>
      <c r="SQG9" s="26">
        <f>IF(SQG7=0,0,IF(MAX($F9:SQF9)=$D12,0,SQF9+1))</f>
        <v>0</v>
      </c>
      <c r="SQH9" s="26">
        <f>IF(SQH7=0,0,IF(MAX($F9:SQG9)=$D12,0,SQG9+1))</f>
        <v>0</v>
      </c>
      <c r="SQI9" s="26">
        <f>IF(SQI7=0,0,IF(MAX($F9:SQH9)=$D12,0,SQH9+1))</f>
        <v>0</v>
      </c>
      <c r="SQJ9" s="26">
        <f>IF(SQJ7=0,0,IF(MAX($F9:SQI9)=$D12,0,SQI9+1))</f>
        <v>0</v>
      </c>
      <c r="SQK9" s="26">
        <f>IF(SQK7=0,0,IF(MAX($F9:SQJ9)=$D12,0,SQJ9+1))</f>
        <v>0</v>
      </c>
      <c r="SQL9" s="26">
        <f>IF(SQL7=0,0,IF(MAX($F9:SQK9)=$D12,0,SQK9+1))</f>
        <v>0</v>
      </c>
      <c r="SQM9" s="26">
        <f>IF(SQM7=0,0,IF(MAX($F9:SQL9)=$D12,0,SQL9+1))</f>
        <v>0</v>
      </c>
      <c r="SQN9" s="26">
        <f>IF(SQN7=0,0,IF(MAX($F9:SQM9)=$D12,0,SQM9+1))</f>
        <v>0</v>
      </c>
      <c r="SQO9" s="26">
        <f>IF(SQO7=0,0,IF(MAX($F9:SQN9)=$D12,0,SQN9+1))</f>
        <v>0</v>
      </c>
      <c r="SQP9" s="26">
        <f>IF(SQP7=0,0,IF(MAX($F9:SQO9)=$D12,0,SQO9+1))</f>
        <v>0</v>
      </c>
      <c r="SQQ9" s="26">
        <f>IF(SQQ7=0,0,IF(MAX($F9:SQP9)=$D12,0,SQP9+1))</f>
        <v>0</v>
      </c>
      <c r="SQR9" s="26">
        <f>IF(SQR7=0,0,IF(MAX($F9:SQQ9)=$D12,0,SQQ9+1))</f>
        <v>0</v>
      </c>
      <c r="SQS9" s="26">
        <f>IF(SQS7=0,0,IF(MAX($F9:SQR9)=$D12,0,SQR9+1))</f>
        <v>0</v>
      </c>
      <c r="SQT9" s="26">
        <f>IF(SQT7=0,0,IF(MAX($F9:SQS9)=$D12,0,SQS9+1))</f>
        <v>0</v>
      </c>
      <c r="SQU9" s="26">
        <f>IF(SQU7=0,0,IF(MAX($F9:SQT9)=$D12,0,SQT9+1))</f>
        <v>0</v>
      </c>
      <c r="SQV9" s="26">
        <f>IF(SQV7=0,0,IF(MAX($F9:SQU9)=$D12,0,SQU9+1))</f>
        <v>0</v>
      </c>
      <c r="SQW9" s="26">
        <f>IF(SQW7=0,0,IF(MAX($F9:SQV9)=$D12,0,SQV9+1))</f>
        <v>0</v>
      </c>
      <c r="SQX9" s="26">
        <f>IF(SQX7=0,0,IF(MAX($F9:SQW9)=$D12,0,SQW9+1))</f>
        <v>0</v>
      </c>
      <c r="SQY9" s="26">
        <f>IF(SQY7=0,0,IF(MAX($F9:SQX9)=$D12,0,SQX9+1))</f>
        <v>0</v>
      </c>
      <c r="SQZ9" s="26">
        <f>IF(SQZ7=0,0,IF(MAX($F9:SQY9)=$D12,0,SQY9+1))</f>
        <v>0</v>
      </c>
      <c r="SRA9" s="26">
        <f>IF(SRA7=0,0,IF(MAX($F9:SQZ9)=$D12,0,SQZ9+1))</f>
        <v>0</v>
      </c>
      <c r="SRB9" s="26">
        <f>IF(SRB7=0,0,IF(MAX($F9:SRA9)=$D12,0,SRA9+1))</f>
        <v>0</v>
      </c>
      <c r="SRC9" s="26">
        <f>IF(SRC7=0,0,IF(MAX($F9:SRB9)=$D12,0,SRB9+1))</f>
        <v>0</v>
      </c>
      <c r="SRD9" s="26">
        <f>IF(SRD7=0,0,IF(MAX($F9:SRC9)=$D12,0,SRC9+1))</f>
        <v>0</v>
      </c>
      <c r="SRE9" s="26">
        <f>IF(SRE7=0,0,IF(MAX($F9:SRD9)=$D12,0,SRD9+1))</f>
        <v>0</v>
      </c>
      <c r="SRF9" s="26">
        <f>IF(SRF7=0,0,IF(MAX($F9:SRE9)=$D12,0,SRE9+1))</f>
        <v>0</v>
      </c>
      <c r="SRG9" s="26">
        <f>IF(SRG7=0,0,IF(MAX($F9:SRF9)=$D12,0,SRF9+1))</f>
        <v>0</v>
      </c>
      <c r="SRH9" s="26">
        <f>IF(SRH7=0,0,IF(MAX($F9:SRG9)=$D12,0,SRG9+1))</f>
        <v>0</v>
      </c>
      <c r="SRI9" s="26">
        <f>IF(SRI7=0,0,IF(MAX($F9:SRH9)=$D12,0,SRH9+1))</f>
        <v>0</v>
      </c>
      <c r="SRJ9" s="26">
        <f>IF(SRJ7=0,0,IF(MAX($F9:SRI9)=$D12,0,SRI9+1))</f>
        <v>0</v>
      </c>
      <c r="SRK9" s="26">
        <f>IF(SRK7=0,0,IF(MAX($F9:SRJ9)=$D12,0,SRJ9+1))</f>
        <v>0</v>
      </c>
      <c r="SRL9" s="26">
        <f>IF(SRL7=0,0,IF(MAX($F9:SRK9)=$D12,0,SRK9+1))</f>
        <v>0</v>
      </c>
      <c r="SRM9" s="26">
        <f>IF(SRM7=0,0,IF(MAX($F9:SRL9)=$D12,0,SRL9+1))</f>
        <v>0</v>
      </c>
      <c r="SRN9" s="26">
        <f>IF(SRN7=0,0,IF(MAX($F9:SRM9)=$D12,0,SRM9+1))</f>
        <v>0</v>
      </c>
      <c r="SRO9" s="26">
        <f>IF(SRO7=0,0,IF(MAX($F9:SRN9)=$D12,0,SRN9+1))</f>
        <v>0</v>
      </c>
      <c r="SRP9" s="26">
        <f>IF(SRP7=0,0,IF(MAX($F9:SRO9)=$D12,0,SRO9+1))</f>
        <v>0</v>
      </c>
      <c r="SRQ9" s="26">
        <f>IF(SRQ7=0,0,IF(MAX($F9:SRP9)=$D12,0,SRP9+1))</f>
        <v>0</v>
      </c>
      <c r="SRR9" s="26">
        <f>IF(SRR7=0,0,IF(MAX($F9:SRQ9)=$D12,0,SRQ9+1))</f>
        <v>0</v>
      </c>
      <c r="SRS9" s="26">
        <f>IF(SRS7=0,0,IF(MAX($F9:SRR9)=$D12,0,SRR9+1))</f>
        <v>0</v>
      </c>
      <c r="SRT9" s="26">
        <f>IF(SRT7=0,0,IF(MAX($F9:SRS9)=$D12,0,SRS9+1))</f>
        <v>0</v>
      </c>
      <c r="SRU9" s="26">
        <f>IF(SRU7=0,0,IF(MAX($F9:SRT9)=$D12,0,SRT9+1))</f>
        <v>0</v>
      </c>
      <c r="SRV9" s="26">
        <f>IF(SRV7=0,0,IF(MAX($F9:SRU9)=$D12,0,SRU9+1))</f>
        <v>0</v>
      </c>
      <c r="SRW9" s="26">
        <f>IF(SRW7=0,0,IF(MAX($F9:SRV9)=$D12,0,SRV9+1))</f>
        <v>0</v>
      </c>
      <c r="SRX9" s="26">
        <f>IF(SRX7=0,0,IF(MAX($F9:SRW9)=$D12,0,SRW9+1))</f>
        <v>0</v>
      </c>
      <c r="SRY9" s="26">
        <f>IF(SRY7=0,0,IF(MAX($F9:SRX9)=$D12,0,SRX9+1))</f>
        <v>0</v>
      </c>
      <c r="SRZ9" s="26">
        <f>IF(SRZ7=0,0,IF(MAX($F9:SRY9)=$D12,0,SRY9+1))</f>
        <v>0</v>
      </c>
      <c r="SSA9" s="26">
        <f>IF(SSA7=0,0,IF(MAX($F9:SRZ9)=$D12,0,SRZ9+1))</f>
        <v>0</v>
      </c>
      <c r="SSB9" s="26">
        <f>IF(SSB7=0,0,IF(MAX($F9:SSA9)=$D12,0,SSA9+1))</f>
        <v>0</v>
      </c>
      <c r="SSC9" s="26">
        <f>IF(SSC7=0,0,IF(MAX($F9:SSB9)=$D12,0,SSB9+1))</f>
        <v>0</v>
      </c>
      <c r="SSD9" s="26">
        <f>IF(SSD7=0,0,IF(MAX($F9:SSC9)=$D12,0,SSC9+1))</f>
        <v>0</v>
      </c>
      <c r="SSE9" s="26">
        <f>IF(SSE7=0,0,IF(MAX($F9:SSD9)=$D12,0,SSD9+1))</f>
        <v>0</v>
      </c>
      <c r="SSF9" s="26">
        <f>IF(SSF7=0,0,IF(MAX($F9:SSE9)=$D12,0,SSE9+1))</f>
        <v>0</v>
      </c>
      <c r="SSG9" s="26">
        <f>IF(SSG7=0,0,IF(MAX($F9:SSF9)=$D12,0,SSF9+1))</f>
        <v>0</v>
      </c>
      <c r="SSH9" s="26">
        <f>IF(SSH7=0,0,IF(MAX($F9:SSG9)=$D12,0,SSG9+1))</f>
        <v>0</v>
      </c>
      <c r="SSI9" s="26">
        <f>IF(SSI7=0,0,IF(MAX($F9:SSH9)=$D12,0,SSH9+1))</f>
        <v>0</v>
      </c>
      <c r="SSJ9" s="26">
        <f>IF(SSJ7=0,0,IF(MAX($F9:SSI9)=$D12,0,SSI9+1))</f>
        <v>0</v>
      </c>
      <c r="SSK9" s="26">
        <f>IF(SSK7=0,0,IF(MAX($F9:SSJ9)=$D12,0,SSJ9+1))</f>
        <v>0</v>
      </c>
      <c r="SSL9" s="26">
        <f>IF(SSL7=0,0,IF(MAX($F9:SSK9)=$D12,0,SSK9+1))</f>
        <v>0</v>
      </c>
      <c r="SSM9" s="26">
        <f>IF(SSM7=0,0,IF(MAX($F9:SSL9)=$D12,0,SSL9+1))</f>
        <v>0</v>
      </c>
      <c r="SSN9" s="26">
        <f>IF(SSN7=0,0,IF(MAX($F9:SSM9)=$D12,0,SSM9+1))</f>
        <v>0</v>
      </c>
      <c r="SSO9" s="26">
        <f>IF(SSO7=0,0,IF(MAX($F9:SSN9)=$D12,0,SSN9+1))</f>
        <v>0</v>
      </c>
      <c r="SSP9" s="26">
        <f>IF(SSP7=0,0,IF(MAX($F9:SSO9)=$D12,0,SSO9+1))</f>
        <v>0</v>
      </c>
      <c r="SSQ9" s="26">
        <f>IF(SSQ7=0,0,IF(MAX($F9:SSP9)=$D12,0,SSP9+1))</f>
        <v>0</v>
      </c>
      <c r="SSR9" s="26">
        <f>IF(SSR7=0,0,IF(MAX($F9:SSQ9)=$D12,0,SSQ9+1))</f>
        <v>0</v>
      </c>
      <c r="SSS9" s="26">
        <f>IF(SSS7=0,0,IF(MAX($F9:SSR9)=$D12,0,SSR9+1))</f>
        <v>0</v>
      </c>
      <c r="SST9" s="26">
        <f>IF(SST7=0,0,IF(MAX($F9:SSS9)=$D12,0,SSS9+1))</f>
        <v>0</v>
      </c>
      <c r="SSU9" s="26">
        <f>IF(SSU7=0,0,IF(MAX($F9:SST9)=$D12,0,SST9+1))</f>
        <v>0</v>
      </c>
      <c r="SSV9" s="26">
        <f>IF(SSV7=0,0,IF(MAX($F9:SSU9)=$D12,0,SSU9+1))</f>
        <v>0</v>
      </c>
      <c r="SSW9" s="26">
        <f>IF(SSW7=0,0,IF(MAX($F9:SSV9)=$D12,0,SSV9+1))</f>
        <v>0</v>
      </c>
      <c r="SSX9" s="26">
        <f>IF(SSX7=0,0,IF(MAX($F9:SSW9)=$D12,0,SSW9+1))</f>
        <v>0</v>
      </c>
      <c r="SSY9" s="26">
        <f>IF(SSY7=0,0,IF(MAX($F9:SSX9)=$D12,0,SSX9+1))</f>
        <v>0</v>
      </c>
      <c r="SSZ9" s="26">
        <f>IF(SSZ7=0,0,IF(MAX($F9:SSY9)=$D12,0,SSY9+1))</f>
        <v>0</v>
      </c>
      <c r="STA9" s="26">
        <f>IF(STA7=0,0,IF(MAX($F9:SSZ9)=$D12,0,SSZ9+1))</f>
        <v>0</v>
      </c>
      <c r="STB9" s="26">
        <f>IF(STB7=0,0,IF(MAX($F9:STA9)=$D12,0,STA9+1))</f>
        <v>0</v>
      </c>
      <c r="STC9" s="26">
        <f>IF(STC7=0,0,IF(MAX($F9:STB9)=$D12,0,STB9+1))</f>
        <v>0</v>
      </c>
      <c r="STD9" s="26">
        <f>IF(STD7=0,0,IF(MAX($F9:STC9)=$D12,0,STC9+1))</f>
        <v>0</v>
      </c>
      <c r="STE9" s="26">
        <f>IF(STE7=0,0,IF(MAX($F9:STD9)=$D12,0,STD9+1))</f>
        <v>0</v>
      </c>
      <c r="STF9" s="26">
        <f>IF(STF7=0,0,IF(MAX($F9:STE9)=$D12,0,STE9+1))</f>
        <v>0</v>
      </c>
      <c r="STG9" s="26">
        <f>IF(STG7=0,0,IF(MAX($F9:STF9)=$D12,0,STF9+1))</f>
        <v>0</v>
      </c>
      <c r="STH9" s="26">
        <f>IF(STH7=0,0,IF(MAX($F9:STG9)=$D12,0,STG9+1))</f>
        <v>0</v>
      </c>
      <c r="STI9" s="26">
        <f>IF(STI7=0,0,IF(MAX($F9:STH9)=$D12,0,STH9+1))</f>
        <v>0</v>
      </c>
      <c r="STJ9" s="26">
        <f>IF(STJ7=0,0,IF(MAX($F9:STI9)=$D12,0,STI9+1))</f>
        <v>0</v>
      </c>
      <c r="STK9" s="26">
        <f>IF(STK7=0,0,IF(MAX($F9:STJ9)=$D12,0,STJ9+1))</f>
        <v>0</v>
      </c>
      <c r="STL9" s="26">
        <f>IF(STL7=0,0,IF(MAX($F9:STK9)=$D12,0,STK9+1))</f>
        <v>0</v>
      </c>
      <c r="STM9" s="26">
        <f>IF(STM7=0,0,IF(MAX($F9:STL9)=$D12,0,STL9+1))</f>
        <v>0</v>
      </c>
      <c r="STN9" s="26">
        <f>IF(STN7=0,0,IF(MAX($F9:STM9)=$D12,0,STM9+1))</f>
        <v>0</v>
      </c>
      <c r="STO9" s="26">
        <f>IF(STO7=0,0,IF(MAX($F9:STN9)=$D12,0,STN9+1))</f>
        <v>0</v>
      </c>
      <c r="STP9" s="26">
        <f>IF(STP7=0,0,IF(MAX($F9:STO9)=$D12,0,STO9+1))</f>
        <v>0</v>
      </c>
      <c r="STQ9" s="26">
        <f>IF(STQ7=0,0,IF(MAX($F9:STP9)=$D12,0,STP9+1))</f>
        <v>0</v>
      </c>
      <c r="STR9" s="26">
        <f>IF(STR7=0,0,IF(MAX($F9:STQ9)=$D12,0,STQ9+1))</f>
        <v>0</v>
      </c>
      <c r="STS9" s="26">
        <f>IF(STS7=0,0,IF(MAX($F9:STR9)=$D12,0,STR9+1))</f>
        <v>0</v>
      </c>
      <c r="STT9" s="26">
        <f>IF(STT7=0,0,IF(MAX($F9:STS9)=$D12,0,STS9+1))</f>
        <v>0</v>
      </c>
      <c r="STU9" s="26">
        <f>IF(STU7=0,0,IF(MAX($F9:STT9)=$D12,0,STT9+1))</f>
        <v>0</v>
      </c>
      <c r="STV9" s="26">
        <f>IF(STV7=0,0,IF(MAX($F9:STU9)=$D12,0,STU9+1))</f>
        <v>0</v>
      </c>
      <c r="STW9" s="26">
        <f>IF(STW7=0,0,IF(MAX($F9:STV9)=$D12,0,STV9+1))</f>
        <v>0</v>
      </c>
      <c r="STX9" s="26">
        <f>IF(STX7=0,0,IF(MAX($F9:STW9)=$D12,0,STW9+1))</f>
        <v>0</v>
      </c>
      <c r="STY9" s="26">
        <f>IF(STY7=0,0,IF(MAX($F9:STX9)=$D12,0,STX9+1))</f>
        <v>0</v>
      </c>
      <c r="STZ9" s="26">
        <f>IF(STZ7=0,0,IF(MAX($F9:STY9)=$D12,0,STY9+1))</f>
        <v>0</v>
      </c>
      <c r="SUA9" s="26">
        <f>IF(SUA7=0,0,IF(MAX($F9:STZ9)=$D12,0,STZ9+1))</f>
        <v>0</v>
      </c>
      <c r="SUB9" s="26">
        <f>IF(SUB7=0,0,IF(MAX($F9:SUA9)=$D12,0,SUA9+1))</f>
        <v>0</v>
      </c>
      <c r="SUC9" s="26">
        <f>IF(SUC7=0,0,IF(MAX($F9:SUB9)=$D12,0,SUB9+1))</f>
        <v>0</v>
      </c>
      <c r="SUD9" s="26">
        <f>IF(SUD7=0,0,IF(MAX($F9:SUC9)=$D12,0,SUC9+1))</f>
        <v>0</v>
      </c>
      <c r="SUE9" s="26">
        <f>IF(SUE7=0,0,IF(MAX($F9:SUD9)=$D12,0,SUD9+1))</f>
        <v>0</v>
      </c>
      <c r="SUF9" s="26">
        <f>IF(SUF7=0,0,IF(MAX($F9:SUE9)=$D12,0,SUE9+1))</f>
        <v>0</v>
      </c>
      <c r="SUG9" s="26">
        <f>IF(SUG7=0,0,IF(MAX($F9:SUF9)=$D12,0,SUF9+1))</f>
        <v>0</v>
      </c>
      <c r="SUH9" s="26">
        <f>IF(SUH7=0,0,IF(MAX($F9:SUG9)=$D12,0,SUG9+1))</f>
        <v>0</v>
      </c>
      <c r="SUI9" s="26">
        <f>IF(SUI7=0,0,IF(MAX($F9:SUH9)=$D12,0,SUH9+1))</f>
        <v>0</v>
      </c>
      <c r="SUJ9" s="26">
        <f>IF(SUJ7=0,0,IF(MAX($F9:SUI9)=$D12,0,SUI9+1))</f>
        <v>0</v>
      </c>
      <c r="SUK9" s="26">
        <f>IF(SUK7=0,0,IF(MAX($F9:SUJ9)=$D12,0,SUJ9+1))</f>
        <v>0</v>
      </c>
      <c r="SUL9" s="26">
        <f>IF(SUL7=0,0,IF(MAX($F9:SUK9)=$D12,0,SUK9+1))</f>
        <v>0</v>
      </c>
      <c r="SUM9" s="26">
        <f>IF(SUM7=0,0,IF(MAX($F9:SUL9)=$D12,0,SUL9+1))</f>
        <v>0</v>
      </c>
      <c r="SUN9" s="26">
        <f>IF(SUN7=0,0,IF(MAX($F9:SUM9)=$D12,0,SUM9+1))</f>
        <v>0</v>
      </c>
      <c r="SUO9" s="26">
        <f>IF(SUO7=0,0,IF(MAX($F9:SUN9)=$D12,0,SUN9+1))</f>
        <v>0</v>
      </c>
      <c r="SUP9" s="26">
        <f>IF(SUP7=0,0,IF(MAX($F9:SUO9)=$D12,0,SUO9+1))</f>
        <v>0</v>
      </c>
      <c r="SUQ9" s="26">
        <f>IF(SUQ7=0,0,IF(MAX($F9:SUP9)=$D12,0,SUP9+1))</f>
        <v>0</v>
      </c>
      <c r="SUR9" s="26">
        <f>IF(SUR7=0,0,IF(MAX($F9:SUQ9)=$D12,0,SUQ9+1))</f>
        <v>0</v>
      </c>
      <c r="SUS9" s="26">
        <f>IF(SUS7=0,0,IF(MAX($F9:SUR9)=$D12,0,SUR9+1))</f>
        <v>0</v>
      </c>
      <c r="SUT9" s="26">
        <f>IF(SUT7=0,0,IF(MAX($F9:SUS9)=$D12,0,SUS9+1))</f>
        <v>0</v>
      </c>
      <c r="SUU9" s="26">
        <f>IF(SUU7=0,0,IF(MAX($F9:SUT9)=$D12,0,SUT9+1))</f>
        <v>0</v>
      </c>
      <c r="SUV9" s="26">
        <f>IF(SUV7=0,0,IF(MAX($F9:SUU9)=$D12,0,SUU9+1))</f>
        <v>0</v>
      </c>
      <c r="SUW9" s="26">
        <f>IF(SUW7=0,0,IF(MAX($F9:SUV9)=$D12,0,SUV9+1))</f>
        <v>0</v>
      </c>
      <c r="SUX9" s="26">
        <f>IF(SUX7=0,0,IF(MAX($F9:SUW9)=$D12,0,SUW9+1))</f>
        <v>0</v>
      </c>
      <c r="SUY9" s="26">
        <f>IF(SUY7=0,0,IF(MAX($F9:SUX9)=$D12,0,SUX9+1))</f>
        <v>0</v>
      </c>
      <c r="SUZ9" s="26">
        <f>IF(SUZ7=0,0,IF(MAX($F9:SUY9)=$D12,0,SUY9+1))</f>
        <v>0</v>
      </c>
      <c r="SVA9" s="26">
        <f>IF(SVA7=0,0,IF(MAX($F9:SUZ9)=$D12,0,SUZ9+1))</f>
        <v>0</v>
      </c>
      <c r="SVB9" s="26">
        <f>IF(SVB7=0,0,IF(MAX($F9:SVA9)=$D12,0,SVA9+1))</f>
        <v>0</v>
      </c>
      <c r="SVC9" s="26">
        <f>IF(SVC7=0,0,IF(MAX($F9:SVB9)=$D12,0,SVB9+1))</f>
        <v>0</v>
      </c>
      <c r="SVD9" s="26">
        <f>IF(SVD7=0,0,IF(MAX($F9:SVC9)=$D12,0,SVC9+1))</f>
        <v>0</v>
      </c>
      <c r="SVE9" s="26">
        <f>IF(SVE7=0,0,IF(MAX($F9:SVD9)=$D12,0,SVD9+1))</f>
        <v>0</v>
      </c>
      <c r="SVF9" s="26">
        <f>IF(SVF7=0,0,IF(MAX($F9:SVE9)=$D12,0,SVE9+1))</f>
        <v>0</v>
      </c>
      <c r="SVG9" s="26">
        <f>IF(SVG7=0,0,IF(MAX($F9:SVF9)=$D12,0,SVF9+1))</f>
        <v>0</v>
      </c>
      <c r="SVH9" s="26">
        <f>IF(SVH7=0,0,IF(MAX($F9:SVG9)=$D12,0,SVG9+1))</f>
        <v>0</v>
      </c>
      <c r="SVI9" s="26">
        <f>IF(SVI7=0,0,IF(MAX($F9:SVH9)=$D12,0,SVH9+1))</f>
        <v>0</v>
      </c>
      <c r="SVJ9" s="26">
        <f>IF(SVJ7=0,0,IF(MAX($F9:SVI9)=$D12,0,SVI9+1))</f>
        <v>0</v>
      </c>
      <c r="SVK9" s="26">
        <f>IF(SVK7=0,0,IF(MAX($F9:SVJ9)=$D12,0,SVJ9+1))</f>
        <v>0</v>
      </c>
      <c r="SVL9" s="26">
        <f>IF(SVL7=0,0,IF(MAX($F9:SVK9)=$D12,0,SVK9+1))</f>
        <v>0</v>
      </c>
      <c r="SVM9" s="26">
        <f>IF(SVM7=0,0,IF(MAX($F9:SVL9)=$D12,0,SVL9+1))</f>
        <v>0</v>
      </c>
      <c r="SVN9" s="26">
        <f>IF(SVN7=0,0,IF(MAX($F9:SVM9)=$D12,0,SVM9+1))</f>
        <v>0</v>
      </c>
      <c r="SVO9" s="26">
        <f>IF(SVO7=0,0,IF(MAX($F9:SVN9)=$D12,0,SVN9+1))</f>
        <v>0</v>
      </c>
      <c r="SVP9" s="26">
        <f>IF(SVP7=0,0,IF(MAX($F9:SVO9)=$D12,0,SVO9+1))</f>
        <v>0</v>
      </c>
      <c r="SVQ9" s="26">
        <f>IF(SVQ7=0,0,IF(MAX($F9:SVP9)=$D12,0,SVP9+1))</f>
        <v>0</v>
      </c>
      <c r="SVR9" s="26">
        <f>IF(SVR7=0,0,IF(MAX($F9:SVQ9)=$D12,0,SVQ9+1))</f>
        <v>0</v>
      </c>
      <c r="SVS9" s="26">
        <f>IF(SVS7=0,0,IF(MAX($F9:SVR9)=$D12,0,SVR9+1))</f>
        <v>0</v>
      </c>
      <c r="SVT9" s="26">
        <f>IF(SVT7=0,0,IF(MAX($F9:SVS9)=$D12,0,SVS9+1))</f>
        <v>0</v>
      </c>
      <c r="SVU9" s="26">
        <f>IF(SVU7=0,0,IF(MAX($F9:SVT9)=$D12,0,SVT9+1))</f>
        <v>0</v>
      </c>
      <c r="SVV9" s="26">
        <f>IF(SVV7=0,0,IF(MAX($F9:SVU9)=$D12,0,SVU9+1))</f>
        <v>0</v>
      </c>
      <c r="SVW9" s="26">
        <f>IF(SVW7=0,0,IF(MAX($F9:SVV9)=$D12,0,SVV9+1))</f>
        <v>0</v>
      </c>
      <c r="SVX9" s="26">
        <f>IF(SVX7=0,0,IF(MAX($F9:SVW9)=$D12,0,SVW9+1))</f>
        <v>0</v>
      </c>
      <c r="SVY9" s="26">
        <f>IF(SVY7=0,0,IF(MAX($F9:SVX9)=$D12,0,SVX9+1))</f>
        <v>0</v>
      </c>
      <c r="SVZ9" s="26">
        <f>IF(SVZ7=0,0,IF(MAX($F9:SVY9)=$D12,0,SVY9+1))</f>
        <v>0</v>
      </c>
      <c r="SWA9" s="26">
        <f>IF(SWA7=0,0,IF(MAX($F9:SVZ9)=$D12,0,SVZ9+1))</f>
        <v>0</v>
      </c>
      <c r="SWB9" s="26">
        <f>IF(SWB7=0,0,IF(MAX($F9:SWA9)=$D12,0,SWA9+1))</f>
        <v>0</v>
      </c>
      <c r="SWC9" s="26">
        <f>IF(SWC7=0,0,IF(MAX($F9:SWB9)=$D12,0,SWB9+1))</f>
        <v>0</v>
      </c>
      <c r="SWD9" s="26">
        <f>IF(SWD7=0,0,IF(MAX($F9:SWC9)=$D12,0,SWC9+1))</f>
        <v>0</v>
      </c>
      <c r="SWE9" s="26">
        <f>IF(SWE7=0,0,IF(MAX($F9:SWD9)=$D12,0,SWD9+1))</f>
        <v>0</v>
      </c>
      <c r="SWF9" s="26">
        <f>IF(SWF7=0,0,IF(MAX($F9:SWE9)=$D12,0,SWE9+1))</f>
        <v>0</v>
      </c>
      <c r="SWG9" s="26">
        <f>IF(SWG7=0,0,IF(MAX($F9:SWF9)=$D12,0,SWF9+1))</f>
        <v>0</v>
      </c>
      <c r="SWH9" s="26">
        <f>IF(SWH7=0,0,IF(MAX($F9:SWG9)=$D12,0,SWG9+1))</f>
        <v>0</v>
      </c>
      <c r="SWI9" s="26">
        <f>IF(SWI7=0,0,IF(MAX($F9:SWH9)=$D12,0,SWH9+1))</f>
        <v>0</v>
      </c>
      <c r="SWJ9" s="26">
        <f>IF(SWJ7=0,0,IF(MAX($F9:SWI9)=$D12,0,SWI9+1))</f>
        <v>0</v>
      </c>
      <c r="SWK9" s="26">
        <f>IF(SWK7=0,0,IF(MAX($F9:SWJ9)=$D12,0,SWJ9+1))</f>
        <v>0</v>
      </c>
      <c r="SWL9" s="26">
        <f>IF(SWL7=0,0,IF(MAX($F9:SWK9)=$D12,0,SWK9+1))</f>
        <v>0</v>
      </c>
      <c r="SWM9" s="26">
        <f>IF(SWM7=0,0,IF(MAX($F9:SWL9)=$D12,0,SWL9+1))</f>
        <v>0</v>
      </c>
      <c r="SWN9" s="26">
        <f>IF(SWN7=0,0,IF(MAX($F9:SWM9)=$D12,0,SWM9+1))</f>
        <v>0</v>
      </c>
      <c r="SWO9" s="26">
        <f>IF(SWO7=0,0,IF(MAX($F9:SWN9)=$D12,0,SWN9+1))</f>
        <v>0</v>
      </c>
      <c r="SWP9" s="26">
        <f>IF(SWP7=0,0,IF(MAX($F9:SWO9)=$D12,0,SWO9+1))</f>
        <v>0</v>
      </c>
      <c r="SWQ9" s="26">
        <f>IF(SWQ7=0,0,IF(MAX($F9:SWP9)=$D12,0,SWP9+1))</f>
        <v>0</v>
      </c>
      <c r="SWR9" s="26">
        <f>IF(SWR7=0,0,IF(MAX($F9:SWQ9)=$D12,0,SWQ9+1))</f>
        <v>0</v>
      </c>
      <c r="SWS9" s="26">
        <f>IF(SWS7=0,0,IF(MAX($F9:SWR9)=$D12,0,SWR9+1))</f>
        <v>0</v>
      </c>
      <c r="SWT9" s="26">
        <f>IF(SWT7=0,0,IF(MAX($F9:SWS9)=$D12,0,SWS9+1))</f>
        <v>0</v>
      </c>
      <c r="SWU9" s="26">
        <f>IF(SWU7=0,0,IF(MAX($F9:SWT9)=$D12,0,SWT9+1))</f>
        <v>0</v>
      </c>
      <c r="SWV9" s="26">
        <f>IF(SWV7=0,0,IF(MAX($F9:SWU9)=$D12,0,SWU9+1))</f>
        <v>0</v>
      </c>
      <c r="SWW9" s="26">
        <f>IF(SWW7=0,0,IF(MAX($F9:SWV9)=$D12,0,SWV9+1))</f>
        <v>0</v>
      </c>
      <c r="SWX9" s="26">
        <f>IF(SWX7=0,0,IF(MAX($F9:SWW9)=$D12,0,SWW9+1))</f>
        <v>0</v>
      </c>
      <c r="SWY9" s="26">
        <f>IF(SWY7=0,0,IF(MAX($F9:SWX9)=$D12,0,SWX9+1))</f>
        <v>0</v>
      </c>
      <c r="SWZ9" s="26">
        <f>IF(SWZ7=0,0,IF(MAX($F9:SWY9)=$D12,0,SWY9+1))</f>
        <v>0</v>
      </c>
      <c r="SXA9" s="26">
        <f>IF(SXA7=0,0,IF(MAX($F9:SWZ9)=$D12,0,SWZ9+1))</f>
        <v>0</v>
      </c>
      <c r="SXB9" s="26">
        <f>IF(SXB7=0,0,IF(MAX($F9:SXA9)=$D12,0,SXA9+1))</f>
        <v>0</v>
      </c>
      <c r="SXC9" s="26">
        <f>IF(SXC7=0,0,IF(MAX($F9:SXB9)=$D12,0,SXB9+1))</f>
        <v>0</v>
      </c>
      <c r="SXD9" s="26">
        <f>IF(SXD7=0,0,IF(MAX($F9:SXC9)=$D12,0,SXC9+1))</f>
        <v>0</v>
      </c>
      <c r="SXE9" s="26">
        <f>IF(SXE7=0,0,IF(MAX($F9:SXD9)=$D12,0,SXD9+1))</f>
        <v>0</v>
      </c>
      <c r="SXF9" s="26">
        <f>IF(SXF7=0,0,IF(MAX($F9:SXE9)=$D12,0,SXE9+1))</f>
        <v>0</v>
      </c>
      <c r="SXG9" s="26">
        <f>IF(SXG7=0,0,IF(MAX($F9:SXF9)=$D12,0,SXF9+1))</f>
        <v>0</v>
      </c>
      <c r="SXH9" s="26">
        <f>IF(SXH7=0,0,IF(MAX($F9:SXG9)=$D12,0,SXG9+1))</f>
        <v>0</v>
      </c>
      <c r="SXI9" s="26">
        <f>IF(SXI7=0,0,IF(MAX($F9:SXH9)=$D12,0,SXH9+1))</f>
        <v>0</v>
      </c>
      <c r="SXJ9" s="26">
        <f>IF(SXJ7=0,0,IF(MAX($F9:SXI9)=$D12,0,SXI9+1))</f>
        <v>0</v>
      </c>
      <c r="SXK9" s="26">
        <f>IF(SXK7=0,0,IF(MAX($F9:SXJ9)=$D12,0,SXJ9+1))</f>
        <v>0</v>
      </c>
      <c r="SXL9" s="26">
        <f>IF(SXL7=0,0,IF(MAX($F9:SXK9)=$D12,0,SXK9+1))</f>
        <v>0</v>
      </c>
      <c r="SXM9" s="26">
        <f>IF(SXM7=0,0,IF(MAX($F9:SXL9)=$D12,0,SXL9+1))</f>
        <v>0</v>
      </c>
      <c r="SXN9" s="26">
        <f>IF(SXN7=0,0,IF(MAX($F9:SXM9)=$D12,0,SXM9+1))</f>
        <v>0</v>
      </c>
      <c r="SXO9" s="26">
        <f>IF(SXO7=0,0,IF(MAX($F9:SXN9)=$D12,0,SXN9+1))</f>
        <v>0</v>
      </c>
      <c r="SXP9" s="26">
        <f>IF(SXP7=0,0,IF(MAX($F9:SXO9)=$D12,0,SXO9+1))</f>
        <v>0</v>
      </c>
      <c r="SXQ9" s="26">
        <f>IF(SXQ7=0,0,IF(MAX($F9:SXP9)=$D12,0,SXP9+1))</f>
        <v>0</v>
      </c>
      <c r="SXR9" s="26">
        <f>IF(SXR7=0,0,IF(MAX($F9:SXQ9)=$D12,0,SXQ9+1))</f>
        <v>0</v>
      </c>
      <c r="SXS9" s="26">
        <f>IF(SXS7=0,0,IF(MAX($F9:SXR9)=$D12,0,SXR9+1))</f>
        <v>0</v>
      </c>
      <c r="SXT9" s="26">
        <f>IF(SXT7=0,0,IF(MAX($F9:SXS9)=$D12,0,SXS9+1))</f>
        <v>0</v>
      </c>
      <c r="SXU9" s="26">
        <f>IF(SXU7=0,0,IF(MAX($F9:SXT9)=$D12,0,SXT9+1))</f>
        <v>0</v>
      </c>
      <c r="SXV9" s="26">
        <f>IF(SXV7=0,0,IF(MAX($F9:SXU9)=$D12,0,SXU9+1))</f>
        <v>0</v>
      </c>
      <c r="SXW9" s="26">
        <f>IF(SXW7=0,0,IF(MAX($F9:SXV9)=$D12,0,SXV9+1))</f>
        <v>0</v>
      </c>
      <c r="SXX9" s="26">
        <f>IF(SXX7=0,0,IF(MAX($F9:SXW9)=$D12,0,SXW9+1))</f>
        <v>0</v>
      </c>
      <c r="SXY9" s="26">
        <f>IF(SXY7=0,0,IF(MAX($F9:SXX9)=$D12,0,SXX9+1))</f>
        <v>0</v>
      </c>
      <c r="SXZ9" s="26">
        <f>IF(SXZ7=0,0,IF(MAX($F9:SXY9)=$D12,0,SXY9+1))</f>
        <v>0</v>
      </c>
      <c r="SYA9" s="26">
        <f>IF(SYA7=0,0,IF(MAX($F9:SXZ9)=$D12,0,SXZ9+1))</f>
        <v>0</v>
      </c>
      <c r="SYB9" s="26">
        <f>IF(SYB7=0,0,IF(MAX($F9:SYA9)=$D12,0,SYA9+1))</f>
        <v>0</v>
      </c>
      <c r="SYC9" s="26">
        <f>IF(SYC7=0,0,IF(MAX($F9:SYB9)=$D12,0,SYB9+1))</f>
        <v>0</v>
      </c>
      <c r="SYD9" s="26">
        <f>IF(SYD7=0,0,IF(MAX($F9:SYC9)=$D12,0,SYC9+1))</f>
        <v>0</v>
      </c>
      <c r="SYE9" s="26">
        <f>IF(SYE7=0,0,IF(MAX($F9:SYD9)=$D12,0,SYD9+1))</f>
        <v>0</v>
      </c>
      <c r="SYF9" s="26">
        <f>IF(SYF7=0,0,IF(MAX($F9:SYE9)=$D12,0,SYE9+1))</f>
        <v>0</v>
      </c>
      <c r="SYG9" s="26">
        <f>IF(SYG7=0,0,IF(MAX($F9:SYF9)=$D12,0,SYF9+1))</f>
        <v>0</v>
      </c>
      <c r="SYH9" s="26">
        <f>IF(SYH7=0,0,IF(MAX($F9:SYG9)=$D12,0,SYG9+1))</f>
        <v>0</v>
      </c>
      <c r="SYI9" s="26">
        <f>IF(SYI7=0,0,IF(MAX($F9:SYH9)=$D12,0,SYH9+1))</f>
        <v>0</v>
      </c>
      <c r="SYJ9" s="26">
        <f>IF(SYJ7=0,0,IF(MAX($F9:SYI9)=$D12,0,SYI9+1))</f>
        <v>0</v>
      </c>
      <c r="SYK9" s="26">
        <f>IF(SYK7=0,0,IF(MAX($F9:SYJ9)=$D12,0,SYJ9+1))</f>
        <v>0</v>
      </c>
      <c r="SYL9" s="26">
        <f>IF(SYL7=0,0,IF(MAX($F9:SYK9)=$D12,0,SYK9+1))</f>
        <v>0</v>
      </c>
      <c r="SYM9" s="26">
        <f>IF(SYM7=0,0,IF(MAX($F9:SYL9)=$D12,0,SYL9+1))</f>
        <v>0</v>
      </c>
      <c r="SYN9" s="26">
        <f>IF(SYN7=0,0,IF(MAX($F9:SYM9)=$D12,0,SYM9+1))</f>
        <v>0</v>
      </c>
      <c r="SYO9" s="26">
        <f>IF(SYO7=0,0,IF(MAX($F9:SYN9)=$D12,0,SYN9+1))</f>
        <v>0</v>
      </c>
      <c r="SYP9" s="26">
        <f>IF(SYP7=0,0,IF(MAX($F9:SYO9)=$D12,0,SYO9+1))</f>
        <v>0</v>
      </c>
      <c r="SYQ9" s="26">
        <f>IF(SYQ7=0,0,IF(MAX($F9:SYP9)=$D12,0,SYP9+1))</f>
        <v>0</v>
      </c>
      <c r="SYR9" s="26">
        <f>IF(SYR7=0,0,IF(MAX($F9:SYQ9)=$D12,0,SYQ9+1))</f>
        <v>0</v>
      </c>
      <c r="SYS9" s="26">
        <f>IF(SYS7=0,0,IF(MAX($F9:SYR9)=$D12,0,SYR9+1))</f>
        <v>0</v>
      </c>
      <c r="SYT9" s="26">
        <f>IF(SYT7=0,0,IF(MAX($F9:SYS9)=$D12,0,SYS9+1))</f>
        <v>0</v>
      </c>
      <c r="SYU9" s="26">
        <f>IF(SYU7=0,0,IF(MAX($F9:SYT9)=$D12,0,SYT9+1))</f>
        <v>0</v>
      </c>
      <c r="SYV9" s="26">
        <f>IF(SYV7=0,0,IF(MAX($F9:SYU9)=$D12,0,SYU9+1))</f>
        <v>0</v>
      </c>
      <c r="SYW9" s="26">
        <f>IF(SYW7=0,0,IF(MAX($F9:SYV9)=$D12,0,SYV9+1))</f>
        <v>0</v>
      </c>
      <c r="SYX9" s="26">
        <f>IF(SYX7=0,0,IF(MAX($F9:SYW9)=$D12,0,SYW9+1))</f>
        <v>0</v>
      </c>
      <c r="SYY9" s="26">
        <f>IF(SYY7=0,0,IF(MAX($F9:SYX9)=$D12,0,SYX9+1))</f>
        <v>0</v>
      </c>
      <c r="SYZ9" s="26">
        <f>IF(SYZ7=0,0,IF(MAX($F9:SYY9)=$D12,0,SYY9+1))</f>
        <v>0</v>
      </c>
      <c r="SZA9" s="26">
        <f>IF(SZA7=0,0,IF(MAX($F9:SYZ9)=$D12,0,SYZ9+1))</f>
        <v>0</v>
      </c>
      <c r="SZB9" s="26">
        <f>IF(SZB7=0,0,IF(MAX($F9:SZA9)=$D12,0,SZA9+1))</f>
        <v>0</v>
      </c>
      <c r="SZC9" s="26">
        <f>IF(SZC7=0,0,IF(MAX($F9:SZB9)=$D12,0,SZB9+1))</f>
        <v>0</v>
      </c>
      <c r="SZD9" s="26">
        <f>IF(SZD7=0,0,IF(MAX($F9:SZC9)=$D12,0,SZC9+1))</f>
        <v>0</v>
      </c>
      <c r="SZE9" s="26">
        <f>IF(SZE7=0,0,IF(MAX($F9:SZD9)=$D12,0,SZD9+1))</f>
        <v>0</v>
      </c>
      <c r="SZF9" s="26">
        <f>IF(SZF7=0,0,IF(MAX($F9:SZE9)=$D12,0,SZE9+1))</f>
        <v>0</v>
      </c>
      <c r="SZG9" s="26">
        <f>IF(SZG7=0,0,IF(MAX($F9:SZF9)=$D12,0,SZF9+1))</f>
        <v>0</v>
      </c>
      <c r="SZH9" s="26">
        <f>IF(SZH7=0,0,IF(MAX($F9:SZG9)=$D12,0,SZG9+1))</f>
        <v>0</v>
      </c>
      <c r="SZI9" s="26">
        <f>IF(SZI7=0,0,IF(MAX($F9:SZH9)=$D12,0,SZH9+1))</f>
        <v>0</v>
      </c>
      <c r="SZJ9" s="26">
        <f>IF(SZJ7=0,0,IF(MAX($F9:SZI9)=$D12,0,SZI9+1))</f>
        <v>0</v>
      </c>
      <c r="SZK9" s="26">
        <f>IF(SZK7=0,0,IF(MAX($F9:SZJ9)=$D12,0,SZJ9+1))</f>
        <v>0</v>
      </c>
      <c r="SZL9" s="26">
        <f>IF(SZL7=0,0,IF(MAX($F9:SZK9)=$D12,0,SZK9+1))</f>
        <v>0</v>
      </c>
      <c r="SZM9" s="26">
        <f>IF(SZM7=0,0,IF(MAX($F9:SZL9)=$D12,0,SZL9+1))</f>
        <v>0</v>
      </c>
      <c r="SZN9" s="26">
        <f>IF(SZN7=0,0,IF(MAX($F9:SZM9)=$D12,0,SZM9+1))</f>
        <v>0</v>
      </c>
      <c r="SZO9" s="26">
        <f>IF(SZO7=0,0,IF(MAX($F9:SZN9)=$D12,0,SZN9+1))</f>
        <v>0</v>
      </c>
      <c r="SZP9" s="26">
        <f>IF(SZP7=0,0,IF(MAX($F9:SZO9)=$D12,0,SZO9+1))</f>
        <v>0</v>
      </c>
      <c r="SZQ9" s="26">
        <f>IF(SZQ7=0,0,IF(MAX($F9:SZP9)=$D12,0,SZP9+1))</f>
        <v>0</v>
      </c>
      <c r="SZR9" s="26">
        <f>IF(SZR7=0,0,IF(MAX($F9:SZQ9)=$D12,0,SZQ9+1))</f>
        <v>0</v>
      </c>
      <c r="SZS9" s="26">
        <f>IF(SZS7=0,0,IF(MAX($F9:SZR9)=$D12,0,SZR9+1))</f>
        <v>0</v>
      </c>
      <c r="SZT9" s="26">
        <f>IF(SZT7=0,0,IF(MAX($F9:SZS9)=$D12,0,SZS9+1))</f>
        <v>0</v>
      </c>
      <c r="SZU9" s="26">
        <f>IF(SZU7=0,0,IF(MAX($F9:SZT9)=$D12,0,SZT9+1))</f>
        <v>0</v>
      </c>
      <c r="SZV9" s="26">
        <f>IF(SZV7=0,0,IF(MAX($F9:SZU9)=$D12,0,SZU9+1))</f>
        <v>0</v>
      </c>
      <c r="SZW9" s="26">
        <f>IF(SZW7=0,0,IF(MAX($F9:SZV9)=$D12,0,SZV9+1))</f>
        <v>0</v>
      </c>
      <c r="SZX9" s="26">
        <f>IF(SZX7=0,0,IF(MAX($F9:SZW9)=$D12,0,SZW9+1))</f>
        <v>0</v>
      </c>
      <c r="SZY9" s="26">
        <f>IF(SZY7=0,0,IF(MAX($F9:SZX9)=$D12,0,SZX9+1))</f>
        <v>0</v>
      </c>
      <c r="SZZ9" s="26">
        <f>IF(SZZ7=0,0,IF(MAX($F9:SZY9)=$D12,0,SZY9+1))</f>
        <v>0</v>
      </c>
      <c r="TAA9" s="26">
        <f>IF(TAA7=0,0,IF(MAX($F9:SZZ9)=$D12,0,SZZ9+1))</f>
        <v>0</v>
      </c>
      <c r="TAB9" s="26">
        <f>IF(TAB7=0,0,IF(MAX($F9:TAA9)=$D12,0,TAA9+1))</f>
        <v>0</v>
      </c>
      <c r="TAC9" s="26">
        <f>IF(TAC7=0,0,IF(MAX($F9:TAB9)=$D12,0,TAB9+1))</f>
        <v>0</v>
      </c>
      <c r="TAD9" s="26">
        <f>IF(TAD7=0,0,IF(MAX($F9:TAC9)=$D12,0,TAC9+1))</f>
        <v>0</v>
      </c>
      <c r="TAE9" s="26">
        <f>IF(TAE7=0,0,IF(MAX($F9:TAD9)=$D12,0,TAD9+1))</f>
        <v>0</v>
      </c>
      <c r="TAF9" s="26">
        <f>IF(TAF7=0,0,IF(MAX($F9:TAE9)=$D12,0,TAE9+1))</f>
        <v>0</v>
      </c>
      <c r="TAG9" s="26">
        <f>IF(TAG7=0,0,IF(MAX($F9:TAF9)=$D12,0,TAF9+1))</f>
        <v>0</v>
      </c>
      <c r="TAH9" s="26">
        <f>IF(TAH7=0,0,IF(MAX($F9:TAG9)=$D12,0,TAG9+1))</f>
        <v>0</v>
      </c>
      <c r="TAI9" s="26">
        <f>IF(TAI7=0,0,IF(MAX($F9:TAH9)=$D12,0,TAH9+1))</f>
        <v>0</v>
      </c>
      <c r="TAJ9" s="26">
        <f>IF(TAJ7=0,0,IF(MAX($F9:TAI9)=$D12,0,TAI9+1))</f>
        <v>0</v>
      </c>
      <c r="TAK9" s="26">
        <f>IF(TAK7=0,0,IF(MAX($F9:TAJ9)=$D12,0,TAJ9+1))</f>
        <v>0</v>
      </c>
      <c r="TAL9" s="26">
        <f>IF(TAL7=0,0,IF(MAX($F9:TAK9)=$D12,0,TAK9+1))</f>
        <v>0</v>
      </c>
      <c r="TAM9" s="26">
        <f>IF(TAM7=0,0,IF(MAX($F9:TAL9)=$D12,0,TAL9+1))</f>
        <v>0</v>
      </c>
      <c r="TAN9" s="26">
        <f>IF(TAN7=0,0,IF(MAX($F9:TAM9)=$D12,0,TAM9+1))</f>
        <v>0</v>
      </c>
      <c r="TAO9" s="26">
        <f>IF(TAO7=0,0,IF(MAX($F9:TAN9)=$D12,0,TAN9+1))</f>
        <v>0</v>
      </c>
      <c r="TAP9" s="26">
        <f>IF(TAP7=0,0,IF(MAX($F9:TAO9)=$D12,0,TAO9+1))</f>
        <v>0</v>
      </c>
      <c r="TAQ9" s="26">
        <f>IF(TAQ7=0,0,IF(MAX($F9:TAP9)=$D12,0,TAP9+1))</f>
        <v>0</v>
      </c>
      <c r="TAR9" s="26">
        <f>IF(TAR7=0,0,IF(MAX($F9:TAQ9)=$D12,0,TAQ9+1))</f>
        <v>0</v>
      </c>
      <c r="TAS9" s="26">
        <f>IF(TAS7=0,0,IF(MAX($F9:TAR9)=$D12,0,TAR9+1))</f>
        <v>0</v>
      </c>
      <c r="TAT9" s="26">
        <f>IF(TAT7=0,0,IF(MAX($F9:TAS9)=$D12,0,TAS9+1))</f>
        <v>0</v>
      </c>
      <c r="TAU9" s="26">
        <f>IF(TAU7=0,0,IF(MAX($F9:TAT9)=$D12,0,TAT9+1))</f>
        <v>0</v>
      </c>
      <c r="TAV9" s="26">
        <f>IF(TAV7=0,0,IF(MAX($F9:TAU9)=$D12,0,TAU9+1))</f>
        <v>0</v>
      </c>
      <c r="TAW9" s="26">
        <f>IF(TAW7=0,0,IF(MAX($F9:TAV9)=$D12,0,TAV9+1))</f>
        <v>0</v>
      </c>
      <c r="TAX9" s="26">
        <f>IF(TAX7=0,0,IF(MAX($F9:TAW9)=$D12,0,TAW9+1))</f>
        <v>0</v>
      </c>
      <c r="TAY9" s="26">
        <f>IF(TAY7=0,0,IF(MAX($F9:TAX9)=$D12,0,TAX9+1))</f>
        <v>0</v>
      </c>
      <c r="TAZ9" s="26">
        <f>IF(TAZ7=0,0,IF(MAX($F9:TAY9)=$D12,0,TAY9+1))</f>
        <v>0</v>
      </c>
      <c r="TBA9" s="26">
        <f>IF(TBA7=0,0,IF(MAX($F9:TAZ9)=$D12,0,TAZ9+1))</f>
        <v>0</v>
      </c>
      <c r="TBB9" s="26">
        <f>IF(TBB7=0,0,IF(MAX($F9:TBA9)=$D12,0,TBA9+1))</f>
        <v>0</v>
      </c>
      <c r="TBC9" s="26">
        <f>IF(TBC7=0,0,IF(MAX($F9:TBB9)=$D12,0,TBB9+1))</f>
        <v>0</v>
      </c>
      <c r="TBD9" s="26">
        <f>IF(TBD7=0,0,IF(MAX($F9:TBC9)=$D12,0,TBC9+1))</f>
        <v>0</v>
      </c>
      <c r="TBE9" s="26">
        <f>IF(TBE7=0,0,IF(MAX($F9:TBD9)=$D12,0,TBD9+1))</f>
        <v>0</v>
      </c>
      <c r="TBF9" s="26">
        <f>IF(TBF7=0,0,IF(MAX($F9:TBE9)=$D12,0,TBE9+1))</f>
        <v>0</v>
      </c>
      <c r="TBG9" s="26">
        <f>IF(TBG7=0,0,IF(MAX($F9:TBF9)=$D12,0,TBF9+1))</f>
        <v>0</v>
      </c>
      <c r="TBH9" s="26">
        <f>IF(TBH7=0,0,IF(MAX($F9:TBG9)=$D12,0,TBG9+1))</f>
        <v>0</v>
      </c>
      <c r="TBI9" s="26">
        <f>IF(TBI7=0,0,IF(MAX($F9:TBH9)=$D12,0,TBH9+1))</f>
        <v>0</v>
      </c>
      <c r="TBJ9" s="26">
        <f>IF(TBJ7=0,0,IF(MAX($F9:TBI9)=$D12,0,TBI9+1))</f>
        <v>0</v>
      </c>
      <c r="TBK9" s="26">
        <f>IF(TBK7=0,0,IF(MAX($F9:TBJ9)=$D12,0,TBJ9+1))</f>
        <v>0</v>
      </c>
      <c r="TBL9" s="26">
        <f>IF(TBL7=0,0,IF(MAX($F9:TBK9)=$D12,0,TBK9+1))</f>
        <v>0</v>
      </c>
      <c r="TBM9" s="26">
        <f>IF(TBM7=0,0,IF(MAX($F9:TBL9)=$D12,0,TBL9+1))</f>
        <v>0</v>
      </c>
      <c r="TBN9" s="26">
        <f>IF(TBN7=0,0,IF(MAX($F9:TBM9)=$D12,0,TBM9+1))</f>
        <v>0</v>
      </c>
      <c r="TBO9" s="26">
        <f>IF(TBO7=0,0,IF(MAX($F9:TBN9)=$D12,0,TBN9+1))</f>
        <v>0</v>
      </c>
      <c r="TBP9" s="26">
        <f>IF(TBP7=0,0,IF(MAX($F9:TBO9)=$D12,0,TBO9+1))</f>
        <v>0</v>
      </c>
      <c r="TBQ9" s="26">
        <f>IF(TBQ7=0,0,IF(MAX($F9:TBP9)=$D12,0,TBP9+1))</f>
        <v>0</v>
      </c>
      <c r="TBR9" s="26">
        <f>IF(TBR7=0,0,IF(MAX($F9:TBQ9)=$D12,0,TBQ9+1))</f>
        <v>0</v>
      </c>
      <c r="TBS9" s="26">
        <f>IF(TBS7=0,0,IF(MAX($F9:TBR9)=$D12,0,TBR9+1))</f>
        <v>0</v>
      </c>
      <c r="TBT9" s="26">
        <f>IF(TBT7=0,0,IF(MAX($F9:TBS9)=$D12,0,TBS9+1))</f>
        <v>0</v>
      </c>
      <c r="TBU9" s="26">
        <f>IF(TBU7=0,0,IF(MAX($F9:TBT9)=$D12,0,TBT9+1))</f>
        <v>0</v>
      </c>
      <c r="TBV9" s="26">
        <f>IF(TBV7=0,0,IF(MAX($F9:TBU9)=$D12,0,TBU9+1))</f>
        <v>0</v>
      </c>
      <c r="TBW9" s="26">
        <f>IF(TBW7=0,0,IF(MAX($F9:TBV9)=$D12,0,TBV9+1))</f>
        <v>0</v>
      </c>
      <c r="TBX9" s="26">
        <f>IF(TBX7=0,0,IF(MAX($F9:TBW9)=$D12,0,TBW9+1))</f>
        <v>0</v>
      </c>
      <c r="TBY9" s="26">
        <f>IF(TBY7=0,0,IF(MAX($F9:TBX9)=$D12,0,TBX9+1))</f>
        <v>0</v>
      </c>
      <c r="TBZ9" s="26">
        <f>IF(TBZ7=0,0,IF(MAX($F9:TBY9)=$D12,0,TBY9+1))</f>
        <v>0</v>
      </c>
      <c r="TCA9" s="26">
        <f>IF(TCA7=0,0,IF(MAX($F9:TBZ9)=$D12,0,TBZ9+1))</f>
        <v>0</v>
      </c>
      <c r="TCB9" s="26">
        <f>IF(TCB7=0,0,IF(MAX($F9:TCA9)=$D12,0,TCA9+1))</f>
        <v>0</v>
      </c>
      <c r="TCC9" s="26">
        <f>IF(TCC7=0,0,IF(MAX($F9:TCB9)=$D12,0,TCB9+1))</f>
        <v>0</v>
      </c>
      <c r="TCD9" s="26">
        <f>IF(TCD7=0,0,IF(MAX($F9:TCC9)=$D12,0,TCC9+1))</f>
        <v>0</v>
      </c>
      <c r="TCE9" s="26">
        <f>IF(TCE7=0,0,IF(MAX($F9:TCD9)=$D12,0,TCD9+1))</f>
        <v>0</v>
      </c>
      <c r="TCF9" s="26">
        <f>IF(TCF7=0,0,IF(MAX($F9:TCE9)=$D12,0,TCE9+1))</f>
        <v>0</v>
      </c>
      <c r="TCG9" s="26">
        <f>IF(TCG7=0,0,IF(MAX($F9:TCF9)=$D12,0,TCF9+1))</f>
        <v>0</v>
      </c>
      <c r="TCH9" s="26">
        <f>IF(TCH7=0,0,IF(MAX($F9:TCG9)=$D12,0,TCG9+1))</f>
        <v>0</v>
      </c>
      <c r="TCI9" s="26">
        <f>IF(TCI7=0,0,IF(MAX($F9:TCH9)=$D12,0,TCH9+1))</f>
        <v>0</v>
      </c>
      <c r="TCJ9" s="26">
        <f>IF(TCJ7=0,0,IF(MAX($F9:TCI9)=$D12,0,TCI9+1))</f>
        <v>0</v>
      </c>
      <c r="TCK9" s="26">
        <f>IF(TCK7=0,0,IF(MAX($F9:TCJ9)=$D12,0,TCJ9+1))</f>
        <v>0</v>
      </c>
      <c r="TCL9" s="26">
        <f>IF(TCL7=0,0,IF(MAX($F9:TCK9)=$D12,0,TCK9+1))</f>
        <v>0</v>
      </c>
      <c r="TCM9" s="26">
        <f>IF(TCM7=0,0,IF(MAX($F9:TCL9)=$D12,0,TCL9+1))</f>
        <v>0</v>
      </c>
      <c r="TCN9" s="26">
        <f>IF(TCN7=0,0,IF(MAX($F9:TCM9)=$D12,0,TCM9+1))</f>
        <v>0</v>
      </c>
      <c r="TCO9" s="26">
        <f>IF(TCO7=0,0,IF(MAX($F9:TCN9)=$D12,0,TCN9+1))</f>
        <v>0</v>
      </c>
      <c r="TCP9" s="26">
        <f>IF(TCP7=0,0,IF(MAX($F9:TCO9)=$D12,0,TCO9+1))</f>
        <v>0</v>
      </c>
      <c r="TCQ9" s="26">
        <f>IF(TCQ7=0,0,IF(MAX($F9:TCP9)=$D12,0,TCP9+1))</f>
        <v>0</v>
      </c>
      <c r="TCR9" s="26">
        <f>IF(TCR7=0,0,IF(MAX($F9:TCQ9)=$D12,0,TCQ9+1))</f>
        <v>0</v>
      </c>
      <c r="TCS9" s="26">
        <f>IF(TCS7=0,0,IF(MAX($F9:TCR9)=$D12,0,TCR9+1))</f>
        <v>0</v>
      </c>
      <c r="TCT9" s="26">
        <f>IF(TCT7=0,0,IF(MAX($F9:TCS9)=$D12,0,TCS9+1))</f>
        <v>0</v>
      </c>
      <c r="TCU9" s="26">
        <f>IF(TCU7=0,0,IF(MAX($F9:TCT9)=$D12,0,TCT9+1))</f>
        <v>0</v>
      </c>
      <c r="TCV9" s="26">
        <f>IF(TCV7=0,0,IF(MAX($F9:TCU9)=$D12,0,TCU9+1))</f>
        <v>0</v>
      </c>
      <c r="TCW9" s="26">
        <f>IF(TCW7=0,0,IF(MAX($F9:TCV9)=$D12,0,TCV9+1))</f>
        <v>0</v>
      </c>
      <c r="TCX9" s="26">
        <f>IF(TCX7=0,0,IF(MAX($F9:TCW9)=$D12,0,TCW9+1))</f>
        <v>0</v>
      </c>
      <c r="TCY9" s="26">
        <f>IF(TCY7=0,0,IF(MAX($F9:TCX9)=$D12,0,TCX9+1))</f>
        <v>0</v>
      </c>
      <c r="TCZ9" s="26">
        <f>IF(TCZ7=0,0,IF(MAX($F9:TCY9)=$D12,0,TCY9+1))</f>
        <v>0</v>
      </c>
      <c r="TDA9" s="26">
        <f>IF(TDA7=0,0,IF(MAX($F9:TCZ9)=$D12,0,TCZ9+1))</f>
        <v>0</v>
      </c>
      <c r="TDB9" s="26">
        <f>IF(TDB7=0,0,IF(MAX($F9:TDA9)=$D12,0,TDA9+1))</f>
        <v>0</v>
      </c>
      <c r="TDC9" s="26">
        <f>IF(TDC7=0,0,IF(MAX($F9:TDB9)=$D12,0,TDB9+1))</f>
        <v>0</v>
      </c>
      <c r="TDD9" s="26">
        <f>IF(TDD7=0,0,IF(MAX($F9:TDC9)=$D12,0,TDC9+1))</f>
        <v>0</v>
      </c>
      <c r="TDE9" s="26">
        <f>IF(TDE7=0,0,IF(MAX($F9:TDD9)=$D12,0,TDD9+1))</f>
        <v>0</v>
      </c>
      <c r="TDF9" s="26">
        <f>IF(TDF7=0,0,IF(MAX($F9:TDE9)=$D12,0,TDE9+1))</f>
        <v>0</v>
      </c>
      <c r="TDG9" s="26">
        <f>IF(TDG7=0,0,IF(MAX($F9:TDF9)=$D12,0,TDF9+1))</f>
        <v>0</v>
      </c>
      <c r="TDH9" s="26">
        <f>IF(TDH7=0,0,IF(MAX($F9:TDG9)=$D12,0,TDG9+1))</f>
        <v>0</v>
      </c>
      <c r="TDI9" s="26">
        <f>IF(TDI7=0,0,IF(MAX($F9:TDH9)=$D12,0,TDH9+1))</f>
        <v>0</v>
      </c>
      <c r="TDJ9" s="26">
        <f>IF(TDJ7=0,0,IF(MAX($F9:TDI9)=$D12,0,TDI9+1))</f>
        <v>0</v>
      </c>
      <c r="TDK9" s="26">
        <f>IF(TDK7=0,0,IF(MAX($F9:TDJ9)=$D12,0,TDJ9+1))</f>
        <v>0</v>
      </c>
      <c r="TDL9" s="26">
        <f>IF(TDL7=0,0,IF(MAX($F9:TDK9)=$D12,0,TDK9+1))</f>
        <v>0</v>
      </c>
      <c r="TDM9" s="26">
        <f>IF(TDM7=0,0,IF(MAX($F9:TDL9)=$D12,0,TDL9+1))</f>
        <v>0</v>
      </c>
      <c r="TDN9" s="26">
        <f>IF(TDN7=0,0,IF(MAX($F9:TDM9)=$D12,0,TDM9+1))</f>
        <v>0</v>
      </c>
      <c r="TDO9" s="26">
        <f>IF(TDO7=0,0,IF(MAX($F9:TDN9)=$D12,0,TDN9+1))</f>
        <v>0</v>
      </c>
      <c r="TDP9" s="26">
        <f>IF(TDP7=0,0,IF(MAX($F9:TDO9)=$D12,0,TDO9+1))</f>
        <v>0</v>
      </c>
      <c r="TDQ9" s="26">
        <f>IF(TDQ7=0,0,IF(MAX($F9:TDP9)=$D12,0,TDP9+1))</f>
        <v>0</v>
      </c>
      <c r="TDR9" s="26">
        <f>IF(TDR7=0,0,IF(MAX($F9:TDQ9)=$D12,0,TDQ9+1))</f>
        <v>0</v>
      </c>
      <c r="TDS9" s="26">
        <f>IF(TDS7=0,0,IF(MAX($F9:TDR9)=$D12,0,TDR9+1))</f>
        <v>0</v>
      </c>
      <c r="TDT9" s="26">
        <f>IF(TDT7=0,0,IF(MAX($F9:TDS9)=$D12,0,TDS9+1))</f>
        <v>0</v>
      </c>
      <c r="TDU9" s="26">
        <f>IF(TDU7=0,0,IF(MAX($F9:TDT9)=$D12,0,TDT9+1))</f>
        <v>0</v>
      </c>
      <c r="TDV9" s="26">
        <f>IF(TDV7=0,0,IF(MAX($F9:TDU9)=$D12,0,TDU9+1))</f>
        <v>0</v>
      </c>
      <c r="TDW9" s="26">
        <f>IF(TDW7=0,0,IF(MAX($F9:TDV9)=$D12,0,TDV9+1))</f>
        <v>0</v>
      </c>
      <c r="TDX9" s="26">
        <f>IF(TDX7=0,0,IF(MAX($F9:TDW9)=$D12,0,TDW9+1))</f>
        <v>0</v>
      </c>
      <c r="TDY9" s="26">
        <f>IF(TDY7=0,0,IF(MAX($F9:TDX9)=$D12,0,TDX9+1))</f>
        <v>0</v>
      </c>
      <c r="TDZ9" s="26">
        <f>IF(TDZ7=0,0,IF(MAX($F9:TDY9)=$D12,0,TDY9+1))</f>
        <v>0</v>
      </c>
      <c r="TEA9" s="26">
        <f>IF(TEA7=0,0,IF(MAX($F9:TDZ9)=$D12,0,TDZ9+1))</f>
        <v>0</v>
      </c>
      <c r="TEB9" s="26">
        <f>IF(TEB7=0,0,IF(MAX($F9:TEA9)=$D12,0,TEA9+1))</f>
        <v>0</v>
      </c>
      <c r="TEC9" s="26">
        <f>IF(TEC7=0,0,IF(MAX($F9:TEB9)=$D12,0,TEB9+1))</f>
        <v>0</v>
      </c>
      <c r="TED9" s="26">
        <f>IF(TED7=0,0,IF(MAX($F9:TEC9)=$D12,0,TEC9+1))</f>
        <v>0</v>
      </c>
      <c r="TEE9" s="26">
        <f>IF(TEE7=0,0,IF(MAX($F9:TED9)=$D12,0,TED9+1))</f>
        <v>0</v>
      </c>
      <c r="TEF9" s="26">
        <f>IF(TEF7=0,0,IF(MAX($F9:TEE9)=$D12,0,TEE9+1))</f>
        <v>0</v>
      </c>
      <c r="TEG9" s="26">
        <f>IF(TEG7=0,0,IF(MAX($F9:TEF9)=$D12,0,TEF9+1))</f>
        <v>0</v>
      </c>
      <c r="TEH9" s="26">
        <f>IF(TEH7=0,0,IF(MAX($F9:TEG9)=$D12,0,TEG9+1))</f>
        <v>0</v>
      </c>
      <c r="TEI9" s="26">
        <f>IF(TEI7=0,0,IF(MAX($F9:TEH9)=$D12,0,TEH9+1))</f>
        <v>0</v>
      </c>
      <c r="TEJ9" s="26">
        <f>IF(TEJ7=0,0,IF(MAX($F9:TEI9)=$D12,0,TEI9+1))</f>
        <v>0</v>
      </c>
      <c r="TEK9" s="26">
        <f>IF(TEK7=0,0,IF(MAX($F9:TEJ9)=$D12,0,TEJ9+1))</f>
        <v>0</v>
      </c>
      <c r="TEL9" s="26">
        <f>IF(TEL7=0,0,IF(MAX($F9:TEK9)=$D12,0,TEK9+1))</f>
        <v>0</v>
      </c>
      <c r="TEM9" s="26">
        <f>IF(TEM7=0,0,IF(MAX($F9:TEL9)=$D12,0,TEL9+1))</f>
        <v>0</v>
      </c>
      <c r="TEN9" s="26">
        <f>IF(TEN7=0,0,IF(MAX($F9:TEM9)=$D12,0,TEM9+1))</f>
        <v>0</v>
      </c>
      <c r="TEO9" s="26">
        <f>IF(TEO7=0,0,IF(MAX($F9:TEN9)=$D12,0,TEN9+1))</f>
        <v>0</v>
      </c>
      <c r="TEP9" s="26">
        <f>IF(TEP7=0,0,IF(MAX($F9:TEO9)=$D12,0,TEO9+1))</f>
        <v>0</v>
      </c>
      <c r="TEQ9" s="26">
        <f>IF(TEQ7=0,0,IF(MAX($F9:TEP9)=$D12,0,TEP9+1))</f>
        <v>0</v>
      </c>
      <c r="TER9" s="26">
        <f>IF(TER7=0,0,IF(MAX($F9:TEQ9)=$D12,0,TEQ9+1))</f>
        <v>0</v>
      </c>
      <c r="TES9" s="26">
        <f>IF(TES7=0,0,IF(MAX($F9:TER9)=$D12,0,TER9+1))</f>
        <v>0</v>
      </c>
      <c r="TET9" s="26">
        <f>IF(TET7=0,0,IF(MAX($F9:TES9)=$D12,0,TES9+1))</f>
        <v>0</v>
      </c>
      <c r="TEU9" s="26">
        <f>IF(TEU7=0,0,IF(MAX($F9:TET9)=$D12,0,TET9+1))</f>
        <v>0</v>
      </c>
      <c r="TEV9" s="26">
        <f>IF(TEV7=0,0,IF(MAX($F9:TEU9)=$D12,0,TEU9+1))</f>
        <v>0</v>
      </c>
      <c r="TEW9" s="26">
        <f>IF(TEW7=0,0,IF(MAX($F9:TEV9)=$D12,0,TEV9+1))</f>
        <v>0</v>
      </c>
      <c r="TEX9" s="26">
        <f>IF(TEX7=0,0,IF(MAX($F9:TEW9)=$D12,0,TEW9+1))</f>
        <v>0</v>
      </c>
      <c r="TEY9" s="26">
        <f>IF(TEY7=0,0,IF(MAX($F9:TEX9)=$D12,0,TEX9+1))</f>
        <v>0</v>
      </c>
      <c r="TEZ9" s="26">
        <f>IF(TEZ7=0,0,IF(MAX($F9:TEY9)=$D12,0,TEY9+1))</f>
        <v>0</v>
      </c>
      <c r="TFA9" s="26">
        <f>IF(TFA7=0,0,IF(MAX($F9:TEZ9)=$D12,0,TEZ9+1))</f>
        <v>0</v>
      </c>
      <c r="TFB9" s="26">
        <f>IF(TFB7=0,0,IF(MAX($F9:TFA9)=$D12,0,TFA9+1))</f>
        <v>0</v>
      </c>
      <c r="TFC9" s="26">
        <f>IF(TFC7=0,0,IF(MAX($F9:TFB9)=$D12,0,TFB9+1))</f>
        <v>0</v>
      </c>
      <c r="TFD9" s="26">
        <f>IF(TFD7=0,0,IF(MAX($F9:TFC9)=$D12,0,TFC9+1))</f>
        <v>0</v>
      </c>
      <c r="TFE9" s="26">
        <f>IF(TFE7=0,0,IF(MAX($F9:TFD9)=$D12,0,TFD9+1))</f>
        <v>0</v>
      </c>
      <c r="TFF9" s="26">
        <f>IF(TFF7=0,0,IF(MAX($F9:TFE9)=$D12,0,TFE9+1))</f>
        <v>0</v>
      </c>
      <c r="TFG9" s="26">
        <f>IF(TFG7=0,0,IF(MAX($F9:TFF9)=$D12,0,TFF9+1))</f>
        <v>0</v>
      </c>
      <c r="TFH9" s="26">
        <f>IF(TFH7=0,0,IF(MAX($F9:TFG9)=$D12,0,TFG9+1))</f>
        <v>0</v>
      </c>
      <c r="TFI9" s="26">
        <f>IF(TFI7=0,0,IF(MAX($F9:TFH9)=$D12,0,TFH9+1))</f>
        <v>0</v>
      </c>
      <c r="TFJ9" s="26">
        <f>IF(TFJ7=0,0,IF(MAX($F9:TFI9)=$D12,0,TFI9+1))</f>
        <v>0</v>
      </c>
      <c r="TFK9" s="26">
        <f>IF(TFK7=0,0,IF(MAX($F9:TFJ9)=$D12,0,TFJ9+1))</f>
        <v>0</v>
      </c>
      <c r="TFL9" s="26">
        <f>IF(TFL7=0,0,IF(MAX($F9:TFK9)=$D12,0,TFK9+1))</f>
        <v>0</v>
      </c>
      <c r="TFM9" s="26">
        <f>IF(TFM7=0,0,IF(MAX($F9:TFL9)=$D12,0,TFL9+1))</f>
        <v>0</v>
      </c>
      <c r="TFN9" s="26">
        <f>IF(TFN7=0,0,IF(MAX($F9:TFM9)=$D12,0,TFM9+1))</f>
        <v>0</v>
      </c>
      <c r="TFO9" s="26">
        <f>IF(TFO7=0,0,IF(MAX($F9:TFN9)=$D12,0,TFN9+1))</f>
        <v>0</v>
      </c>
      <c r="TFP9" s="26">
        <f>IF(TFP7=0,0,IF(MAX($F9:TFO9)=$D12,0,TFO9+1))</f>
        <v>0</v>
      </c>
      <c r="TFQ9" s="26">
        <f>IF(TFQ7=0,0,IF(MAX($F9:TFP9)=$D12,0,TFP9+1))</f>
        <v>0</v>
      </c>
      <c r="TFR9" s="26">
        <f>IF(TFR7=0,0,IF(MAX($F9:TFQ9)=$D12,0,TFQ9+1))</f>
        <v>0</v>
      </c>
      <c r="TFS9" s="26">
        <f>IF(TFS7=0,0,IF(MAX($F9:TFR9)=$D12,0,TFR9+1))</f>
        <v>0</v>
      </c>
      <c r="TFT9" s="26">
        <f>IF(TFT7=0,0,IF(MAX($F9:TFS9)=$D12,0,TFS9+1))</f>
        <v>0</v>
      </c>
      <c r="TFU9" s="26">
        <f>IF(TFU7=0,0,IF(MAX($F9:TFT9)=$D12,0,TFT9+1))</f>
        <v>0</v>
      </c>
      <c r="TFV9" s="26">
        <f>IF(TFV7=0,0,IF(MAX($F9:TFU9)=$D12,0,TFU9+1))</f>
        <v>0</v>
      </c>
      <c r="TFW9" s="26">
        <f>IF(TFW7=0,0,IF(MAX($F9:TFV9)=$D12,0,TFV9+1))</f>
        <v>0</v>
      </c>
      <c r="TFX9" s="26">
        <f>IF(TFX7=0,0,IF(MAX($F9:TFW9)=$D12,0,TFW9+1))</f>
        <v>0</v>
      </c>
      <c r="TFY9" s="26">
        <f>IF(TFY7=0,0,IF(MAX($F9:TFX9)=$D12,0,TFX9+1))</f>
        <v>0</v>
      </c>
      <c r="TFZ9" s="26">
        <f>IF(TFZ7=0,0,IF(MAX($F9:TFY9)=$D12,0,TFY9+1))</f>
        <v>0</v>
      </c>
      <c r="TGA9" s="26">
        <f>IF(TGA7=0,0,IF(MAX($F9:TFZ9)=$D12,0,TFZ9+1))</f>
        <v>0</v>
      </c>
      <c r="TGB9" s="26">
        <f>IF(TGB7=0,0,IF(MAX($F9:TGA9)=$D12,0,TGA9+1))</f>
        <v>0</v>
      </c>
      <c r="TGC9" s="26">
        <f>IF(TGC7=0,0,IF(MAX($F9:TGB9)=$D12,0,TGB9+1))</f>
        <v>0</v>
      </c>
      <c r="TGD9" s="26">
        <f>IF(TGD7=0,0,IF(MAX($F9:TGC9)=$D12,0,TGC9+1))</f>
        <v>0</v>
      </c>
      <c r="TGE9" s="26">
        <f>IF(TGE7=0,0,IF(MAX($F9:TGD9)=$D12,0,TGD9+1))</f>
        <v>0</v>
      </c>
      <c r="TGF9" s="26">
        <f>IF(TGF7=0,0,IF(MAX($F9:TGE9)=$D12,0,TGE9+1))</f>
        <v>0</v>
      </c>
      <c r="TGG9" s="26">
        <f>IF(TGG7=0,0,IF(MAX($F9:TGF9)=$D12,0,TGF9+1))</f>
        <v>0</v>
      </c>
      <c r="TGH9" s="26">
        <f>IF(TGH7=0,0,IF(MAX($F9:TGG9)=$D12,0,TGG9+1))</f>
        <v>0</v>
      </c>
      <c r="TGI9" s="26">
        <f>IF(TGI7=0,0,IF(MAX($F9:TGH9)=$D12,0,TGH9+1))</f>
        <v>0</v>
      </c>
      <c r="TGJ9" s="26">
        <f>IF(TGJ7=0,0,IF(MAX($F9:TGI9)=$D12,0,TGI9+1))</f>
        <v>0</v>
      </c>
      <c r="TGK9" s="26">
        <f>IF(TGK7=0,0,IF(MAX($F9:TGJ9)=$D12,0,TGJ9+1))</f>
        <v>0</v>
      </c>
      <c r="TGL9" s="26">
        <f>IF(TGL7=0,0,IF(MAX($F9:TGK9)=$D12,0,TGK9+1))</f>
        <v>0</v>
      </c>
      <c r="TGM9" s="26">
        <f>IF(TGM7=0,0,IF(MAX($F9:TGL9)=$D12,0,TGL9+1))</f>
        <v>0</v>
      </c>
      <c r="TGN9" s="26">
        <f>IF(TGN7=0,0,IF(MAX($F9:TGM9)=$D12,0,TGM9+1))</f>
        <v>0</v>
      </c>
      <c r="TGO9" s="26">
        <f>IF(TGO7=0,0,IF(MAX($F9:TGN9)=$D12,0,TGN9+1))</f>
        <v>0</v>
      </c>
      <c r="TGP9" s="26">
        <f>IF(TGP7=0,0,IF(MAX($F9:TGO9)=$D12,0,TGO9+1))</f>
        <v>0</v>
      </c>
      <c r="TGQ9" s="26">
        <f>IF(TGQ7=0,0,IF(MAX($F9:TGP9)=$D12,0,TGP9+1))</f>
        <v>0</v>
      </c>
      <c r="TGR9" s="26">
        <f>IF(TGR7=0,0,IF(MAX($F9:TGQ9)=$D12,0,TGQ9+1))</f>
        <v>0</v>
      </c>
      <c r="TGS9" s="26">
        <f>IF(TGS7=0,0,IF(MAX($F9:TGR9)=$D12,0,TGR9+1))</f>
        <v>0</v>
      </c>
      <c r="TGT9" s="26">
        <f>IF(TGT7=0,0,IF(MAX($F9:TGS9)=$D12,0,TGS9+1))</f>
        <v>0</v>
      </c>
      <c r="TGU9" s="26">
        <f>IF(TGU7=0,0,IF(MAX($F9:TGT9)=$D12,0,TGT9+1))</f>
        <v>0</v>
      </c>
      <c r="TGV9" s="26">
        <f>IF(TGV7=0,0,IF(MAX($F9:TGU9)=$D12,0,TGU9+1))</f>
        <v>0</v>
      </c>
      <c r="TGW9" s="26">
        <f>IF(TGW7=0,0,IF(MAX($F9:TGV9)=$D12,0,TGV9+1))</f>
        <v>0</v>
      </c>
      <c r="TGX9" s="26">
        <f>IF(TGX7=0,0,IF(MAX($F9:TGW9)=$D12,0,TGW9+1))</f>
        <v>0</v>
      </c>
      <c r="TGY9" s="26">
        <f>IF(TGY7=0,0,IF(MAX($F9:TGX9)=$D12,0,TGX9+1))</f>
        <v>0</v>
      </c>
      <c r="TGZ9" s="26">
        <f>IF(TGZ7=0,0,IF(MAX($F9:TGY9)=$D12,0,TGY9+1))</f>
        <v>0</v>
      </c>
      <c r="THA9" s="26">
        <f>IF(THA7=0,0,IF(MAX($F9:TGZ9)=$D12,0,TGZ9+1))</f>
        <v>0</v>
      </c>
      <c r="THB9" s="26">
        <f>IF(THB7=0,0,IF(MAX($F9:THA9)=$D12,0,THA9+1))</f>
        <v>0</v>
      </c>
      <c r="THC9" s="26">
        <f>IF(THC7=0,0,IF(MAX($F9:THB9)=$D12,0,THB9+1))</f>
        <v>0</v>
      </c>
      <c r="THD9" s="26">
        <f>IF(THD7=0,0,IF(MAX($F9:THC9)=$D12,0,THC9+1))</f>
        <v>0</v>
      </c>
      <c r="THE9" s="26">
        <f>IF(THE7=0,0,IF(MAX($F9:THD9)=$D12,0,THD9+1))</f>
        <v>0</v>
      </c>
      <c r="THF9" s="26">
        <f>IF(THF7=0,0,IF(MAX($F9:THE9)=$D12,0,THE9+1))</f>
        <v>0</v>
      </c>
      <c r="THG9" s="26">
        <f>IF(THG7=0,0,IF(MAX($F9:THF9)=$D12,0,THF9+1))</f>
        <v>0</v>
      </c>
      <c r="THH9" s="26">
        <f>IF(THH7=0,0,IF(MAX($F9:THG9)=$D12,0,THG9+1))</f>
        <v>0</v>
      </c>
      <c r="THI9" s="26">
        <f>IF(THI7=0,0,IF(MAX($F9:THH9)=$D12,0,THH9+1))</f>
        <v>0</v>
      </c>
      <c r="THJ9" s="26">
        <f>IF(THJ7=0,0,IF(MAX($F9:THI9)=$D12,0,THI9+1))</f>
        <v>0</v>
      </c>
      <c r="THK9" s="26">
        <f>IF(THK7=0,0,IF(MAX($F9:THJ9)=$D12,0,THJ9+1))</f>
        <v>0</v>
      </c>
      <c r="THL9" s="26">
        <f>IF(THL7=0,0,IF(MAX($F9:THK9)=$D12,0,THK9+1))</f>
        <v>0</v>
      </c>
      <c r="THM9" s="26">
        <f>IF(THM7=0,0,IF(MAX($F9:THL9)=$D12,0,THL9+1))</f>
        <v>0</v>
      </c>
      <c r="THN9" s="26">
        <f>IF(THN7=0,0,IF(MAX($F9:THM9)=$D12,0,THM9+1))</f>
        <v>0</v>
      </c>
      <c r="THO9" s="26">
        <f>IF(THO7=0,0,IF(MAX($F9:THN9)=$D12,0,THN9+1))</f>
        <v>0</v>
      </c>
      <c r="THP9" s="26">
        <f>IF(THP7=0,0,IF(MAX($F9:THO9)=$D12,0,THO9+1))</f>
        <v>0</v>
      </c>
      <c r="THQ9" s="26">
        <f>IF(THQ7=0,0,IF(MAX($F9:THP9)=$D12,0,THP9+1))</f>
        <v>0</v>
      </c>
      <c r="THR9" s="26">
        <f>IF(THR7=0,0,IF(MAX($F9:THQ9)=$D12,0,THQ9+1))</f>
        <v>0</v>
      </c>
      <c r="THS9" s="26">
        <f>IF(THS7=0,0,IF(MAX($F9:THR9)=$D12,0,THR9+1))</f>
        <v>0</v>
      </c>
      <c r="THT9" s="26">
        <f>IF(THT7=0,0,IF(MAX($F9:THS9)=$D12,0,THS9+1))</f>
        <v>0</v>
      </c>
      <c r="THU9" s="26">
        <f>IF(THU7=0,0,IF(MAX($F9:THT9)=$D12,0,THT9+1))</f>
        <v>0</v>
      </c>
      <c r="THV9" s="26">
        <f>IF(THV7=0,0,IF(MAX($F9:THU9)=$D12,0,THU9+1))</f>
        <v>0</v>
      </c>
      <c r="THW9" s="26">
        <f>IF(THW7=0,0,IF(MAX($F9:THV9)=$D12,0,THV9+1))</f>
        <v>0</v>
      </c>
      <c r="THX9" s="26">
        <f>IF(THX7=0,0,IF(MAX($F9:THW9)=$D12,0,THW9+1))</f>
        <v>0</v>
      </c>
      <c r="THY9" s="26">
        <f>IF(THY7=0,0,IF(MAX($F9:THX9)=$D12,0,THX9+1))</f>
        <v>0</v>
      </c>
      <c r="THZ9" s="26">
        <f>IF(THZ7=0,0,IF(MAX($F9:THY9)=$D12,0,THY9+1))</f>
        <v>0</v>
      </c>
      <c r="TIA9" s="26">
        <f>IF(TIA7=0,0,IF(MAX($F9:THZ9)=$D12,0,THZ9+1))</f>
        <v>0</v>
      </c>
      <c r="TIB9" s="26">
        <f>IF(TIB7=0,0,IF(MAX($F9:TIA9)=$D12,0,TIA9+1))</f>
        <v>0</v>
      </c>
      <c r="TIC9" s="26">
        <f>IF(TIC7=0,0,IF(MAX($F9:TIB9)=$D12,0,TIB9+1))</f>
        <v>0</v>
      </c>
      <c r="TID9" s="26">
        <f>IF(TID7=0,0,IF(MAX($F9:TIC9)=$D12,0,TIC9+1))</f>
        <v>0</v>
      </c>
      <c r="TIE9" s="26">
        <f>IF(TIE7=0,0,IF(MAX($F9:TID9)=$D12,0,TID9+1))</f>
        <v>0</v>
      </c>
      <c r="TIF9" s="26">
        <f>IF(TIF7=0,0,IF(MAX($F9:TIE9)=$D12,0,TIE9+1))</f>
        <v>0</v>
      </c>
      <c r="TIG9" s="26">
        <f>IF(TIG7=0,0,IF(MAX($F9:TIF9)=$D12,0,TIF9+1))</f>
        <v>0</v>
      </c>
      <c r="TIH9" s="26">
        <f>IF(TIH7=0,0,IF(MAX($F9:TIG9)=$D12,0,TIG9+1))</f>
        <v>0</v>
      </c>
      <c r="TII9" s="26">
        <f>IF(TII7=0,0,IF(MAX($F9:TIH9)=$D12,0,TIH9+1))</f>
        <v>0</v>
      </c>
      <c r="TIJ9" s="26">
        <f>IF(TIJ7=0,0,IF(MAX($F9:TII9)=$D12,0,TII9+1))</f>
        <v>0</v>
      </c>
      <c r="TIK9" s="26">
        <f>IF(TIK7=0,0,IF(MAX($F9:TIJ9)=$D12,0,TIJ9+1))</f>
        <v>0</v>
      </c>
      <c r="TIL9" s="26">
        <f>IF(TIL7=0,0,IF(MAX($F9:TIK9)=$D12,0,TIK9+1))</f>
        <v>0</v>
      </c>
      <c r="TIM9" s="26">
        <f>IF(TIM7=0,0,IF(MAX($F9:TIL9)=$D12,0,TIL9+1))</f>
        <v>0</v>
      </c>
      <c r="TIN9" s="26">
        <f>IF(TIN7=0,0,IF(MAX($F9:TIM9)=$D12,0,TIM9+1))</f>
        <v>0</v>
      </c>
      <c r="TIO9" s="26">
        <f>IF(TIO7=0,0,IF(MAX($F9:TIN9)=$D12,0,TIN9+1))</f>
        <v>0</v>
      </c>
      <c r="TIP9" s="26">
        <f>IF(TIP7=0,0,IF(MAX($F9:TIO9)=$D12,0,TIO9+1))</f>
        <v>0</v>
      </c>
      <c r="TIQ9" s="26">
        <f>IF(TIQ7=0,0,IF(MAX($F9:TIP9)=$D12,0,TIP9+1))</f>
        <v>0</v>
      </c>
      <c r="TIR9" s="26">
        <f>IF(TIR7=0,0,IF(MAX($F9:TIQ9)=$D12,0,TIQ9+1))</f>
        <v>0</v>
      </c>
      <c r="TIS9" s="26">
        <f>IF(TIS7=0,0,IF(MAX($F9:TIR9)=$D12,0,TIR9+1))</f>
        <v>0</v>
      </c>
      <c r="TIT9" s="26">
        <f>IF(TIT7=0,0,IF(MAX($F9:TIS9)=$D12,0,TIS9+1))</f>
        <v>0</v>
      </c>
      <c r="TIU9" s="26">
        <f>IF(TIU7=0,0,IF(MAX($F9:TIT9)=$D12,0,TIT9+1))</f>
        <v>0</v>
      </c>
      <c r="TIV9" s="26">
        <f>IF(TIV7=0,0,IF(MAX($F9:TIU9)=$D12,0,TIU9+1))</f>
        <v>0</v>
      </c>
      <c r="TIW9" s="26">
        <f>IF(TIW7=0,0,IF(MAX($F9:TIV9)=$D12,0,TIV9+1))</f>
        <v>0</v>
      </c>
      <c r="TIX9" s="26">
        <f>IF(TIX7=0,0,IF(MAX($F9:TIW9)=$D12,0,TIW9+1))</f>
        <v>0</v>
      </c>
      <c r="TIY9" s="26">
        <f>IF(TIY7=0,0,IF(MAX($F9:TIX9)=$D12,0,TIX9+1))</f>
        <v>0</v>
      </c>
      <c r="TIZ9" s="26">
        <f>IF(TIZ7=0,0,IF(MAX($F9:TIY9)=$D12,0,TIY9+1))</f>
        <v>0</v>
      </c>
      <c r="TJA9" s="26">
        <f>IF(TJA7=0,0,IF(MAX($F9:TIZ9)=$D12,0,TIZ9+1))</f>
        <v>0</v>
      </c>
      <c r="TJB9" s="26">
        <f>IF(TJB7=0,0,IF(MAX($F9:TJA9)=$D12,0,TJA9+1))</f>
        <v>0</v>
      </c>
      <c r="TJC9" s="26">
        <f>IF(TJC7=0,0,IF(MAX($F9:TJB9)=$D12,0,TJB9+1))</f>
        <v>0</v>
      </c>
      <c r="TJD9" s="26">
        <f>IF(TJD7=0,0,IF(MAX($F9:TJC9)=$D12,0,TJC9+1))</f>
        <v>0</v>
      </c>
      <c r="TJE9" s="26">
        <f>IF(TJE7=0,0,IF(MAX($F9:TJD9)=$D12,0,TJD9+1))</f>
        <v>0</v>
      </c>
      <c r="TJF9" s="26">
        <f>IF(TJF7=0,0,IF(MAX($F9:TJE9)=$D12,0,TJE9+1))</f>
        <v>0</v>
      </c>
      <c r="TJG9" s="26">
        <f>IF(TJG7=0,0,IF(MAX($F9:TJF9)=$D12,0,TJF9+1))</f>
        <v>0</v>
      </c>
      <c r="TJH9" s="26">
        <f>IF(TJH7=0,0,IF(MAX($F9:TJG9)=$D12,0,TJG9+1))</f>
        <v>0</v>
      </c>
      <c r="TJI9" s="26">
        <f>IF(TJI7=0,0,IF(MAX($F9:TJH9)=$D12,0,TJH9+1))</f>
        <v>0</v>
      </c>
      <c r="TJJ9" s="26">
        <f>IF(TJJ7=0,0,IF(MAX($F9:TJI9)=$D12,0,TJI9+1))</f>
        <v>0</v>
      </c>
      <c r="TJK9" s="26">
        <f>IF(TJK7=0,0,IF(MAX($F9:TJJ9)=$D12,0,TJJ9+1))</f>
        <v>0</v>
      </c>
      <c r="TJL9" s="26">
        <f>IF(TJL7=0,0,IF(MAX($F9:TJK9)=$D12,0,TJK9+1))</f>
        <v>0</v>
      </c>
      <c r="TJM9" s="26">
        <f>IF(TJM7=0,0,IF(MAX($F9:TJL9)=$D12,0,TJL9+1))</f>
        <v>0</v>
      </c>
      <c r="TJN9" s="26">
        <f>IF(TJN7=0,0,IF(MAX($F9:TJM9)=$D12,0,TJM9+1))</f>
        <v>0</v>
      </c>
      <c r="TJO9" s="26">
        <f>IF(TJO7=0,0,IF(MAX($F9:TJN9)=$D12,0,TJN9+1))</f>
        <v>0</v>
      </c>
      <c r="TJP9" s="26">
        <f>IF(TJP7=0,0,IF(MAX($F9:TJO9)=$D12,0,TJO9+1))</f>
        <v>0</v>
      </c>
      <c r="TJQ9" s="26">
        <f>IF(TJQ7=0,0,IF(MAX($F9:TJP9)=$D12,0,TJP9+1))</f>
        <v>0</v>
      </c>
      <c r="TJR9" s="26">
        <f>IF(TJR7=0,0,IF(MAX($F9:TJQ9)=$D12,0,TJQ9+1))</f>
        <v>0</v>
      </c>
      <c r="TJS9" s="26">
        <f>IF(TJS7=0,0,IF(MAX($F9:TJR9)=$D12,0,TJR9+1))</f>
        <v>0</v>
      </c>
      <c r="TJT9" s="26">
        <f>IF(TJT7=0,0,IF(MAX($F9:TJS9)=$D12,0,TJS9+1))</f>
        <v>0</v>
      </c>
      <c r="TJU9" s="26">
        <f>IF(TJU7=0,0,IF(MAX($F9:TJT9)=$D12,0,TJT9+1))</f>
        <v>0</v>
      </c>
      <c r="TJV9" s="26">
        <f>IF(TJV7=0,0,IF(MAX($F9:TJU9)=$D12,0,TJU9+1))</f>
        <v>0</v>
      </c>
      <c r="TJW9" s="26">
        <f>IF(TJW7=0,0,IF(MAX($F9:TJV9)=$D12,0,TJV9+1))</f>
        <v>0</v>
      </c>
      <c r="TJX9" s="26">
        <f>IF(TJX7=0,0,IF(MAX($F9:TJW9)=$D12,0,TJW9+1))</f>
        <v>0</v>
      </c>
      <c r="TJY9" s="26">
        <f>IF(TJY7=0,0,IF(MAX($F9:TJX9)=$D12,0,TJX9+1))</f>
        <v>0</v>
      </c>
      <c r="TJZ9" s="26">
        <f>IF(TJZ7=0,0,IF(MAX($F9:TJY9)=$D12,0,TJY9+1))</f>
        <v>0</v>
      </c>
      <c r="TKA9" s="26">
        <f>IF(TKA7=0,0,IF(MAX($F9:TJZ9)=$D12,0,TJZ9+1))</f>
        <v>0</v>
      </c>
      <c r="TKB9" s="26">
        <f>IF(TKB7=0,0,IF(MAX($F9:TKA9)=$D12,0,TKA9+1))</f>
        <v>0</v>
      </c>
      <c r="TKC9" s="26">
        <f>IF(TKC7=0,0,IF(MAX($F9:TKB9)=$D12,0,TKB9+1))</f>
        <v>0</v>
      </c>
      <c r="TKD9" s="26">
        <f>IF(TKD7=0,0,IF(MAX($F9:TKC9)=$D12,0,TKC9+1))</f>
        <v>0</v>
      </c>
      <c r="TKE9" s="26">
        <f>IF(TKE7=0,0,IF(MAX($F9:TKD9)=$D12,0,TKD9+1))</f>
        <v>0</v>
      </c>
      <c r="TKF9" s="26">
        <f>IF(TKF7=0,0,IF(MAX($F9:TKE9)=$D12,0,TKE9+1))</f>
        <v>0</v>
      </c>
      <c r="TKG9" s="26">
        <f>IF(TKG7=0,0,IF(MAX($F9:TKF9)=$D12,0,TKF9+1))</f>
        <v>0</v>
      </c>
      <c r="TKH9" s="26">
        <f>IF(TKH7=0,0,IF(MAX($F9:TKG9)=$D12,0,TKG9+1))</f>
        <v>0</v>
      </c>
      <c r="TKI9" s="26">
        <f>IF(TKI7=0,0,IF(MAX($F9:TKH9)=$D12,0,TKH9+1))</f>
        <v>0</v>
      </c>
      <c r="TKJ9" s="26">
        <f>IF(TKJ7=0,0,IF(MAX($F9:TKI9)=$D12,0,TKI9+1))</f>
        <v>0</v>
      </c>
      <c r="TKK9" s="26">
        <f>IF(TKK7=0,0,IF(MAX($F9:TKJ9)=$D12,0,TKJ9+1))</f>
        <v>0</v>
      </c>
      <c r="TKL9" s="26">
        <f>IF(TKL7=0,0,IF(MAX($F9:TKK9)=$D12,0,TKK9+1))</f>
        <v>0</v>
      </c>
      <c r="TKM9" s="26">
        <f>IF(TKM7=0,0,IF(MAX($F9:TKL9)=$D12,0,TKL9+1))</f>
        <v>0</v>
      </c>
      <c r="TKN9" s="26">
        <f>IF(TKN7=0,0,IF(MAX($F9:TKM9)=$D12,0,TKM9+1))</f>
        <v>0</v>
      </c>
      <c r="TKO9" s="26">
        <f>IF(TKO7=0,0,IF(MAX($F9:TKN9)=$D12,0,TKN9+1))</f>
        <v>0</v>
      </c>
      <c r="TKP9" s="26">
        <f>IF(TKP7=0,0,IF(MAX($F9:TKO9)=$D12,0,TKO9+1))</f>
        <v>0</v>
      </c>
      <c r="TKQ9" s="26">
        <f>IF(TKQ7=0,0,IF(MAX($F9:TKP9)=$D12,0,TKP9+1))</f>
        <v>0</v>
      </c>
      <c r="TKR9" s="26">
        <f>IF(TKR7=0,0,IF(MAX($F9:TKQ9)=$D12,0,TKQ9+1))</f>
        <v>0</v>
      </c>
      <c r="TKS9" s="26">
        <f>IF(TKS7=0,0,IF(MAX($F9:TKR9)=$D12,0,TKR9+1))</f>
        <v>0</v>
      </c>
      <c r="TKT9" s="26">
        <f>IF(TKT7=0,0,IF(MAX($F9:TKS9)=$D12,0,TKS9+1))</f>
        <v>0</v>
      </c>
      <c r="TKU9" s="26">
        <f>IF(TKU7=0,0,IF(MAX($F9:TKT9)=$D12,0,TKT9+1))</f>
        <v>0</v>
      </c>
      <c r="TKV9" s="26">
        <f>IF(TKV7=0,0,IF(MAX($F9:TKU9)=$D12,0,TKU9+1))</f>
        <v>0</v>
      </c>
      <c r="TKW9" s="26">
        <f>IF(TKW7=0,0,IF(MAX($F9:TKV9)=$D12,0,TKV9+1))</f>
        <v>0</v>
      </c>
      <c r="TKX9" s="26">
        <f>IF(TKX7=0,0,IF(MAX($F9:TKW9)=$D12,0,TKW9+1))</f>
        <v>0</v>
      </c>
      <c r="TKY9" s="26">
        <f>IF(TKY7=0,0,IF(MAX($F9:TKX9)=$D12,0,TKX9+1))</f>
        <v>0</v>
      </c>
      <c r="TKZ9" s="26">
        <f>IF(TKZ7=0,0,IF(MAX($F9:TKY9)=$D12,0,TKY9+1))</f>
        <v>0</v>
      </c>
      <c r="TLA9" s="26">
        <f>IF(TLA7=0,0,IF(MAX($F9:TKZ9)=$D12,0,TKZ9+1))</f>
        <v>0</v>
      </c>
      <c r="TLB9" s="26">
        <f>IF(TLB7=0,0,IF(MAX($F9:TLA9)=$D12,0,TLA9+1))</f>
        <v>0</v>
      </c>
      <c r="TLC9" s="26">
        <f>IF(TLC7=0,0,IF(MAX($F9:TLB9)=$D12,0,TLB9+1))</f>
        <v>0</v>
      </c>
      <c r="TLD9" s="26">
        <f>IF(TLD7=0,0,IF(MAX($F9:TLC9)=$D12,0,TLC9+1))</f>
        <v>0</v>
      </c>
      <c r="TLE9" s="26">
        <f>IF(TLE7=0,0,IF(MAX($F9:TLD9)=$D12,0,TLD9+1))</f>
        <v>0</v>
      </c>
      <c r="TLF9" s="26">
        <f>IF(TLF7=0,0,IF(MAX($F9:TLE9)=$D12,0,TLE9+1))</f>
        <v>0</v>
      </c>
      <c r="TLG9" s="26">
        <f>IF(TLG7=0,0,IF(MAX($F9:TLF9)=$D12,0,TLF9+1))</f>
        <v>0</v>
      </c>
      <c r="TLH9" s="26">
        <f>IF(TLH7=0,0,IF(MAX($F9:TLG9)=$D12,0,TLG9+1))</f>
        <v>0</v>
      </c>
      <c r="TLI9" s="26">
        <f>IF(TLI7=0,0,IF(MAX($F9:TLH9)=$D12,0,TLH9+1))</f>
        <v>0</v>
      </c>
      <c r="TLJ9" s="26">
        <f>IF(TLJ7=0,0,IF(MAX($F9:TLI9)=$D12,0,TLI9+1))</f>
        <v>0</v>
      </c>
      <c r="TLK9" s="26">
        <f>IF(TLK7=0,0,IF(MAX($F9:TLJ9)=$D12,0,TLJ9+1))</f>
        <v>0</v>
      </c>
      <c r="TLL9" s="26">
        <f>IF(TLL7=0,0,IF(MAX($F9:TLK9)=$D12,0,TLK9+1))</f>
        <v>0</v>
      </c>
      <c r="TLM9" s="26">
        <f>IF(TLM7=0,0,IF(MAX($F9:TLL9)=$D12,0,TLL9+1))</f>
        <v>0</v>
      </c>
      <c r="TLN9" s="26">
        <f>IF(TLN7=0,0,IF(MAX($F9:TLM9)=$D12,0,TLM9+1))</f>
        <v>0</v>
      </c>
      <c r="TLO9" s="26">
        <f>IF(TLO7=0,0,IF(MAX($F9:TLN9)=$D12,0,TLN9+1))</f>
        <v>0</v>
      </c>
      <c r="TLP9" s="26">
        <f>IF(TLP7=0,0,IF(MAX($F9:TLO9)=$D12,0,TLO9+1))</f>
        <v>0</v>
      </c>
      <c r="TLQ9" s="26">
        <f>IF(TLQ7=0,0,IF(MAX($F9:TLP9)=$D12,0,TLP9+1))</f>
        <v>0</v>
      </c>
      <c r="TLR9" s="26">
        <f>IF(TLR7=0,0,IF(MAX($F9:TLQ9)=$D12,0,TLQ9+1))</f>
        <v>0</v>
      </c>
      <c r="TLS9" s="26">
        <f>IF(TLS7=0,0,IF(MAX($F9:TLR9)=$D12,0,TLR9+1))</f>
        <v>0</v>
      </c>
      <c r="TLT9" s="26">
        <f>IF(TLT7=0,0,IF(MAX($F9:TLS9)=$D12,0,TLS9+1))</f>
        <v>0</v>
      </c>
      <c r="TLU9" s="26">
        <f>IF(TLU7=0,0,IF(MAX($F9:TLT9)=$D12,0,TLT9+1))</f>
        <v>0</v>
      </c>
      <c r="TLV9" s="26">
        <f>IF(TLV7=0,0,IF(MAX($F9:TLU9)=$D12,0,TLU9+1))</f>
        <v>0</v>
      </c>
      <c r="TLW9" s="26">
        <f>IF(TLW7=0,0,IF(MAX($F9:TLV9)=$D12,0,TLV9+1))</f>
        <v>0</v>
      </c>
      <c r="TLX9" s="26">
        <f>IF(TLX7=0,0,IF(MAX($F9:TLW9)=$D12,0,TLW9+1))</f>
        <v>0</v>
      </c>
      <c r="TLY9" s="26">
        <f>IF(TLY7=0,0,IF(MAX($F9:TLX9)=$D12,0,TLX9+1))</f>
        <v>0</v>
      </c>
      <c r="TLZ9" s="26">
        <f>IF(TLZ7=0,0,IF(MAX($F9:TLY9)=$D12,0,TLY9+1))</f>
        <v>0</v>
      </c>
      <c r="TMA9" s="26">
        <f>IF(TMA7=0,0,IF(MAX($F9:TLZ9)=$D12,0,TLZ9+1))</f>
        <v>0</v>
      </c>
      <c r="TMB9" s="26">
        <f>IF(TMB7=0,0,IF(MAX($F9:TMA9)=$D12,0,TMA9+1))</f>
        <v>0</v>
      </c>
      <c r="TMC9" s="26">
        <f>IF(TMC7=0,0,IF(MAX($F9:TMB9)=$D12,0,TMB9+1))</f>
        <v>0</v>
      </c>
      <c r="TMD9" s="26">
        <f>IF(TMD7=0,0,IF(MAX($F9:TMC9)=$D12,0,TMC9+1))</f>
        <v>0</v>
      </c>
      <c r="TME9" s="26">
        <f>IF(TME7=0,0,IF(MAX($F9:TMD9)=$D12,0,TMD9+1))</f>
        <v>0</v>
      </c>
      <c r="TMF9" s="26">
        <f>IF(TMF7=0,0,IF(MAX($F9:TME9)=$D12,0,TME9+1))</f>
        <v>0</v>
      </c>
      <c r="TMG9" s="26">
        <f>IF(TMG7=0,0,IF(MAX($F9:TMF9)=$D12,0,TMF9+1))</f>
        <v>0</v>
      </c>
      <c r="TMH9" s="26">
        <f>IF(TMH7=0,0,IF(MAX($F9:TMG9)=$D12,0,TMG9+1))</f>
        <v>0</v>
      </c>
      <c r="TMI9" s="26">
        <f>IF(TMI7=0,0,IF(MAX($F9:TMH9)=$D12,0,TMH9+1))</f>
        <v>0</v>
      </c>
      <c r="TMJ9" s="26">
        <f>IF(TMJ7=0,0,IF(MAX($F9:TMI9)=$D12,0,TMI9+1))</f>
        <v>0</v>
      </c>
      <c r="TMK9" s="26">
        <f>IF(TMK7=0,0,IF(MAX($F9:TMJ9)=$D12,0,TMJ9+1))</f>
        <v>0</v>
      </c>
      <c r="TML9" s="26">
        <f>IF(TML7=0,0,IF(MAX($F9:TMK9)=$D12,0,TMK9+1))</f>
        <v>0</v>
      </c>
      <c r="TMM9" s="26">
        <f>IF(TMM7=0,0,IF(MAX($F9:TML9)=$D12,0,TML9+1))</f>
        <v>0</v>
      </c>
      <c r="TMN9" s="26">
        <f>IF(TMN7=0,0,IF(MAX($F9:TMM9)=$D12,0,TMM9+1))</f>
        <v>0</v>
      </c>
      <c r="TMO9" s="26">
        <f>IF(TMO7=0,0,IF(MAX($F9:TMN9)=$D12,0,TMN9+1))</f>
        <v>0</v>
      </c>
      <c r="TMP9" s="26">
        <f>IF(TMP7=0,0,IF(MAX($F9:TMO9)=$D12,0,TMO9+1))</f>
        <v>0</v>
      </c>
      <c r="TMQ9" s="26">
        <f>IF(TMQ7=0,0,IF(MAX($F9:TMP9)=$D12,0,TMP9+1))</f>
        <v>0</v>
      </c>
      <c r="TMR9" s="26">
        <f>IF(TMR7=0,0,IF(MAX($F9:TMQ9)=$D12,0,TMQ9+1))</f>
        <v>0</v>
      </c>
      <c r="TMS9" s="26">
        <f>IF(TMS7=0,0,IF(MAX($F9:TMR9)=$D12,0,TMR9+1))</f>
        <v>0</v>
      </c>
      <c r="TMT9" s="26">
        <f>IF(TMT7=0,0,IF(MAX($F9:TMS9)=$D12,0,TMS9+1))</f>
        <v>0</v>
      </c>
      <c r="TMU9" s="26">
        <f>IF(TMU7=0,0,IF(MAX($F9:TMT9)=$D12,0,TMT9+1))</f>
        <v>0</v>
      </c>
      <c r="TMV9" s="26">
        <f>IF(TMV7=0,0,IF(MAX($F9:TMU9)=$D12,0,TMU9+1))</f>
        <v>0</v>
      </c>
      <c r="TMW9" s="26">
        <f>IF(TMW7=0,0,IF(MAX($F9:TMV9)=$D12,0,TMV9+1))</f>
        <v>0</v>
      </c>
      <c r="TMX9" s="26">
        <f>IF(TMX7=0,0,IF(MAX($F9:TMW9)=$D12,0,TMW9+1))</f>
        <v>0</v>
      </c>
      <c r="TMY9" s="26">
        <f>IF(TMY7=0,0,IF(MAX($F9:TMX9)=$D12,0,TMX9+1))</f>
        <v>0</v>
      </c>
      <c r="TMZ9" s="26">
        <f>IF(TMZ7=0,0,IF(MAX($F9:TMY9)=$D12,0,TMY9+1))</f>
        <v>0</v>
      </c>
      <c r="TNA9" s="26">
        <f>IF(TNA7=0,0,IF(MAX($F9:TMZ9)=$D12,0,TMZ9+1))</f>
        <v>0</v>
      </c>
      <c r="TNB9" s="26">
        <f>IF(TNB7=0,0,IF(MAX($F9:TNA9)=$D12,0,TNA9+1))</f>
        <v>0</v>
      </c>
      <c r="TNC9" s="26">
        <f>IF(TNC7=0,0,IF(MAX($F9:TNB9)=$D12,0,TNB9+1))</f>
        <v>0</v>
      </c>
      <c r="TND9" s="26">
        <f>IF(TND7=0,0,IF(MAX($F9:TNC9)=$D12,0,TNC9+1))</f>
        <v>0</v>
      </c>
      <c r="TNE9" s="26">
        <f>IF(TNE7=0,0,IF(MAX($F9:TND9)=$D12,0,TND9+1))</f>
        <v>0</v>
      </c>
      <c r="TNF9" s="26">
        <f>IF(TNF7=0,0,IF(MAX($F9:TNE9)=$D12,0,TNE9+1))</f>
        <v>0</v>
      </c>
      <c r="TNG9" s="26">
        <f>IF(TNG7=0,0,IF(MAX($F9:TNF9)=$D12,0,TNF9+1))</f>
        <v>0</v>
      </c>
      <c r="TNH9" s="26">
        <f>IF(TNH7=0,0,IF(MAX($F9:TNG9)=$D12,0,TNG9+1))</f>
        <v>0</v>
      </c>
      <c r="TNI9" s="26">
        <f>IF(TNI7=0,0,IF(MAX($F9:TNH9)=$D12,0,TNH9+1))</f>
        <v>0</v>
      </c>
      <c r="TNJ9" s="26">
        <f>IF(TNJ7=0,0,IF(MAX($F9:TNI9)=$D12,0,TNI9+1))</f>
        <v>0</v>
      </c>
      <c r="TNK9" s="26">
        <f>IF(TNK7=0,0,IF(MAX($F9:TNJ9)=$D12,0,TNJ9+1))</f>
        <v>0</v>
      </c>
      <c r="TNL9" s="26">
        <f>IF(TNL7=0,0,IF(MAX($F9:TNK9)=$D12,0,TNK9+1))</f>
        <v>0</v>
      </c>
      <c r="TNM9" s="26">
        <f>IF(TNM7=0,0,IF(MAX($F9:TNL9)=$D12,0,TNL9+1))</f>
        <v>0</v>
      </c>
      <c r="TNN9" s="26">
        <f>IF(TNN7=0,0,IF(MAX($F9:TNM9)=$D12,0,TNM9+1))</f>
        <v>0</v>
      </c>
      <c r="TNO9" s="26">
        <f>IF(TNO7=0,0,IF(MAX($F9:TNN9)=$D12,0,TNN9+1))</f>
        <v>0</v>
      </c>
      <c r="TNP9" s="26">
        <f>IF(TNP7=0,0,IF(MAX($F9:TNO9)=$D12,0,TNO9+1))</f>
        <v>0</v>
      </c>
      <c r="TNQ9" s="26">
        <f>IF(TNQ7=0,0,IF(MAX($F9:TNP9)=$D12,0,TNP9+1))</f>
        <v>0</v>
      </c>
      <c r="TNR9" s="26">
        <f>IF(TNR7=0,0,IF(MAX($F9:TNQ9)=$D12,0,TNQ9+1))</f>
        <v>0</v>
      </c>
      <c r="TNS9" s="26">
        <f>IF(TNS7=0,0,IF(MAX($F9:TNR9)=$D12,0,TNR9+1))</f>
        <v>0</v>
      </c>
      <c r="TNT9" s="26">
        <f>IF(TNT7=0,0,IF(MAX($F9:TNS9)=$D12,0,TNS9+1))</f>
        <v>0</v>
      </c>
      <c r="TNU9" s="26">
        <f>IF(TNU7=0,0,IF(MAX($F9:TNT9)=$D12,0,TNT9+1))</f>
        <v>0</v>
      </c>
      <c r="TNV9" s="26">
        <f>IF(TNV7=0,0,IF(MAX($F9:TNU9)=$D12,0,TNU9+1))</f>
        <v>0</v>
      </c>
      <c r="TNW9" s="26">
        <f>IF(TNW7=0,0,IF(MAX($F9:TNV9)=$D12,0,TNV9+1))</f>
        <v>0</v>
      </c>
      <c r="TNX9" s="26">
        <f>IF(TNX7=0,0,IF(MAX($F9:TNW9)=$D12,0,TNW9+1))</f>
        <v>0</v>
      </c>
      <c r="TNY9" s="26">
        <f>IF(TNY7=0,0,IF(MAX($F9:TNX9)=$D12,0,TNX9+1))</f>
        <v>0</v>
      </c>
      <c r="TNZ9" s="26">
        <f>IF(TNZ7=0,0,IF(MAX($F9:TNY9)=$D12,0,TNY9+1))</f>
        <v>0</v>
      </c>
      <c r="TOA9" s="26">
        <f>IF(TOA7=0,0,IF(MAX($F9:TNZ9)=$D12,0,TNZ9+1))</f>
        <v>0</v>
      </c>
      <c r="TOB9" s="26">
        <f>IF(TOB7=0,0,IF(MAX($F9:TOA9)=$D12,0,TOA9+1))</f>
        <v>0</v>
      </c>
      <c r="TOC9" s="26">
        <f>IF(TOC7=0,0,IF(MAX($F9:TOB9)=$D12,0,TOB9+1))</f>
        <v>0</v>
      </c>
      <c r="TOD9" s="26">
        <f>IF(TOD7=0,0,IF(MAX($F9:TOC9)=$D12,0,TOC9+1))</f>
        <v>0</v>
      </c>
      <c r="TOE9" s="26">
        <f>IF(TOE7=0,0,IF(MAX($F9:TOD9)=$D12,0,TOD9+1))</f>
        <v>0</v>
      </c>
      <c r="TOF9" s="26">
        <f>IF(TOF7=0,0,IF(MAX($F9:TOE9)=$D12,0,TOE9+1))</f>
        <v>0</v>
      </c>
      <c r="TOG9" s="26">
        <f>IF(TOG7=0,0,IF(MAX($F9:TOF9)=$D12,0,TOF9+1))</f>
        <v>0</v>
      </c>
      <c r="TOH9" s="26">
        <f>IF(TOH7=0,0,IF(MAX($F9:TOG9)=$D12,0,TOG9+1))</f>
        <v>0</v>
      </c>
      <c r="TOI9" s="26">
        <f>IF(TOI7=0,0,IF(MAX($F9:TOH9)=$D12,0,TOH9+1))</f>
        <v>0</v>
      </c>
      <c r="TOJ9" s="26">
        <f>IF(TOJ7=0,0,IF(MAX($F9:TOI9)=$D12,0,TOI9+1))</f>
        <v>0</v>
      </c>
      <c r="TOK9" s="26">
        <f>IF(TOK7=0,0,IF(MAX($F9:TOJ9)=$D12,0,TOJ9+1))</f>
        <v>0</v>
      </c>
      <c r="TOL9" s="26">
        <f>IF(TOL7=0,0,IF(MAX($F9:TOK9)=$D12,0,TOK9+1))</f>
        <v>0</v>
      </c>
      <c r="TOM9" s="26">
        <f>IF(TOM7=0,0,IF(MAX($F9:TOL9)=$D12,0,TOL9+1))</f>
        <v>0</v>
      </c>
      <c r="TON9" s="26">
        <f>IF(TON7=0,0,IF(MAX($F9:TOM9)=$D12,0,TOM9+1))</f>
        <v>0</v>
      </c>
      <c r="TOO9" s="26">
        <f>IF(TOO7=0,0,IF(MAX($F9:TON9)=$D12,0,TON9+1))</f>
        <v>0</v>
      </c>
      <c r="TOP9" s="26">
        <f>IF(TOP7=0,0,IF(MAX($F9:TOO9)=$D12,0,TOO9+1))</f>
        <v>0</v>
      </c>
      <c r="TOQ9" s="26">
        <f>IF(TOQ7=0,0,IF(MAX($F9:TOP9)=$D12,0,TOP9+1))</f>
        <v>0</v>
      </c>
      <c r="TOR9" s="26">
        <f>IF(TOR7=0,0,IF(MAX($F9:TOQ9)=$D12,0,TOQ9+1))</f>
        <v>0</v>
      </c>
      <c r="TOS9" s="26">
        <f>IF(TOS7=0,0,IF(MAX($F9:TOR9)=$D12,0,TOR9+1))</f>
        <v>0</v>
      </c>
      <c r="TOT9" s="26">
        <f>IF(TOT7=0,0,IF(MAX($F9:TOS9)=$D12,0,TOS9+1))</f>
        <v>0</v>
      </c>
      <c r="TOU9" s="26">
        <f>IF(TOU7=0,0,IF(MAX($F9:TOT9)=$D12,0,TOT9+1))</f>
        <v>0</v>
      </c>
      <c r="TOV9" s="26">
        <f>IF(TOV7=0,0,IF(MAX($F9:TOU9)=$D12,0,TOU9+1))</f>
        <v>0</v>
      </c>
      <c r="TOW9" s="26">
        <f>IF(TOW7=0,0,IF(MAX($F9:TOV9)=$D12,0,TOV9+1))</f>
        <v>0</v>
      </c>
      <c r="TOX9" s="26">
        <f>IF(TOX7=0,0,IF(MAX($F9:TOW9)=$D12,0,TOW9+1))</f>
        <v>0</v>
      </c>
      <c r="TOY9" s="26">
        <f>IF(TOY7=0,0,IF(MAX($F9:TOX9)=$D12,0,TOX9+1))</f>
        <v>0</v>
      </c>
      <c r="TOZ9" s="26">
        <f>IF(TOZ7=0,0,IF(MAX($F9:TOY9)=$D12,0,TOY9+1))</f>
        <v>0</v>
      </c>
      <c r="TPA9" s="26">
        <f>IF(TPA7=0,0,IF(MAX($F9:TOZ9)=$D12,0,TOZ9+1))</f>
        <v>0</v>
      </c>
      <c r="TPB9" s="26">
        <f>IF(TPB7=0,0,IF(MAX($F9:TPA9)=$D12,0,TPA9+1))</f>
        <v>0</v>
      </c>
      <c r="TPC9" s="26">
        <f>IF(TPC7=0,0,IF(MAX($F9:TPB9)=$D12,0,TPB9+1))</f>
        <v>0</v>
      </c>
      <c r="TPD9" s="26">
        <f>IF(TPD7=0,0,IF(MAX($F9:TPC9)=$D12,0,TPC9+1))</f>
        <v>0</v>
      </c>
      <c r="TPE9" s="26">
        <f>IF(TPE7=0,0,IF(MAX($F9:TPD9)=$D12,0,TPD9+1))</f>
        <v>0</v>
      </c>
      <c r="TPF9" s="26">
        <f>IF(TPF7=0,0,IF(MAX($F9:TPE9)=$D12,0,TPE9+1))</f>
        <v>0</v>
      </c>
      <c r="TPG9" s="26">
        <f>IF(TPG7=0,0,IF(MAX($F9:TPF9)=$D12,0,TPF9+1))</f>
        <v>0</v>
      </c>
      <c r="TPH9" s="26">
        <f>IF(TPH7=0,0,IF(MAX($F9:TPG9)=$D12,0,TPG9+1))</f>
        <v>0</v>
      </c>
      <c r="TPI9" s="26">
        <f>IF(TPI7=0,0,IF(MAX($F9:TPH9)=$D12,0,TPH9+1))</f>
        <v>0</v>
      </c>
      <c r="TPJ9" s="26">
        <f>IF(TPJ7=0,0,IF(MAX($F9:TPI9)=$D12,0,TPI9+1))</f>
        <v>0</v>
      </c>
      <c r="TPK9" s="26">
        <f>IF(TPK7=0,0,IF(MAX($F9:TPJ9)=$D12,0,TPJ9+1))</f>
        <v>0</v>
      </c>
      <c r="TPL9" s="26">
        <f>IF(TPL7=0,0,IF(MAX($F9:TPK9)=$D12,0,TPK9+1))</f>
        <v>0</v>
      </c>
      <c r="TPM9" s="26">
        <f>IF(TPM7=0,0,IF(MAX($F9:TPL9)=$D12,0,TPL9+1))</f>
        <v>0</v>
      </c>
      <c r="TPN9" s="26">
        <f>IF(TPN7=0,0,IF(MAX($F9:TPM9)=$D12,0,TPM9+1))</f>
        <v>0</v>
      </c>
      <c r="TPO9" s="26">
        <f>IF(TPO7=0,0,IF(MAX($F9:TPN9)=$D12,0,TPN9+1))</f>
        <v>0</v>
      </c>
      <c r="TPP9" s="26">
        <f>IF(TPP7=0,0,IF(MAX($F9:TPO9)=$D12,0,TPO9+1))</f>
        <v>0</v>
      </c>
      <c r="TPQ9" s="26">
        <f>IF(TPQ7=0,0,IF(MAX($F9:TPP9)=$D12,0,TPP9+1))</f>
        <v>0</v>
      </c>
      <c r="TPR9" s="26">
        <f>IF(TPR7=0,0,IF(MAX($F9:TPQ9)=$D12,0,TPQ9+1))</f>
        <v>0</v>
      </c>
      <c r="TPS9" s="26">
        <f>IF(TPS7=0,0,IF(MAX($F9:TPR9)=$D12,0,TPR9+1))</f>
        <v>0</v>
      </c>
      <c r="TPT9" s="26">
        <f>IF(TPT7=0,0,IF(MAX($F9:TPS9)=$D12,0,TPS9+1))</f>
        <v>0</v>
      </c>
      <c r="TPU9" s="26">
        <f>IF(TPU7=0,0,IF(MAX($F9:TPT9)=$D12,0,TPT9+1))</f>
        <v>0</v>
      </c>
      <c r="TPV9" s="26">
        <f>IF(TPV7=0,0,IF(MAX($F9:TPU9)=$D12,0,TPU9+1))</f>
        <v>0</v>
      </c>
      <c r="TPW9" s="26">
        <f>IF(TPW7=0,0,IF(MAX($F9:TPV9)=$D12,0,TPV9+1))</f>
        <v>0</v>
      </c>
      <c r="TPX9" s="26">
        <f>IF(TPX7=0,0,IF(MAX($F9:TPW9)=$D12,0,TPW9+1))</f>
        <v>0</v>
      </c>
      <c r="TPY9" s="26">
        <f>IF(TPY7=0,0,IF(MAX($F9:TPX9)=$D12,0,TPX9+1))</f>
        <v>0</v>
      </c>
      <c r="TPZ9" s="26">
        <f>IF(TPZ7=0,0,IF(MAX($F9:TPY9)=$D12,0,TPY9+1))</f>
        <v>0</v>
      </c>
      <c r="TQA9" s="26">
        <f>IF(TQA7=0,0,IF(MAX($F9:TPZ9)=$D12,0,TPZ9+1))</f>
        <v>0</v>
      </c>
      <c r="TQB9" s="26">
        <f>IF(TQB7=0,0,IF(MAX($F9:TQA9)=$D12,0,TQA9+1))</f>
        <v>0</v>
      </c>
      <c r="TQC9" s="26">
        <f>IF(TQC7=0,0,IF(MAX($F9:TQB9)=$D12,0,TQB9+1))</f>
        <v>0</v>
      </c>
      <c r="TQD9" s="26">
        <f>IF(TQD7=0,0,IF(MAX($F9:TQC9)=$D12,0,TQC9+1))</f>
        <v>0</v>
      </c>
      <c r="TQE9" s="26">
        <f>IF(TQE7=0,0,IF(MAX($F9:TQD9)=$D12,0,TQD9+1))</f>
        <v>0</v>
      </c>
      <c r="TQF9" s="26">
        <f>IF(TQF7=0,0,IF(MAX($F9:TQE9)=$D12,0,TQE9+1))</f>
        <v>0</v>
      </c>
      <c r="TQG9" s="26">
        <f>IF(TQG7=0,0,IF(MAX($F9:TQF9)=$D12,0,TQF9+1))</f>
        <v>0</v>
      </c>
      <c r="TQH9" s="26">
        <f>IF(TQH7=0,0,IF(MAX($F9:TQG9)=$D12,0,TQG9+1))</f>
        <v>0</v>
      </c>
      <c r="TQI9" s="26">
        <f>IF(TQI7=0,0,IF(MAX($F9:TQH9)=$D12,0,TQH9+1))</f>
        <v>0</v>
      </c>
      <c r="TQJ9" s="26">
        <f>IF(TQJ7=0,0,IF(MAX($F9:TQI9)=$D12,0,TQI9+1))</f>
        <v>0</v>
      </c>
      <c r="TQK9" s="26">
        <f>IF(TQK7=0,0,IF(MAX($F9:TQJ9)=$D12,0,TQJ9+1))</f>
        <v>0</v>
      </c>
      <c r="TQL9" s="26">
        <f>IF(TQL7=0,0,IF(MAX($F9:TQK9)=$D12,0,TQK9+1))</f>
        <v>0</v>
      </c>
      <c r="TQM9" s="26">
        <f>IF(TQM7=0,0,IF(MAX($F9:TQL9)=$D12,0,TQL9+1))</f>
        <v>0</v>
      </c>
      <c r="TQN9" s="26">
        <f>IF(TQN7=0,0,IF(MAX($F9:TQM9)=$D12,0,TQM9+1))</f>
        <v>0</v>
      </c>
      <c r="TQO9" s="26">
        <f>IF(TQO7=0,0,IF(MAX($F9:TQN9)=$D12,0,TQN9+1))</f>
        <v>0</v>
      </c>
      <c r="TQP9" s="26">
        <f>IF(TQP7=0,0,IF(MAX($F9:TQO9)=$D12,0,TQO9+1))</f>
        <v>0</v>
      </c>
      <c r="TQQ9" s="26">
        <f>IF(TQQ7=0,0,IF(MAX($F9:TQP9)=$D12,0,TQP9+1))</f>
        <v>0</v>
      </c>
      <c r="TQR9" s="26">
        <f>IF(TQR7=0,0,IF(MAX($F9:TQQ9)=$D12,0,TQQ9+1))</f>
        <v>0</v>
      </c>
      <c r="TQS9" s="26">
        <f>IF(TQS7=0,0,IF(MAX($F9:TQR9)=$D12,0,TQR9+1))</f>
        <v>0</v>
      </c>
      <c r="TQT9" s="26">
        <f>IF(TQT7=0,0,IF(MAX($F9:TQS9)=$D12,0,TQS9+1))</f>
        <v>0</v>
      </c>
      <c r="TQU9" s="26">
        <f>IF(TQU7=0,0,IF(MAX($F9:TQT9)=$D12,0,TQT9+1))</f>
        <v>0</v>
      </c>
      <c r="TQV9" s="26">
        <f>IF(TQV7=0,0,IF(MAX($F9:TQU9)=$D12,0,TQU9+1))</f>
        <v>0</v>
      </c>
      <c r="TQW9" s="26">
        <f>IF(TQW7=0,0,IF(MAX($F9:TQV9)=$D12,0,TQV9+1))</f>
        <v>0</v>
      </c>
      <c r="TQX9" s="26">
        <f>IF(TQX7=0,0,IF(MAX($F9:TQW9)=$D12,0,TQW9+1))</f>
        <v>0</v>
      </c>
      <c r="TQY9" s="26">
        <f>IF(TQY7=0,0,IF(MAX($F9:TQX9)=$D12,0,TQX9+1))</f>
        <v>0</v>
      </c>
      <c r="TQZ9" s="26">
        <f>IF(TQZ7=0,0,IF(MAX($F9:TQY9)=$D12,0,TQY9+1))</f>
        <v>0</v>
      </c>
      <c r="TRA9" s="26">
        <f>IF(TRA7=0,0,IF(MAX($F9:TQZ9)=$D12,0,TQZ9+1))</f>
        <v>0</v>
      </c>
      <c r="TRB9" s="26">
        <f>IF(TRB7=0,0,IF(MAX($F9:TRA9)=$D12,0,TRA9+1))</f>
        <v>0</v>
      </c>
      <c r="TRC9" s="26">
        <f>IF(TRC7=0,0,IF(MAX($F9:TRB9)=$D12,0,TRB9+1))</f>
        <v>0</v>
      </c>
      <c r="TRD9" s="26">
        <f>IF(TRD7=0,0,IF(MAX($F9:TRC9)=$D12,0,TRC9+1))</f>
        <v>0</v>
      </c>
      <c r="TRE9" s="26">
        <f>IF(TRE7=0,0,IF(MAX($F9:TRD9)=$D12,0,TRD9+1))</f>
        <v>0</v>
      </c>
      <c r="TRF9" s="26">
        <f>IF(TRF7=0,0,IF(MAX($F9:TRE9)=$D12,0,TRE9+1))</f>
        <v>0</v>
      </c>
      <c r="TRG9" s="26">
        <f>IF(TRG7=0,0,IF(MAX($F9:TRF9)=$D12,0,TRF9+1))</f>
        <v>0</v>
      </c>
      <c r="TRH9" s="26">
        <f>IF(TRH7=0,0,IF(MAX($F9:TRG9)=$D12,0,TRG9+1))</f>
        <v>0</v>
      </c>
      <c r="TRI9" s="26">
        <f>IF(TRI7=0,0,IF(MAX($F9:TRH9)=$D12,0,TRH9+1))</f>
        <v>0</v>
      </c>
      <c r="TRJ9" s="26">
        <f>IF(TRJ7=0,0,IF(MAX($F9:TRI9)=$D12,0,TRI9+1))</f>
        <v>0</v>
      </c>
      <c r="TRK9" s="26">
        <f>IF(TRK7=0,0,IF(MAX($F9:TRJ9)=$D12,0,TRJ9+1))</f>
        <v>0</v>
      </c>
      <c r="TRL9" s="26">
        <f>IF(TRL7=0,0,IF(MAX($F9:TRK9)=$D12,0,TRK9+1))</f>
        <v>0</v>
      </c>
      <c r="TRM9" s="26">
        <f>IF(TRM7=0,0,IF(MAX($F9:TRL9)=$D12,0,TRL9+1))</f>
        <v>0</v>
      </c>
      <c r="TRN9" s="26">
        <f>IF(TRN7=0,0,IF(MAX($F9:TRM9)=$D12,0,TRM9+1))</f>
        <v>0</v>
      </c>
      <c r="TRO9" s="26">
        <f>IF(TRO7=0,0,IF(MAX($F9:TRN9)=$D12,0,TRN9+1))</f>
        <v>0</v>
      </c>
      <c r="TRP9" s="26">
        <f>IF(TRP7=0,0,IF(MAX($F9:TRO9)=$D12,0,TRO9+1))</f>
        <v>0</v>
      </c>
      <c r="TRQ9" s="26">
        <f>IF(TRQ7=0,0,IF(MAX($F9:TRP9)=$D12,0,TRP9+1))</f>
        <v>0</v>
      </c>
      <c r="TRR9" s="26">
        <f>IF(TRR7=0,0,IF(MAX($F9:TRQ9)=$D12,0,TRQ9+1))</f>
        <v>0</v>
      </c>
      <c r="TRS9" s="26">
        <f>IF(TRS7=0,0,IF(MAX($F9:TRR9)=$D12,0,TRR9+1))</f>
        <v>0</v>
      </c>
      <c r="TRT9" s="26">
        <f>IF(TRT7=0,0,IF(MAX($F9:TRS9)=$D12,0,TRS9+1))</f>
        <v>0</v>
      </c>
      <c r="TRU9" s="26">
        <f>IF(TRU7=0,0,IF(MAX($F9:TRT9)=$D12,0,TRT9+1))</f>
        <v>0</v>
      </c>
      <c r="TRV9" s="26">
        <f>IF(TRV7=0,0,IF(MAX($F9:TRU9)=$D12,0,TRU9+1))</f>
        <v>0</v>
      </c>
      <c r="TRW9" s="26">
        <f>IF(TRW7=0,0,IF(MAX($F9:TRV9)=$D12,0,TRV9+1))</f>
        <v>0</v>
      </c>
      <c r="TRX9" s="26">
        <f>IF(TRX7=0,0,IF(MAX($F9:TRW9)=$D12,0,TRW9+1))</f>
        <v>0</v>
      </c>
      <c r="TRY9" s="26">
        <f>IF(CLP7=0,0,IF(MAX($F9:TRX9)=$D12,0,TRX9+1))</f>
        <v>0</v>
      </c>
      <c r="TRZ9" s="26">
        <f>IF(TRZ7=0,0,IF(MAX($F9:CLP9)=$D12,0,CLP9+1))</f>
        <v>0</v>
      </c>
      <c r="TSA9" s="26">
        <f>IF(TSA7=0,0,IF(MAX($F9:TRZ9)=$D12,0,TRZ9+1))</f>
        <v>0</v>
      </c>
      <c r="TSB9" s="26">
        <f>IF(TSB7=0,0,IF(MAX($F9:TSA9)=$D12,0,TSA9+1))</f>
        <v>0</v>
      </c>
      <c r="TSC9" s="26">
        <f>IF(TSC7=0,0,IF(MAX($F9:TSB9)=$D12,0,TSB9+1))</f>
        <v>0</v>
      </c>
      <c r="TSD9" s="26">
        <f>IF(TSD7=0,0,IF(MAX($F9:TSC9)=$D12,0,TSC9+1))</f>
        <v>0</v>
      </c>
      <c r="TSE9" s="26">
        <f>IF(TSE7=0,0,IF(MAX($F9:TSD9)=$D12,0,TSD9+1))</f>
        <v>0</v>
      </c>
      <c r="TSF9" s="26">
        <f>IF(TSF7=0,0,IF(MAX($F9:TSE9)=$D12,0,TSE9+1))</f>
        <v>0</v>
      </c>
      <c r="TSG9" s="26">
        <f>IF(TSG7=0,0,IF(MAX($F9:TSF9)=$D12,0,TSF9+1))</f>
        <v>0</v>
      </c>
      <c r="TSH9" s="26">
        <f>IF(TSH7=0,0,IF(MAX($F9:TSG9)=$D12,0,TSG9+1))</f>
        <v>0</v>
      </c>
      <c r="TSI9" s="26">
        <f>IF(TSI7=0,0,IF(MAX($F9:TSH9)=$D12,0,TSH9+1))</f>
        <v>0</v>
      </c>
      <c r="TSJ9" s="26">
        <f>IF(TSJ7=0,0,IF(MAX($F9:TSI9)=$D12,0,TSI9+1))</f>
        <v>0</v>
      </c>
      <c r="TSK9" s="26">
        <f>IF(TSK7=0,0,IF(MAX($F9:TSJ9)=$D12,0,TSJ9+1))</f>
        <v>0</v>
      </c>
      <c r="TSL9" s="26">
        <f>IF(TSL7=0,0,IF(MAX($F9:TSK9)=$D12,0,TSK9+1))</f>
        <v>0</v>
      </c>
      <c r="TSM9" s="26">
        <f>IF(TSM7=0,0,IF(MAX($F9:TSL9)=$D12,0,TSL9+1))</f>
        <v>0</v>
      </c>
      <c r="TSN9" s="26">
        <f>IF(TSN7=0,0,IF(MAX($F9:TSM9)=$D12,0,TSM9+1))</f>
        <v>0</v>
      </c>
      <c r="TSO9" s="26">
        <f>IF(TSO7=0,0,IF(MAX($F9:TSN9)=$D12,0,TSN9+1))</f>
        <v>0</v>
      </c>
      <c r="TSP9" s="26">
        <f>IF(TSP7=0,0,IF(MAX($F9:TSO9)=$D12,0,TSO9+1))</f>
        <v>0</v>
      </c>
      <c r="TSQ9" s="26">
        <f>IF(TSQ7=0,0,IF(MAX($F9:TSP9)=$D12,0,TSP9+1))</f>
        <v>0</v>
      </c>
      <c r="TSR9" s="26">
        <f>IF(TSR7=0,0,IF(MAX($F9:TSQ9)=$D12,0,TSQ9+1))</f>
        <v>0</v>
      </c>
      <c r="TSS9" s="26">
        <f>IF(TSS7=0,0,IF(MAX($F9:TSR9)=$D12,0,TSR9+1))</f>
        <v>0</v>
      </c>
      <c r="TST9" s="26">
        <f>IF(TST7=0,0,IF(MAX($F9:TSS9)=$D12,0,TSS9+1))</f>
        <v>0</v>
      </c>
      <c r="TSU9" s="26">
        <f>IF(TSU7=0,0,IF(MAX($F9:TST9)=$D12,0,TST9+1))</f>
        <v>0</v>
      </c>
      <c r="TSV9" s="26">
        <f>IF(TSV7=0,0,IF(MAX($F9:TSU9)=$D12,0,TSU9+1))</f>
        <v>0</v>
      </c>
      <c r="TSW9" s="26">
        <f>IF(TSW7=0,0,IF(MAX($F9:TSV9)=$D12,0,TSV9+1))</f>
        <v>0</v>
      </c>
      <c r="TSX9" s="26">
        <f>IF(TSX7=0,0,IF(MAX($F9:TSW9)=$D12,0,TSW9+1))</f>
        <v>0</v>
      </c>
      <c r="TSY9" s="26">
        <f>IF(TSY7=0,0,IF(MAX($F9:TSX9)=$D12,0,TSX9+1))</f>
        <v>0</v>
      </c>
      <c r="TSZ9" s="26">
        <f>IF(TSZ7=0,0,IF(MAX($F9:TSY9)=$D12,0,TSY9+1))</f>
        <v>0</v>
      </c>
      <c r="TTA9" s="26">
        <f>IF(TTA7=0,0,IF(MAX($F9:TSZ9)=$D12,0,TSZ9+1))</f>
        <v>0</v>
      </c>
      <c r="TTB9" s="26">
        <f>IF(TTB7=0,0,IF(MAX($F9:TTA9)=$D12,0,TTA9+1))</f>
        <v>0</v>
      </c>
      <c r="TTC9" s="26">
        <f>IF(TTC7=0,0,IF(MAX($F9:TTB9)=$D12,0,TTB9+1))</f>
        <v>0</v>
      </c>
      <c r="TTD9" s="26">
        <f>IF(TTD7=0,0,IF(MAX($F9:TTC9)=$D12,0,TTC9+1))</f>
        <v>0</v>
      </c>
      <c r="TTE9" s="26">
        <f>IF(TTE7=0,0,IF(MAX($F9:TTD9)=$D12,0,TTD9+1))</f>
        <v>0</v>
      </c>
      <c r="TTF9" s="26">
        <f>IF(TTF7=0,0,IF(MAX($F9:TTE9)=$D12,0,TTE9+1))</f>
        <v>0</v>
      </c>
      <c r="TTG9" s="26">
        <f>IF(TTG7=0,0,IF(MAX($F9:TTF9)=$D12,0,TTF9+1))</f>
        <v>0</v>
      </c>
      <c r="TTH9" s="26">
        <f>IF(TTH7=0,0,IF(MAX($F9:TTG9)=$D12,0,TTG9+1))</f>
        <v>0</v>
      </c>
      <c r="TTI9" s="26">
        <f>IF(TTI7=0,0,IF(MAX($F9:TTH9)=$D12,0,TTH9+1))</f>
        <v>0</v>
      </c>
      <c r="TTJ9" s="26">
        <f>IF(TTJ7=0,0,IF(MAX($F9:TTI9)=$D12,0,TTI9+1))</f>
        <v>0</v>
      </c>
      <c r="TTK9" s="26">
        <f>IF(TTK7=0,0,IF(MAX($F9:TTJ9)=$D12,0,TTJ9+1))</f>
        <v>0</v>
      </c>
      <c r="TTL9" s="26">
        <f>IF(TTL7=0,0,IF(MAX($F9:TTK9)=$D12,0,TTK9+1))</f>
        <v>0</v>
      </c>
      <c r="TTM9" s="26">
        <f>IF(TTM7=0,0,IF(MAX($F9:TTL9)=$D12,0,TTL9+1))</f>
        <v>0</v>
      </c>
      <c r="TTN9" s="26">
        <f>IF(TTN7=0,0,IF(MAX($F9:TTM9)=$D12,0,TTM9+1))</f>
        <v>0</v>
      </c>
      <c r="TTO9" s="26">
        <f>IF(TTO7=0,0,IF(MAX($F9:TTN9)=$D12,0,TTN9+1))</f>
        <v>0</v>
      </c>
      <c r="TTP9" s="26">
        <f>IF(TTP7=0,0,IF(MAX($F9:TTO9)=$D12,0,TTO9+1))</f>
        <v>0</v>
      </c>
      <c r="TTQ9" s="26">
        <f>IF(TTQ7=0,0,IF(MAX($F9:TTP9)=$D12,0,TTP9+1))</f>
        <v>0</v>
      </c>
      <c r="TTR9" s="26">
        <f>IF(TTR7=0,0,IF(MAX($F9:TTQ9)=$D12,0,TTQ9+1))</f>
        <v>0</v>
      </c>
      <c r="TTS9" s="26">
        <f>IF(TTS7=0,0,IF(MAX($F9:TTR9)=$D12,0,TTR9+1))</f>
        <v>0</v>
      </c>
      <c r="TTT9" s="26">
        <f>IF(TTT7=0,0,IF(MAX($F9:TTS9)=$D12,0,TTS9+1))</f>
        <v>0</v>
      </c>
      <c r="TTU9" s="26">
        <f>IF(TTU7=0,0,IF(MAX($F9:TTT9)=$D12,0,TTT9+1))</f>
        <v>0</v>
      </c>
      <c r="TTV9" s="26">
        <f>IF(TTV7=0,0,IF(MAX($F9:TTU9)=$D12,0,TTU9+1))</f>
        <v>0</v>
      </c>
      <c r="TTW9" s="26">
        <f>IF(TTW7=0,0,IF(MAX($F9:TTV9)=$D12,0,TTV9+1))</f>
        <v>0</v>
      </c>
      <c r="TTX9" s="26">
        <f>IF(TTX7=0,0,IF(MAX($F9:TTW9)=$D12,0,TTW9+1))</f>
        <v>0</v>
      </c>
      <c r="TTY9" s="26">
        <f>IF(TTY7=0,0,IF(MAX($F9:TTX9)=$D12,0,TTX9+1))</f>
        <v>0</v>
      </c>
      <c r="TTZ9" s="26">
        <f>IF(TTZ7=0,0,IF(MAX($F9:TTY9)=$D12,0,TTY9+1))</f>
        <v>0</v>
      </c>
      <c r="TUA9" s="26">
        <f>IF(TUA7=0,0,IF(MAX($F9:TTZ9)=$D12,0,TTZ9+1))</f>
        <v>0</v>
      </c>
      <c r="TUB9" s="26">
        <f>IF(TUB7=0,0,IF(MAX($F9:TUA9)=$D12,0,TUA9+1))</f>
        <v>0</v>
      </c>
      <c r="TUC9" s="26">
        <f>IF(TUC7=0,0,IF(MAX($F9:TUB9)=$D12,0,TUB9+1))</f>
        <v>0</v>
      </c>
      <c r="TUD9" s="26">
        <f>IF(TUD7=0,0,IF(MAX($F9:TUC9)=$D12,0,TUC9+1))</f>
        <v>0</v>
      </c>
      <c r="TUE9" s="26">
        <f>IF(TUE7=0,0,IF(MAX($F9:TUD9)=$D12,0,TUD9+1))</f>
        <v>0</v>
      </c>
      <c r="TUF9" s="26">
        <f>IF(TUF7=0,0,IF(MAX($F9:TUE9)=$D12,0,TUE9+1))</f>
        <v>0</v>
      </c>
      <c r="TUG9" s="26">
        <f>IF(TUG7=0,0,IF(MAX($F9:TUF9)=$D12,0,TUF9+1))</f>
        <v>0</v>
      </c>
      <c r="TUH9" s="26">
        <f>IF(TUH7=0,0,IF(MAX($F9:TUG9)=$D12,0,TUG9+1))</f>
        <v>0</v>
      </c>
      <c r="TUI9" s="26">
        <f>IF(TUI7=0,0,IF(MAX($F9:TUH9)=$D12,0,TUH9+1))</f>
        <v>0</v>
      </c>
      <c r="TUJ9" s="26">
        <f>IF(TUJ7=0,0,IF(MAX($F9:TUI9)=$D12,0,TUI9+1))</f>
        <v>0</v>
      </c>
      <c r="TUK9" s="26">
        <f>IF(TUK7=0,0,IF(MAX($F9:TUJ9)=$D12,0,TUJ9+1))</f>
        <v>0</v>
      </c>
      <c r="TUL9" s="26">
        <f>IF(TUL7=0,0,IF(MAX($F9:TUK9)=$D12,0,TUK9+1))</f>
        <v>0</v>
      </c>
      <c r="TUM9" s="26">
        <f>IF(TUM7=0,0,IF(MAX($F9:TUL9)=$D12,0,TUL9+1))</f>
        <v>0</v>
      </c>
      <c r="TUN9" s="26">
        <f>IF(TUN7=0,0,IF(MAX($F9:TUM9)=$D12,0,TUM9+1))</f>
        <v>0</v>
      </c>
      <c r="TUO9" s="26">
        <f>IF(TUO7=0,0,IF(MAX($F9:TUN9)=$D12,0,TUN9+1))</f>
        <v>0</v>
      </c>
      <c r="TUP9" s="26">
        <f>IF(TUP7=0,0,IF(MAX($F9:TUO9)=$D12,0,TUO9+1))</f>
        <v>0</v>
      </c>
      <c r="TUQ9" s="26">
        <f>IF(TUQ7=0,0,IF(MAX($F9:TUP9)=$D12,0,TUP9+1))</f>
        <v>0</v>
      </c>
      <c r="TUR9" s="26">
        <f>IF(TUR7=0,0,IF(MAX($F9:TUQ9)=$D12,0,TUQ9+1))</f>
        <v>0</v>
      </c>
      <c r="TUS9" s="26">
        <f>IF(TUS7=0,0,IF(MAX($F9:TUR9)=$D12,0,TUR9+1))</f>
        <v>0</v>
      </c>
      <c r="TUT9" s="26">
        <f>IF(TUT7=0,0,IF(MAX($F9:TUS9)=$D12,0,TUS9+1))</f>
        <v>0</v>
      </c>
      <c r="TUU9" s="26">
        <f>IF(TUU7=0,0,IF(MAX($F9:TUT9)=$D12,0,TUT9+1))</f>
        <v>0</v>
      </c>
      <c r="TUV9" s="26">
        <f>IF(TUV7=0,0,IF(MAX($F9:TUU9)=$D12,0,TUU9+1))</f>
        <v>0</v>
      </c>
      <c r="TUW9" s="26">
        <f>IF(TUW7=0,0,IF(MAX($F9:TUV9)=$D12,0,TUV9+1))</f>
        <v>0</v>
      </c>
      <c r="TUX9" s="26">
        <f>IF(TUX7=0,0,IF(MAX($F9:TUW9)=$D12,0,TUW9+1))</f>
        <v>0</v>
      </c>
      <c r="TUY9" s="26">
        <f>IF(TUY7=0,0,IF(MAX($F9:TUX9)=$D12,0,TUX9+1))</f>
        <v>0</v>
      </c>
      <c r="TUZ9" s="26">
        <f>IF(TUZ7=0,0,IF(MAX($F9:TUY9)=$D12,0,TUY9+1))</f>
        <v>0</v>
      </c>
      <c r="TVA9" s="26">
        <f>IF(TVA7=0,0,IF(MAX($F9:TUZ9)=$D12,0,TUZ9+1))</f>
        <v>0</v>
      </c>
      <c r="TVB9" s="26">
        <f>IF(TVB7=0,0,IF(MAX($F9:TVA9)=$D12,0,TVA9+1))</f>
        <v>0</v>
      </c>
      <c r="TVC9" s="26">
        <f>IF(TVC7=0,0,IF(MAX($F9:TVB9)=$D12,0,TVB9+1))</f>
        <v>0</v>
      </c>
      <c r="TVD9" s="26">
        <f>IF(TVD7=0,0,IF(MAX($F9:TVC9)=$D12,0,TVC9+1))</f>
        <v>0</v>
      </c>
      <c r="TVE9" s="26">
        <f>IF(TVE7=0,0,IF(MAX($F9:TVD9)=$D12,0,TVD9+1))</f>
        <v>0</v>
      </c>
      <c r="TVF9" s="26">
        <f>IF(TVF7=0,0,IF(MAX($F9:TVE9)=$D12,0,TVE9+1))</f>
        <v>0</v>
      </c>
      <c r="TVG9" s="26">
        <f>IF(TVG7=0,0,IF(MAX($F9:TVF9)=$D12,0,TVF9+1))</f>
        <v>0</v>
      </c>
      <c r="TVH9" s="26">
        <f>IF(TVH7=0,0,IF(MAX($F9:TVG9)=$D12,0,TVG9+1))</f>
        <v>0</v>
      </c>
      <c r="TVI9" s="26">
        <f>IF(TVI7=0,0,IF(MAX($F9:TVH9)=$D12,0,TVH9+1))</f>
        <v>0</v>
      </c>
      <c r="TVJ9" s="26">
        <f>IF(TVJ7=0,0,IF(MAX($F9:TVI9)=$D12,0,TVI9+1))</f>
        <v>0</v>
      </c>
      <c r="TVK9" s="26">
        <f>IF(TVK7=0,0,IF(MAX($F9:TVJ9)=$D12,0,TVJ9+1))</f>
        <v>0</v>
      </c>
      <c r="TVL9" s="26">
        <f>IF(TVL7=0,0,IF(MAX($F9:TVK9)=$D12,0,TVK9+1))</f>
        <v>0</v>
      </c>
      <c r="TVM9" s="26">
        <f>IF(TVM7=0,0,IF(MAX($F9:TVL9)=$D12,0,TVL9+1))</f>
        <v>0</v>
      </c>
      <c r="TVN9" s="26">
        <f>IF(TVN7=0,0,IF(MAX($F9:TVM9)=$D12,0,TVM9+1))</f>
        <v>0</v>
      </c>
      <c r="TVO9" s="26">
        <f>IF(TVO7=0,0,IF(MAX($F9:TVN9)=$D12,0,TVN9+1))</f>
        <v>0</v>
      </c>
      <c r="TVP9" s="26">
        <f>IF(TVP7=0,0,IF(MAX($F9:TVO9)=$D12,0,TVO9+1))</f>
        <v>0</v>
      </c>
      <c r="TVQ9" s="26">
        <f>IF(TVQ7=0,0,IF(MAX($F9:TVP9)=$D12,0,TVP9+1))</f>
        <v>0</v>
      </c>
      <c r="TVR9" s="26">
        <f>IF(TVR7=0,0,IF(MAX($F9:TVQ9)=$D12,0,TVQ9+1))</f>
        <v>0</v>
      </c>
      <c r="TVS9" s="26">
        <f>IF(TVS7=0,0,IF(MAX($F9:TVR9)=$D12,0,TVR9+1))</f>
        <v>0</v>
      </c>
      <c r="TVT9" s="26">
        <f>IF(TVT7=0,0,IF(MAX($F9:TVS9)=$D12,0,TVS9+1))</f>
        <v>0</v>
      </c>
      <c r="TVU9" s="26">
        <f>IF(TVU7=0,0,IF(MAX($F9:TVT9)=$D12,0,TVT9+1))</f>
        <v>0</v>
      </c>
      <c r="TVV9" s="26">
        <f>IF(TVV7=0,0,IF(MAX($F9:TVU9)=$D12,0,TVU9+1))</f>
        <v>0</v>
      </c>
      <c r="TVW9" s="26">
        <f>IF(TVW7=0,0,IF(MAX($F9:TVV9)=$D12,0,TVV9+1))</f>
        <v>0</v>
      </c>
      <c r="TVX9" s="26">
        <f>IF(TVX7=0,0,IF(MAX($F9:TVW9)=$D12,0,TVW9+1))</f>
        <v>0</v>
      </c>
      <c r="TVY9" s="26">
        <f>IF(TVY7=0,0,IF(MAX($F9:TVX9)=$D12,0,TVX9+1))</f>
        <v>0</v>
      </c>
      <c r="TVZ9" s="26">
        <f>IF(TVZ7=0,0,IF(MAX($F9:TVY9)=$D12,0,TVY9+1))</f>
        <v>0</v>
      </c>
      <c r="TWA9" s="26">
        <f>IF(TWA7=0,0,IF(MAX($F9:TVZ9)=$D12,0,TVZ9+1))</f>
        <v>0</v>
      </c>
      <c r="TWB9" s="26">
        <f>IF(TWB7=0,0,IF(MAX($F9:TWA9)=$D12,0,TWA9+1))</f>
        <v>0</v>
      </c>
      <c r="TWC9" s="26">
        <f>IF(TWC7=0,0,IF(MAX($F9:TWB9)=$D12,0,TWB9+1))</f>
        <v>0</v>
      </c>
      <c r="TWD9" s="26">
        <f>IF(TWD7=0,0,IF(MAX($F9:TWC9)=$D12,0,TWC9+1))</f>
        <v>0</v>
      </c>
      <c r="TWE9" s="26">
        <f>IF(TWE7=0,0,IF(MAX($F9:TWD9)=$D12,0,TWD9+1))</f>
        <v>0</v>
      </c>
      <c r="TWF9" s="26">
        <f>IF(TWF7=0,0,IF(MAX($F9:TWE9)=$D12,0,TWE9+1))</f>
        <v>0</v>
      </c>
      <c r="TWG9" s="26">
        <f>IF(TWG7=0,0,IF(MAX($F9:TWF9)=$D12,0,TWF9+1))</f>
        <v>0</v>
      </c>
      <c r="TWH9" s="26">
        <f>IF(TWH7=0,0,IF(MAX($F9:TWG9)=$D12,0,TWG9+1))</f>
        <v>0</v>
      </c>
      <c r="TWI9" s="26">
        <f>IF(TWI7=0,0,IF(MAX($F9:TWH9)=$D12,0,TWH9+1))</f>
        <v>0</v>
      </c>
      <c r="TWJ9" s="26">
        <f>IF(TWJ7=0,0,IF(MAX($F9:TWI9)=$D12,0,TWI9+1))</f>
        <v>0</v>
      </c>
      <c r="TWK9" s="26">
        <f>IF(TWK7=0,0,IF(MAX($F9:TWJ9)=$D12,0,TWJ9+1))</f>
        <v>0</v>
      </c>
      <c r="TWL9" s="26">
        <f>IF(TWL7=0,0,IF(MAX($F9:TWK9)=$D12,0,TWK9+1))</f>
        <v>0</v>
      </c>
      <c r="TWM9" s="26">
        <f>IF(TWM7=0,0,IF(MAX($F9:TWL9)=$D12,0,TWL9+1))</f>
        <v>0</v>
      </c>
      <c r="TWN9" s="26">
        <f>IF(TWN7=0,0,IF(MAX($F9:TWM9)=$D12,0,TWM9+1))</f>
        <v>0</v>
      </c>
      <c r="TWO9" s="26">
        <f>IF(TWO7=0,0,IF(MAX($F9:TWN9)=$D12,0,TWN9+1))</f>
        <v>0</v>
      </c>
      <c r="TWP9" s="26">
        <f>IF(TWP7=0,0,IF(MAX($F9:TWO9)=$D12,0,TWO9+1))</f>
        <v>0</v>
      </c>
      <c r="TWQ9" s="26">
        <f>IF(TWQ7=0,0,IF(MAX($F9:TWP9)=$D12,0,TWP9+1))</f>
        <v>0</v>
      </c>
      <c r="TWR9" s="26">
        <f>IF(TWR7=0,0,IF(MAX($F9:TWQ9)=$D12,0,TWQ9+1))</f>
        <v>0</v>
      </c>
      <c r="TWS9" s="26">
        <f>IF(TWS7=0,0,IF(MAX($F9:TWR9)=$D12,0,TWR9+1))</f>
        <v>0</v>
      </c>
      <c r="TWT9" s="26">
        <f>IF(TWT7=0,0,IF(MAX($F9:TWS9)=$D12,0,TWS9+1))</f>
        <v>0</v>
      </c>
      <c r="TWU9" s="26">
        <f>IF(TWU7=0,0,IF(MAX($F9:TWT9)=$D12,0,TWT9+1))</f>
        <v>0</v>
      </c>
      <c r="TWV9" s="26">
        <f>IF(TWV7=0,0,IF(MAX($F9:TWU9)=$D12,0,TWU9+1))</f>
        <v>0</v>
      </c>
      <c r="TWW9" s="26">
        <f>IF(TWW7=0,0,IF(MAX($F9:TWV9)=$D12,0,TWV9+1))</f>
        <v>0</v>
      </c>
      <c r="TWX9" s="26">
        <f>IF(TWX7=0,0,IF(MAX($F9:TWW9)=$D12,0,TWW9+1))</f>
        <v>0</v>
      </c>
      <c r="TWY9" s="26">
        <f>IF(TWY7=0,0,IF(MAX($F9:TWX9)=$D12,0,TWX9+1))</f>
        <v>0</v>
      </c>
      <c r="TWZ9" s="26">
        <f>IF(TWZ7=0,0,IF(MAX($F9:TWY9)=$D12,0,TWY9+1))</f>
        <v>0</v>
      </c>
      <c r="TXA9" s="26">
        <f>IF(TXA7=0,0,IF(MAX($F9:TWZ9)=$D12,0,TWZ9+1))</f>
        <v>0</v>
      </c>
      <c r="TXB9" s="26">
        <f>IF(TXB7=0,0,IF(MAX($F9:TXA9)=$D12,0,TXA9+1))</f>
        <v>0</v>
      </c>
      <c r="TXC9" s="26">
        <f>IF(TXC7=0,0,IF(MAX($F9:TXB9)=$D12,0,TXB9+1))</f>
        <v>0</v>
      </c>
      <c r="TXD9" s="26">
        <f>IF(TXD7=0,0,IF(MAX($F9:TXC9)=$D12,0,TXC9+1))</f>
        <v>0</v>
      </c>
      <c r="TXE9" s="26">
        <f>IF(TXE7=0,0,IF(MAX($F9:TXD9)=$D12,0,TXD9+1))</f>
        <v>0</v>
      </c>
      <c r="TXF9" s="26">
        <f>IF(TXF7=0,0,IF(MAX($F9:TXE9)=$D12,0,TXE9+1))</f>
        <v>0</v>
      </c>
      <c r="TXG9" s="26">
        <f>IF(TXG7=0,0,IF(MAX($F9:TXF9)=$D12,0,TXF9+1))</f>
        <v>0</v>
      </c>
      <c r="TXH9" s="26">
        <f>IF(TXH7=0,0,IF(MAX($F9:TXG9)=$D12,0,TXG9+1))</f>
        <v>0</v>
      </c>
      <c r="TXI9" s="26">
        <f>IF(TXI7=0,0,IF(MAX($F9:TXH9)=$D12,0,TXH9+1))</f>
        <v>0</v>
      </c>
      <c r="TXJ9" s="26">
        <f>IF(TXJ7=0,0,IF(MAX($F9:TXI9)=$D12,0,TXI9+1))</f>
        <v>0</v>
      </c>
      <c r="TXK9" s="26">
        <f>IF(TXK7=0,0,IF(MAX($F9:TXJ9)=$D12,0,TXJ9+1))</f>
        <v>0</v>
      </c>
      <c r="TXL9" s="26">
        <f>IF(TXL7=0,0,IF(MAX($F9:TXK9)=$D12,0,TXK9+1))</f>
        <v>0</v>
      </c>
      <c r="TXM9" s="26">
        <f>IF(TXM7=0,0,IF(MAX($F9:TXL9)=$D12,0,TXL9+1))</f>
        <v>0</v>
      </c>
      <c r="TXN9" s="26">
        <f>IF(TXN7=0,0,IF(MAX($F9:TXM9)=$D12,0,TXM9+1))</f>
        <v>0</v>
      </c>
      <c r="TXO9" s="26">
        <f>IF(TXO7=0,0,IF(MAX($F9:TXN9)=$D12,0,TXN9+1))</f>
        <v>0</v>
      </c>
      <c r="TXP9" s="26">
        <f>IF(TXP7=0,0,IF(MAX($F9:TXO9)=$D12,0,TXO9+1))</f>
        <v>0</v>
      </c>
      <c r="TXQ9" s="26">
        <f>IF(TXQ7=0,0,IF(MAX($F9:TXP9)=$D12,0,TXP9+1))</f>
        <v>0</v>
      </c>
      <c r="TXR9" s="26">
        <f>IF(TXR7=0,0,IF(MAX($F9:TXQ9)=$D12,0,TXQ9+1))</f>
        <v>0</v>
      </c>
      <c r="TXS9" s="26">
        <f>IF(TXS7=0,0,IF(MAX($F9:TXR9)=$D12,0,TXR9+1))</f>
        <v>0</v>
      </c>
      <c r="TXT9" s="26">
        <f>IF(TXT7=0,0,IF(MAX($F9:TXS9)=$D12,0,TXS9+1))</f>
        <v>0</v>
      </c>
      <c r="TXU9" s="26">
        <f>IF(TXU7=0,0,IF(MAX($F9:TXT9)=$D12,0,TXT9+1))</f>
        <v>0</v>
      </c>
      <c r="TXV9" s="26">
        <f>IF(TXV7=0,0,IF(MAX($F9:TXU9)=$D12,0,TXU9+1))</f>
        <v>0</v>
      </c>
      <c r="TXW9" s="26">
        <f>IF(TXW7=0,0,IF(MAX($F9:TXV9)=$D12,0,TXV9+1))</f>
        <v>0</v>
      </c>
      <c r="TXX9" s="26">
        <f>IF(TXX7=0,0,IF(MAX($F9:TXW9)=$D12,0,TXW9+1))</f>
        <v>0</v>
      </c>
      <c r="TXY9" s="26">
        <f>IF(TXY7=0,0,IF(MAX($F9:TXX9)=$D12,0,TXX9+1))</f>
        <v>0</v>
      </c>
      <c r="TXZ9" s="26">
        <f>IF(TXZ7=0,0,IF(MAX($F9:TXY9)=$D12,0,TXY9+1))</f>
        <v>0</v>
      </c>
      <c r="TYA9" s="26">
        <f>IF(TYA7=0,0,IF(MAX($F9:TXZ9)=$D12,0,TXZ9+1))</f>
        <v>0</v>
      </c>
      <c r="TYB9" s="26">
        <f>IF(TYB7=0,0,IF(MAX($F9:TYA9)=$D12,0,TYA9+1))</f>
        <v>0</v>
      </c>
      <c r="TYC9" s="26">
        <f>IF(TYC7=0,0,IF(MAX($F9:TYB9)=$D12,0,TYB9+1))</f>
        <v>0</v>
      </c>
      <c r="TYD9" s="26">
        <f>IF(TYD7=0,0,IF(MAX($F9:TYC9)=$D12,0,TYC9+1))</f>
        <v>0</v>
      </c>
      <c r="TYE9" s="26">
        <f>IF(TYE7=0,0,IF(MAX($F9:TYD9)=$D12,0,TYD9+1))</f>
        <v>0</v>
      </c>
      <c r="TYF9" s="26">
        <f>IF(TYF7=0,0,IF(MAX($F9:TYE9)=$D12,0,TYE9+1))</f>
        <v>0</v>
      </c>
      <c r="TYG9" s="26">
        <f>IF(TYG7=0,0,IF(MAX($F9:TYF9)=$D12,0,TYF9+1))</f>
        <v>0</v>
      </c>
      <c r="TYH9" s="26">
        <f>IF(TYH7=0,0,IF(MAX($F9:TYG9)=$D12,0,TYG9+1))</f>
        <v>0</v>
      </c>
      <c r="TYI9" s="26">
        <f>IF(TYI7=0,0,IF(MAX($F9:TYH9)=$D12,0,TYH9+1))</f>
        <v>0</v>
      </c>
      <c r="TYJ9" s="26">
        <f>IF(TYJ7=0,0,IF(MAX($F9:TYI9)=$D12,0,TYI9+1))</f>
        <v>0</v>
      </c>
      <c r="TYK9" s="26">
        <f>IF(TYK7=0,0,IF(MAX($F9:TYJ9)=$D12,0,TYJ9+1))</f>
        <v>0</v>
      </c>
      <c r="TYL9" s="26">
        <f>IF(TYL7=0,0,IF(MAX($F9:TYK9)=$D12,0,TYK9+1))</f>
        <v>0</v>
      </c>
      <c r="TYM9" s="26">
        <f>IF(TYM7=0,0,IF(MAX($F9:TYL9)=$D12,0,TYL9+1))</f>
        <v>0</v>
      </c>
      <c r="TYN9" s="26">
        <f>IF(TYN7=0,0,IF(MAX($F9:TYM9)=$D12,0,TYM9+1))</f>
        <v>0</v>
      </c>
      <c r="TYO9" s="26">
        <f>IF(TYO7=0,0,IF(MAX($F9:TYN9)=$D12,0,TYN9+1))</f>
        <v>0</v>
      </c>
      <c r="TYP9" s="26">
        <f>IF(TYP7=0,0,IF(MAX($F9:TYO9)=$D12,0,TYO9+1))</f>
        <v>0</v>
      </c>
      <c r="TYQ9" s="26">
        <f>IF(TYQ7=0,0,IF(MAX($F9:TYP9)=$D12,0,TYP9+1))</f>
        <v>0</v>
      </c>
      <c r="TYR9" s="26">
        <f>IF(TYR7=0,0,IF(MAX($F9:TYQ9)=$D12,0,TYQ9+1))</f>
        <v>0</v>
      </c>
      <c r="TYS9" s="26">
        <f>IF(TYS7=0,0,IF(MAX($F9:TYR9)=$D12,0,TYR9+1))</f>
        <v>0</v>
      </c>
      <c r="TYT9" s="26">
        <f>IF(TYT7=0,0,IF(MAX($F9:TYS9)=$D12,0,TYS9+1))</f>
        <v>0</v>
      </c>
      <c r="TYU9" s="26">
        <f>IF(TYU7=0,0,IF(MAX($F9:TYT9)=$D12,0,TYT9+1))</f>
        <v>0</v>
      </c>
      <c r="TYV9" s="26">
        <f>IF(TYV7=0,0,IF(MAX($F9:TYU9)=$D12,0,TYU9+1))</f>
        <v>0</v>
      </c>
      <c r="TYW9" s="26">
        <f>IF(TYW7=0,0,IF(MAX($F9:TYV9)=$D12,0,TYV9+1))</f>
        <v>0</v>
      </c>
      <c r="TYX9" s="26">
        <f>IF(TYX7=0,0,IF(MAX($F9:TYW9)=$D12,0,TYW9+1))</f>
        <v>0</v>
      </c>
      <c r="TYY9" s="26">
        <f>IF(TYY7=0,0,IF(MAX($F9:TYX9)=$D12,0,TYX9+1))</f>
        <v>0</v>
      </c>
      <c r="TYZ9" s="26">
        <f>IF(TYZ7=0,0,IF(MAX($F9:TYY9)=$D12,0,TYY9+1))</f>
        <v>0</v>
      </c>
      <c r="TZA9" s="26">
        <f>IF(TZA7=0,0,IF(MAX($F9:TYZ9)=$D12,0,TYZ9+1))</f>
        <v>0</v>
      </c>
      <c r="TZB9" s="26">
        <f>IF(TZB7=0,0,IF(MAX($F9:TZA9)=$D12,0,TZA9+1))</f>
        <v>0</v>
      </c>
      <c r="TZC9" s="26">
        <f>IF(TZC7=0,0,IF(MAX($F9:TZB9)=$D12,0,TZB9+1))</f>
        <v>0</v>
      </c>
      <c r="TZD9" s="26">
        <f>IF(TZD7=0,0,IF(MAX($F9:TZC9)=$D12,0,TZC9+1))</f>
        <v>0</v>
      </c>
      <c r="TZE9" s="26">
        <f>IF(TZE7=0,0,IF(MAX($F9:TZD9)=$D12,0,TZD9+1))</f>
        <v>0</v>
      </c>
      <c r="TZF9" s="26">
        <f>IF(TZF7=0,0,IF(MAX($F9:TZE9)=$D12,0,TZE9+1))</f>
        <v>0</v>
      </c>
      <c r="TZG9" s="26">
        <f>IF(TZG7=0,0,IF(MAX($F9:TZF9)=$D12,0,TZF9+1))</f>
        <v>0</v>
      </c>
      <c r="TZH9" s="26">
        <f>IF(TZH7=0,0,IF(MAX($F9:TZG9)=$D12,0,TZG9+1))</f>
        <v>0</v>
      </c>
      <c r="TZI9" s="26">
        <f>IF(TZI7=0,0,IF(MAX($F9:TZH9)=$D12,0,TZH9+1))</f>
        <v>0</v>
      </c>
      <c r="TZJ9" s="26">
        <f>IF(TZJ7=0,0,IF(MAX($F9:TZI9)=$D12,0,TZI9+1))</f>
        <v>0</v>
      </c>
      <c r="TZK9" s="26">
        <f>IF(TZK7=0,0,IF(MAX($F9:TZJ9)=$D12,0,TZJ9+1))</f>
        <v>0</v>
      </c>
      <c r="TZL9" s="26">
        <f>IF(TZL7=0,0,IF(MAX($F9:TZK9)=$D12,0,TZK9+1))</f>
        <v>0</v>
      </c>
      <c r="TZM9" s="26">
        <f>IF(TZM7=0,0,IF(MAX($F9:TZL9)=$D12,0,TZL9+1))</f>
        <v>0</v>
      </c>
      <c r="TZN9" s="26">
        <f>IF(TZN7=0,0,IF(MAX($F9:TZM9)=$D12,0,TZM9+1))</f>
        <v>0</v>
      </c>
      <c r="TZO9" s="26">
        <f>IF(TZO7=0,0,IF(MAX($F9:TZN9)=$D12,0,TZN9+1))</f>
        <v>0</v>
      </c>
      <c r="TZP9" s="26">
        <f>IF(TZP7=0,0,IF(MAX($F9:TZO9)=$D12,0,TZO9+1))</f>
        <v>0</v>
      </c>
      <c r="TZQ9" s="26">
        <f>IF(TZQ7=0,0,IF(MAX($F9:TZP9)=$D12,0,TZP9+1))</f>
        <v>0</v>
      </c>
      <c r="TZR9" s="26">
        <f>IF(TZR7=0,0,IF(MAX($F9:TZQ9)=$D12,0,TZQ9+1))</f>
        <v>0</v>
      </c>
      <c r="TZS9" s="26">
        <f>IF(TZS7=0,0,IF(MAX($F9:TZR9)=$D12,0,TZR9+1))</f>
        <v>0</v>
      </c>
      <c r="TZT9" s="26">
        <f>IF(TZT7=0,0,IF(MAX($F9:TZS9)=$D12,0,TZS9+1))</f>
        <v>0</v>
      </c>
      <c r="TZU9" s="26">
        <f>IF(TZU7=0,0,IF(MAX($F9:TZT9)=$D12,0,TZT9+1))</f>
        <v>0</v>
      </c>
      <c r="TZV9" s="26">
        <f>IF(TZV7=0,0,IF(MAX($F9:TZU9)=$D12,0,TZU9+1))</f>
        <v>0</v>
      </c>
      <c r="TZW9" s="26">
        <f>IF(TZW7=0,0,IF(MAX($F9:TZV9)=$D12,0,TZV9+1))</f>
        <v>0</v>
      </c>
      <c r="TZX9" s="26">
        <f>IF(TZX7=0,0,IF(MAX($F9:TZW9)=$D12,0,TZW9+1))</f>
        <v>0</v>
      </c>
      <c r="TZY9" s="26">
        <f>IF(TZY7=0,0,IF(MAX($F9:TZX9)=$D12,0,TZX9+1))</f>
        <v>0</v>
      </c>
      <c r="TZZ9" s="26">
        <f>IF(TZZ7=0,0,IF(MAX($F9:TZY9)=$D12,0,TZY9+1))</f>
        <v>0</v>
      </c>
      <c r="UAA9" s="26">
        <f>IF(UAA7=0,0,IF(MAX($F9:TZZ9)=$D12,0,TZZ9+1))</f>
        <v>0</v>
      </c>
      <c r="UAB9" s="26">
        <f>IF(UAB7=0,0,IF(MAX($F9:UAA9)=$D12,0,UAA9+1))</f>
        <v>0</v>
      </c>
      <c r="UAC9" s="26">
        <f>IF(UAC7=0,0,IF(MAX($F9:UAB9)=$D12,0,UAB9+1))</f>
        <v>0</v>
      </c>
      <c r="UAD9" s="26">
        <f>IF(UAD7=0,0,IF(MAX($F9:UAC9)=$D12,0,UAC9+1))</f>
        <v>0</v>
      </c>
      <c r="UAE9" s="26">
        <f>IF(UAE7=0,0,IF(MAX($F9:UAD9)=$D12,0,UAD9+1))</f>
        <v>0</v>
      </c>
      <c r="UAF9" s="26">
        <f>IF(UAF7=0,0,IF(MAX($F9:UAE9)=$D12,0,UAE9+1))</f>
        <v>0</v>
      </c>
      <c r="UAG9" s="26">
        <f>IF(UAG7=0,0,IF(MAX($F9:UAF9)=$D12,0,UAF9+1))</f>
        <v>0</v>
      </c>
      <c r="UAH9" s="26">
        <f>IF(UAH7=0,0,IF(MAX($F9:UAG9)=$D12,0,UAG9+1))</f>
        <v>0</v>
      </c>
      <c r="UAI9" s="26">
        <f>IF(UAI7=0,0,IF(MAX($F9:UAH9)=$D12,0,UAH9+1))</f>
        <v>0</v>
      </c>
      <c r="UAJ9" s="26">
        <f>IF(UAJ7=0,0,IF(MAX($F9:UAI9)=$D12,0,UAI9+1))</f>
        <v>0</v>
      </c>
      <c r="UAK9" s="26">
        <f>IF(UAK7=0,0,IF(MAX($F9:UAJ9)=$D12,0,UAJ9+1))</f>
        <v>0</v>
      </c>
      <c r="UAL9" s="26">
        <f>IF(UAL7=0,0,IF(MAX($F9:UAK9)=$D12,0,UAK9+1))</f>
        <v>0</v>
      </c>
      <c r="UAM9" s="26">
        <f>IF(UAM7=0,0,IF(MAX($F9:UAL9)=$D12,0,UAL9+1))</f>
        <v>0</v>
      </c>
      <c r="UAN9" s="26">
        <f>IF(UAN7=0,0,IF(MAX($F9:UAM9)=$D12,0,UAM9+1))</f>
        <v>0</v>
      </c>
      <c r="UAO9" s="26">
        <f>IF(UAO7=0,0,IF(MAX($F9:UAN9)=$D12,0,UAN9+1))</f>
        <v>0</v>
      </c>
      <c r="UAP9" s="26">
        <f>IF(UAP7=0,0,IF(MAX($F9:UAO9)=$D12,0,UAO9+1))</f>
        <v>0</v>
      </c>
      <c r="UAQ9" s="26">
        <f>IF(UAQ7=0,0,IF(MAX($F9:UAP9)=$D12,0,UAP9+1))</f>
        <v>0</v>
      </c>
      <c r="UAR9" s="26">
        <f>IF(UAR7=0,0,IF(MAX($F9:UAQ9)=$D12,0,UAQ9+1))</f>
        <v>0</v>
      </c>
      <c r="UAS9" s="26">
        <f>IF(UAS7=0,0,IF(MAX($F9:UAR9)=$D12,0,UAR9+1))</f>
        <v>0</v>
      </c>
      <c r="UAT9" s="26">
        <f>IF(UAT7=0,0,IF(MAX($F9:UAS9)=$D12,0,UAS9+1))</f>
        <v>0</v>
      </c>
      <c r="UAU9" s="26">
        <f>IF(UAU7=0,0,IF(MAX($F9:UAT9)=$D12,0,UAT9+1))</f>
        <v>0</v>
      </c>
      <c r="UAV9" s="26">
        <f>IF(UAV7=0,0,IF(MAX($F9:UAU9)=$D12,0,UAU9+1))</f>
        <v>0</v>
      </c>
      <c r="UAW9" s="26">
        <f>IF(UAW7=0,0,IF(MAX($F9:UAV9)=$D12,0,UAV9+1))</f>
        <v>0</v>
      </c>
      <c r="UAX9" s="26">
        <f>IF(UAX7=0,0,IF(MAX($F9:UAW9)=$D12,0,UAW9+1))</f>
        <v>0</v>
      </c>
      <c r="UAY9" s="26">
        <f>IF(UAY7=0,0,IF(MAX($F9:UAX9)=$D12,0,UAX9+1))</f>
        <v>0</v>
      </c>
      <c r="UAZ9" s="26">
        <f>IF(UAZ7=0,0,IF(MAX($F9:UAY9)=$D12,0,UAY9+1))</f>
        <v>0</v>
      </c>
      <c r="UBA9" s="26">
        <f>IF(UBA7=0,0,IF(MAX($F9:UAZ9)=$D12,0,UAZ9+1))</f>
        <v>0</v>
      </c>
      <c r="UBB9" s="26">
        <f>IF(UBB7=0,0,IF(MAX($F9:UBA9)=$D12,0,UBA9+1))</f>
        <v>0</v>
      </c>
      <c r="UBC9" s="26">
        <f>IF(UBC7=0,0,IF(MAX($F9:UBB9)=$D12,0,UBB9+1))</f>
        <v>0</v>
      </c>
      <c r="UBD9" s="26">
        <f>IF(UBD7=0,0,IF(MAX($F9:UBC9)=$D12,0,UBC9+1))</f>
        <v>0</v>
      </c>
      <c r="UBE9" s="26">
        <f>IF(UBE7=0,0,IF(MAX($F9:UBD9)=$D12,0,UBD9+1))</f>
        <v>0</v>
      </c>
      <c r="UBF9" s="26">
        <f>IF(UBF7=0,0,IF(MAX($F9:UBE9)=$D12,0,UBE9+1))</f>
        <v>0</v>
      </c>
      <c r="UBG9" s="26">
        <f>IF(UBG7=0,0,IF(MAX($F9:UBF9)=$D12,0,UBF9+1))</f>
        <v>0</v>
      </c>
      <c r="UBH9" s="26">
        <f>IF(UBH7=0,0,IF(MAX($F9:UBG9)=$D12,0,UBG9+1))</f>
        <v>0</v>
      </c>
      <c r="UBI9" s="26">
        <f>IF(UBI7=0,0,IF(MAX($F9:UBH9)=$D12,0,UBH9+1))</f>
        <v>0</v>
      </c>
      <c r="UBJ9" s="26">
        <f>IF(UBJ7=0,0,IF(MAX($F9:UBI9)=$D12,0,UBI9+1))</f>
        <v>0</v>
      </c>
      <c r="UBK9" s="26">
        <f>IF(UBK7=0,0,IF(MAX($F9:UBJ9)=$D12,0,UBJ9+1))</f>
        <v>0</v>
      </c>
      <c r="UBL9" s="26">
        <f>IF(UBL7=0,0,IF(MAX($F9:UBK9)=$D12,0,UBK9+1))</f>
        <v>0</v>
      </c>
      <c r="UBM9" s="26">
        <f>IF(UBM7=0,0,IF(MAX($F9:UBL9)=$D12,0,UBL9+1))</f>
        <v>0</v>
      </c>
      <c r="UBN9" s="26">
        <f>IF(UBN7=0,0,IF(MAX($F9:UBM9)=$D12,0,UBM9+1))</f>
        <v>0</v>
      </c>
      <c r="UBO9" s="26">
        <f>IF(UBO7=0,0,IF(MAX($F9:UBN9)=$D12,0,UBN9+1))</f>
        <v>0</v>
      </c>
      <c r="UBP9" s="26">
        <f>IF(UBP7=0,0,IF(MAX($F9:UBO9)=$D12,0,UBO9+1))</f>
        <v>0</v>
      </c>
      <c r="UBQ9" s="26">
        <f>IF(UBQ7=0,0,IF(MAX($F9:UBP9)=$D12,0,UBP9+1))</f>
        <v>0</v>
      </c>
      <c r="UBR9" s="26">
        <f>IF(UBR7=0,0,IF(MAX($F9:UBQ9)=$D12,0,UBQ9+1))</f>
        <v>0</v>
      </c>
      <c r="UBS9" s="26">
        <f>IF(UBS7=0,0,IF(MAX($F9:UBR9)=$D12,0,UBR9+1))</f>
        <v>0</v>
      </c>
      <c r="UBT9" s="26">
        <f>IF(UBT7=0,0,IF(MAX($F9:UBS9)=$D12,0,UBS9+1))</f>
        <v>0</v>
      </c>
      <c r="UBU9" s="26">
        <f>IF(UBU7=0,0,IF(MAX($F9:UBT9)=$D12,0,UBT9+1))</f>
        <v>0</v>
      </c>
      <c r="UBV9" s="26">
        <f>IF(UBV7=0,0,IF(MAX($F9:UBU9)=$D12,0,UBU9+1))</f>
        <v>0</v>
      </c>
      <c r="UBW9" s="26">
        <f>IF(UBW7=0,0,IF(MAX($F9:UBV9)=$D12,0,UBV9+1))</f>
        <v>0</v>
      </c>
      <c r="UBX9" s="26">
        <f>IF(UBX7=0,0,IF(MAX($F9:UBW9)=$D12,0,UBW9+1))</f>
        <v>0</v>
      </c>
      <c r="UBY9" s="26">
        <f>IF(UBY7=0,0,IF(MAX($F9:UBX9)=$D12,0,UBX9+1))</f>
        <v>0</v>
      </c>
      <c r="UBZ9" s="26">
        <f>IF(UBZ7=0,0,IF(MAX($F9:UBY9)=$D12,0,UBY9+1))</f>
        <v>0</v>
      </c>
      <c r="UCA9" s="26">
        <f>IF(UCA7=0,0,IF(MAX($F9:UBZ9)=$D12,0,UBZ9+1))</f>
        <v>0</v>
      </c>
      <c r="UCB9" s="26">
        <f>IF(UCB7=0,0,IF(MAX($F9:UCA9)=$D12,0,UCA9+1))</f>
        <v>0</v>
      </c>
      <c r="UCC9" s="26">
        <f>IF(UCC7=0,0,IF(MAX($F9:UCB9)=$D12,0,UCB9+1))</f>
        <v>0</v>
      </c>
      <c r="UCD9" s="26">
        <f>IF(UCD7=0,0,IF(MAX($F9:UCC9)=$D12,0,UCC9+1))</f>
        <v>0</v>
      </c>
      <c r="UCE9" s="26">
        <f>IF(UCE7=0,0,IF(MAX($F9:UCD9)=$D12,0,UCD9+1))</f>
        <v>0</v>
      </c>
      <c r="UCF9" s="26">
        <f>IF(UCF7=0,0,IF(MAX($F9:UCE9)=$D12,0,UCE9+1))</f>
        <v>0</v>
      </c>
      <c r="UCG9" s="26">
        <f>IF(UCG7=0,0,IF(MAX($F9:UCF9)=$D12,0,UCF9+1))</f>
        <v>0</v>
      </c>
      <c r="UCH9" s="26">
        <f>IF(UCH7=0,0,IF(MAX($F9:UCG9)=$D12,0,UCG9+1))</f>
        <v>0</v>
      </c>
      <c r="UCI9" s="26">
        <f>IF(UCI7=0,0,IF(MAX($F9:UCH9)=$D12,0,UCH9+1))</f>
        <v>0</v>
      </c>
      <c r="UCJ9" s="26">
        <f>IF(UCJ7=0,0,IF(MAX($F9:UCI9)=$D12,0,UCI9+1))</f>
        <v>0</v>
      </c>
      <c r="UCK9" s="26">
        <f>IF(UCK7=0,0,IF(MAX($F9:UCJ9)=$D12,0,UCJ9+1))</f>
        <v>0</v>
      </c>
      <c r="UCL9" s="26">
        <f>IF(UCL7=0,0,IF(MAX($F9:UCK9)=$D12,0,UCK9+1))</f>
        <v>0</v>
      </c>
      <c r="UCM9" s="26">
        <f>IF(UCM7=0,0,IF(MAX($F9:UCL9)=$D12,0,UCL9+1))</f>
        <v>0</v>
      </c>
      <c r="UCN9" s="26">
        <f>IF(UCN7=0,0,IF(MAX($F9:UCM9)=$D12,0,UCM9+1))</f>
        <v>0</v>
      </c>
      <c r="UCO9" s="26">
        <f>IF(UCO7=0,0,IF(MAX($F9:UCN9)=$D12,0,UCN9+1))</f>
        <v>0</v>
      </c>
      <c r="UCP9" s="26">
        <f>IF(UCP7=0,0,IF(MAX($F9:UCO9)=$D12,0,UCO9+1))</f>
        <v>0</v>
      </c>
      <c r="UCQ9" s="26">
        <f>IF(UCQ7=0,0,IF(MAX($F9:UCP9)=$D12,0,UCP9+1))</f>
        <v>0</v>
      </c>
      <c r="UCR9" s="26">
        <f>IF(UCR7=0,0,IF(MAX($F9:UCQ9)=$D12,0,UCQ9+1))</f>
        <v>0</v>
      </c>
      <c r="UCS9" s="26">
        <f>IF(UCS7=0,0,IF(MAX($F9:UCR9)=$D12,0,UCR9+1))</f>
        <v>0</v>
      </c>
      <c r="UCT9" s="26">
        <f>IF(UCT7=0,0,IF(MAX($F9:UCS9)=$D12,0,UCS9+1))</f>
        <v>0</v>
      </c>
      <c r="UCU9" s="26">
        <f>IF(UCU7=0,0,IF(MAX($F9:UCT9)=$D12,0,UCT9+1))</f>
        <v>0</v>
      </c>
      <c r="UCV9" s="26">
        <f>IF(UCV7=0,0,IF(MAX($F9:UCU9)=$D12,0,UCU9+1))</f>
        <v>0</v>
      </c>
      <c r="UCW9" s="26">
        <f>IF(UCW7=0,0,IF(MAX($F9:UCV9)=$D12,0,UCV9+1))</f>
        <v>0</v>
      </c>
      <c r="UCX9" s="26">
        <f>IF(UCX7=0,0,IF(MAX($F9:UCW9)=$D12,0,UCW9+1))</f>
        <v>0</v>
      </c>
      <c r="UCY9" s="26">
        <f>IF(UCY7=0,0,IF(MAX($F9:UCX9)=$D12,0,UCX9+1))</f>
        <v>0</v>
      </c>
      <c r="UCZ9" s="26">
        <f>IF(UCZ7=0,0,IF(MAX($F9:UCY9)=$D12,0,UCY9+1))</f>
        <v>0</v>
      </c>
      <c r="UDA9" s="26">
        <f>IF(UDA7=0,0,IF(MAX($F9:UCZ9)=$D12,0,UCZ9+1))</f>
        <v>0</v>
      </c>
      <c r="UDB9" s="26">
        <f>IF(UDB7=0,0,IF(MAX($F9:UDA9)=$D12,0,UDA9+1))</f>
        <v>0</v>
      </c>
      <c r="UDC9" s="26">
        <f>IF(UDC7=0,0,IF(MAX($F9:UDB9)=$D12,0,UDB9+1))</f>
        <v>0</v>
      </c>
      <c r="UDD9" s="26">
        <f>IF(UDD7=0,0,IF(MAX($F9:UDC9)=$D12,0,UDC9+1))</f>
        <v>0</v>
      </c>
      <c r="UDE9" s="26">
        <f>IF(UDE7=0,0,IF(MAX($F9:UDD9)=$D12,0,UDD9+1))</f>
        <v>0</v>
      </c>
      <c r="UDF9" s="26">
        <f>IF(UDF7=0,0,IF(MAX($F9:UDE9)=$D12,0,UDE9+1))</f>
        <v>0</v>
      </c>
      <c r="UDG9" s="26">
        <f>IF(UDG7=0,0,IF(MAX($F9:UDF9)=$D12,0,UDF9+1))</f>
        <v>0</v>
      </c>
      <c r="UDH9" s="26">
        <f>IF(UDH7=0,0,IF(MAX($F9:UDG9)=$D12,0,UDG9+1))</f>
        <v>0</v>
      </c>
      <c r="UDI9" s="26">
        <f>IF(UDI7=0,0,IF(MAX($F9:UDH9)=$D12,0,UDH9+1))</f>
        <v>0</v>
      </c>
      <c r="UDJ9" s="26">
        <f>IF(UDJ7=0,0,IF(MAX($F9:UDI9)=$D12,0,UDI9+1))</f>
        <v>0</v>
      </c>
      <c r="UDK9" s="26">
        <f>IF(UDK7=0,0,IF(MAX($F9:UDJ9)=$D12,0,UDJ9+1))</f>
        <v>0</v>
      </c>
      <c r="UDL9" s="26">
        <f>IF(UDL7=0,0,IF(MAX($F9:UDK9)=$D12,0,UDK9+1))</f>
        <v>0</v>
      </c>
      <c r="UDM9" s="26">
        <f>IF(UDM7=0,0,IF(MAX($F9:UDL9)=$D12,0,UDL9+1))</f>
        <v>0</v>
      </c>
      <c r="UDN9" s="26">
        <f>IF(UDN7=0,0,IF(MAX($F9:UDM9)=$D12,0,UDM9+1))</f>
        <v>0</v>
      </c>
      <c r="UDO9" s="26">
        <f>IF(UDO7=0,0,IF(MAX($F9:UDN9)=$D12,0,UDN9+1))</f>
        <v>0</v>
      </c>
      <c r="UDP9" s="26">
        <f>IF(UDP7=0,0,IF(MAX($F9:UDO9)=$D12,0,UDO9+1))</f>
        <v>0</v>
      </c>
      <c r="UDQ9" s="26">
        <f>IF(UDQ7=0,0,IF(MAX($F9:UDP9)=$D12,0,UDP9+1))</f>
        <v>0</v>
      </c>
      <c r="UDR9" s="26">
        <f>IF(UDR7=0,0,IF(MAX($F9:UDQ9)=$D12,0,UDQ9+1))</f>
        <v>0</v>
      </c>
      <c r="UDS9" s="26">
        <f>IF(UDS7=0,0,IF(MAX($F9:UDR9)=$D12,0,UDR9+1))</f>
        <v>0</v>
      </c>
      <c r="UDT9" s="26">
        <f>IF(UDT7=0,0,IF(MAX($F9:UDS9)=$D12,0,UDS9+1))</f>
        <v>0</v>
      </c>
      <c r="UDU9" s="26">
        <f>IF(UDU7=0,0,IF(MAX($F9:UDT9)=$D12,0,UDT9+1))</f>
        <v>0</v>
      </c>
      <c r="UDV9" s="26">
        <f>IF(UDV7=0,0,IF(MAX($F9:UDU9)=$D12,0,UDU9+1))</f>
        <v>0</v>
      </c>
      <c r="UDW9" s="26">
        <f>IF(UDW7=0,0,IF(MAX($F9:UDV9)=$D12,0,UDV9+1))</f>
        <v>0</v>
      </c>
      <c r="UDX9" s="26">
        <f>IF(UDX7=0,0,IF(MAX($F9:UDW9)=$D12,0,UDW9+1))</f>
        <v>0</v>
      </c>
      <c r="UDY9" s="26">
        <f>IF(UDY7=0,0,IF(MAX($F9:UDX9)=$D12,0,UDX9+1))</f>
        <v>0</v>
      </c>
      <c r="UDZ9" s="26">
        <f>IF(UDZ7=0,0,IF(MAX($F9:UDY9)=$D12,0,UDY9+1))</f>
        <v>0</v>
      </c>
      <c r="UEA9" s="26">
        <f>IF(UEA7=0,0,IF(MAX($F9:UDZ9)=$D12,0,UDZ9+1))</f>
        <v>0</v>
      </c>
      <c r="UEB9" s="26">
        <f>IF(UEB7=0,0,IF(MAX($F9:UEA9)=$D12,0,UEA9+1))</f>
        <v>0</v>
      </c>
      <c r="UEC9" s="26">
        <f>IF(UEC7=0,0,IF(MAX($F9:UEB9)=$D12,0,UEB9+1))</f>
        <v>0</v>
      </c>
      <c r="UED9" s="26">
        <f>IF(UED7=0,0,IF(MAX($F9:UEC9)=$D12,0,UEC9+1))</f>
        <v>0</v>
      </c>
      <c r="UEE9" s="26">
        <f>IF(UEE7=0,0,IF(MAX($F9:UED9)=$D12,0,UED9+1))</f>
        <v>0</v>
      </c>
      <c r="UEF9" s="26">
        <f>IF(UEF7=0,0,IF(MAX($F9:UEE9)=$D12,0,UEE9+1))</f>
        <v>0</v>
      </c>
      <c r="UEG9" s="26">
        <f>IF(UEG7=0,0,IF(MAX($F9:UEF9)=$D12,0,UEF9+1))</f>
        <v>0</v>
      </c>
      <c r="UEH9" s="26">
        <f>IF(UEH7=0,0,IF(MAX($F9:UEG9)=$D12,0,UEG9+1))</f>
        <v>0</v>
      </c>
      <c r="UEI9" s="26">
        <f>IF(UEI7=0,0,IF(MAX($F9:UEH9)=$D12,0,UEH9+1))</f>
        <v>0</v>
      </c>
      <c r="UEJ9" s="26">
        <f>IF(UEJ7=0,0,IF(MAX($F9:UEI9)=$D12,0,UEI9+1))</f>
        <v>0</v>
      </c>
      <c r="UEK9" s="26">
        <f>IF(UEK7=0,0,IF(MAX($F9:UEJ9)=$D12,0,UEJ9+1))</f>
        <v>0</v>
      </c>
      <c r="UEL9" s="26">
        <f>IF(UEL7=0,0,IF(MAX($F9:UEK9)=$D12,0,UEK9+1))</f>
        <v>0</v>
      </c>
      <c r="UEM9" s="26">
        <f>IF(UEM7=0,0,IF(MAX($F9:UEL9)=$D12,0,UEL9+1))</f>
        <v>0</v>
      </c>
      <c r="UEN9" s="26">
        <f>IF(UEN7=0,0,IF(MAX($F9:UEM9)=$D12,0,UEM9+1))</f>
        <v>0</v>
      </c>
      <c r="UEO9" s="26">
        <f>IF(UEO7=0,0,IF(MAX($F9:UEN9)=$D12,0,UEN9+1))</f>
        <v>0</v>
      </c>
      <c r="UEP9" s="26">
        <f>IF(UEP7=0,0,IF(MAX($F9:UEO9)=$D12,0,UEO9+1))</f>
        <v>0</v>
      </c>
      <c r="UEQ9" s="26">
        <f>IF(UEQ7=0,0,IF(MAX($F9:UEP9)=$D12,0,UEP9+1))</f>
        <v>0</v>
      </c>
      <c r="UER9" s="26">
        <f>IF(UER7=0,0,IF(MAX($F9:UEQ9)=$D12,0,UEQ9+1))</f>
        <v>0</v>
      </c>
      <c r="UES9" s="26">
        <f>IF(UES7=0,0,IF(MAX($F9:UER9)=$D12,0,UER9+1))</f>
        <v>0</v>
      </c>
      <c r="UET9" s="26">
        <f>IF(UET7=0,0,IF(MAX($F9:UES9)=$D12,0,UES9+1))</f>
        <v>0</v>
      </c>
      <c r="UEU9" s="26">
        <f>IF(UEU7=0,0,IF(MAX($F9:UET9)=$D12,0,UET9+1))</f>
        <v>0</v>
      </c>
      <c r="UEV9" s="26">
        <f>IF(UEV7=0,0,IF(MAX($F9:UEU9)=$D12,0,UEU9+1))</f>
        <v>0</v>
      </c>
      <c r="UEW9" s="26">
        <f>IF(UEW7=0,0,IF(MAX($F9:UEV9)=$D12,0,UEV9+1))</f>
        <v>0</v>
      </c>
      <c r="UEX9" s="26">
        <f>IF(UEX7=0,0,IF(MAX($F9:UEW9)=$D12,0,UEW9+1))</f>
        <v>0</v>
      </c>
      <c r="UEY9" s="26">
        <f>IF(UEY7=0,0,IF(MAX($F9:UEX9)=$D12,0,UEX9+1))</f>
        <v>0</v>
      </c>
      <c r="UEZ9" s="26">
        <f>IF(UEZ7=0,0,IF(MAX($F9:UEY9)=$D12,0,UEY9+1))</f>
        <v>0</v>
      </c>
      <c r="UFA9" s="26">
        <f>IF(UFA7=0,0,IF(MAX($F9:UEZ9)=$D12,0,UEZ9+1))</f>
        <v>0</v>
      </c>
      <c r="UFB9" s="26">
        <f>IF(UFB7=0,0,IF(MAX($F9:UFA9)=$D12,0,UFA9+1))</f>
        <v>0</v>
      </c>
      <c r="UFC9" s="26">
        <f>IF(UFC7=0,0,IF(MAX($F9:UFB9)=$D12,0,UFB9+1))</f>
        <v>0</v>
      </c>
      <c r="UFD9" s="26">
        <f>IF(UFD7=0,0,IF(MAX($F9:UFC9)=$D12,0,UFC9+1))</f>
        <v>0</v>
      </c>
      <c r="UFE9" s="26">
        <f>IF(UFE7=0,0,IF(MAX($F9:UFD9)=$D12,0,UFD9+1))</f>
        <v>0</v>
      </c>
      <c r="UFF9" s="26">
        <f>IF(UFF7=0,0,IF(MAX($F9:UFE9)=$D12,0,UFE9+1))</f>
        <v>0</v>
      </c>
      <c r="UFG9" s="26">
        <f>IF(UFG7=0,0,IF(MAX($F9:UFF9)=$D12,0,UFF9+1))</f>
        <v>0</v>
      </c>
      <c r="UFH9" s="26">
        <f>IF(UFH7=0,0,IF(MAX($F9:UFG9)=$D12,0,UFG9+1))</f>
        <v>0</v>
      </c>
      <c r="UFI9" s="26">
        <f>IF(UFI7=0,0,IF(MAX($F9:UFH9)=$D12,0,UFH9+1))</f>
        <v>0</v>
      </c>
      <c r="UFJ9" s="26">
        <f>IF(UFJ7=0,0,IF(MAX($F9:UFI9)=$D12,0,UFI9+1))</f>
        <v>0</v>
      </c>
      <c r="UFK9" s="26">
        <f>IF(UFK7=0,0,IF(MAX($F9:UFJ9)=$D12,0,UFJ9+1))</f>
        <v>0</v>
      </c>
      <c r="UFL9" s="26">
        <f>IF(UFL7=0,0,IF(MAX($F9:UFK9)=$D12,0,UFK9+1))</f>
        <v>0</v>
      </c>
      <c r="UFM9" s="26">
        <f>IF(UFM7=0,0,IF(MAX($F9:UFL9)=$D12,0,UFL9+1))</f>
        <v>0</v>
      </c>
      <c r="UFN9" s="26">
        <f>IF(UFN7=0,0,IF(MAX($F9:UFM9)=$D12,0,UFM9+1))</f>
        <v>0</v>
      </c>
      <c r="UFO9" s="26">
        <f>IF(UFO7=0,0,IF(MAX($F9:UFN9)=$D12,0,UFN9+1))</f>
        <v>0</v>
      </c>
      <c r="UFP9" s="26">
        <f>IF(UFP7=0,0,IF(MAX($F9:UFO9)=$D12,0,UFO9+1))</f>
        <v>0</v>
      </c>
      <c r="UFQ9" s="26">
        <f>IF(UFQ7=0,0,IF(MAX($F9:UFP9)=$D12,0,UFP9+1))</f>
        <v>0</v>
      </c>
      <c r="UFR9" s="26">
        <f>IF(UFR7=0,0,IF(MAX($F9:UFQ9)=$D12,0,UFQ9+1))</f>
        <v>0</v>
      </c>
      <c r="UFS9" s="26">
        <f>IF(UFS7=0,0,IF(MAX($F9:UFR9)=$D12,0,UFR9+1))</f>
        <v>0</v>
      </c>
      <c r="UFT9" s="26">
        <f>IF(UFT7=0,0,IF(MAX($F9:UFS9)=$D12,0,UFS9+1))</f>
        <v>0</v>
      </c>
      <c r="UFU9" s="26">
        <f>IF(UFU7=0,0,IF(MAX($F9:UFT9)=$D12,0,UFT9+1))</f>
        <v>0</v>
      </c>
      <c r="UFV9" s="26">
        <f>IF(UFV7=0,0,IF(MAX($F9:UFU9)=$D12,0,UFU9+1))</f>
        <v>0</v>
      </c>
      <c r="UFW9" s="26">
        <f>IF(UFW7=0,0,IF(MAX($F9:UFV9)=$D12,0,UFV9+1))</f>
        <v>0</v>
      </c>
      <c r="UFX9" s="26">
        <f>IF(UFX7=0,0,IF(MAX($F9:UFW9)=$D12,0,UFW9+1))</f>
        <v>0</v>
      </c>
      <c r="UFY9" s="26">
        <f>IF(UFY7=0,0,IF(MAX($F9:UFX9)=$D12,0,UFX9+1))</f>
        <v>0</v>
      </c>
      <c r="UFZ9" s="26">
        <f>IF(UFZ7=0,0,IF(MAX($F9:UFY9)=$D12,0,UFY9+1))</f>
        <v>0</v>
      </c>
      <c r="UGA9" s="26">
        <f>IF(UGA7=0,0,IF(MAX($F9:UFZ9)=$D12,0,UFZ9+1))</f>
        <v>0</v>
      </c>
      <c r="UGB9" s="26">
        <f>IF(UGB7=0,0,IF(MAX($F9:UGA9)=$D12,0,UGA9+1))</f>
        <v>0</v>
      </c>
      <c r="UGC9" s="26">
        <f>IF(UGC7=0,0,IF(MAX($F9:UGB9)=$D12,0,UGB9+1))</f>
        <v>0</v>
      </c>
      <c r="UGD9" s="26">
        <f>IF(UGD7=0,0,IF(MAX($F9:UGC9)=$D12,0,UGC9+1))</f>
        <v>0</v>
      </c>
      <c r="UGE9" s="26">
        <f>IF(UGE7=0,0,IF(MAX($F9:UGD9)=$D12,0,UGD9+1))</f>
        <v>0</v>
      </c>
      <c r="UGF9" s="26">
        <f>IF(UGF7=0,0,IF(MAX($F9:UGE9)=$D12,0,UGE9+1))</f>
        <v>0</v>
      </c>
      <c r="UGG9" s="26">
        <f>IF(UGG7=0,0,IF(MAX($F9:UGF9)=$D12,0,UGF9+1))</f>
        <v>0</v>
      </c>
      <c r="UGH9" s="26">
        <f>IF(UGH7=0,0,IF(MAX($F9:UGG9)=$D12,0,UGG9+1))</f>
        <v>0</v>
      </c>
      <c r="UGI9" s="26">
        <f>IF(UGI7=0,0,IF(MAX($F9:UGH9)=$D12,0,UGH9+1))</f>
        <v>0</v>
      </c>
      <c r="UGJ9" s="26">
        <f>IF(UGJ7=0,0,IF(MAX($F9:UGI9)=$D12,0,UGI9+1))</f>
        <v>0</v>
      </c>
      <c r="UGK9" s="26">
        <f>IF(UGK7=0,0,IF(MAX($F9:UGJ9)=$D12,0,UGJ9+1))</f>
        <v>0</v>
      </c>
      <c r="UGL9" s="26">
        <f>IF(UGL7=0,0,IF(MAX($F9:UGK9)=$D12,0,UGK9+1))</f>
        <v>0</v>
      </c>
      <c r="UGM9" s="26">
        <f>IF(UGM7=0,0,IF(MAX($F9:UGL9)=$D12,0,UGL9+1))</f>
        <v>0</v>
      </c>
      <c r="UGN9" s="26">
        <f>IF(UGN7=0,0,IF(MAX($F9:UGM9)=$D12,0,UGM9+1))</f>
        <v>0</v>
      </c>
      <c r="UGO9" s="26">
        <f>IF(UGO7=0,0,IF(MAX($F9:UGN9)=$D12,0,UGN9+1))</f>
        <v>0</v>
      </c>
      <c r="UGP9" s="26">
        <f>IF(UGP7=0,0,IF(MAX($F9:UGO9)=$D12,0,UGO9+1))</f>
        <v>0</v>
      </c>
      <c r="UGQ9" s="26">
        <f>IF(UGQ7=0,0,IF(MAX($F9:UGP9)=$D12,0,UGP9+1))</f>
        <v>0</v>
      </c>
      <c r="UGR9" s="26">
        <f>IF(UGR7=0,0,IF(MAX($F9:UGQ9)=$D12,0,UGQ9+1))</f>
        <v>0</v>
      </c>
      <c r="UGS9" s="26">
        <f>IF(UGS7=0,0,IF(MAX($F9:UGR9)=$D12,0,UGR9+1))</f>
        <v>0</v>
      </c>
      <c r="UGT9" s="26">
        <f>IF(UGT7=0,0,IF(MAX($F9:UGS9)=$D12,0,UGS9+1))</f>
        <v>0</v>
      </c>
      <c r="UGU9" s="26">
        <f>IF(UGU7=0,0,IF(MAX($F9:UGT9)=$D12,0,UGT9+1))</f>
        <v>0</v>
      </c>
      <c r="UGV9" s="26">
        <f>IF(UGV7=0,0,IF(MAX($F9:UGU9)=$D12,0,UGU9+1))</f>
        <v>0</v>
      </c>
      <c r="UGW9" s="26">
        <f>IF(UGW7=0,0,IF(MAX($F9:UGV9)=$D12,0,UGV9+1))</f>
        <v>0</v>
      </c>
      <c r="UGX9" s="26">
        <f>IF(UGX7=0,0,IF(MAX($F9:UGW9)=$D12,0,UGW9+1))</f>
        <v>0</v>
      </c>
      <c r="UGY9" s="26">
        <f>IF(UGY7=0,0,IF(MAX($F9:UGX9)=$D12,0,UGX9+1))</f>
        <v>0</v>
      </c>
      <c r="UGZ9" s="26">
        <f>IF(UGZ7=0,0,IF(MAX($F9:UGY9)=$D12,0,UGY9+1))</f>
        <v>0</v>
      </c>
      <c r="UHA9" s="26">
        <f>IF(UHA7=0,0,IF(MAX($F9:UGZ9)=$D12,0,UGZ9+1))</f>
        <v>0</v>
      </c>
      <c r="UHB9" s="26">
        <f>IF(UHB7=0,0,IF(MAX($F9:UHA9)=$D12,0,UHA9+1))</f>
        <v>0</v>
      </c>
      <c r="UHC9" s="26">
        <f>IF(UHC7=0,0,IF(MAX($F9:UHB9)=$D12,0,UHB9+1))</f>
        <v>0</v>
      </c>
      <c r="UHD9" s="26">
        <f>IF(UHD7=0,0,IF(MAX($F9:UHC9)=$D12,0,UHC9+1))</f>
        <v>0</v>
      </c>
      <c r="UHE9" s="26">
        <f>IF(UHE7=0,0,IF(MAX($F9:UHD9)=$D12,0,UHD9+1))</f>
        <v>0</v>
      </c>
      <c r="UHF9" s="26">
        <f>IF(UHF7=0,0,IF(MAX($F9:UHE9)=$D12,0,UHE9+1))</f>
        <v>0</v>
      </c>
      <c r="UHG9" s="26">
        <f>IF(UHG7=0,0,IF(MAX($F9:UHF9)=$D12,0,UHF9+1))</f>
        <v>0</v>
      </c>
      <c r="UHH9" s="26">
        <f>IF(UHH7=0,0,IF(MAX($F9:UHG9)=$D12,0,UHG9+1))</f>
        <v>0</v>
      </c>
      <c r="UHI9" s="26">
        <f>IF(UHI7=0,0,IF(MAX($F9:UHH9)=$D12,0,UHH9+1))</f>
        <v>0</v>
      </c>
      <c r="UHJ9" s="26">
        <f>IF(UHJ7=0,0,IF(MAX($F9:UHI9)=$D12,0,UHI9+1))</f>
        <v>0</v>
      </c>
      <c r="UHK9" s="26">
        <f>IF(UHK7=0,0,IF(MAX($F9:UHJ9)=$D12,0,UHJ9+1))</f>
        <v>0</v>
      </c>
      <c r="UHL9" s="26">
        <f>IF(UHL7=0,0,IF(MAX($F9:UHK9)=$D12,0,UHK9+1))</f>
        <v>0</v>
      </c>
      <c r="UHM9" s="26">
        <f>IF(UHM7=0,0,IF(MAX($F9:UHL9)=$D12,0,UHL9+1))</f>
        <v>0</v>
      </c>
      <c r="UHN9" s="26">
        <f>IF(UHN7=0,0,IF(MAX($F9:UHM9)=$D12,0,UHM9+1))</f>
        <v>0</v>
      </c>
      <c r="UHO9" s="26">
        <f>IF(UHO7=0,0,IF(MAX($F9:UHN9)=$D12,0,UHN9+1))</f>
        <v>0</v>
      </c>
      <c r="UHP9" s="26">
        <f>IF(UHP7=0,0,IF(MAX($F9:UHO9)=$D12,0,UHO9+1))</f>
        <v>0</v>
      </c>
      <c r="UHQ9" s="26">
        <f>IF(UHQ7=0,0,IF(MAX($F9:UHP9)=$D12,0,UHP9+1))</f>
        <v>0</v>
      </c>
      <c r="UHR9" s="26">
        <f>IF(UHR7=0,0,IF(MAX($F9:UHQ9)=$D12,0,UHQ9+1))</f>
        <v>0</v>
      </c>
      <c r="UHS9" s="26">
        <f>IF(UHS7=0,0,IF(MAX($F9:UHR9)=$D12,0,UHR9+1))</f>
        <v>0</v>
      </c>
      <c r="UHT9" s="26">
        <f>IF(UHT7=0,0,IF(MAX($F9:UHS9)=$D12,0,UHS9+1))</f>
        <v>0</v>
      </c>
      <c r="UHU9" s="26">
        <f>IF(UHU7=0,0,IF(MAX($F9:UHT9)=$D12,0,UHT9+1))</f>
        <v>0</v>
      </c>
      <c r="UHV9" s="26">
        <f>IF(UHV7=0,0,IF(MAX($F9:UHU9)=$D12,0,UHU9+1))</f>
        <v>0</v>
      </c>
      <c r="UHW9" s="26">
        <f>IF(UHW7=0,0,IF(MAX($F9:UHV9)=$D12,0,UHV9+1))</f>
        <v>0</v>
      </c>
      <c r="UHX9" s="26">
        <f>IF(UHX7=0,0,IF(MAX($F9:UHW9)=$D12,0,UHW9+1))</f>
        <v>0</v>
      </c>
      <c r="UHY9" s="26">
        <f>IF(UHY7=0,0,IF(MAX($F9:UHX9)=$D12,0,UHX9+1))</f>
        <v>0</v>
      </c>
      <c r="UHZ9" s="26">
        <f>IF(UHZ7=0,0,IF(MAX($F9:UHY9)=$D12,0,UHY9+1))</f>
        <v>0</v>
      </c>
      <c r="UIA9" s="26">
        <f>IF(UIA7=0,0,IF(MAX($F9:UHZ9)=$D12,0,UHZ9+1))</f>
        <v>0</v>
      </c>
      <c r="UIB9" s="26">
        <f>IF(UIB7=0,0,IF(MAX($F9:UIA9)=$D12,0,UIA9+1))</f>
        <v>0</v>
      </c>
      <c r="UIC9" s="26">
        <f>IF(UIC7=0,0,IF(MAX($F9:UIB9)=$D12,0,UIB9+1))</f>
        <v>0</v>
      </c>
      <c r="UID9" s="26">
        <f>IF(UID7=0,0,IF(MAX($F9:UIC9)=$D12,0,UIC9+1))</f>
        <v>0</v>
      </c>
      <c r="UIE9" s="26">
        <f>IF(UIE7=0,0,IF(MAX($F9:UID9)=$D12,0,UID9+1))</f>
        <v>0</v>
      </c>
      <c r="UIF9" s="26">
        <f>IF(UIF7=0,0,IF(MAX($F9:UIE9)=$D12,0,UIE9+1))</f>
        <v>0</v>
      </c>
      <c r="UIG9" s="26">
        <f>IF(UIG7=0,0,IF(MAX($F9:UIF9)=$D12,0,UIF9+1))</f>
        <v>0</v>
      </c>
      <c r="UIH9" s="26">
        <f>IF(UIH7=0,0,IF(MAX($F9:UIG9)=$D12,0,UIG9+1))</f>
        <v>0</v>
      </c>
      <c r="UII9" s="26">
        <f>IF(UII7=0,0,IF(MAX($F9:UIH9)=$D12,0,UIH9+1))</f>
        <v>0</v>
      </c>
      <c r="UIJ9" s="26">
        <f>IF(UIJ7=0,0,IF(MAX($F9:UII9)=$D12,0,UII9+1))</f>
        <v>0</v>
      </c>
      <c r="UIK9" s="26">
        <f>IF(UIK7=0,0,IF(MAX($F9:UIJ9)=$D12,0,UIJ9+1))</f>
        <v>0</v>
      </c>
      <c r="UIL9" s="26">
        <f>IF(UIL7=0,0,IF(MAX($F9:UIK9)=$D12,0,UIK9+1))</f>
        <v>0</v>
      </c>
      <c r="UIM9" s="26">
        <f>IF(UIM7=0,0,IF(MAX($F9:UIL9)=$D12,0,UIL9+1))</f>
        <v>0</v>
      </c>
      <c r="UIN9" s="26">
        <f>IF(UIN7=0,0,IF(MAX($F9:UIM9)=$D12,0,UIM9+1))</f>
        <v>0</v>
      </c>
      <c r="UIO9" s="26">
        <f>IF(UIO7=0,0,IF(MAX($F9:UIN9)=$D12,0,UIN9+1))</f>
        <v>0</v>
      </c>
      <c r="UIP9" s="26">
        <f>IF(UIP7=0,0,IF(MAX($F9:UIO9)=$D12,0,UIO9+1))</f>
        <v>0</v>
      </c>
      <c r="UIQ9" s="26">
        <f>IF(UIQ7=0,0,IF(MAX($F9:UIP9)=$D12,0,UIP9+1))</f>
        <v>0</v>
      </c>
      <c r="UIR9" s="26">
        <f>IF(UIR7=0,0,IF(MAX($F9:UIQ9)=$D12,0,UIQ9+1))</f>
        <v>0</v>
      </c>
      <c r="UIS9" s="26">
        <f>IF(UIS7=0,0,IF(MAX($F9:UIR9)=$D12,0,UIR9+1))</f>
        <v>0</v>
      </c>
      <c r="UIT9" s="26">
        <f>IF(UIT7=0,0,IF(MAX($F9:UIS9)=$D12,0,UIS9+1))</f>
        <v>0</v>
      </c>
      <c r="UIU9" s="26">
        <f>IF(UIU7=0,0,IF(MAX($F9:UIT9)=$D12,0,UIT9+1))</f>
        <v>0</v>
      </c>
      <c r="UIV9" s="26">
        <f>IF(UIV7=0,0,IF(MAX($F9:UIU9)=$D12,0,UIU9+1))</f>
        <v>0</v>
      </c>
      <c r="UIW9" s="26">
        <f>IF(UIW7=0,0,IF(MAX($F9:UIV9)=$D12,0,UIV9+1))</f>
        <v>0</v>
      </c>
      <c r="UIX9" s="26">
        <f>IF(UIX7=0,0,IF(MAX($F9:UIW9)=$D12,0,UIW9+1))</f>
        <v>0</v>
      </c>
      <c r="UIY9" s="26">
        <f>IF(UIY7=0,0,IF(MAX($F9:UIX9)=$D12,0,UIX9+1))</f>
        <v>0</v>
      </c>
      <c r="UIZ9" s="26">
        <f>IF(UIZ7=0,0,IF(MAX($F9:UIY9)=$D12,0,UIY9+1))</f>
        <v>0</v>
      </c>
      <c r="UJA9" s="26">
        <f>IF(UJA7=0,0,IF(MAX($F9:UIZ9)=$D12,0,UIZ9+1))</f>
        <v>0</v>
      </c>
      <c r="UJB9" s="26">
        <f>IF(UJB7=0,0,IF(MAX($F9:UJA9)=$D12,0,UJA9+1))</f>
        <v>0</v>
      </c>
      <c r="UJC9" s="26">
        <f>IF(UJC7=0,0,IF(MAX($F9:UJB9)=$D12,0,UJB9+1))</f>
        <v>0</v>
      </c>
      <c r="UJD9" s="26">
        <f>IF(UJD7=0,0,IF(MAX($F9:UJC9)=$D12,0,UJC9+1))</f>
        <v>0</v>
      </c>
      <c r="UJE9" s="26">
        <f>IF(UJE7=0,0,IF(MAX($F9:UJD9)=$D12,0,UJD9+1))</f>
        <v>0</v>
      </c>
      <c r="UJF9" s="26">
        <f>IF(UJF7=0,0,IF(MAX($F9:UJE9)=$D12,0,UJE9+1))</f>
        <v>0</v>
      </c>
      <c r="UJG9" s="26">
        <f>IF(UJG7=0,0,IF(MAX($F9:UJF9)=$D12,0,UJF9+1))</f>
        <v>0</v>
      </c>
      <c r="UJH9" s="26">
        <f>IF(UJH7=0,0,IF(MAX($F9:UJG9)=$D12,0,UJG9+1))</f>
        <v>0</v>
      </c>
      <c r="UJI9" s="26">
        <f>IF(UJI7=0,0,IF(MAX($F9:UJH9)=$D12,0,UJH9+1))</f>
        <v>0</v>
      </c>
      <c r="UJJ9" s="26">
        <f>IF(UJJ7=0,0,IF(MAX($F9:UJI9)=$D12,0,UJI9+1))</f>
        <v>0</v>
      </c>
      <c r="UJK9" s="26">
        <f>IF(UJK7=0,0,IF(MAX($F9:UJJ9)=$D12,0,UJJ9+1))</f>
        <v>0</v>
      </c>
      <c r="UJL9" s="26">
        <f>IF(UJL7=0,0,IF(MAX($F9:UJK9)=$D12,0,UJK9+1))</f>
        <v>0</v>
      </c>
      <c r="UJM9" s="26">
        <f>IF(UJM7=0,0,IF(MAX($F9:UJL9)=$D12,0,UJL9+1))</f>
        <v>0</v>
      </c>
      <c r="UJN9" s="26">
        <f>IF(UJN7=0,0,IF(MAX($F9:UJM9)=$D12,0,UJM9+1))</f>
        <v>0</v>
      </c>
      <c r="UJO9" s="26">
        <f>IF(UJO7=0,0,IF(MAX($F9:UJN9)=$D12,0,UJN9+1))</f>
        <v>0</v>
      </c>
      <c r="UJP9" s="26">
        <f>IF(UJP7=0,0,IF(MAX($F9:UJO9)=$D12,0,UJO9+1))</f>
        <v>0</v>
      </c>
      <c r="UJQ9" s="26">
        <f>IF(UJQ7=0,0,IF(MAX($F9:UJP9)=$D12,0,UJP9+1))</f>
        <v>0</v>
      </c>
      <c r="UJR9" s="26">
        <f>IF(UJR7=0,0,IF(MAX($F9:UJQ9)=$D12,0,UJQ9+1))</f>
        <v>0</v>
      </c>
      <c r="UJS9" s="26">
        <f>IF(UJS7=0,0,IF(MAX($F9:UJR9)=$D12,0,UJR9+1))</f>
        <v>0</v>
      </c>
      <c r="UJT9" s="26">
        <f>IF(UJT7=0,0,IF(MAX($F9:UJS9)=$D12,0,UJS9+1))</f>
        <v>0</v>
      </c>
      <c r="UJU9" s="26">
        <f>IF(UJU7=0,0,IF(MAX($F9:UJT9)=$D12,0,UJT9+1))</f>
        <v>0</v>
      </c>
      <c r="UJV9" s="26">
        <f>IF(UJV7=0,0,IF(MAX($F9:UJU9)=$D12,0,UJU9+1))</f>
        <v>0</v>
      </c>
      <c r="UJW9" s="26">
        <f>IF(UJW7=0,0,IF(MAX($F9:UJV9)=$D12,0,UJV9+1))</f>
        <v>0</v>
      </c>
      <c r="UJX9" s="26">
        <f>IF(UJX7=0,0,IF(MAX($F9:UJW9)=$D12,0,UJW9+1))</f>
        <v>0</v>
      </c>
      <c r="UJY9" s="26">
        <f>IF(UJY7=0,0,IF(MAX($F9:UJX9)=$D12,0,UJX9+1))</f>
        <v>0</v>
      </c>
      <c r="UJZ9" s="26">
        <f>IF(UJZ7=0,0,IF(MAX($F9:UJY9)=$D12,0,UJY9+1))</f>
        <v>0</v>
      </c>
      <c r="UKA9" s="26">
        <f>IF(UKA7=0,0,IF(MAX($F9:UJZ9)=$D12,0,UJZ9+1))</f>
        <v>0</v>
      </c>
      <c r="UKB9" s="26">
        <f>IF(UKB7=0,0,IF(MAX($F9:UKA9)=$D12,0,UKA9+1))</f>
        <v>0</v>
      </c>
      <c r="UKC9" s="26">
        <f>IF(UKC7=0,0,IF(MAX($F9:UKB9)=$D12,0,UKB9+1))</f>
        <v>0</v>
      </c>
      <c r="UKD9" s="26">
        <f>IF(UKD7=0,0,IF(MAX($F9:UKC9)=$D12,0,UKC9+1))</f>
        <v>0</v>
      </c>
      <c r="UKE9" s="26">
        <f>IF(UKE7=0,0,IF(MAX($F9:UKD9)=$D12,0,UKD9+1))</f>
        <v>0</v>
      </c>
      <c r="UKF9" s="26">
        <f>IF(UKF7=0,0,IF(MAX($F9:UKE9)=$D12,0,UKE9+1))</f>
        <v>0</v>
      </c>
      <c r="UKG9" s="26">
        <f>IF(UKG7=0,0,IF(MAX($F9:UKF9)=$D12,0,UKF9+1))</f>
        <v>0</v>
      </c>
      <c r="UKH9" s="26">
        <f>IF(UKH7=0,0,IF(MAX($F9:UKG9)=$D12,0,UKG9+1))</f>
        <v>0</v>
      </c>
      <c r="UKI9" s="26">
        <f>IF(UKI7=0,0,IF(MAX($F9:UKH9)=$D12,0,UKH9+1))</f>
        <v>0</v>
      </c>
      <c r="UKJ9" s="26">
        <f>IF(UKJ7=0,0,IF(MAX($F9:UKI9)=$D12,0,UKI9+1))</f>
        <v>0</v>
      </c>
      <c r="UKK9" s="26">
        <f>IF(UKK7=0,0,IF(MAX($F9:UKJ9)=$D12,0,UKJ9+1))</f>
        <v>0</v>
      </c>
      <c r="UKL9" s="26">
        <f>IF(UKL7=0,0,IF(MAX($F9:UKK9)=$D12,0,UKK9+1))</f>
        <v>0</v>
      </c>
      <c r="UKM9" s="26">
        <f>IF(UKM7=0,0,IF(MAX($F9:UKL9)=$D12,0,UKL9+1))</f>
        <v>0</v>
      </c>
      <c r="UKN9" s="26">
        <f>IF(UKN7=0,0,IF(MAX($F9:UKM9)=$D12,0,UKM9+1))</f>
        <v>0</v>
      </c>
      <c r="UKO9" s="26">
        <f>IF(UKO7=0,0,IF(MAX($F9:UKN9)=$D12,0,UKN9+1))</f>
        <v>0</v>
      </c>
      <c r="UKP9" s="26">
        <f>IF(UKP7=0,0,IF(MAX($F9:UKO9)=$D12,0,UKO9+1))</f>
        <v>0</v>
      </c>
      <c r="UKQ9" s="26">
        <f>IF(UKQ7=0,0,IF(MAX($F9:UKP9)=$D12,0,UKP9+1))</f>
        <v>0</v>
      </c>
      <c r="UKR9" s="26">
        <f>IF(UKR7=0,0,IF(MAX($F9:UKQ9)=$D12,0,UKQ9+1))</f>
        <v>0</v>
      </c>
      <c r="UKS9" s="26">
        <f>IF(UKS7=0,0,IF(MAX($F9:UKR9)=$D12,0,UKR9+1))</f>
        <v>0</v>
      </c>
      <c r="UKT9" s="26">
        <f>IF(UKT7=0,0,IF(MAX($F9:UKS9)=$D12,0,UKS9+1))</f>
        <v>0</v>
      </c>
      <c r="UKU9" s="26">
        <f>IF(UKU7=0,0,IF(MAX($F9:UKT9)=$D12,0,UKT9+1))</f>
        <v>0</v>
      </c>
      <c r="UKV9" s="26">
        <f>IF(UKV7=0,0,IF(MAX($F9:UKU9)=$D12,0,UKU9+1))</f>
        <v>0</v>
      </c>
      <c r="UKW9" s="26">
        <f>IF(UKW7=0,0,IF(MAX($F9:UKV9)=$D12,0,UKV9+1))</f>
        <v>0</v>
      </c>
      <c r="UKX9" s="26">
        <f>IF(UKX7=0,0,IF(MAX($F9:UKW9)=$D12,0,UKW9+1))</f>
        <v>0</v>
      </c>
      <c r="UKY9" s="26">
        <f>IF(UKY7=0,0,IF(MAX($F9:UKX9)=$D12,0,UKX9+1))</f>
        <v>0</v>
      </c>
      <c r="UKZ9" s="26">
        <f>IF(UKZ7=0,0,IF(MAX($F9:UKY9)=$D12,0,UKY9+1))</f>
        <v>0</v>
      </c>
      <c r="ULA9" s="26">
        <f>IF(ULA7=0,0,IF(MAX($F9:UKZ9)=$D12,0,UKZ9+1))</f>
        <v>0</v>
      </c>
      <c r="ULB9" s="26">
        <f>IF(ULB7=0,0,IF(MAX($F9:ULA9)=$D12,0,ULA9+1))</f>
        <v>0</v>
      </c>
      <c r="ULC9" s="26">
        <f>IF(ULC7=0,0,IF(MAX($F9:ULB9)=$D12,0,ULB9+1))</f>
        <v>0</v>
      </c>
      <c r="ULD9" s="26">
        <f>IF(ULD7=0,0,IF(MAX($F9:ULC9)=$D12,0,ULC9+1))</f>
        <v>0</v>
      </c>
      <c r="ULE9" s="26">
        <f>IF(ULE7=0,0,IF(MAX($F9:ULD9)=$D12,0,ULD9+1))</f>
        <v>0</v>
      </c>
      <c r="ULF9" s="26">
        <f>IF(ULF7=0,0,IF(MAX($F9:ULE9)=$D12,0,ULE9+1))</f>
        <v>0</v>
      </c>
      <c r="ULG9" s="26">
        <f>IF(ULG7=0,0,IF(MAX($F9:ULF9)=$D12,0,ULF9+1))</f>
        <v>0</v>
      </c>
      <c r="ULH9" s="26">
        <f>IF(ULH7=0,0,IF(MAX($F9:ULG9)=$D12,0,ULG9+1))</f>
        <v>0</v>
      </c>
      <c r="ULI9" s="26">
        <f>IF(ULI7=0,0,IF(MAX($F9:ULH9)=$D12,0,ULH9+1))</f>
        <v>0</v>
      </c>
      <c r="ULJ9" s="26">
        <f>IF(ULJ7=0,0,IF(MAX($F9:ULI9)=$D12,0,ULI9+1))</f>
        <v>0</v>
      </c>
      <c r="ULK9" s="26">
        <f>IF(ULK7=0,0,IF(MAX($F9:ULJ9)=$D12,0,ULJ9+1))</f>
        <v>0</v>
      </c>
      <c r="ULL9" s="26">
        <f>IF(ULL7=0,0,IF(MAX($F9:ULK9)=$D12,0,ULK9+1))</f>
        <v>0</v>
      </c>
      <c r="ULM9" s="26">
        <f>IF(ULM7=0,0,IF(MAX($F9:ULL9)=$D12,0,ULL9+1))</f>
        <v>0</v>
      </c>
      <c r="ULN9" s="26">
        <f>IF(ULN7=0,0,IF(MAX($F9:ULM9)=$D12,0,ULM9+1))</f>
        <v>0</v>
      </c>
      <c r="ULO9" s="26">
        <f>IF(ULO7=0,0,IF(MAX($F9:ULN9)=$D12,0,ULN9+1))</f>
        <v>0</v>
      </c>
      <c r="ULP9" s="26">
        <f>IF(ULP7=0,0,IF(MAX($F9:ULO9)=$D12,0,ULO9+1))</f>
        <v>0</v>
      </c>
      <c r="ULQ9" s="26">
        <f>IF(ULQ7=0,0,IF(MAX($F9:ULP9)=$D12,0,ULP9+1))</f>
        <v>0</v>
      </c>
      <c r="ULR9" s="26">
        <f>IF(ULR7=0,0,IF(MAX($F9:ULQ9)=$D12,0,ULQ9+1))</f>
        <v>0</v>
      </c>
      <c r="ULS9" s="26">
        <f>IF(ULS7=0,0,IF(MAX($F9:ULR9)=$D12,0,ULR9+1))</f>
        <v>0</v>
      </c>
      <c r="ULT9" s="26">
        <f>IF(ULT7=0,0,IF(MAX($F9:ULS9)=$D12,0,ULS9+1))</f>
        <v>0</v>
      </c>
      <c r="ULU9" s="26">
        <f>IF(ULU7=0,0,IF(MAX($F9:ULT9)=$D12,0,ULT9+1))</f>
        <v>0</v>
      </c>
      <c r="ULV9" s="26">
        <f>IF(ULV7=0,0,IF(MAX($F9:ULU9)=$D12,0,ULU9+1))</f>
        <v>0</v>
      </c>
      <c r="ULW9" s="26">
        <f>IF(ULW7=0,0,IF(MAX($F9:ULV9)=$D12,0,ULV9+1))</f>
        <v>0</v>
      </c>
      <c r="ULX9" s="26">
        <f>IF(ULX7=0,0,IF(MAX($F9:ULW9)=$D12,0,ULW9+1))</f>
        <v>0</v>
      </c>
      <c r="ULY9" s="26">
        <f>IF(ULY7=0,0,IF(MAX($F9:ULX9)=$D12,0,ULX9+1))</f>
        <v>0</v>
      </c>
      <c r="ULZ9" s="26">
        <f>IF(ULZ7=0,0,IF(MAX($F9:ULY9)=$D12,0,ULY9+1))</f>
        <v>0</v>
      </c>
      <c r="UMA9" s="26">
        <f>IF(UMA7=0,0,IF(MAX($F9:ULZ9)=$D12,0,ULZ9+1))</f>
        <v>0</v>
      </c>
      <c r="UMB9" s="26">
        <f>IF(UMB7=0,0,IF(MAX($F9:UMA9)=$D12,0,UMA9+1))</f>
        <v>0</v>
      </c>
      <c r="UMC9" s="26">
        <f>IF(UMC7=0,0,IF(MAX($F9:UMB9)=$D12,0,UMB9+1))</f>
        <v>0</v>
      </c>
      <c r="UMD9" s="26">
        <f>IF(UMD7=0,0,IF(MAX($F9:UMC9)=$D12,0,UMC9+1))</f>
        <v>0</v>
      </c>
      <c r="UME9" s="26">
        <f>IF(UME7=0,0,IF(MAX($F9:UMD9)=$D12,0,UMD9+1))</f>
        <v>0</v>
      </c>
      <c r="UMF9" s="26">
        <f>IF(UMF7=0,0,IF(MAX($F9:UME9)=$D12,0,UME9+1))</f>
        <v>0</v>
      </c>
      <c r="UMG9" s="26">
        <f>IF(UMG7=0,0,IF(MAX($F9:UMF9)=$D12,0,UMF9+1))</f>
        <v>0</v>
      </c>
      <c r="UMH9" s="26">
        <f>IF(UMH7=0,0,IF(MAX($F9:UMG9)=$D12,0,UMG9+1))</f>
        <v>0</v>
      </c>
      <c r="UMI9" s="26">
        <f>IF(UMI7=0,0,IF(MAX($F9:UMH9)=$D12,0,UMH9+1))</f>
        <v>0</v>
      </c>
      <c r="UMJ9" s="26">
        <f>IF(UMJ7=0,0,IF(MAX($F9:UMI9)=$D12,0,UMI9+1))</f>
        <v>0</v>
      </c>
      <c r="UMK9" s="26">
        <f>IF(UMK7=0,0,IF(MAX($F9:UMJ9)=$D12,0,UMJ9+1))</f>
        <v>0</v>
      </c>
      <c r="UML9" s="26">
        <f>IF(UML7=0,0,IF(MAX($F9:UMK9)=$D12,0,UMK9+1))</f>
        <v>0</v>
      </c>
      <c r="UMM9" s="26">
        <f>IF(UMM7=0,0,IF(MAX($F9:UML9)=$D12,0,UML9+1))</f>
        <v>0</v>
      </c>
      <c r="UMN9" s="26">
        <f>IF(UMN7=0,0,IF(MAX($F9:UMM9)=$D12,0,UMM9+1))</f>
        <v>0</v>
      </c>
      <c r="UMO9" s="26">
        <f>IF(UMO7=0,0,IF(MAX($F9:UMN9)=$D12,0,UMN9+1))</f>
        <v>0</v>
      </c>
      <c r="UMP9" s="26">
        <f>IF(UMP7=0,0,IF(MAX($F9:UMO9)=$D12,0,UMO9+1))</f>
        <v>0</v>
      </c>
      <c r="UMQ9" s="26">
        <f>IF(UMQ7=0,0,IF(MAX($F9:UMP9)=$D12,0,UMP9+1))</f>
        <v>0</v>
      </c>
      <c r="UMR9" s="26">
        <f>IF(UMR7=0,0,IF(MAX($F9:UMQ9)=$D12,0,UMQ9+1))</f>
        <v>0</v>
      </c>
      <c r="UMS9" s="26">
        <f>IF(UMS7=0,0,IF(MAX($F9:UMR9)=$D12,0,UMR9+1))</f>
        <v>0</v>
      </c>
      <c r="UMT9" s="26">
        <f>IF(UMT7=0,0,IF(MAX($F9:UMS9)=$D12,0,UMS9+1))</f>
        <v>0</v>
      </c>
      <c r="UMU9" s="26">
        <f>IF(UMU7=0,0,IF(MAX($F9:UMT9)=$D12,0,UMT9+1))</f>
        <v>0</v>
      </c>
      <c r="UMV9" s="26">
        <f>IF(UMV7=0,0,IF(MAX($F9:UMU9)=$D12,0,UMU9+1))</f>
        <v>0</v>
      </c>
      <c r="UMW9" s="26">
        <f>IF(UMW7=0,0,IF(MAX($F9:UMV9)=$D12,0,UMV9+1))</f>
        <v>0</v>
      </c>
      <c r="UMX9" s="26">
        <f>IF(UMX7=0,0,IF(MAX($F9:UMW9)=$D12,0,UMW9+1))</f>
        <v>0</v>
      </c>
      <c r="UMY9" s="26">
        <f>IF(UMY7=0,0,IF(MAX($F9:UMX9)=$D12,0,UMX9+1))</f>
        <v>0</v>
      </c>
      <c r="UMZ9" s="26">
        <f>IF(UMZ7=0,0,IF(MAX($F9:UMY9)=$D12,0,UMY9+1))</f>
        <v>0</v>
      </c>
      <c r="UNA9" s="26">
        <f>IF(UNA7=0,0,IF(MAX($F9:UMZ9)=$D12,0,UMZ9+1))</f>
        <v>0</v>
      </c>
      <c r="UNB9" s="26">
        <f>IF(UNB7=0,0,IF(MAX($F9:UNA9)=$D12,0,UNA9+1))</f>
        <v>0</v>
      </c>
      <c r="UNC9" s="26">
        <f>IF(UNC7=0,0,IF(MAX($F9:UNB9)=$D12,0,UNB9+1))</f>
        <v>0</v>
      </c>
      <c r="UND9" s="26">
        <f>IF(UND7=0,0,IF(MAX($F9:UNC9)=$D12,0,UNC9+1))</f>
        <v>0</v>
      </c>
      <c r="UNE9" s="26">
        <f>IF(UNE7=0,0,IF(MAX($F9:UND9)=$D12,0,UND9+1))</f>
        <v>0</v>
      </c>
      <c r="UNF9" s="26">
        <f>IF(UNF7=0,0,IF(MAX($F9:UNE9)=$D12,0,UNE9+1))</f>
        <v>0</v>
      </c>
      <c r="UNG9" s="26">
        <f>IF(UNG7=0,0,IF(MAX($F9:UNF9)=$D12,0,UNF9+1))</f>
        <v>0</v>
      </c>
      <c r="UNH9" s="26">
        <f>IF(UNH7=0,0,IF(MAX($F9:UNG9)=$D12,0,UNG9+1))</f>
        <v>0</v>
      </c>
      <c r="UNI9" s="26">
        <f>IF(UNI7=0,0,IF(MAX($F9:UNH9)=$D12,0,UNH9+1))</f>
        <v>0</v>
      </c>
      <c r="UNJ9" s="26">
        <f>IF(UNJ7=0,0,IF(MAX($F9:UNI9)=$D12,0,UNI9+1))</f>
        <v>0</v>
      </c>
      <c r="UNK9" s="26">
        <f>IF(UNK7=0,0,IF(MAX($F9:UNJ9)=$D12,0,UNJ9+1))</f>
        <v>0</v>
      </c>
      <c r="UNL9" s="26">
        <f>IF(UNL7=0,0,IF(MAX($F9:UNK9)=$D12,0,UNK9+1))</f>
        <v>0</v>
      </c>
      <c r="UNM9" s="26">
        <f>IF(UNM7=0,0,IF(MAX($F9:UNL9)=$D12,0,UNL9+1))</f>
        <v>0</v>
      </c>
      <c r="UNN9" s="26">
        <f>IF(UNN7=0,0,IF(MAX($F9:UNM9)=$D12,0,UNM9+1))</f>
        <v>0</v>
      </c>
      <c r="UNO9" s="26">
        <f>IF(UNO7=0,0,IF(MAX($F9:UNN9)=$D12,0,UNN9+1))</f>
        <v>0</v>
      </c>
      <c r="UNP9" s="26">
        <f>IF(UNP7=0,0,IF(MAX($F9:UNO9)=$D12,0,UNO9+1))</f>
        <v>0</v>
      </c>
      <c r="UNQ9" s="26">
        <f>IF(UNQ7=0,0,IF(MAX($F9:UNP9)=$D12,0,UNP9+1))</f>
        <v>0</v>
      </c>
      <c r="UNR9" s="26">
        <f>IF(UNR7=0,0,IF(MAX($F9:UNQ9)=$D12,0,UNQ9+1))</f>
        <v>0</v>
      </c>
      <c r="UNS9" s="26">
        <f>IF(UNS7=0,0,IF(MAX($F9:UNR9)=$D12,0,UNR9+1))</f>
        <v>0</v>
      </c>
      <c r="UNT9" s="26">
        <f>IF(UNT7=0,0,IF(MAX($F9:UNS9)=$D12,0,UNS9+1))</f>
        <v>0</v>
      </c>
      <c r="UNU9" s="26">
        <f>IF(UNU7=0,0,IF(MAX($F9:UNT9)=$D12,0,UNT9+1))</f>
        <v>0</v>
      </c>
      <c r="UNV9" s="26">
        <f>IF(UNV7=0,0,IF(MAX($F9:UNU9)=$D12,0,UNU9+1))</f>
        <v>0</v>
      </c>
      <c r="UNW9" s="26">
        <f>IF(UNW7=0,0,IF(MAX($F9:UNV9)=$D12,0,UNV9+1))</f>
        <v>0</v>
      </c>
      <c r="UNX9" s="26">
        <f>IF(UNX7=0,0,IF(MAX($F9:UNW9)=$D12,0,UNW9+1))</f>
        <v>0</v>
      </c>
      <c r="UNY9" s="26">
        <f>IF(UNY7=0,0,IF(MAX($F9:UNX9)=$D12,0,UNX9+1))</f>
        <v>0</v>
      </c>
      <c r="UNZ9" s="26">
        <f>IF(UNZ7=0,0,IF(MAX($F9:UNY9)=$D12,0,UNY9+1))</f>
        <v>0</v>
      </c>
      <c r="UOA9" s="26">
        <f>IF(UOA7=0,0,IF(MAX($F9:UNZ9)=$D12,0,UNZ9+1))</f>
        <v>0</v>
      </c>
      <c r="UOB9" s="26">
        <f>IF(UOB7=0,0,IF(MAX($F9:UOA9)=$D12,0,UOA9+1))</f>
        <v>0</v>
      </c>
      <c r="UOC9" s="26">
        <f>IF(UOC7=0,0,IF(MAX($F9:UOB9)=$D12,0,UOB9+1))</f>
        <v>0</v>
      </c>
      <c r="UOD9" s="26">
        <f>IF(UOD7=0,0,IF(MAX($F9:UOC9)=$D12,0,UOC9+1))</f>
        <v>0</v>
      </c>
      <c r="UOE9" s="26">
        <f>IF(UOE7=0,0,IF(MAX($F9:UOD9)=$D12,0,UOD9+1))</f>
        <v>0</v>
      </c>
      <c r="UOF9" s="26">
        <f>IF(UOF7=0,0,IF(MAX($F9:UOE9)=$D12,0,UOE9+1))</f>
        <v>0</v>
      </c>
      <c r="UOG9" s="26">
        <f>IF(UOG7=0,0,IF(MAX($F9:UOF9)=$D12,0,UOF9+1))</f>
        <v>0</v>
      </c>
      <c r="UOH9" s="26">
        <f>IF(UOH7=0,0,IF(MAX($F9:UOG9)=$D12,0,UOG9+1))</f>
        <v>0</v>
      </c>
      <c r="UOI9" s="26">
        <f>IF(UOI7=0,0,IF(MAX($F9:UOH9)=$D12,0,UOH9+1))</f>
        <v>0</v>
      </c>
      <c r="UOJ9" s="26">
        <f>IF(UOJ7=0,0,IF(MAX($F9:UOI9)=$D12,0,UOI9+1))</f>
        <v>0</v>
      </c>
      <c r="UOK9" s="26">
        <f>IF(UOK7=0,0,IF(MAX($F9:UOJ9)=$D12,0,UOJ9+1))</f>
        <v>0</v>
      </c>
      <c r="UOL9" s="26">
        <f>IF(UOL7=0,0,IF(MAX($F9:UOK9)=$D12,0,UOK9+1))</f>
        <v>0</v>
      </c>
      <c r="UOM9" s="26">
        <f>IF(UOM7=0,0,IF(MAX($F9:UOL9)=$D12,0,UOL9+1))</f>
        <v>0</v>
      </c>
      <c r="UON9" s="26">
        <f>IF(UON7=0,0,IF(MAX($F9:UOM9)=$D12,0,UOM9+1))</f>
        <v>0</v>
      </c>
      <c r="UOO9" s="26">
        <f>IF(UOO7=0,0,IF(MAX($F9:UON9)=$D12,0,UON9+1))</f>
        <v>0</v>
      </c>
      <c r="UOP9" s="26">
        <f>IF(UOP7=0,0,IF(MAX($F9:UOO9)=$D12,0,UOO9+1))</f>
        <v>0</v>
      </c>
      <c r="UOQ9" s="26">
        <f>IF(UOQ7=0,0,IF(MAX($F9:UOP9)=$D12,0,UOP9+1))</f>
        <v>0</v>
      </c>
      <c r="UOR9" s="26">
        <f>IF(UOR7=0,0,IF(MAX($F9:UOQ9)=$D12,0,UOQ9+1))</f>
        <v>0</v>
      </c>
      <c r="UOS9" s="26">
        <f>IF(UOS7=0,0,IF(MAX($F9:UOR9)=$D12,0,UOR9+1))</f>
        <v>0</v>
      </c>
      <c r="UOT9" s="26">
        <f>IF(UOT7=0,0,IF(MAX($F9:UOS9)=$D12,0,UOS9+1))</f>
        <v>0</v>
      </c>
      <c r="UOU9" s="26">
        <f>IF(UOU7=0,0,IF(MAX($F9:UOT9)=$D12,0,UOT9+1))</f>
        <v>0</v>
      </c>
      <c r="UOV9" s="26">
        <f>IF(UOV7=0,0,IF(MAX($F9:UOU9)=$D12,0,UOU9+1))</f>
        <v>0</v>
      </c>
      <c r="UOW9" s="26">
        <f>IF(UOW7=0,0,IF(MAX($F9:UOV9)=$D12,0,UOV9+1))</f>
        <v>0</v>
      </c>
      <c r="UOX9" s="26">
        <f>IF(UOX7=0,0,IF(MAX($F9:UOW9)=$D12,0,UOW9+1))</f>
        <v>0</v>
      </c>
      <c r="UOY9" s="26">
        <f>IF(UOY7=0,0,IF(MAX($F9:UOX9)=$D12,0,UOX9+1))</f>
        <v>0</v>
      </c>
      <c r="UOZ9" s="26">
        <f>IF(UOZ7=0,0,IF(MAX($F9:UOY9)=$D12,0,UOY9+1))</f>
        <v>0</v>
      </c>
      <c r="UPA9" s="26">
        <f>IF(UPA7=0,0,IF(MAX($F9:UOZ9)=$D12,0,UOZ9+1))</f>
        <v>0</v>
      </c>
      <c r="UPB9" s="26">
        <f>IF(UPB7=0,0,IF(MAX($F9:UPA9)=$D12,0,UPA9+1))</f>
        <v>0</v>
      </c>
      <c r="UPC9" s="26">
        <f>IF(UPC7=0,0,IF(MAX($F9:UPB9)=$D12,0,UPB9+1))</f>
        <v>0</v>
      </c>
      <c r="UPD9" s="26">
        <f>IF(UPD7=0,0,IF(MAX($F9:UPC9)=$D12,0,UPC9+1))</f>
        <v>0</v>
      </c>
      <c r="UPE9" s="26">
        <f>IF(UPE7=0,0,IF(MAX($F9:UPD9)=$D12,0,UPD9+1))</f>
        <v>0</v>
      </c>
      <c r="UPF9" s="26">
        <f>IF(UPF7=0,0,IF(MAX($F9:UPE9)=$D12,0,UPE9+1))</f>
        <v>0</v>
      </c>
      <c r="UPG9" s="26">
        <f>IF(UPG7=0,0,IF(MAX($F9:UPF9)=$D12,0,UPF9+1))</f>
        <v>0</v>
      </c>
      <c r="UPH9" s="26">
        <f>IF(UPH7=0,0,IF(MAX($F9:UPG9)=$D12,0,UPG9+1))</f>
        <v>0</v>
      </c>
      <c r="UPI9" s="26">
        <f>IF(UPI7=0,0,IF(MAX($F9:UPH9)=$D12,0,UPH9+1))</f>
        <v>0</v>
      </c>
      <c r="UPJ9" s="26">
        <f>IF(UPJ7=0,0,IF(MAX($F9:UPI9)=$D12,0,UPI9+1))</f>
        <v>0</v>
      </c>
      <c r="UPK9" s="26">
        <f>IF(UPK7=0,0,IF(MAX($F9:UPJ9)=$D12,0,UPJ9+1))</f>
        <v>0</v>
      </c>
      <c r="UPL9" s="26">
        <f>IF(UPL7=0,0,IF(MAX($F9:UPK9)=$D12,0,UPK9+1))</f>
        <v>0</v>
      </c>
      <c r="UPM9" s="26">
        <f>IF(UPM7=0,0,IF(MAX($F9:UPL9)=$D12,0,UPL9+1))</f>
        <v>0</v>
      </c>
      <c r="UPN9" s="26">
        <f>IF(UPN7=0,0,IF(MAX($F9:UPM9)=$D12,0,UPM9+1))</f>
        <v>0</v>
      </c>
      <c r="UPO9" s="26">
        <f>IF(UPO7=0,0,IF(MAX($F9:UPN9)=$D12,0,UPN9+1))</f>
        <v>0</v>
      </c>
      <c r="UPP9" s="26">
        <f>IF(UPP7=0,0,IF(MAX($F9:UPO9)=$D12,0,UPO9+1))</f>
        <v>0</v>
      </c>
      <c r="UPQ9" s="26">
        <f>IF(UPQ7=0,0,IF(MAX($F9:UPP9)=$D12,0,UPP9+1))</f>
        <v>0</v>
      </c>
      <c r="UPR9" s="26">
        <f>IF(UPR7=0,0,IF(MAX($F9:UPQ9)=$D12,0,UPQ9+1))</f>
        <v>0</v>
      </c>
      <c r="UPS9" s="26">
        <f>IF(UPS7=0,0,IF(MAX($F9:UPR9)=$D12,0,UPR9+1))</f>
        <v>0</v>
      </c>
      <c r="UPT9" s="26">
        <f>IF(UPT7=0,0,IF(MAX($F9:UPS9)=$D12,0,UPS9+1))</f>
        <v>0</v>
      </c>
      <c r="UPU9" s="26">
        <f>IF(UPU7=0,0,IF(MAX($F9:UPT9)=$D12,0,UPT9+1))</f>
        <v>0</v>
      </c>
      <c r="UPV9" s="26">
        <f>IF(UPV7=0,0,IF(MAX($F9:UPU9)=$D12,0,UPU9+1))</f>
        <v>0</v>
      </c>
      <c r="UPW9" s="26">
        <f>IF(UPW7=0,0,IF(MAX($F9:UPV9)=$D12,0,UPV9+1))</f>
        <v>0</v>
      </c>
      <c r="UPX9" s="26">
        <f>IF(UPX7=0,0,IF(MAX($F9:UPW9)=$D12,0,UPW9+1))</f>
        <v>0</v>
      </c>
      <c r="UPY9" s="26">
        <f>IF(UPY7=0,0,IF(MAX($F9:UPX9)=$D12,0,UPX9+1))</f>
        <v>0</v>
      </c>
      <c r="UPZ9" s="26">
        <f>IF(UPZ7=0,0,IF(MAX($F9:UPY9)=$D12,0,UPY9+1))</f>
        <v>0</v>
      </c>
      <c r="UQA9" s="26">
        <f>IF(UQA7=0,0,IF(MAX($F9:UPZ9)=$D12,0,UPZ9+1))</f>
        <v>0</v>
      </c>
      <c r="UQB9" s="26">
        <f>IF(UQB7=0,0,IF(MAX($F9:UQA9)=$D12,0,UQA9+1))</f>
        <v>0</v>
      </c>
      <c r="UQC9" s="26">
        <f>IF(UQC7=0,0,IF(MAX($F9:UQB9)=$D12,0,UQB9+1))</f>
        <v>0</v>
      </c>
      <c r="UQD9" s="26">
        <f>IF(UQD7=0,0,IF(MAX($F9:UQC9)=$D12,0,UQC9+1))</f>
        <v>0</v>
      </c>
      <c r="UQE9" s="26">
        <f>IF(UQE7=0,0,IF(MAX($F9:UQD9)=$D12,0,UQD9+1))</f>
        <v>0</v>
      </c>
      <c r="UQF9" s="26">
        <f>IF(UQF7=0,0,IF(MAX($F9:UQE9)=$D12,0,UQE9+1))</f>
        <v>0</v>
      </c>
      <c r="UQG9" s="26">
        <f>IF(UQG7=0,0,IF(MAX($F9:UQF9)=$D12,0,UQF9+1))</f>
        <v>0</v>
      </c>
      <c r="UQH9" s="26">
        <f>IF(UQH7=0,0,IF(MAX($F9:UQG9)=$D12,0,UQG9+1))</f>
        <v>0</v>
      </c>
      <c r="UQI9" s="26">
        <f>IF(UQI7=0,0,IF(MAX($F9:UQH9)=$D12,0,UQH9+1))</f>
        <v>0</v>
      </c>
      <c r="UQJ9" s="26">
        <f>IF(UQJ7=0,0,IF(MAX($F9:UQI9)=$D12,0,UQI9+1))</f>
        <v>0</v>
      </c>
      <c r="UQK9" s="26">
        <f>IF(UQK7=0,0,IF(MAX($F9:UQJ9)=$D12,0,UQJ9+1))</f>
        <v>0</v>
      </c>
      <c r="UQL9" s="26">
        <f>IF(UQL7=0,0,IF(MAX($F9:UQK9)=$D12,0,UQK9+1))</f>
        <v>0</v>
      </c>
      <c r="UQM9" s="26">
        <f>IF(UQM7=0,0,IF(MAX($F9:UQL9)=$D12,0,UQL9+1))</f>
        <v>0</v>
      </c>
      <c r="UQN9" s="26">
        <f>IF(UQN7=0,0,IF(MAX($F9:UQM9)=$D12,0,UQM9+1))</f>
        <v>0</v>
      </c>
      <c r="UQO9" s="26">
        <f>IF(UQO7=0,0,IF(MAX($F9:UQN9)=$D12,0,UQN9+1))</f>
        <v>0</v>
      </c>
      <c r="UQP9" s="26">
        <f>IF(UQP7=0,0,IF(MAX($F9:UQO9)=$D12,0,UQO9+1))</f>
        <v>0</v>
      </c>
      <c r="UQQ9" s="26">
        <f>IF(UQQ7=0,0,IF(MAX($F9:UQP9)=$D12,0,UQP9+1))</f>
        <v>0</v>
      </c>
      <c r="UQR9" s="26">
        <f>IF(UQR7=0,0,IF(MAX($F9:UQQ9)=$D12,0,UQQ9+1))</f>
        <v>0</v>
      </c>
      <c r="UQS9" s="26">
        <f>IF(UQS7=0,0,IF(MAX($F9:UQR9)=$D12,0,UQR9+1))</f>
        <v>0</v>
      </c>
      <c r="UQT9" s="26">
        <f>IF(UQT7=0,0,IF(MAX($F9:UQS9)=$D12,0,UQS9+1))</f>
        <v>0</v>
      </c>
      <c r="UQU9" s="26">
        <f>IF(UQU7=0,0,IF(MAX($F9:UQT9)=$D12,0,UQT9+1))</f>
        <v>0</v>
      </c>
      <c r="UQV9" s="26">
        <f>IF(UQV7=0,0,IF(MAX($F9:UQU9)=$D12,0,UQU9+1))</f>
        <v>0</v>
      </c>
      <c r="UQW9" s="26">
        <f>IF(UQW7=0,0,IF(MAX($F9:UQV9)=$D12,0,UQV9+1))</f>
        <v>0</v>
      </c>
      <c r="UQX9" s="26">
        <f>IF(UQX7=0,0,IF(MAX($F9:UQW9)=$D12,0,UQW9+1))</f>
        <v>0</v>
      </c>
      <c r="UQY9" s="26">
        <f>IF(UQY7=0,0,IF(MAX($F9:UQX9)=$D12,0,UQX9+1))</f>
        <v>0</v>
      </c>
      <c r="UQZ9" s="26">
        <f>IF(UQZ7=0,0,IF(MAX($F9:UQY9)=$D12,0,UQY9+1))</f>
        <v>0</v>
      </c>
      <c r="URA9" s="26">
        <f>IF(URA7=0,0,IF(MAX($F9:UQZ9)=$D12,0,UQZ9+1))</f>
        <v>0</v>
      </c>
      <c r="URB9" s="26">
        <f>IF(URB7=0,0,IF(MAX($F9:URA9)=$D12,0,URA9+1))</f>
        <v>0</v>
      </c>
      <c r="URC9" s="26">
        <f>IF(URC7=0,0,IF(MAX($F9:URB9)=$D12,0,URB9+1))</f>
        <v>0</v>
      </c>
      <c r="URD9" s="26">
        <f>IF(URD7=0,0,IF(MAX($F9:URC9)=$D12,0,URC9+1))</f>
        <v>0</v>
      </c>
      <c r="URE9" s="26">
        <f>IF(URE7=0,0,IF(MAX($F9:URD9)=$D12,0,URD9+1))</f>
        <v>0</v>
      </c>
      <c r="URF9" s="26">
        <f>IF(URF7=0,0,IF(MAX($F9:URE9)=$D12,0,URE9+1))</f>
        <v>0</v>
      </c>
      <c r="URG9" s="26">
        <f>IF(URG7=0,0,IF(MAX($F9:URF9)=$D12,0,URF9+1))</f>
        <v>0</v>
      </c>
      <c r="URH9" s="26">
        <f>IF(URH7=0,0,IF(MAX($F9:URG9)=$D12,0,URG9+1))</f>
        <v>0</v>
      </c>
      <c r="URI9" s="26">
        <f>IF(URI7=0,0,IF(MAX($F9:URH9)=$D12,0,URH9+1))</f>
        <v>0</v>
      </c>
      <c r="URJ9" s="26">
        <f>IF(URJ7=0,0,IF(MAX($F9:URI9)=$D12,0,URI9+1))</f>
        <v>0</v>
      </c>
      <c r="URK9" s="26">
        <f>IF(URK7=0,0,IF(MAX($F9:URJ9)=$D12,0,URJ9+1))</f>
        <v>0</v>
      </c>
      <c r="URL9" s="26">
        <f>IF(URL7=0,0,IF(MAX($F9:URK9)=$D12,0,URK9+1))</f>
        <v>0</v>
      </c>
      <c r="URM9" s="26">
        <f>IF(URM7=0,0,IF(MAX($F9:URL9)=$D12,0,URL9+1))</f>
        <v>0</v>
      </c>
      <c r="URN9" s="26">
        <f>IF(URN7=0,0,IF(MAX($F9:URM9)=$D12,0,URM9+1))</f>
        <v>0</v>
      </c>
      <c r="URO9" s="26">
        <f>IF(URO7=0,0,IF(MAX($F9:URN9)=$D12,0,URN9+1))</f>
        <v>0</v>
      </c>
      <c r="URP9" s="26">
        <f>IF(URP7=0,0,IF(MAX($F9:URO9)=$D12,0,URO9+1))</f>
        <v>0</v>
      </c>
      <c r="URQ9" s="26">
        <f>IF(URQ7=0,0,IF(MAX($F9:URP9)=$D12,0,URP9+1))</f>
        <v>0</v>
      </c>
      <c r="URR9" s="26">
        <f>IF(URR7=0,0,IF(MAX($F9:URQ9)=$D12,0,URQ9+1))</f>
        <v>0</v>
      </c>
      <c r="URS9" s="26">
        <f>IF(URS7=0,0,IF(MAX($F9:URR9)=$D12,0,URR9+1))</f>
        <v>0</v>
      </c>
      <c r="URT9" s="26">
        <f>IF(URT7=0,0,IF(MAX($F9:URS9)=$D12,0,URS9+1))</f>
        <v>0</v>
      </c>
      <c r="URU9" s="26">
        <f>IF(URU7=0,0,IF(MAX($F9:URT9)=$D12,0,URT9+1))</f>
        <v>0</v>
      </c>
      <c r="URV9" s="26">
        <f>IF(URV7=0,0,IF(MAX($F9:URU9)=$D12,0,URU9+1))</f>
        <v>0</v>
      </c>
      <c r="URW9" s="26">
        <f>IF(URW7=0,0,IF(MAX($F9:URV9)=$D12,0,URV9+1))</f>
        <v>0</v>
      </c>
      <c r="URX9" s="26">
        <f>IF(URX7=0,0,IF(MAX($F9:URW9)=$D12,0,URW9+1))</f>
        <v>0</v>
      </c>
      <c r="URY9" s="26">
        <f>IF(URY7=0,0,IF(MAX($F9:URX9)=$D12,0,URX9+1))</f>
        <v>0</v>
      </c>
      <c r="URZ9" s="26">
        <f>IF(URZ7=0,0,IF(MAX($F9:URY9)=$D12,0,URY9+1))</f>
        <v>0</v>
      </c>
      <c r="USA9" s="26">
        <f>IF(USA7=0,0,IF(MAX($F9:URZ9)=$D12,0,URZ9+1))</f>
        <v>0</v>
      </c>
      <c r="USB9" s="26">
        <f>IF(USB7=0,0,IF(MAX($F9:USA9)=$D12,0,USA9+1))</f>
        <v>0</v>
      </c>
      <c r="USC9" s="26">
        <f>IF(USC7=0,0,IF(MAX($F9:USB9)=$D12,0,USB9+1))</f>
        <v>0</v>
      </c>
      <c r="USD9" s="26">
        <f>IF(USD7=0,0,IF(MAX($F9:USC9)=$D12,0,USC9+1))</f>
        <v>0</v>
      </c>
      <c r="USE9" s="26">
        <f>IF(USE7=0,0,IF(MAX($F9:USD9)=$D12,0,USD9+1))</f>
        <v>0</v>
      </c>
      <c r="USF9" s="26">
        <f>IF(USF7=0,0,IF(MAX($F9:USE9)=$D12,0,USE9+1))</f>
        <v>0</v>
      </c>
      <c r="USG9" s="26">
        <f>IF(USG7=0,0,IF(MAX($F9:USF9)=$D12,0,USF9+1))</f>
        <v>0</v>
      </c>
      <c r="USH9" s="26">
        <f>IF(USH7=0,0,IF(MAX($F9:USG9)=$D12,0,USG9+1))</f>
        <v>0</v>
      </c>
      <c r="USI9" s="26">
        <f>IF(USI7=0,0,IF(MAX($F9:USH9)=$D12,0,USH9+1))</f>
        <v>0</v>
      </c>
      <c r="USJ9" s="26">
        <f>IF(USJ7=0,0,IF(MAX($F9:USI9)=$D12,0,USI9+1))</f>
        <v>0</v>
      </c>
      <c r="USK9" s="26">
        <f>IF(USK7=0,0,IF(MAX($F9:USJ9)=$D12,0,USJ9+1))</f>
        <v>0</v>
      </c>
      <c r="USL9" s="26">
        <f>IF(USL7=0,0,IF(MAX($F9:USK9)=$D12,0,USK9+1))</f>
        <v>0</v>
      </c>
      <c r="USM9" s="26">
        <f>IF(USM7=0,0,IF(MAX($F9:USL9)=$D12,0,USL9+1))</f>
        <v>0</v>
      </c>
      <c r="USN9" s="26">
        <f>IF(USN7=0,0,IF(MAX($F9:USM9)=$D12,0,USM9+1))</f>
        <v>0</v>
      </c>
      <c r="USO9" s="26">
        <f>IF(USO7=0,0,IF(MAX($F9:USN9)=$D12,0,USN9+1))</f>
        <v>0</v>
      </c>
      <c r="USP9" s="26">
        <f>IF(USP7=0,0,IF(MAX($F9:USO9)=$D12,0,USO9+1))</f>
        <v>0</v>
      </c>
      <c r="USQ9" s="26">
        <f>IF(USQ7=0,0,IF(MAX($F9:USP9)=$D12,0,USP9+1))</f>
        <v>0</v>
      </c>
      <c r="USR9" s="26">
        <f>IF(USR7=0,0,IF(MAX($F9:USQ9)=$D12,0,USQ9+1))</f>
        <v>0</v>
      </c>
      <c r="USS9" s="26">
        <f>IF(USS7=0,0,IF(MAX($F9:USR9)=$D12,0,USR9+1))</f>
        <v>0</v>
      </c>
      <c r="UST9" s="26">
        <f>IF(UST7=0,0,IF(MAX($F9:USS9)=$D12,0,USS9+1))</f>
        <v>0</v>
      </c>
      <c r="USU9" s="26">
        <f>IF(USU7=0,0,IF(MAX($F9:UST9)=$D12,0,UST9+1))</f>
        <v>0</v>
      </c>
      <c r="USV9" s="26">
        <f>IF(USV7=0,0,IF(MAX($F9:USU9)=$D12,0,USU9+1))</f>
        <v>0</v>
      </c>
      <c r="USW9" s="26">
        <f>IF(USW7=0,0,IF(MAX($F9:USV9)=$D12,0,USV9+1))</f>
        <v>0</v>
      </c>
      <c r="USX9" s="26">
        <f>IF(USX7=0,0,IF(MAX($F9:USW9)=$D12,0,USW9+1))</f>
        <v>0</v>
      </c>
      <c r="USY9" s="26">
        <f>IF(USY7=0,0,IF(MAX($F9:USX9)=$D12,0,USX9+1))</f>
        <v>0</v>
      </c>
      <c r="USZ9" s="26">
        <f>IF(USZ7=0,0,IF(MAX($F9:USY9)=$D12,0,USY9+1))</f>
        <v>0</v>
      </c>
      <c r="UTA9" s="26">
        <f>IF(UTA7=0,0,IF(MAX($F9:USZ9)=$D12,0,USZ9+1))</f>
        <v>0</v>
      </c>
      <c r="UTB9" s="26">
        <f>IF(UTB7=0,0,IF(MAX($F9:UTA9)=$D12,0,UTA9+1))</f>
        <v>0</v>
      </c>
      <c r="UTC9" s="26">
        <f>IF(UTC7=0,0,IF(MAX($F9:UTB9)=$D12,0,UTB9+1))</f>
        <v>0</v>
      </c>
      <c r="UTD9" s="26">
        <f>IF(UTD7=0,0,IF(MAX($F9:UTC9)=$D12,0,UTC9+1))</f>
        <v>0</v>
      </c>
      <c r="UTE9" s="26">
        <f>IF(UTE7=0,0,IF(MAX($F9:UTD9)=$D12,0,UTD9+1))</f>
        <v>0</v>
      </c>
      <c r="UTF9" s="26">
        <f>IF(UTF7=0,0,IF(MAX($F9:UTE9)=$D12,0,UTE9+1))</f>
        <v>0</v>
      </c>
      <c r="UTG9" s="26">
        <f>IF(UTG7=0,0,IF(MAX($F9:UTF9)=$D12,0,UTF9+1))</f>
        <v>0</v>
      </c>
      <c r="UTH9" s="26">
        <f>IF(UTH7=0,0,IF(MAX($F9:UTG9)=$D12,0,UTG9+1))</f>
        <v>0</v>
      </c>
      <c r="UTI9" s="26">
        <f>IF(UTI7=0,0,IF(MAX($F9:UTH9)=$D12,0,UTH9+1))</f>
        <v>0</v>
      </c>
      <c r="UTJ9" s="26">
        <f>IF(UTJ7=0,0,IF(MAX($F9:UTI9)=$D12,0,UTI9+1))</f>
        <v>0</v>
      </c>
      <c r="UTK9" s="26">
        <f>IF(UTK7=0,0,IF(MAX($F9:UTJ9)=$D12,0,UTJ9+1))</f>
        <v>0</v>
      </c>
      <c r="UTL9" s="26">
        <f>IF(UTL7=0,0,IF(MAX($F9:UTK9)=$D12,0,UTK9+1))</f>
        <v>0</v>
      </c>
      <c r="UTM9" s="26">
        <f>IF(UTM7=0,0,IF(MAX($F9:UTL9)=$D12,0,UTL9+1))</f>
        <v>0</v>
      </c>
      <c r="UTN9" s="26">
        <f>IF(UTN7=0,0,IF(MAX($F9:UTM9)=$D12,0,UTM9+1))</f>
        <v>0</v>
      </c>
      <c r="UTO9" s="26">
        <f>IF(UTO7=0,0,IF(MAX($F9:UTN9)=$D12,0,UTN9+1))</f>
        <v>0</v>
      </c>
      <c r="UTP9" s="26">
        <f>IF(UTP7=0,0,IF(MAX($F9:UTO9)=$D12,0,UTO9+1))</f>
        <v>0</v>
      </c>
      <c r="UTQ9" s="26">
        <f>IF(UTQ7=0,0,IF(MAX($F9:UTP9)=$D12,0,UTP9+1))</f>
        <v>0</v>
      </c>
      <c r="UTR9" s="26">
        <f>IF(UTR7=0,0,IF(MAX($F9:UTQ9)=$D12,0,UTQ9+1))</f>
        <v>0</v>
      </c>
      <c r="UTS9" s="26">
        <f>IF(UTS7=0,0,IF(MAX($F9:UTR9)=$D12,0,UTR9+1))</f>
        <v>0</v>
      </c>
      <c r="UTT9" s="26">
        <f>IF(UTT7=0,0,IF(MAX($F9:UTS9)=$D12,0,UTS9+1))</f>
        <v>0</v>
      </c>
      <c r="UTU9" s="26">
        <f>IF(UTU7=0,0,IF(MAX($F9:UTT9)=$D12,0,UTT9+1))</f>
        <v>0</v>
      </c>
      <c r="UTV9" s="26">
        <f>IF(UTV7=0,0,IF(MAX($F9:UTU9)=$D12,0,UTU9+1))</f>
        <v>0</v>
      </c>
      <c r="UTW9" s="26">
        <f>IF(UTW7=0,0,IF(MAX($F9:UTV9)=$D12,0,UTV9+1))</f>
        <v>0</v>
      </c>
      <c r="UTX9" s="26">
        <f>IF(UTX7=0,0,IF(MAX($F9:UTW9)=$D12,0,UTW9+1))</f>
        <v>0</v>
      </c>
      <c r="UTY9" s="26">
        <f>IF(UTY7=0,0,IF(MAX($F9:UTX9)=$D12,0,UTX9+1))</f>
        <v>0</v>
      </c>
      <c r="UTZ9" s="26">
        <f>IF(UTZ7=0,0,IF(MAX($F9:UTY9)=$D12,0,UTY9+1))</f>
        <v>0</v>
      </c>
      <c r="UUA9" s="26">
        <f>IF(UUA7=0,0,IF(MAX($F9:UTZ9)=$D12,0,UTZ9+1))</f>
        <v>0</v>
      </c>
      <c r="UUB9" s="26">
        <f>IF(UUB7=0,0,IF(MAX($F9:UUA9)=$D12,0,UUA9+1))</f>
        <v>0</v>
      </c>
      <c r="UUC9" s="26">
        <f>IF(UUC7=0,0,IF(MAX($F9:UUB9)=$D12,0,UUB9+1))</f>
        <v>0</v>
      </c>
      <c r="UUD9" s="26">
        <f>IF(UUD7=0,0,IF(MAX($F9:UUC9)=$D12,0,UUC9+1))</f>
        <v>0</v>
      </c>
      <c r="UUE9" s="26">
        <f>IF(UUE7=0,0,IF(MAX($F9:UUD9)=$D12,0,UUD9+1))</f>
        <v>0</v>
      </c>
      <c r="UUF9" s="26">
        <f>IF(UUF7=0,0,IF(MAX($F9:UUE9)=$D12,0,UUE9+1))</f>
        <v>0</v>
      </c>
      <c r="UUG9" s="26">
        <f>IF(UUG7=0,0,IF(MAX($F9:UUF9)=$D12,0,UUF9+1))</f>
        <v>0</v>
      </c>
      <c r="UUH9" s="26">
        <f>IF(UUH7=0,0,IF(MAX($F9:UUG9)=$D12,0,UUG9+1))</f>
        <v>0</v>
      </c>
      <c r="UUI9" s="26">
        <f>IF(UUI7=0,0,IF(MAX($F9:UUH9)=$D12,0,UUH9+1))</f>
        <v>0</v>
      </c>
      <c r="UUJ9" s="26">
        <f>IF(UUJ7=0,0,IF(MAX($F9:UUI9)=$D12,0,UUI9+1))</f>
        <v>0</v>
      </c>
      <c r="UUK9" s="26">
        <f>IF(UUK7=0,0,IF(MAX($F9:UUJ9)=$D12,0,UUJ9+1))</f>
        <v>0</v>
      </c>
      <c r="UUL9" s="26">
        <f>IF(UUL7=0,0,IF(MAX($F9:UUK9)=$D12,0,UUK9+1))</f>
        <v>0</v>
      </c>
      <c r="UUM9" s="26">
        <f>IF(UUM7=0,0,IF(MAX($F9:UUL9)=$D12,0,UUL9+1))</f>
        <v>0</v>
      </c>
      <c r="UUN9" s="26">
        <f>IF(UUN7=0,0,IF(MAX($F9:UUM9)=$D12,0,UUM9+1))</f>
        <v>0</v>
      </c>
      <c r="UUO9" s="26">
        <f>IF(UUO7=0,0,IF(MAX($F9:UUN9)=$D12,0,UUN9+1))</f>
        <v>0</v>
      </c>
      <c r="UUP9" s="26">
        <f>IF(UUP7=0,0,IF(MAX($F9:UUO9)=$D12,0,UUO9+1))</f>
        <v>0</v>
      </c>
      <c r="UUQ9" s="26">
        <f>IF(UUQ7=0,0,IF(MAX($F9:UUP9)=$D12,0,UUP9+1))</f>
        <v>0</v>
      </c>
      <c r="UUR9" s="26">
        <f>IF(UUR7=0,0,IF(MAX($F9:UUQ9)=$D12,0,UUQ9+1))</f>
        <v>0</v>
      </c>
      <c r="UUS9" s="26">
        <f>IF(UUS7=0,0,IF(MAX($F9:UUR9)=$D12,0,UUR9+1))</f>
        <v>0</v>
      </c>
      <c r="UUT9" s="26">
        <f>IF(UUT7=0,0,IF(MAX($F9:UUS9)=$D12,0,UUS9+1))</f>
        <v>0</v>
      </c>
      <c r="UUU9" s="26">
        <f>IF(UUU7=0,0,IF(MAX($F9:UUT9)=$D12,0,UUT9+1))</f>
        <v>0</v>
      </c>
      <c r="UUV9" s="26">
        <f>IF(UUV7=0,0,IF(MAX($F9:UUU9)=$D12,0,UUU9+1))</f>
        <v>0</v>
      </c>
      <c r="UUW9" s="26">
        <f>IF(UUW7=0,0,IF(MAX($F9:UUV9)=$D12,0,UUV9+1))</f>
        <v>0</v>
      </c>
      <c r="UUX9" s="26">
        <f>IF(UUX7=0,0,IF(MAX($F9:UUW9)=$D12,0,UUW9+1))</f>
        <v>0</v>
      </c>
      <c r="UUY9" s="26">
        <f>IF(UUY7=0,0,IF(MAX($F9:UUX9)=$D12,0,UUX9+1))</f>
        <v>0</v>
      </c>
      <c r="UUZ9" s="26">
        <f>IF(UUZ7=0,0,IF(MAX($F9:UUY9)=$D12,0,UUY9+1))</f>
        <v>0</v>
      </c>
      <c r="UVA9" s="26">
        <f>IF(UVA7=0,0,IF(MAX($F9:UUZ9)=$D12,0,UUZ9+1))</f>
        <v>0</v>
      </c>
      <c r="UVB9" s="26">
        <f>IF(UVB7=0,0,IF(MAX($F9:UVA9)=$D12,0,UVA9+1))</f>
        <v>0</v>
      </c>
      <c r="UVC9" s="26">
        <f>IF(UVC7=0,0,IF(MAX($F9:UVB9)=$D12,0,UVB9+1))</f>
        <v>0</v>
      </c>
      <c r="UVD9" s="26">
        <f>IF(UVD7=0,0,IF(MAX($F9:UVC9)=$D12,0,UVC9+1))</f>
        <v>0</v>
      </c>
      <c r="UVE9" s="26">
        <f>IF(UVE7=0,0,IF(MAX($F9:UVD9)=$D12,0,UVD9+1))</f>
        <v>0</v>
      </c>
      <c r="UVF9" s="26">
        <f>IF(UVF7=0,0,IF(MAX($F9:UVE9)=$D12,0,UVE9+1))</f>
        <v>0</v>
      </c>
      <c r="UVG9" s="26">
        <f>IF(UVG7=0,0,IF(MAX($F9:UVF9)=$D12,0,UVF9+1))</f>
        <v>0</v>
      </c>
      <c r="UVH9" s="26">
        <f>IF(UVH7=0,0,IF(MAX($F9:UVG9)=$D12,0,UVG9+1))</f>
        <v>0</v>
      </c>
      <c r="UVI9" s="26">
        <f>IF(UVI7=0,0,IF(MAX($F9:UVH9)=$D12,0,UVH9+1))</f>
        <v>0</v>
      </c>
      <c r="UVJ9" s="26">
        <f>IF(UVJ7=0,0,IF(MAX($F9:UVI9)=$D12,0,UVI9+1))</f>
        <v>0</v>
      </c>
      <c r="UVK9" s="26">
        <f>IF(UVK7=0,0,IF(MAX($F9:UVJ9)=$D12,0,UVJ9+1))</f>
        <v>0</v>
      </c>
      <c r="UVL9" s="26">
        <f>IF(UVL7=0,0,IF(MAX($F9:UVK9)=$D12,0,UVK9+1))</f>
        <v>0</v>
      </c>
      <c r="UVM9" s="26">
        <f>IF(UVM7=0,0,IF(MAX($F9:UVL9)=$D12,0,UVL9+1))</f>
        <v>0</v>
      </c>
      <c r="UVN9" s="26">
        <f>IF(UVN7=0,0,IF(MAX($F9:UVM9)=$D12,0,UVM9+1))</f>
        <v>0</v>
      </c>
      <c r="UVO9" s="26">
        <f>IF(UVO7=0,0,IF(MAX($F9:UVN9)=$D12,0,UVN9+1))</f>
        <v>0</v>
      </c>
      <c r="UVP9" s="26">
        <f>IF(UVP7=0,0,IF(MAX($F9:UVO9)=$D12,0,UVO9+1))</f>
        <v>0</v>
      </c>
      <c r="UVQ9" s="26">
        <f>IF(UVQ7=0,0,IF(MAX($F9:UVP9)=$D12,0,UVP9+1))</f>
        <v>0</v>
      </c>
      <c r="UVR9" s="26">
        <f>IF(UVR7=0,0,IF(MAX($F9:UVQ9)=$D12,0,UVQ9+1))</f>
        <v>0</v>
      </c>
      <c r="UVS9" s="26">
        <f>IF(UVS7=0,0,IF(MAX($F9:UVR9)=$D12,0,UVR9+1))</f>
        <v>0</v>
      </c>
      <c r="UVT9" s="26">
        <f>IF(UVT7=0,0,IF(MAX($F9:UVS9)=$D12,0,UVS9+1))</f>
        <v>0</v>
      </c>
      <c r="UVU9" s="26">
        <f>IF(UVU7=0,0,IF(MAX($F9:UVT9)=$D12,0,UVT9+1))</f>
        <v>0</v>
      </c>
      <c r="UVV9" s="26">
        <f>IF(UVV7=0,0,IF(MAX($F9:UVU9)=$D12,0,UVU9+1))</f>
        <v>0</v>
      </c>
      <c r="UVW9" s="26">
        <f>IF(UVW7=0,0,IF(MAX($F9:UVV9)=$D12,0,UVV9+1))</f>
        <v>0</v>
      </c>
      <c r="UVX9" s="26">
        <f>IF(UVX7=0,0,IF(MAX($F9:UVW9)=$D12,0,UVW9+1))</f>
        <v>0</v>
      </c>
      <c r="UVY9" s="26">
        <f>IF(UVY7=0,0,IF(MAX($F9:UVX9)=$D12,0,UVX9+1))</f>
        <v>0</v>
      </c>
      <c r="UVZ9" s="26">
        <f>IF(UVZ7=0,0,IF(MAX($F9:UVY9)=$D12,0,UVY9+1))</f>
        <v>0</v>
      </c>
      <c r="UWA9" s="26">
        <f>IF(UWA7=0,0,IF(MAX($F9:UVZ9)=$D12,0,UVZ9+1))</f>
        <v>0</v>
      </c>
      <c r="UWB9" s="26">
        <f>IF(UWB7=0,0,IF(MAX($F9:UWA9)=$D12,0,UWA9+1))</f>
        <v>0</v>
      </c>
      <c r="UWC9" s="26">
        <f>IF(UWC7=0,0,IF(MAX($F9:UWB9)=$D12,0,UWB9+1))</f>
        <v>0</v>
      </c>
      <c r="UWD9" s="26">
        <f>IF(UWD7=0,0,IF(MAX($F9:UWC9)=$D12,0,UWC9+1))</f>
        <v>0</v>
      </c>
      <c r="UWE9" s="26">
        <f>IF(UWE7=0,0,IF(MAX($F9:UWD9)=$D12,0,UWD9+1))</f>
        <v>0</v>
      </c>
      <c r="UWF9" s="26">
        <f>IF(UWF7=0,0,IF(MAX($F9:UWE9)=$D12,0,UWE9+1))</f>
        <v>0</v>
      </c>
      <c r="UWG9" s="26">
        <f>IF(UWG7=0,0,IF(MAX($F9:UWF9)=$D12,0,UWF9+1))</f>
        <v>0</v>
      </c>
      <c r="UWH9" s="26">
        <f>IF(UWH7=0,0,IF(MAX($F9:UWG9)=$D12,0,UWG9+1))</f>
        <v>0</v>
      </c>
      <c r="UWI9" s="26">
        <f>IF(UWI7=0,0,IF(MAX($F9:UWH9)=$D12,0,UWH9+1))</f>
        <v>0</v>
      </c>
      <c r="UWJ9" s="26">
        <f>IF(UWJ7=0,0,IF(MAX($F9:UWI9)=$D12,0,UWI9+1))</f>
        <v>0</v>
      </c>
      <c r="UWK9" s="26">
        <f>IF(UWK7=0,0,IF(MAX($F9:UWJ9)=$D12,0,UWJ9+1))</f>
        <v>0</v>
      </c>
      <c r="UWL9" s="26">
        <f>IF(UWL7=0,0,IF(MAX($F9:UWK9)=$D12,0,UWK9+1))</f>
        <v>0</v>
      </c>
      <c r="UWM9" s="26">
        <f>IF(UWM7=0,0,IF(MAX($F9:UWL9)=$D12,0,UWL9+1))</f>
        <v>0</v>
      </c>
      <c r="UWN9" s="26">
        <f>IF(UWN7=0,0,IF(MAX($F9:UWM9)=$D12,0,UWM9+1))</f>
        <v>0</v>
      </c>
      <c r="UWO9" s="26">
        <f>IF(UWO7=0,0,IF(MAX($F9:UWN9)=$D12,0,UWN9+1))</f>
        <v>0</v>
      </c>
      <c r="UWP9" s="26">
        <f>IF(UWP7=0,0,IF(MAX($F9:UWO9)=$D12,0,UWO9+1))</f>
        <v>0</v>
      </c>
      <c r="UWQ9" s="26">
        <f>IF(UWQ7=0,0,IF(MAX($F9:UWP9)=$D12,0,UWP9+1))</f>
        <v>0</v>
      </c>
      <c r="UWR9" s="26">
        <f>IF(UWR7=0,0,IF(MAX($F9:UWQ9)=$D12,0,UWQ9+1))</f>
        <v>0</v>
      </c>
      <c r="UWS9" s="26">
        <f>IF(UWS7=0,0,IF(MAX($F9:UWR9)=$D12,0,UWR9+1))</f>
        <v>0</v>
      </c>
      <c r="UWT9" s="26">
        <f>IF(UWT7=0,0,IF(MAX($F9:UWS9)=$D12,0,UWS9+1))</f>
        <v>0</v>
      </c>
      <c r="UWU9" s="26">
        <f>IF(UWU7=0,0,IF(MAX($F9:UWT9)=$D12,0,UWT9+1))</f>
        <v>0</v>
      </c>
      <c r="UWV9" s="26">
        <f>IF(UWV7=0,0,IF(MAX($F9:UWU9)=$D12,0,UWU9+1))</f>
        <v>0</v>
      </c>
      <c r="UWW9" s="26">
        <f>IF(UWW7=0,0,IF(MAX($F9:UWV9)=$D12,0,UWV9+1))</f>
        <v>0</v>
      </c>
      <c r="UWX9" s="26">
        <f>IF(UWX7=0,0,IF(MAX($F9:UWW9)=$D12,0,UWW9+1))</f>
        <v>0</v>
      </c>
      <c r="UWY9" s="26">
        <f>IF(UWY7=0,0,IF(MAX($F9:UWX9)=$D12,0,UWX9+1))</f>
        <v>0</v>
      </c>
      <c r="UWZ9" s="26">
        <f>IF(UWZ7=0,0,IF(MAX($F9:UWY9)=$D12,0,UWY9+1))</f>
        <v>0</v>
      </c>
      <c r="UXA9" s="26">
        <f>IF(UXA7=0,0,IF(MAX($F9:UWZ9)=$D12,0,UWZ9+1))</f>
        <v>0</v>
      </c>
      <c r="UXB9" s="26">
        <f>IF(UXB7=0,0,IF(MAX($F9:UXA9)=$D12,0,UXA9+1))</f>
        <v>0</v>
      </c>
      <c r="UXC9" s="26">
        <f>IF(UXC7=0,0,IF(MAX($F9:UXB9)=$D12,0,UXB9+1))</f>
        <v>0</v>
      </c>
      <c r="UXD9" s="26">
        <f>IF(UXD7=0,0,IF(MAX($F9:UXC9)=$D12,0,UXC9+1))</f>
        <v>0</v>
      </c>
      <c r="UXE9" s="26">
        <f>IF(UXE7=0,0,IF(MAX($F9:UXD9)=$D12,0,UXD9+1))</f>
        <v>0</v>
      </c>
      <c r="UXF9" s="26">
        <f>IF(UXF7=0,0,IF(MAX($F9:UXE9)=$D12,0,UXE9+1))</f>
        <v>0</v>
      </c>
      <c r="UXG9" s="26">
        <f>IF(UXG7=0,0,IF(MAX($F9:UXF9)=$D12,0,UXF9+1))</f>
        <v>0</v>
      </c>
      <c r="UXH9" s="26">
        <f>IF(UXH7=0,0,IF(MAX($F9:UXG9)=$D12,0,UXG9+1))</f>
        <v>0</v>
      </c>
      <c r="UXI9" s="26">
        <f>IF(UXI7=0,0,IF(MAX($F9:UXH9)=$D12,0,UXH9+1))</f>
        <v>0</v>
      </c>
      <c r="UXJ9" s="26">
        <f>IF(UXJ7=0,0,IF(MAX($F9:UXI9)=$D12,0,UXI9+1))</f>
        <v>0</v>
      </c>
      <c r="UXK9" s="26">
        <f>IF(UXK7=0,0,IF(MAX($F9:UXJ9)=$D12,0,UXJ9+1))</f>
        <v>0</v>
      </c>
      <c r="UXL9" s="26">
        <f>IF(UXL7=0,0,IF(MAX($F9:UXK9)=$D12,0,UXK9+1))</f>
        <v>0</v>
      </c>
      <c r="UXM9" s="26">
        <f>IF(UXM7=0,0,IF(MAX($F9:UXL9)=$D12,0,UXL9+1))</f>
        <v>0</v>
      </c>
      <c r="UXN9" s="26">
        <f>IF(UXN7=0,0,IF(MAX($F9:UXM9)=$D12,0,UXM9+1))</f>
        <v>0</v>
      </c>
      <c r="UXO9" s="26">
        <f>IF(UXO7=0,0,IF(MAX($F9:UXN9)=$D12,0,UXN9+1))</f>
        <v>0</v>
      </c>
      <c r="UXP9" s="26">
        <f>IF(UXP7=0,0,IF(MAX($F9:UXO9)=$D12,0,UXO9+1))</f>
        <v>0</v>
      </c>
      <c r="UXQ9" s="26">
        <f>IF(UXQ7=0,0,IF(MAX($F9:UXP9)=$D12,0,UXP9+1))</f>
        <v>0</v>
      </c>
      <c r="UXR9" s="26">
        <f>IF(UXR7=0,0,IF(MAX($F9:UXQ9)=$D12,0,UXQ9+1))</f>
        <v>0</v>
      </c>
      <c r="UXS9" s="26">
        <f>IF(UXS7=0,0,IF(MAX($F9:UXR9)=$D12,0,UXR9+1))</f>
        <v>0</v>
      </c>
      <c r="UXT9" s="26">
        <f>IF(UXT7=0,0,IF(MAX($F9:UXS9)=$D12,0,UXS9+1))</f>
        <v>0</v>
      </c>
      <c r="UXU9" s="26">
        <f>IF(UXU7=0,0,IF(MAX($F9:UXT9)=$D12,0,UXT9+1))</f>
        <v>0</v>
      </c>
      <c r="UXV9" s="26">
        <f>IF(UXV7=0,0,IF(MAX($F9:UXU9)=$D12,0,UXU9+1))</f>
        <v>0</v>
      </c>
      <c r="UXW9" s="26">
        <f>IF(UXW7=0,0,IF(MAX($F9:UXV9)=$D12,0,UXV9+1))</f>
        <v>0</v>
      </c>
      <c r="UXX9" s="26">
        <f>IF(UXX7=0,0,IF(MAX($F9:UXW9)=$D12,0,UXW9+1))</f>
        <v>0</v>
      </c>
      <c r="UXY9" s="26">
        <f>IF(UXY7=0,0,IF(MAX($F9:UXX9)=$D12,0,UXX9+1))</f>
        <v>0</v>
      </c>
      <c r="UXZ9" s="26">
        <f>IF(UXZ7=0,0,IF(MAX($F9:UXY9)=$D12,0,UXY9+1))</f>
        <v>0</v>
      </c>
      <c r="UYA9" s="26">
        <f>IF(UYA7=0,0,IF(MAX($F9:UXZ9)=$D12,0,UXZ9+1))</f>
        <v>0</v>
      </c>
      <c r="UYB9" s="26">
        <f>IF(UYB7=0,0,IF(MAX($F9:UYA9)=$D12,0,UYA9+1))</f>
        <v>0</v>
      </c>
      <c r="UYC9" s="26">
        <f>IF(UYC7=0,0,IF(MAX($F9:UYB9)=$D12,0,UYB9+1))</f>
        <v>0</v>
      </c>
      <c r="UYD9" s="26">
        <f>IF(UYD7=0,0,IF(MAX($F9:UYC9)=$D12,0,UYC9+1))</f>
        <v>0</v>
      </c>
      <c r="UYE9" s="26">
        <f>IF(UYE7=0,0,IF(MAX($F9:UYD9)=$D12,0,UYD9+1))</f>
        <v>0</v>
      </c>
      <c r="UYF9" s="26">
        <f>IF(UYF7=0,0,IF(MAX($F9:UYE9)=$D12,0,UYE9+1))</f>
        <v>0</v>
      </c>
      <c r="UYG9" s="26">
        <f>IF(UYG7=0,0,IF(MAX($F9:UYF9)=$D12,0,UYF9+1))</f>
        <v>0</v>
      </c>
      <c r="UYH9" s="26">
        <f>IF(UYH7=0,0,IF(MAX($F9:UYG9)=$D12,0,UYG9+1))</f>
        <v>0</v>
      </c>
      <c r="UYI9" s="26">
        <f>IF(UYI7=0,0,IF(MAX($F9:UYH9)=$D12,0,UYH9+1))</f>
        <v>0</v>
      </c>
      <c r="UYJ9" s="26">
        <f>IF(UYJ7=0,0,IF(MAX($F9:UYI9)=$D12,0,UYI9+1))</f>
        <v>0</v>
      </c>
      <c r="UYK9" s="26">
        <f>IF(UYK7=0,0,IF(MAX($F9:UYJ9)=$D12,0,UYJ9+1))</f>
        <v>0</v>
      </c>
      <c r="UYL9" s="26">
        <f>IF(UYL7=0,0,IF(MAX($F9:UYK9)=$D12,0,UYK9+1))</f>
        <v>0</v>
      </c>
      <c r="UYM9" s="26">
        <f>IF(UYM7=0,0,IF(MAX($F9:UYL9)=$D12,0,UYL9+1))</f>
        <v>0</v>
      </c>
      <c r="UYN9" s="26">
        <f>IF(UYN7=0,0,IF(MAX($F9:UYM9)=$D12,0,UYM9+1))</f>
        <v>0</v>
      </c>
      <c r="UYO9" s="26">
        <f>IF(UYO7=0,0,IF(MAX($F9:UYN9)=$D12,0,UYN9+1))</f>
        <v>0</v>
      </c>
      <c r="UYP9" s="26">
        <f>IF(UYP7=0,0,IF(MAX($F9:UYO9)=$D12,0,UYO9+1))</f>
        <v>0</v>
      </c>
      <c r="UYQ9" s="26">
        <f>IF(UYQ7=0,0,IF(MAX($F9:UYP9)=$D12,0,UYP9+1))</f>
        <v>0</v>
      </c>
      <c r="UYR9" s="26">
        <f>IF(UYR7=0,0,IF(MAX($F9:UYQ9)=$D12,0,UYQ9+1))</f>
        <v>0</v>
      </c>
      <c r="UYS9" s="26">
        <f>IF(UYS7=0,0,IF(MAX($F9:UYR9)=$D12,0,UYR9+1))</f>
        <v>0</v>
      </c>
      <c r="UYT9" s="26">
        <f>IF(UYT7=0,0,IF(MAX($F9:UYS9)=$D12,0,UYS9+1))</f>
        <v>0</v>
      </c>
      <c r="UYU9" s="26">
        <f>IF(UYU7=0,0,IF(MAX($F9:UYT9)=$D12,0,UYT9+1))</f>
        <v>0</v>
      </c>
      <c r="UYV9" s="26">
        <f>IF(UYV7=0,0,IF(MAX($F9:UYU9)=$D12,0,UYU9+1))</f>
        <v>0</v>
      </c>
      <c r="UYW9" s="26">
        <f>IF(UYW7=0,0,IF(MAX($F9:UYV9)=$D12,0,UYV9+1))</f>
        <v>0</v>
      </c>
      <c r="UYX9" s="26">
        <f>IF(UYX7=0,0,IF(MAX($F9:UYW9)=$D12,0,UYW9+1))</f>
        <v>0</v>
      </c>
      <c r="UYY9" s="26">
        <f>IF(UYY7=0,0,IF(MAX($F9:UYX9)=$D12,0,UYX9+1))</f>
        <v>0</v>
      </c>
      <c r="UYZ9" s="26">
        <f>IF(UYZ7=0,0,IF(MAX($F9:UYY9)=$D12,0,UYY9+1))</f>
        <v>0</v>
      </c>
      <c r="UZA9" s="26">
        <f>IF(UZA7=0,0,IF(MAX($F9:UYZ9)=$D12,0,UYZ9+1))</f>
        <v>0</v>
      </c>
      <c r="UZB9" s="26">
        <f>IF(UZB7=0,0,IF(MAX($F9:UZA9)=$D12,0,UZA9+1))</f>
        <v>0</v>
      </c>
      <c r="UZC9" s="26">
        <f>IF(UZC7=0,0,IF(MAX($F9:UZB9)=$D12,0,UZB9+1))</f>
        <v>0</v>
      </c>
      <c r="UZD9" s="26">
        <f>IF(UZD7=0,0,IF(MAX($F9:UZC9)=$D12,0,UZC9+1))</f>
        <v>0</v>
      </c>
      <c r="UZE9" s="26">
        <f>IF(UZE7=0,0,IF(MAX($F9:UZD9)=$D12,0,UZD9+1))</f>
        <v>0</v>
      </c>
      <c r="UZF9" s="26">
        <f>IF(UZF7=0,0,IF(MAX($F9:UZE9)=$D12,0,UZE9+1))</f>
        <v>0</v>
      </c>
      <c r="UZG9" s="26">
        <f>IF(UZG7=0,0,IF(MAX($F9:UZF9)=$D12,0,UZF9+1))</f>
        <v>0</v>
      </c>
      <c r="UZH9" s="26">
        <f>IF(UZH7=0,0,IF(MAX($F9:UZG9)=$D12,0,UZG9+1))</f>
        <v>0</v>
      </c>
      <c r="UZI9" s="26">
        <f>IF(UZI7=0,0,IF(MAX($F9:UZH9)=$D12,0,UZH9+1))</f>
        <v>0</v>
      </c>
      <c r="UZJ9" s="26">
        <f>IF(UZJ7=0,0,IF(MAX($F9:UZI9)=$D12,0,UZI9+1))</f>
        <v>0</v>
      </c>
      <c r="UZK9" s="26">
        <f>IF(UZK7=0,0,IF(MAX($F9:UZJ9)=$D12,0,UZJ9+1))</f>
        <v>0</v>
      </c>
      <c r="UZL9" s="26">
        <f>IF(UZL7=0,0,IF(MAX($F9:UZK9)=$D12,0,UZK9+1))</f>
        <v>0</v>
      </c>
      <c r="UZM9" s="26">
        <f>IF(UZM7=0,0,IF(MAX($F9:UZL9)=$D12,0,UZL9+1))</f>
        <v>0</v>
      </c>
      <c r="UZN9" s="26">
        <f>IF(UZN7=0,0,IF(MAX($F9:UZM9)=$D12,0,UZM9+1))</f>
        <v>0</v>
      </c>
      <c r="UZO9" s="26">
        <f>IF(UZO7=0,0,IF(MAX($F9:UZN9)=$D12,0,UZN9+1))</f>
        <v>0</v>
      </c>
      <c r="UZP9" s="26">
        <f>IF(UZP7=0,0,IF(MAX($F9:UZO9)=$D12,0,UZO9+1))</f>
        <v>0</v>
      </c>
      <c r="UZQ9" s="26">
        <f>IF(UZQ7=0,0,IF(MAX($F9:UZP9)=$D12,0,UZP9+1))</f>
        <v>0</v>
      </c>
      <c r="UZR9" s="26">
        <f>IF(UZR7=0,0,IF(MAX($F9:UZQ9)=$D12,0,UZQ9+1))</f>
        <v>0</v>
      </c>
      <c r="UZS9" s="26">
        <f>IF(UZS7=0,0,IF(MAX($F9:UZR9)=$D12,0,UZR9+1))</f>
        <v>0</v>
      </c>
      <c r="UZT9" s="26">
        <f>IF(UZT7=0,0,IF(MAX($F9:UZS9)=$D12,0,UZS9+1))</f>
        <v>0</v>
      </c>
      <c r="UZU9" s="26">
        <f>IF(UZU7=0,0,IF(MAX($F9:UZT9)=$D12,0,UZT9+1))</f>
        <v>0</v>
      </c>
      <c r="UZV9" s="26">
        <f>IF(UZV7=0,0,IF(MAX($F9:UZU9)=$D12,0,UZU9+1))</f>
        <v>0</v>
      </c>
      <c r="UZW9" s="26">
        <f>IF(UZW7=0,0,IF(MAX($F9:UZV9)=$D12,0,UZV9+1))</f>
        <v>0</v>
      </c>
      <c r="UZX9" s="26">
        <f>IF(UZX7=0,0,IF(MAX($F9:UZW9)=$D12,0,UZW9+1))</f>
        <v>0</v>
      </c>
      <c r="UZY9" s="26">
        <f>IF(UZY7=0,0,IF(MAX($F9:UZX9)=$D12,0,UZX9+1))</f>
        <v>0</v>
      </c>
      <c r="UZZ9" s="26">
        <f>IF(UZZ7=0,0,IF(MAX($F9:UZY9)=$D12,0,UZY9+1))</f>
        <v>0</v>
      </c>
      <c r="VAA9" s="26">
        <f>IF(VAA7=0,0,IF(MAX($F9:UZZ9)=$D12,0,UZZ9+1))</f>
        <v>0</v>
      </c>
      <c r="VAB9" s="26">
        <f>IF(VAB7=0,0,IF(MAX($F9:VAA9)=$D12,0,VAA9+1))</f>
        <v>0</v>
      </c>
      <c r="VAC9" s="26">
        <f>IF(VAC7=0,0,IF(MAX($F9:VAB9)=$D12,0,VAB9+1))</f>
        <v>0</v>
      </c>
      <c r="VAD9" s="26">
        <f>IF(VAD7=0,0,IF(MAX($F9:VAC9)=$D12,0,VAC9+1))</f>
        <v>0</v>
      </c>
      <c r="VAE9" s="26">
        <f>IF(VAE7=0,0,IF(MAX($F9:VAD9)=$D12,0,VAD9+1))</f>
        <v>0</v>
      </c>
      <c r="VAF9" s="26">
        <f>IF(VAF7=0,0,IF(MAX($F9:VAE9)=$D12,0,VAE9+1))</f>
        <v>0</v>
      </c>
      <c r="VAG9" s="26">
        <f>IF(VAG7=0,0,IF(MAX($F9:VAF9)=$D12,0,VAF9+1))</f>
        <v>0</v>
      </c>
      <c r="VAH9" s="26">
        <f>IF(VAH7=0,0,IF(MAX($F9:VAG9)=$D12,0,VAG9+1))</f>
        <v>0</v>
      </c>
      <c r="VAI9" s="26">
        <f>IF(VAI7=0,0,IF(MAX($F9:VAH9)=$D12,0,VAH9+1))</f>
        <v>0</v>
      </c>
      <c r="VAJ9" s="26">
        <f>IF(VAJ7=0,0,IF(MAX($F9:VAI9)=$D12,0,VAI9+1))</f>
        <v>0</v>
      </c>
      <c r="VAK9" s="26">
        <f>IF(VAK7=0,0,IF(MAX($F9:VAJ9)=$D12,0,VAJ9+1))</f>
        <v>0</v>
      </c>
      <c r="VAL9" s="26">
        <f>IF(VAL7=0,0,IF(MAX($F9:VAK9)=$D12,0,VAK9+1))</f>
        <v>0</v>
      </c>
      <c r="VAM9" s="26">
        <f>IF(VAM7=0,0,IF(MAX($F9:VAL9)=$D12,0,VAL9+1))</f>
        <v>0</v>
      </c>
      <c r="VAN9" s="26">
        <f>IF(VAN7=0,0,IF(MAX($F9:VAM9)=$D12,0,VAM9+1))</f>
        <v>0</v>
      </c>
      <c r="VAO9" s="26">
        <f>IF(VAO7=0,0,IF(MAX($F9:VAN9)=$D12,0,VAN9+1))</f>
        <v>0</v>
      </c>
      <c r="VAP9" s="26">
        <f>IF(VAP7=0,0,IF(MAX($F9:VAO9)=$D12,0,VAO9+1))</f>
        <v>0</v>
      </c>
      <c r="VAQ9" s="26">
        <f>IF(VAQ7=0,0,IF(MAX($F9:VAP9)=$D12,0,VAP9+1))</f>
        <v>0</v>
      </c>
      <c r="VAR9" s="26">
        <f>IF(VAR7=0,0,IF(MAX($F9:VAQ9)=$D12,0,VAQ9+1))</f>
        <v>0</v>
      </c>
      <c r="VAS9" s="26">
        <f>IF(VAS7=0,0,IF(MAX($F9:VAR9)=$D12,0,VAR9+1))</f>
        <v>0</v>
      </c>
      <c r="VAT9" s="26">
        <f>IF(VAT7=0,0,IF(MAX($F9:VAS9)=$D12,0,VAS9+1))</f>
        <v>0</v>
      </c>
      <c r="VAU9" s="26">
        <f>IF(VAU7=0,0,IF(MAX($F9:VAT9)=$D12,0,VAT9+1))</f>
        <v>0</v>
      </c>
      <c r="VAV9" s="26">
        <f>IF(VAV7=0,0,IF(MAX($F9:VAU9)=$D12,0,VAU9+1))</f>
        <v>0</v>
      </c>
      <c r="VAW9" s="26">
        <f>IF(VAW7=0,0,IF(MAX($F9:VAV9)=$D12,0,VAV9+1))</f>
        <v>0</v>
      </c>
      <c r="VAX9" s="26">
        <f>IF(VAX7=0,0,IF(MAX($F9:VAW9)=$D12,0,VAW9+1))</f>
        <v>0</v>
      </c>
      <c r="VAY9" s="26">
        <f>IF(VAY7=0,0,IF(MAX($F9:VAX9)=$D12,0,VAX9+1))</f>
        <v>0</v>
      </c>
      <c r="VAZ9" s="26">
        <f>IF(VAZ7=0,0,IF(MAX($F9:VAY9)=$D12,0,VAY9+1))</f>
        <v>0</v>
      </c>
      <c r="VBA9" s="26">
        <f>IF(VBA7=0,0,IF(MAX($F9:VAZ9)=$D12,0,VAZ9+1))</f>
        <v>0</v>
      </c>
      <c r="VBB9" s="26">
        <f>IF(VBB7=0,0,IF(MAX($F9:VBA9)=$D12,0,VBA9+1))</f>
        <v>0</v>
      </c>
      <c r="VBC9" s="26">
        <f>IF(VBC7=0,0,IF(MAX($F9:VBB9)=$D12,0,VBB9+1))</f>
        <v>0</v>
      </c>
      <c r="VBD9" s="26">
        <f>IF(VBD7=0,0,IF(MAX($F9:VBC9)=$D12,0,VBC9+1))</f>
        <v>0</v>
      </c>
      <c r="VBE9" s="26">
        <f>IF(VBE7=0,0,IF(MAX($F9:VBD9)=$D12,0,VBD9+1))</f>
        <v>0</v>
      </c>
      <c r="VBF9" s="26">
        <f>IF(VBF7=0,0,IF(MAX($F9:VBE9)=$D12,0,VBE9+1))</f>
        <v>0</v>
      </c>
      <c r="VBG9" s="26">
        <f>IF(VBG7=0,0,IF(MAX($F9:VBF9)=$D12,0,VBF9+1))</f>
        <v>0</v>
      </c>
      <c r="VBH9" s="26">
        <f>IF(VBH7=0,0,IF(MAX($F9:VBG9)=$D12,0,VBG9+1))</f>
        <v>0</v>
      </c>
      <c r="VBI9" s="26">
        <f>IF(VBI7=0,0,IF(MAX($F9:VBH9)=$D12,0,VBH9+1))</f>
        <v>0</v>
      </c>
      <c r="VBJ9" s="26">
        <f>IF(VBJ7=0,0,IF(MAX($F9:VBI9)=$D12,0,VBI9+1))</f>
        <v>0</v>
      </c>
      <c r="VBK9" s="26">
        <f>IF(VBK7=0,0,IF(MAX($F9:VBJ9)=$D12,0,VBJ9+1))</f>
        <v>0</v>
      </c>
      <c r="VBL9" s="26">
        <f>IF(VBL7=0,0,IF(MAX($F9:VBK9)=$D12,0,VBK9+1))</f>
        <v>0</v>
      </c>
      <c r="VBM9" s="26">
        <f>IF(VBM7=0,0,IF(MAX($F9:VBL9)=$D12,0,VBL9+1))</f>
        <v>0</v>
      </c>
      <c r="VBN9" s="26">
        <f>IF(VBN7=0,0,IF(MAX($F9:VBM9)=$D12,0,VBM9+1))</f>
        <v>0</v>
      </c>
      <c r="VBO9" s="26">
        <f>IF(VBO7=0,0,IF(MAX($F9:VBN9)=$D12,0,VBN9+1))</f>
        <v>0</v>
      </c>
      <c r="VBP9" s="26">
        <f>IF(VBP7=0,0,IF(MAX($F9:VBO9)=$D12,0,VBO9+1))</f>
        <v>0</v>
      </c>
      <c r="VBQ9" s="26">
        <f>IF(VBQ7=0,0,IF(MAX($F9:VBP9)=$D12,0,VBP9+1))</f>
        <v>0</v>
      </c>
      <c r="VBR9" s="26">
        <f>IF(VBR7=0,0,IF(MAX($F9:VBQ9)=$D12,0,VBQ9+1))</f>
        <v>0</v>
      </c>
      <c r="VBS9" s="26">
        <f>IF(VBS7=0,0,IF(MAX($F9:VBR9)=$D12,0,VBR9+1))</f>
        <v>0</v>
      </c>
      <c r="VBT9" s="26">
        <f>IF(VBT7=0,0,IF(MAX($F9:VBS9)=$D12,0,VBS9+1))</f>
        <v>0</v>
      </c>
      <c r="VBU9" s="26">
        <f>IF(VBU7=0,0,IF(MAX($F9:VBT9)=$D12,0,VBT9+1))</f>
        <v>0</v>
      </c>
      <c r="VBV9" s="26">
        <f>IF(VBV7=0,0,IF(MAX($F9:VBU9)=$D12,0,VBU9+1))</f>
        <v>0</v>
      </c>
      <c r="VBW9" s="26">
        <f>IF(VBW7=0,0,IF(MAX($F9:VBV9)=$D12,0,VBV9+1))</f>
        <v>0</v>
      </c>
      <c r="VBX9" s="26">
        <f>IF(VBX7=0,0,IF(MAX($F9:VBW9)=$D12,0,VBW9+1))</f>
        <v>0</v>
      </c>
      <c r="VBY9" s="26">
        <f>IF(VBY7=0,0,IF(MAX($F9:VBX9)=$D12,0,VBX9+1))</f>
        <v>0</v>
      </c>
      <c r="VBZ9" s="26">
        <f>IF(VBZ7=0,0,IF(MAX($F9:VBY9)=$D12,0,VBY9+1))</f>
        <v>0</v>
      </c>
      <c r="VCA9" s="26">
        <f>IF(VCA7=0,0,IF(MAX($F9:VBZ9)=$D12,0,VBZ9+1))</f>
        <v>0</v>
      </c>
      <c r="VCB9" s="26">
        <f>IF(VCB7=0,0,IF(MAX($F9:VCA9)=$D12,0,VCA9+1))</f>
        <v>0</v>
      </c>
      <c r="VCC9" s="26">
        <f>IF(VCC7=0,0,IF(MAX($F9:VCB9)=$D12,0,VCB9+1))</f>
        <v>0</v>
      </c>
      <c r="VCD9" s="26">
        <f>IF(VCD7=0,0,IF(MAX($F9:VCC9)=$D12,0,VCC9+1))</f>
        <v>0</v>
      </c>
      <c r="VCE9" s="26">
        <f>IF(VCE7=0,0,IF(MAX($F9:VCD9)=$D12,0,VCD9+1))</f>
        <v>0</v>
      </c>
      <c r="VCF9" s="26">
        <f>IF(VCF7=0,0,IF(MAX($F9:VCE9)=$D12,0,VCE9+1))</f>
        <v>0</v>
      </c>
      <c r="VCG9" s="26">
        <f>IF(VCG7=0,0,IF(MAX($F9:VCF9)=$D12,0,VCF9+1))</f>
        <v>0</v>
      </c>
      <c r="VCH9" s="26">
        <f>IF(VCH7=0,0,IF(MAX($F9:VCG9)=$D12,0,VCG9+1))</f>
        <v>0</v>
      </c>
      <c r="VCI9" s="26">
        <f>IF(VCI7=0,0,IF(MAX($F9:VCH9)=$D12,0,VCH9+1))</f>
        <v>0</v>
      </c>
      <c r="VCJ9" s="26">
        <f>IF(VCJ7=0,0,IF(MAX($F9:VCI9)=$D12,0,VCI9+1))</f>
        <v>0</v>
      </c>
      <c r="VCK9" s="26">
        <f>IF(VCK7=0,0,IF(MAX($F9:VCJ9)=$D12,0,VCJ9+1))</f>
        <v>0</v>
      </c>
      <c r="VCL9" s="26">
        <f>IF(VCL7=0,0,IF(MAX($F9:VCK9)=$D12,0,VCK9+1))</f>
        <v>0</v>
      </c>
      <c r="VCM9" s="26">
        <f>IF(VCM7=0,0,IF(MAX($F9:VCL9)=$D12,0,VCL9+1))</f>
        <v>0</v>
      </c>
      <c r="VCN9" s="26">
        <f>IF(VCN7=0,0,IF(MAX($F9:VCM9)=$D12,0,VCM9+1))</f>
        <v>0</v>
      </c>
      <c r="VCO9" s="26">
        <f>IF(VCO7=0,0,IF(MAX($F9:VCN9)=$D12,0,VCN9+1))</f>
        <v>0</v>
      </c>
      <c r="VCP9" s="26">
        <f>IF(VCP7=0,0,IF(MAX($F9:VCO9)=$D12,0,VCO9+1))</f>
        <v>0</v>
      </c>
      <c r="VCQ9" s="26">
        <f>IF(VCQ7=0,0,IF(MAX($F9:VCP9)=$D12,0,VCP9+1))</f>
        <v>0</v>
      </c>
      <c r="VCR9" s="26">
        <f>IF(VCR7=0,0,IF(MAX($F9:VCQ9)=$D12,0,VCQ9+1))</f>
        <v>0</v>
      </c>
      <c r="VCS9" s="26">
        <f>IF(VCS7=0,0,IF(MAX($F9:VCR9)=$D12,0,VCR9+1))</f>
        <v>0</v>
      </c>
      <c r="VCT9" s="26">
        <f>IF(VCT7=0,0,IF(MAX($F9:VCS9)=$D12,0,VCS9+1))</f>
        <v>0</v>
      </c>
      <c r="VCU9" s="26">
        <f>IF(VCU7=0,0,IF(MAX($F9:VCT9)=$D12,0,VCT9+1))</f>
        <v>0</v>
      </c>
      <c r="VCV9" s="26">
        <f>IF(VCV7=0,0,IF(MAX($F9:VCU9)=$D12,0,VCU9+1))</f>
        <v>0</v>
      </c>
      <c r="VCW9" s="26">
        <f>IF(VCW7=0,0,IF(MAX($F9:VCV9)=$D12,0,VCV9+1))</f>
        <v>0</v>
      </c>
      <c r="VCX9" s="26">
        <f>IF(VCX7=0,0,IF(MAX($F9:VCW9)=$D12,0,VCW9+1))</f>
        <v>0</v>
      </c>
      <c r="VCY9" s="26">
        <f>IF(VCY7=0,0,IF(MAX($F9:VCX9)=$D12,0,VCX9+1))</f>
        <v>0</v>
      </c>
      <c r="VCZ9" s="26">
        <f>IF(VCZ7=0,0,IF(MAX($F9:VCY9)=$D12,0,VCY9+1))</f>
        <v>0</v>
      </c>
      <c r="VDA9" s="26">
        <f>IF(VDA7=0,0,IF(MAX($F9:VCZ9)=$D12,0,VCZ9+1))</f>
        <v>0</v>
      </c>
      <c r="VDB9" s="26">
        <f>IF(VDB7=0,0,IF(MAX($F9:VDA9)=$D12,0,VDA9+1))</f>
        <v>0</v>
      </c>
      <c r="VDC9" s="26">
        <f>IF(VDC7=0,0,IF(MAX($F9:VDB9)=$D12,0,VDB9+1))</f>
        <v>0</v>
      </c>
      <c r="VDD9" s="26">
        <f>IF(VDD7=0,0,IF(MAX($F9:VDC9)=$D12,0,VDC9+1))</f>
        <v>0</v>
      </c>
      <c r="VDE9" s="26">
        <f>IF(VDE7=0,0,IF(MAX($F9:VDD9)=$D12,0,VDD9+1))</f>
        <v>0</v>
      </c>
      <c r="VDF9" s="26">
        <f>IF(VDF7=0,0,IF(MAX($F9:VDE9)=$D12,0,VDE9+1))</f>
        <v>0</v>
      </c>
      <c r="VDG9" s="26">
        <f>IF(VDG7=0,0,IF(MAX($F9:VDF9)=$D12,0,VDF9+1))</f>
        <v>0</v>
      </c>
      <c r="VDH9" s="26">
        <f>IF(VDH7=0,0,IF(MAX($F9:VDG9)=$D12,0,VDG9+1))</f>
        <v>0</v>
      </c>
      <c r="VDI9" s="26">
        <f>IF(VDI7=0,0,IF(MAX($F9:VDH9)=$D12,0,VDH9+1))</f>
        <v>0</v>
      </c>
      <c r="VDJ9" s="26">
        <f>IF(VDJ7=0,0,IF(MAX($F9:VDI9)=$D12,0,VDI9+1))</f>
        <v>0</v>
      </c>
      <c r="VDK9" s="26">
        <f>IF(VDK7=0,0,IF(MAX($F9:VDJ9)=$D12,0,VDJ9+1))</f>
        <v>0</v>
      </c>
      <c r="VDL9" s="26">
        <f>IF(VDL7=0,0,IF(MAX($F9:VDK9)=$D12,0,VDK9+1))</f>
        <v>0</v>
      </c>
      <c r="VDM9" s="26">
        <f>IF(VDM7=0,0,IF(MAX($F9:VDL9)=$D12,0,VDL9+1))</f>
        <v>0</v>
      </c>
      <c r="VDN9" s="26">
        <f>IF(VDN7=0,0,IF(MAX($F9:VDM9)=$D12,0,VDM9+1))</f>
        <v>0</v>
      </c>
      <c r="VDO9" s="26">
        <f>IF(VDO7=0,0,IF(MAX($F9:VDN9)=$D12,0,VDN9+1))</f>
        <v>0</v>
      </c>
      <c r="VDP9" s="26">
        <f>IF(VDP7=0,0,IF(MAX($F9:VDO9)=$D12,0,VDO9+1))</f>
        <v>0</v>
      </c>
      <c r="VDQ9" s="26">
        <f>IF(VDQ7=0,0,IF(MAX($F9:VDP9)=$D12,0,VDP9+1))</f>
        <v>0</v>
      </c>
      <c r="VDR9" s="26">
        <f>IF(VDR7=0,0,IF(MAX($F9:VDQ9)=$D12,0,VDQ9+1))</f>
        <v>0</v>
      </c>
      <c r="VDS9" s="26">
        <f>IF(VDS7=0,0,IF(MAX($F9:VDR9)=$D12,0,VDR9+1))</f>
        <v>0</v>
      </c>
      <c r="VDT9" s="26">
        <f>IF(VDT7=0,0,IF(MAX($F9:VDS9)=$D12,0,VDS9+1))</f>
        <v>0</v>
      </c>
      <c r="VDU9" s="26">
        <f>IF(VDU7=0,0,IF(MAX($F9:VDT9)=$D12,0,VDT9+1))</f>
        <v>0</v>
      </c>
      <c r="VDV9" s="26">
        <f>IF(VDV7=0,0,IF(MAX($F9:VDU9)=$D12,0,VDU9+1))</f>
        <v>0</v>
      </c>
      <c r="VDW9" s="26">
        <f>IF(VDW7=0,0,IF(MAX($F9:VDV9)=$D12,0,VDV9+1))</f>
        <v>0</v>
      </c>
      <c r="VDX9" s="26">
        <f>IF(VDX7=0,0,IF(MAX($F9:VDW9)=$D12,0,VDW9+1))</f>
        <v>0</v>
      </c>
      <c r="VDY9" s="26">
        <f>IF(VDY7=0,0,IF(MAX($F9:VDX9)=$D12,0,VDX9+1))</f>
        <v>0</v>
      </c>
      <c r="VDZ9" s="26">
        <f>IF(VDZ7=0,0,IF(MAX($F9:VDY9)=$D12,0,VDY9+1))</f>
        <v>0</v>
      </c>
      <c r="VEA9" s="26">
        <f>IF(VEA7=0,0,IF(MAX($F9:VDZ9)=$D12,0,VDZ9+1))</f>
        <v>0</v>
      </c>
      <c r="VEB9" s="26">
        <f>IF(VEB7=0,0,IF(MAX($F9:VEA9)=$D12,0,VEA9+1))</f>
        <v>0</v>
      </c>
      <c r="VEC9" s="26">
        <f>IF(VEC7=0,0,IF(MAX($F9:VEB9)=$D12,0,VEB9+1))</f>
        <v>0</v>
      </c>
      <c r="VED9" s="26">
        <f>IF(VED7=0,0,IF(MAX($F9:VEC9)=$D12,0,VEC9+1))</f>
        <v>0</v>
      </c>
      <c r="VEE9" s="26">
        <f>IF(VEE7=0,0,IF(MAX($F9:VED9)=$D12,0,VED9+1))</f>
        <v>0</v>
      </c>
      <c r="VEF9" s="26">
        <f>IF(VEF7=0,0,IF(MAX($F9:VEE9)=$D12,0,VEE9+1))</f>
        <v>0</v>
      </c>
      <c r="VEG9" s="26">
        <f>IF(VEG7=0,0,IF(MAX($F9:VEF9)=$D12,0,VEF9+1))</f>
        <v>0</v>
      </c>
      <c r="VEH9" s="26">
        <f>IF(VEH7=0,0,IF(MAX($F9:VEG9)=$D12,0,VEG9+1))</f>
        <v>0</v>
      </c>
      <c r="VEI9" s="26">
        <f>IF(VEI7=0,0,IF(MAX($F9:VEH9)=$D12,0,VEH9+1))</f>
        <v>0</v>
      </c>
      <c r="VEJ9" s="26">
        <f>IF(VEJ7=0,0,IF(MAX($F9:VEI9)=$D12,0,VEI9+1))</f>
        <v>0</v>
      </c>
      <c r="VEK9" s="26">
        <f>IF(VEK7=0,0,IF(MAX($F9:VEJ9)=$D12,0,VEJ9+1))</f>
        <v>0</v>
      </c>
      <c r="VEL9" s="26">
        <f>IF(VEL7=0,0,IF(MAX($F9:VEK9)=$D12,0,VEK9+1))</f>
        <v>0</v>
      </c>
      <c r="VEM9" s="26">
        <f>IF(VEM7=0,0,IF(MAX($F9:VEL9)=$D12,0,VEL9+1))</f>
        <v>0</v>
      </c>
      <c r="VEN9" s="26">
        <f>IF(VEN7=0,0,IF(MAX($F9:VEM9)=$D12,0,VEM9+1))</f>
        <v>0</v>
      </c>
      <c r="VEO9" s="26">
        <f>IF(VEO7=0,0,IF(MAX($F9:VEN9)=$D12,0,VEN9+1))</f>
        <v>0</v>
      </c>
      <c r="VEP9" s="26">
        <f>IF(VEP7=0,0,IF(MAX($F9:VEO9)=$D12,0,VEO9+1))</f>
        <v>0</v>
      </c>
      <c r="VEQ9" s="26">
        <f>IF(VEQ7=0,0,IF(MAX($F9:VEP9)=$D12,0,VEP9+1))</f>
        <v>0</v>
      </c>
      <c r="VER9" s="26">
        <f>IF(VER7=0,0,IF(MAX($F9:VEQ9)=$D12,0,VEQ9+1))</f>
        <v>0</v>
      </c>
      <c r="VES9" s="26">
        <f>IF(VES7=0,0,IF(MAX($F9:VER9)=$D12,0,VER9+1))</f>
        <v>0</v>
      </c>
      <c r="VET9" s="26">
        <f>IF(VET7=0,0,IF(MAX($F9:VES9)=$D12,0,VES9+1))</f>
        <v>0</v>
      </c>
      <c r="VEU9" s="26">
        <f>IF(VEU7=0,0,IF(MAX($F9:VET9)=$D12,0,VET9+1))</f>
        <v>0</v>
      </c>
      <c r="VEV9" s="26">
        <f>IF(VEV7=0,0,IF(MAX($F9:VEU9)=$D12,0,VEU9+1))</f>
        <v>0</v>
      </c>
      <c r="VEW9" s="26">
        <f>IF(VEW7=0,0,IF(MAX($F9:VEV9)=$D12,0,VEV9+1))</f>
        <v>0</v>
      </c>
      <c r="VEX9" s="26">
        <f>IF(VEX7=0,0,IF(MAX($F9:VEW9)=$D12,0,VEW9+1))</f>
        <v>0</v>
      </c>
      <c r="VEY9" s="26">
        <f>IF(VEY7=0,0,IF(MAX($F9:VEX9)=$D12,0,VEX9+1))</f>
        <v>0</v>
      </c>
      <c r="VEZ9" s="26">
        <f>IF(VEZ7=0,0,IF(MAX($F9:VEY9)=$D12,0,VEY9+1))</f>
        <v>0</v>
      </c>
      <c r="VFA9" s="26">
        <f>IF(VFA7=0,0,IF(MAX($F9:VEZ9)=$D12,0,VEZ9+1))</f>
        <v>0</v>
      </c>
      <c r="VFB9" s="26">
        <f>IF(VFB7=0,0,IF(MAX($F9:VFA9)=$D12,0,VFA9+1))</f>
        <v>0</v>
      </c>
      <c r="VFC9" s="26">
        <f>IF(VFC7=0,0,IF(MAX($F9:VFB9)=$D12,0,VFB9+1))</f>
        <v>0</v>
      </c>
      <c r="VFD9" s="26">
        <f>IF(VFD7=0,0,IF(MAX($F9:VFC9)=$D12,0,VFC9+1))</f>
        <v>0</v>
      </c>
      <c r="VFE9" s="26">
        <f>IF(VFE7=0,0,IF(MAX($F9:VFD9)=$D12,0,VFD9+1))</f>
        <v>0</v>
      </c>
      <c r="VFF9" s="26">
        <f>IF(VFF7=0,0,IF(MAX($F9:VFE9)=$D12,0,VFE9+1))</f>
        <v>0</v>
      </c>
      <c r="VFG9" s="26">
        <f>IF(VFG7=0,0,IF(MAX($F9:VFF9)=$D12,0,VFF9+1))</f>
        <v>0</v>
      </c>
      <c r="VFH9" s="26">
        <f>IF(VFH7=0,0,IF(MAX($F9:VFG9)=$D12,0,VFG9+1))</f>
        <v>0</v>
      </c>
      <c r="VFI9" s="26">
        <f>IF(VFI7=0,0,IF(MAX($F9:VFH9)=$D12,0,VFH9+1))</f>
        <v>0</v>
      </c>
      <c r="VFJ9" s="26">
        <f>IF(VFJ7=0,0,IF(MAX($F9:VFI9)=$D12,0,VFI9+1))</f>
        <v>0</v>
      </c>
      <c r="VFK9" s="26">
        <f>IF(VFK7=0,0,IF(MAX($F9:VFJ9)=$D12,0,VFJ9+1))</f>
        <v>0</v>
      </c>
      <c r="VFL9" s="26">
        <f>IF(VFL7=0,0,IF(MAX($F9:VFK9)=$D12,0,VFK9+1))</f>
        <v>0</v>
      </c>
      <c r="VFM9" s="26">
        <f>IF(VFM7=0,0,IF(MAX($F9:VFL9)=$D12,0,VFL9+1))</f>
        <v>0</v>
      </c>
      <c r="VFN9" s="26">
        <f>IF(VFN7=0,0,IF(MAX($F9:VFM9)=$D12,0,VFM9+1))</f>
        <v>0</v>
      </c>
      <c r="VFO9" s="26">
        <f>IF(VFO7=0,0,IF(MAX($F9:VFN9)=$D12,0,VFN9+1))</f>
        <v>0</v>
      </c>
      <c r="VFP9" s="26">
        <f>IF(VFP7=0,0,IF(MAX($F9:VFO9)=$D12,0,VFO9+1))</f>
        <v>0</v>
      </c>
      <c r="VFQ9" s="26">
        <f>IF(VFQ7=0,0,IF(MAX($F9:VFP9)=$D12,0,VFP9+1))</f>
        <v>0</v>
      </c>
      <c r="VFR9" s="26">
        <f>IF(VFR7=0,0,IF(MAX($F9:VFQ9)=$D12,0,VFQ9+1))</f>
        <v>0</v>
      </c>
      <c r="VFS9" s="26">
        <f>IF(VFS7=0,0,IF(MAX($F9:VFR9)=$D12,0,VFR9+1))</f>
        <v>0</v>
      </c>
      <c r="VFT9" s="26">
        <f>IF(VFT7=0,0,IF(MAX($F9:VFS9)=$D12,0,VFS9+1))</f>
        <v>0</v>
      </c>
      <c r="VFU9" s="26">
        <f>IF(VFU7=0,0,IF(MAX($F9:VFT9)=$D12,0,VFT9+1))</f>
        <v>0</v>
      </c>
      <c r="VFV9" s="26">
        <f>IF(VFV7=0,0,IF(MAX($F9:VFU9)=$D12,0,VFU9+1))</f>
        <v>0</v>
      </c>
      <c r="VFW9" s="26">
        <f>IF(VFW7=0,0,IF(MAX($F9:VFV9)=$D12,0,VFV9+1))</f>
        <v>0</v>
      </c>
      <c r="VFX9" s="26">
        <f>IF(VFX7=0,0,IF(MAX($F9:VFW9)=$D12,0,VFW9+1))</f>
        <v>0</v>
      </c>
      <c r="VFY9" s="26">
        <f>IF(VFY7=0,0,IF(MAX($F9:VFX9)=$D12,0,VFX9+1))</f>
        <v>0</v>
      </c>
      <c r="VFZ9" s="26">
        <f>IF(VFZ7=0,0,IF(MAX($F9:VFY9)=$D12,0,VFY9+1))</f>
        <v>0</v>
      </c>
      <c r="VGA9" s="26">
        <f>IF(VGA7=0,0,IF(MAX($F9:VFZ9)=$D12,0,VFZ9+1))</f>
        <v>0</v>
      </c>
      <c r="VGB9" s="26">
        <f>IF(VGB7=0,0,IF(MAX($F9:VGA9)=$D12,0,VGA9+1))</f>
        <v>0</v>
      </c>
      <c r="VGC9" s="26">
        <f>IF(VGC7=0,0,IF(MAX($F9:VGB9)=$D12,0,VGB9+1))</f>
        <v>0</v>
      </c>
      <c r="VGD9" s="26">
        <f>IF(VGD7=0,0,IF(MAX($F9:VGC9)=$D12,0,VGC9+1))</f>
        <v>0</v>
      </c>
      <c r="VGE9" s="26">
        <f>IF(VGE7=0,0,IF(MAX($F9:VGD9)=$D12,0,VGD9+1))</f>
        <v>0</v>
      </c>
      <c r="VGF9" s="26">
        <f>IF(VGF7=0,0,IF(MAX($F9:VGE9)=$D12,0,VGE9+1))</f>
        <v>0</v>
      </c>
      <c r="VGG9" s="26">
        <f>IF(VGG7=0,0,IF(MAX($F9:VGF9)=$D12,0,VGF9+1))</f>
        <v>0</v>
      </c>
      <c r="VGH9" s="26">
        <f>IF(VGH7=0,0,IF(MAX($F9:VGG9)=$D12,0,VGG9+1))</f>
        <v>0</v>
      </c>
      <c r="VGI9" s="26">
        <f>IF(VGI7=0,0,IF(MAX($F9:VGH9)=$D12,0,VGH9+1))</f>
        <v>0</v>
      </c>
      <c r="VGJ9" s="26">
        <f>IF(VGJ7=0,0,IF(MAX($F9:VGI9)=$D12,0,VGI9+1))</f>
        <v>0</v>
      </c>
      <c r="VGK9" s="26">
        <f>IF(VGK7=0,0,IF(MAX($F9:VGJ9)=$D12,0,VGJ9+1))</f>
        <v>0</v>
      </c>
      <c r="VGL9" s="26">
        <f>IF(VGL7=0,0,IF(MAX($F9:VGK9)=$D12,0,VGK9+1))</f>
        <v>0</v>
      </c>
      <c r="VGM9" s="26">
        <f>IF(VGM7=0,0,IF(MAX($F9:VGL9)=$D12,0,VGL9+1))</f>
        <v>0</v>
      </c>
      <c r="VGN9" s="26">
        <f>IF(VGN7=0,0,IF(MAX($F9:VGM9)=$D12,0,VGM9+1))</f>
        <v>0</v>
      </c>
      <c r="VGO9" s="26">
        <f>IF(VGO7=0,0,IF(MAX($F9:VGN9)=$D12,0,VGN9+1))</f>
        <v>0</v>
      </c>
      <c r="VGP9" s="26">
        <f>IF(VGP7=0,0,IF(MAX($F9:VGO9)=$D12,0,VGO9+1))</f>
        <v>0</v>
      </c>
      <c r="VGQ9" s="26">
        <f>IF(VGQ7=0,0,IF(MAX($F9:VGP9)=$D12,0,VGP9+1))</f>
        <v>0</v>
      </c>
      <c r="VGR9" s="26">
        <f>IF(VGR7=0,0,IF(MAX($F9:VGQ9)=$D12,0,VGQ9+1))</f>
        <v>0</v>
      </c>
      <c r="VGS9" s="26">
        <f>IF(VGS7=0,0,IF(MAX($F9:VGR9)=$D12,0,VGR9+1))</f>
        <v>0</v>
      </c>
      <c r="VGT9" s="26">
        <f>IF(VGT7=0,0,IF(MAX($F9:VGS9)=$D12,0,VGS9+1))</f>
        <v>0</v>
      </c>
      <c r="VGU9" s="26">
        <f>IF(VGU7=0,0,IF(MAX($F9:VGT9)=$D12,0,VGT9+1))</f>
        <v>0</v>
      </c>
      <c r="VGV9" s="26">
        <f>IF(VGV7=0,0,IF(MAX($F9:VGU9)=$D12,0,VGU9+1))</f>
        <v>0</v>
      </c>
      <c r="VGW9" s="26">
        <f>IF(VGW7=0,0,IF(MAX($F9:VGV9)=$D12,0,VGV9+1))</f>
        <v>0</v>
      </c>
      <c r="VGX9" s="26">
        <f>IF(VGX7=0,0,IF(MAX($F9:VGW9)=$D12,0,VGW9+1))</f>
        <v>0</v>
      </c>
      <c r="VGY9" s="26">
        <f>IF(VGY7=0,0,IF(MAX($F9:VGX9)=$D12,0,VGX9+1))</f>
        <v>0</v>
      </c>
      <c r="VGZ9" s="26">
        <f>IF(VGZ7=0,0,IF(MAX($F9:VGY9)=$D12,0,VGY9+1))</f>
        <v>0</v>
      </c>
      <c r="VHA9" s="26">
        <f>IF(VHA7=0,0,IF(MAX($F9:VGZ9)=$D12,0,VGZ9+1))</f>
        <v>0</v>
      </c>
      <c r="VHB9" s="26">
        <f>IF(VHB7=0,0,IF(MAX($F9:VHA9)=$D12,0,VHA9+1))</f>
        <v>0</v>
      </c>
      <c r="VHC9" s="26">
        <f>IF(VHC7=0,0,IF(MAX($F9:VHB9)=$D12,0,VHB9+1))</f>
        <v>0</v>
      </c>
      <c r="VHD9" s="26">
        <f>IF(VHD7=0,0,IF(MAX($F9:VHC9)=$D12,0,VHC9+1))</f>
        <v>0</v>
      </c>
      <c r="VHE9" s="26">
        <f>IF(VHE7=0,0,IF(MAX($F9:VHD9)=$D12,0,VHD9+1))</f>
        <v>0</v>
      </c>
      <c r="VHF9" s="26">
        <f>IF(VHF7=0,0,IF(MAX($F9:VHE9)=$D12,0,VHE9+1))</f>
        <v>0</v>
      </c>
      <c r="VHG9" s="26">
        <f>IF(VHG7=0,0,IF(MAX($F9:VHF9)=$D12,0,VHF9+1))</f>
        <v>0</v>
      </c>
      <c r="VHH9" s="26">
        <f>IF(VHH7=0,0,IF(MAX($F9:VHG9)=$D12,0,VHG9+1))</f>
        <v>0</v>
      </c>
      <c r="VHI9" s="26">
        <f>IF(VHI7=0,0,IF(MAX($F9:VHH9)=$D12,0,VHH9+1))</f>
        <v>0</v>
      </c>
      <c r="VHJ9" s="26">
        <f>IF(VHJ7=0,0,IF(MAX($F9:VHI9)=$D12,0,VHI9+1))</f>
        <v>0</v>
      </c>
      <c r="VHK9" s="26">
        <f>IF(VHK7=0,0,IF(MAX($F9:VHJ9)=$D12,0,VHJ9+1))</f>
        <v>0</v>
      </c>
      <c r="VHL9" s="26">
        <f>IF(VHL7=0,0,IF(MAX($F9:VHK9)=$D12,0,VHK9+1))</f>
        <v>0</v>
      </c>
      <c r="VHM9" s="26">
        <f>IF(VHM7=0,0,IF(MAX($F9:VHL9)=$D12,0,VHL9+1))</f>
        <v>0</v>
      </c>
      <c r="VHN9" s="26">
        <f>IF(VHN7=0,0,IF(MAX($F9:VHM9)=$D12,0,VHM9+1))</f>
        <v>0</v>
      </c>
      <c r="VHO9" s="26">
        <f>IF(VHO7=0,0,IF(MAX($F9:VHN9)=$D12,0,VHN9+1))</f>
        <v>0</v>
      </c>
      <c r="VHP9" s="26">
        <f>IF(VHP7=0,0,IF(MAX($F9:VHO9)=$D12,0,VHO9+1))</f>
        <v>0</v>
      </c>
      <c r="VHQ9" s="26">
        <f>IF(VHQ7=0,0,IF(MAX($F9:VHP9)=$D12,0,VHP9+1))</f>
        <v>0</v>
      </c>
      <c r="VHR9" s="26">
        <f>IF(VHR7=0,0,IF(MAX($F9:VHQ9)=$D12,0,VHQ9+1))</f>
        <v>0</v>
      </c>
      <c r="VHS9" s="26">
        <f>IF(VHS7=0,0,IF(MAX($F9:VHR9)=$D12,0,VHR9+1))</f>
        <v>0</v>
      </c>
      <c r="VHT9" s="26">
        <f>IF(VHT7=0,0,IF(MAX($F9:VHS9)=$D12,0,VHS9+1))</f>
        <v>0</v>
      </c>
      <c r="VHU9" s="26">
        <f>IF(VHU7=0,0,IF(MAX($F9:VHT9)=$D12,0,VHT9+1))</f>
        <v>0</v>
      </c>
      <c r="VHV9" s="26">
        <f>IF(VHV7=0,0,IF(MAX($F9:VHU9)=$D12,0,VHU9+1))</f>
        <v>0</v>
      </c>
      <c r="VHW9" s="26">
        <f>IF(VHW7=0,0,IF(MAX($F9:VHV9)=$D12,0,VHV9+1))</f>
        <v>0</v>
      </c>
      <c r="VHX9" s="26">
        <f>IF(VHX7=0,0,IF(MAX($F9:VHW9)=$D12,0,VHW9+1))</f>
        <v>0</v>
      </c>
      <c r="VHY9" s="26">
        <f>IF(VHY7=0,0,IF(MAX($F9:VHX9)=$D12,0,VHX9+1))</f>
        <v>0</v>
      </c>
      <c r="VHZ9" s="26">
        <f>IF(VHZ7=0,0,IF(MAX($F9:VHY9)=$D12,0,VHY9+1))</f>
        <v>0</v>
      </c>
      <c r="VIA9" s="26">
        <f>IF(VIA7=0,0,IF(MAX($F9:VHZ9)=$D12,0,VHZ9+1))</f>
        <v>0</v>
      </c>
      <c r="VIB9" s="26">
        <f>IF(VIB7=0,0,IF(MAX($F9:VIA9)=$D12,0,VIA9+1))</f>
        <v>0</v>
      </c>
      <c r="VIC9" s="26">
        <f>IF(VIC7=0,0,IF(MAX($F9:VIB9)=$D12,0,VIB9+1))</f>
        <v>0</v>
      </c>
      <c r="VID9" s="26">
        <f>IF(VID7=0,0,IF(MAX($F9:VIC9)=$D12,0,VIC9+1))</f>
        <v>0</v>
      </c>
      <c r="VIE9" s="26">
        <f>IF(VIE7=0,0,IF(MAX($F9:VID9)=$D12,0,VID9+1))</f>
        <v>0</v>
      </c>
      <c r="VIF9" s="26">
        <f>IF(VIF7=0,0,IF(MAX($F9:VIE9)=$D12,0,VIE9+1))</f>
        <v>0</v>
      </c>
      <c r="VIG9" s="26">
        <f>IF(VIG7=0,0,IF(MAX($F9:VIF9)=$D12,0,VIF9+1))</f>
        <v>0</v>
      </c>
      <c r="VIH9" s="26">
        <f>IF(VIH7=0,0,IF(MAX($F9:VIG9)=$D12,0,VIG9+1))</f>
        <v>0</v>
      </c>
      <c r="VII9" s="26">
        <f>IF(VII7=0,0,IF(MAX($F9:VIH9)=$D12,0,VIH9+1))</f>
        <v>0</v>
      </c>
      <c r="VIJ9" s="26">
        <f>IF(VIJ7=0,0,IF(MAX($F9:VII9)=$D12,0,VII9+1))</f>
        <v>0</v>
      </c>
      <c r="VIK9" s="26">
        <f>IF(VIK7=0,0,IF(MAX($F9:VIJ9)=$D12,0,VIJ9+1))</f>
        <v>0</v>
      </c>
      <c r="VIL9" s="26">
        <f>IF(VIL7=0,0,IF(MAX($F9:VIK9)=$D12,0,VIK9+1))</f>
        <v>0</v>
      </c>
      <c r="VIM9" s="26">
        <f>IF(VIM7=0,0,IF(MAX($F9:VIL9)=$D12,0,VIL9+1))</f>
        <v>0</v>
      </c>
      <c r="VIN9" s="26">
        <f>IF(VIN7=0,0,IF(MAX($F9:VIM9)=$D12,0,VIM9+1))</f>
        <v>0</v>
      </c>
      <c r="VIO9" s="26">
        <f>IF(VIO7=0,0,IF(MAX($F9:VIN9)=$D12,0,VIN9+1))</f>
        <v>0</v>
      </c>
      <c r="VIP9" s="26">
        <f>IF(VIP7=0,0,IF(MAX($F9:VIO9)=$D12,0,VIO9+1))</f>
        <v>0</v>
      </c>
      <c r="VIQ9" s="26">
        <f>IF(VIQ7=0,0,IF(MAX($F9:VIP9)=$D12,0,VIP9+1))</f>
        <v>0</v>
      </c>
      <c r="VIR9" s="26">
        <f>IF(VIR7=0,0,IF(MAX($F9:VIQ9)=$D12,0,VIQ9+1))</f>
        <v>0</v>
      </c>
      <c r="VIS9" s="26">
        <f>IF(VIS7=0,0,IF(MAX($F9:VIR9)=$D12,0,VIR9+1))</f>
        <v>0</v>
      </c>
      <c r="VIT9" s="26">
        <f>IF(VIT7=0,0,IF(MAX($F9:VIS9)=$D12,0,VIS9+1))</f>
        <v>0</v>
      </c>
      <c r="VIU9" s="26">
        <f>IF(VIU7=0,0,IF(MAX($F9:VIT9)=$D12,0,VIT9+1))</f>
        <v>0</v>
      </c>
      <c r="VIV9" s="26">
        <f>IF(VIV7=0,0,IF(MAX($F9:VIU9)=$D12,0,VIU9+1))</f>
        <v>0</v>
      </c>
      <c r="VIW9" s="26">
        <f>IF(VIW7=0,0,IF(MAX($F9:VIV9)=$D12,0,VIV9+1))</f>
        <v>0</v>
      </c>
      <c r="VIX9" s="26">
        <f>IF(VIX7=0,0,IF(MAX($F9:VIW9)=$D12,0,VIW9+1))</f>
        <v>0</v>
      </c>
      <c r="VIY9" s="26">
        <f>IF(VIY7=0,0,IF(MAX($F9:VIX9)=$D12,0,VIX9+1))</f>
        <v>0</v>
      </c>
      <c r="VIZ9" s="26">
        <f>IF(VIZ7=0,0,IF(MAX($F9:VIY9)=$D12,0,VIY9+1))</f>
        <v>0</v>
      </c>
      <c r="VJA9" s="26">
        <f>IF(VJA7=0,0,IF(MAX($F9:VIZ9)=$D12,0,VIZ9+1))</f>
        <v>0</v>
      </c>
      <c r="VJB9" s="26">
        <f>IF(VJB7=0,0,IF(MAX($F9:VJA9)=$D12,0,VJA9+1))</f>
        <v>0</v>
      </c>
      <c r="VJC9" s="26">
        <f>IF(VJC7=0,0,IF(MAX($F9:VJB9)=$D12,0,VJB9+1))</f>
        <v>0</v>
      </c>
      <c r="VJD9" s="26">
        <f>IF(VJD7=0,0,IF(MAX($F9:VJC9)=$D12,0,VJC9+1))</f>
        <v>0</v>
      </c>
      <c r="VJE9" s="26">
        <f>IF(VJE7=0,0,IF(MAX($F9:VJD9)=$D12,0,VJD9+1))</f>
        <v>0</v>
      </c>
      <c r="VJF9" s="26">
        <f>IF(VJF7=0,0,IF(MAX($F9:VJE9)=$D12,0,VJE9+1))</f>
        <v>0</v>
      </c>
      <c r="VJG9" s="26">
        <f>IF(VJG7=0,0,IF(MAX($F9:VJF9)=$D12,0,VJF9+1))</f>
        <v>0</v>
      </c>
      <c r="VJH9" s="26">
        <f>IF(VJH7=0,0,IF(MAX($F9:VJG9)=$D12,0,VJG9+1))</f>
        <v>0</v>
      </c>
      <c r="VJI9" s="26">
        <f>IF(VJI7=0,0,IF(MAX($F9:VJH9)=$D12,0,VJH9+1))</f>
        <v>0</v>
      </c>
      <c r="VJJ9" s="26">
        <f>IF(VJJ7=0,0,IF(MAX($F9:VJI9)=$D12,0,VJI9+1))</f>
        <v>0</v>
      </c>
      <c r="VJK9" s="26">
        <f>IF(VJK7=0,0,IF(MAX($F9:VJJ9)=$D12,0,VJJ9+1))</f>
        <v>0</v>
      </c>
      <c r="VJL9" s="26">
        <f>IF(VJL7=0,0,IF(MAX($F9:VJK9)=$D12,0,VJK9+1))</f>
        <v>0</v>
      </c>
      <c r="VJM9" s="26">
        <f>IF(VJM7=0,0,IF(MAX($F9:VJL9)=$D12,0,VJL9+1))</f>
        <v>0</v>
      </c>
      <c r="VJN9" s="26">
        <f>IF(VJN7=0,0,IF(MAX($F9:VJM9)=$D12,0,VJM9+1))</f>
        <v>0</v>
      </c>
      <c r="VJO9" s="26">
        <f>IF(VJO7=0,0,IF(MAX($F9:VJN9)=$D12,0,VJN9+1))</f>
        <v>0</v>
      </c>
      <c r="VJP9" s="26">
        <f>IF(VJP7=0,0,IF(MAX($F9:VJO9)=$D12,0,VJO9+1))</f>
        <v>0</v>
      </c>
      <c r="VJQ9" s="26">
        <f>IF(VJQ7=0,0,IF(MAX($F9:VJP9)=$D12,0,VJP9+1))</f>
        <v>0</v>
      </c>
      <c r="VJR9" s="26">
        <f>IF(VJR7=0,0,IF(MAX($F9:VJQ9)=$D12,0,VJQ9+1))</f>
        <v>0</v>
      </c>
      <c r="VJS9" s="26">
        <f>IF(VJS7=0,0,IF(MAX($F9:VJR9)=$D12,0,VJR9+1))</f>
        <v>0</v>
      </c>
      <c r="VJT9" s="26">
        <f>IF(VJT7=0,0,IF(MAX($F9:VJS9)=$D12,0,VJS9+1))</f>
        <v>0</v>
      </c>
      <c r="VJU9" s="26">
        <f>IF(VJU7=0,0,IF(MAX($F9:VJT9)=$D12,0,VJT9+1))</f>
        <v>0</v>
      </c>
      <c r="VJV9" s="26">
        <f>IF(VJV7=0,0,IF(MAX($F9:VJU9)=$D12,0,VJU9+1))</f>
        <v>0</v>
      </c>
      <c r="VJW9" s="26">
        <f>IF(VJW7=0,0,IF(MAX($F9:VJV9)=$D12,0,VJV9+1))</f>
        <v>0</v>
      </c>
      <c r="VJX9" s="26">
        <f>IF(VJX7=0,0,IF(MAX($F9:VJW9)=$D12,0,VJW9+1))</f>
        <v>0</v>
      </c>
      <c r="VJY9" s="26">
        <f>IF(VJY7=0,0,IF(MAX($F9:VJX9)=$D12,0,VJX9+1))</f>
        <v>0</v>
      </c>
      <c r="VJZ9" s="26">
        <f>IF(VJZ7=0,0,IF(MAX($F9:VJY9)=$D12,0,VJY9+1))</f>
        <v>0</v>
      </c>
      <c r="VKA9" s="26">
        <f>IF(VKA7=0,0,IF(MAX($F9:VJZ9)=$D12,0,VJZ9+1))</f>
        <v>0</v>
      </c>
      <c r="VKB9" s="26">
        <f>IF(VKB7=0,0,IF(MAX($F9:VKA9)=$D12,0,VKA9+1))</f>
        <v>0</v>
      </c>
      <c r="VKC9" s="26">
        <f>IF(VKC7=0,0,IF(MAX($F9:VKB9)=$D12,0,VKB9+1))</f>
        <v>0</v>
      </c>
      <c r="VKD9" s="26">
        <f>IF(VKD7=0,0,IF(MAX($F9:VKC9)=$D12,0,VKC9+1))</f>
        <v>0</v>
      </c>
      <c r="VKE9" s="26">
        <f>IF(VKE7=0,0,IF(MAX($F9:VKD9)=$D12,0,VKD9+1))</f>
        <v>0</v>
      </c>
      <c r="VKF9" s="26">
        <f>IF(VKF7=0,0,IF(MAX($F9:VKE9)=$D12,0,VKE9+1))</f>
        <v>0</v>
      </c>
      <c r="VKG9" s="26">
        <f>IF(VKG7=0,0,IF(MAX($F9:VKF9)=$D12,0,VKF9+1))</f>
        <v>0</v>
      </c>
      <c r="VKH9" s="26">
        <f>IF(VKH7=0,0,IF(MAX($F9:VKG9)=$D12,0,VKG9+1))</f>
        <v>0</v>
      </c>
      <c r="VKI9" s="26">
        <f>IF(VKI7=0,0,IF(MAX($F9:VKH9)=$D12,0,VKH9+1))</f>
        <v>0</v>
      </c>
      <c r="VKJ9" s="26">
        <f>IF(VKJ7=0,0,IF(MAX($F9:VKI9)=$D12,0,VKI9+1))</f>
        <v>0</v>
      </c>
      <c r="VKK9" s="26">
        <f>IF(VKK7=0,0,IF(MAX($F9:VKJ9)=$D12,0,VKJ9+1))</f>
        <v>0</v>
      </c>
      <c r="VKL9" s="26">
        <f>IF(VKL7=0,0,IF(MAX($F9:VKK9)=$D12,0,VKK9+1))</f>
        <v>0</v>
      </c>
      <c r="VKM9" s="26">
        <f>IF(VKM7=0,0,IF(MAX($F9:VKL9)=$D12,0,VKL9+1))</f>
        <v>0</v>
      </c>
      <c r="VKN9" s="26">
        <f>IF(VKN7=0,0,IF(MAX($F9:VKM9)=$D12,0,VKM9+1))</f>
        <v>0</v>
      </c>
      <c r="VKO9" s="26">
        <f>IF(VKO7=0,0,IF(MAX($F9:VKN9)=$D12,0,VKN9+1))</f>
        <v>0</v>
      </c>
      <c r="VKP9" s="26">
        <f>IF(VKP7=0,0,IF(MAX($F9:VKO9)=$D12,0,VKO9+1))</f>
        <v>0</v>
      </c>
      <c r="VKQ9" s="26">
        <f>IF(VKQ7=0,0,IF(MAX($F9:VKP9)=$D12,0,VKP9+1))</f>
        <v>0</v>
      </c>
      <c r="VKR9" s="26">
        <f>IF(VKR7=0,0,IF(MAX($F9:VKQ9)=$D12,0,VKQ9+1))</f>
        <v>0</v>
      </c>
      <c r="VKS9" s="26">
        <f>IF(VKS7=0,0,IF(MAX($F9:VKR9)=$D12,0,VKR9+1))</f>
        <v>0</v>
      </c>
      <c r="VKT9" s="26">
        <f>IF(VKT7=0,0,IF(MAX($F9:VKS9)=$D12,0,VKS9+1))</f>
        <v>0</v>
      </c>
      <c r="VKU9" s="26">
        <f>IF(VKU7=0,0,IF(MAX($F9:VKT9)=$D12,0,VKT9+1))</f>
        <v>0</v>
      </c>
      <c r="VKV9" s="26">
        <f>IF(VKV7=0,0,IF(MAX($F9:VKU9)=$D12,0,VKU9+1))</f>
        <v>0</v>
      </c>
      <c r="VKW9" s="26">
        <f>IF(VKW7=0,0,IF(MAX($F9:VKV9)=$D12,0,VKV9+1))</f>
        <v>0</v>
      </c>
      <c r="VKX9" s="26">
        <f>IF(VKX7=0,0,IF(MAX($F9:VKW9)=$D12,0,VKW9+1))</f>
        <v>0</v>
      </c>
      <c r="VKY9" s="26">
        <f>IF(VKY7=0,0,IF(MAX($F9:VKX9)=$D12,0,VKX9+1))</f>
        <v>0</v>
      </c>
      <c r="VKZ9" s="26">
        <f>IF(VKZ7=0,0,IF(MAX($F9:VKY9)=$D12,0,VKY9+1))</f>
        <v>0</v>
      </c>
      <c r="VLA9" s="26">
        <f>IF(VLA7=0,0,IF(MAX($F9:VKZ9)=$D12,0,VKZ9+1))</f>
        <v>0</v>
      </c>
      <c r="VLB9" s="26">
        <f>IF(VLB7=0,0,IF(MAX($F9:VLA9)=$D12,0,VLA9+1))</f>
        <v>0</v>
      </c>
      <c r="VLC9" s="26">
        <f>IF(VLC7=0,0,IF(MAX($F9:VLB9)=$D12,0,VLB9+1))</f>
        <v>0</v>
      </c>
      <c r="VLD9" s="26">
        <f>IF(VLD7=0,0,IF(MAX($F9:VLC9)=$D12,0,VLC9+1))</f>
        <v>0</v>
      </c>
      <c r="VLE9" s="26">
        <f>IF(VLE7=0,0,IF(MAX($F9:VLD9)=$D12,0,VLD9+1))</f>
        <v>0</v>
      </c>
      <c r="VLF9" s="26">
        <f>IF(VLF7=0,0,IF(MAX($F9:VLE9)=$D12,0,VLE9+1))</f>
        <v>0</v>
      </c>
      <c r="VLG9" s="26">
        <f>IF(VLG7=0,0,IF(MAX($F9:VLF9)=$D12,0,VLF9+1))</f>
        <v>0</v>
      </c>
      <c r="VLH9" s="26">
        <f>IF(VLH7=0,0,IF(MAX($F9:VLG9)=$D12,0,VLG9+1))</f>
        <v>0</v>
      </c>
      <c r="VLI9" s="26">
        <f>IF(VLI7=0,0,IF(MAX($F9:VLH9)=$D12,0,VLH9+1))</f>
        <v>0</v>
      </c>
      <c r="VLJ9" s="26">
        <f>IF(VLJ7=0,0,IF(MAX($F9:VLI9)=$D12,0,VLI9+1))</f>
        <v>0</v>
      </c>
      <c r="VLK9" s="26">
        <f>IF(VLK7=0,0,IF(MAX($F9:VLJ9)=$D12,0,VLJ9+1))</f>
        <v>0</v>
      </c>
      <c r="VLL9" s="26">
        <f>IF(VLL7=0,0,IF(MAX($F9:VLK9)=$D12,0,VLK9+1))</f>
        <v>0</v>
      </c>
      <c r="VLM9" s="26">
        <f>IF(VLM7=0,0,IF(MAX($F9:VLL9)=$D12,0,VLL9+1))</f>
        <v>0</v>
      </c>
      <c r="VLN9" s="26">
        <f>IF(VLN7=0,0,IF(MAX($F9:VLM9)=$D12,0,VLM9+1))</f>
        <v>0</v>
      </c>
      <c r="VLO9" s="26">
        <f>IF(VLO7=0,0,IF(MAX($F9:VLN9)=$D12,0,VLN9+1))</f>
        <v>0</v>
      </c>
      <c r="VLP9" s="26">
        <f>IF(VLP7=0,0,IF(MAX($F9:VLO9)=$D12,0,VLO9+1))</f>
        <v>0</v>
      </c>
      <c r="VLQ9" s="26">
        <f>IF(VLQ7=0,0,IF(MAX($F9:VLP9)=$D12,0,VLP9+1))</f>
        <v>0</v>
      </c>
      <c r="VLR9" s="26">
        <f>IF(VLR7=0,0,IF(MAX($F9:VLQ9)=$D12,0,VLQ9+1))</f>
        <v>0</v>
      </c>
      <c r="VLS9" s="26">
        <f>IF(VLS7=0,0,IF(MAX($F9:VLR9)=$D12,0,VLR9+1))</f>
        <v>0</v>
      </c>
      <c r="VLT9" s="26">
        <f>IF(VLT7=0,0,IF(MAX($F9:VLS9)=$D12,0,VLS9+1))</f>
        <v>0</v>
      </c>
      <c r="VLU9" s="26">
        <f>IF(VLU7=0,0,IF(MAX($F9:VLT9)=$D12,0,VLT9+1))</f>
        <v>0</v>
      </c>
      <c r="VLV9" s="26">
        <f>IF(VLV7=0,0,IF(MAX($F9:VLU9)=$D12,0,VLU9+1))</f>
        <v>0</v>
      </c>
      <c r="VLW9" s="26">
        <f>IF(VLW7=0,0,IF(MAX($F9:VLV9)=$D12,0,VLV9+1))</f>
        <v>0</v>
      </c>
      <c r="VLX9" s="26">
        <f>IF(VLX7=0,0,IF(MAX($F9:VLW9)=$D12,0,VLW9+1))</f>
        <v>0</v>
      </c>
      <c r="VLY9" s="26">
        <f>IF(VLY7=0,0,IF(MAX($F9:VLX9)=$D12,0,VLX9+1))</f>
        <v>0</v>
      </c>
      <c r="VLZ9" s="26">
        <f>IF(VLZ7=0,0,IF(MAX($F9:VLY9)=$D12,0,VLY9+1))</f>
        <v>0</v>
      </c>
      <c r="VMA9" s="26">
        <f>IF(VMA7=0,0,IF(MAX($F9:VLZ9)=$D12,0,VLZ9+1))</f>
        <v>0</v>
      </c>
      <c r="VMB9" s="26">
        <f>IF(VMB7=0,0,IF(MAX($F9:VMA9)=$D12,0,VMA9+1))</f>
        <v>0</v>
      </c>
      <c r="VMC9" s="26">
        <f>IF(VMC7=0,0,IF(MAX($F9:VMB9)=$D12,0,VMB9+1))</f>
        <v>0</v>
      </c>
      <c r="VMD9" s="26">
        <f>IF(VMD7=0,0,IF(MAX($F9:VMC9)=$D12,0,VMC9+1))</f>
        <v>0</v>
      </c>
      <c r="VME9" s="26">
        <f>IF(VME7=0,0,IF(MAX($F9:VMD9)=$D12,0,VMD9+1))</f>
        <v>0</v>
      </c>
      <c r="VMF9" s="26">
        <f>IF(VMF7=0,0,IF(MAX($F9:VME9)=$D12,0,VME9+1))</f>
        <v>0</v>
      </c>
      <c r="VMG9" s="26">
        <f>IF(VMG7=0,0,IF(MAX($F9:VMF9)=$D12,0,VMF9+1))</f>
        <v>0</v>
      </c>
      <c r="VMH9" s="26">
        <f>IF(VMH7=0,0,IF(MAX($F9:VMG9)=$D12,0,VMG9+1))</f>
        <v>0</v>
      </c>
      <c r="VMI9" s="26">
        <f>IF(VMI7=0,0,IF(MAX($F9:VMH9)=$D12,0,VMH9+1))</f>
        <v>0</v>
      </c>
      <c r="VMJ9" s="26">
        <f>IF(VMJ7=0,0,IF(MAX($F9:VMI9)=$D12,0,VMI9+1))</f>
        <v>0</v>
      </c>
      <c r="VMK9" s="26">
        <f>IF(VMK7=0,0,IF(MAX($F9:VMJ9)=$D12,0,VMJ9+1))</f>
        <v>0</v>
      </c>
      <c r="VML9" s="26">
        <f>IF(VML7=0,0,IF(MAX($F9:VMK9)=$D12,0,VMK9+1))</f>
        <v>0</v>
      </c>
      <c r="VMM9" s="26">
        <f>IF(VMM7=0,0,IF(MAX($F9:VML9)=$D12,0,VML9+1))</f>
        <v>0</v>
      </c>
      <c r="VMN9" s="26">
        <f>IF(VMN7=0,0,IF(MAX($F9:VMM9)=$D12,0,VMM9+1))</f>
        <v>0</v>
      </c>
      <c r="VMO9" s="26">
        <f>IF(VMO7=0,0,IF(MAX($F9:VMN9)=$D12,0,VMN9+1))</f>
        <v>0</v>
      </c>
      <c r="VMP9" s="26">
        <f>IF(VMP7=0,0,IF(MAX($F9:VMO9)=$D12,0,VMO9+1))</f>
        <v>0</v>
      </c>
      <c r="VMQ9" s="26">
        <f>IF(VMQ7=0,0,IF(MAX($F9:VMP9)=$D12,0,VMP9+1))</f>
        <v>0</v>
      </c>
      <c r="VMR9" s="26">
        <f>IF(VMR7=0,0,IF(MAX($F9:VMQ9)=$D12,0,VMQ9+1))</f>
        <v>0</v>
      </c>
      <c r="VMS9" s="26">
        <f>IF(VMS7=0,0,IF(MAX($F9:VMR9)=$D12,0,VMR9+1))</f>
        <v>0</v>
      </c>
      <c r="VMT9" s="26">
        <f>IF(VMT7=0,0,IF(MAX($F9:VMS9)=$D12,0,VMS9+1))</f>
        <v>0</v>
      </c>
      <c r="VMU9" s="26">
        <f>IF(VMU7=0,0,IF(MAX($F9:VMT9)=$D12,0,VMT9+1))</f>
        <v>0</v>
      </c>
      <c r="VMV9" s="26">
        <f>IF(VMV7=0,0,IF(MAX($F9:VMU9)=$D12,0,VMU9+1))</f>
        <v>0</v>
      </c>
      <c r="VMW9" s="26">
        <f>IF(VMW7=0,0,IF(MAX($F9:VMV9)=$D12,0,VMV9+1))</f>
        <v>0</v>
      </c>
      <c r="VMX9" s="26">
        <f>IF(VMX7=0,0,IF(MAX($F9:VMW9)=$D12,0,VMW9+1))</f>
        <v>0</v>
      </c>
      <c r="VMY9" s="26">
        <f>IF(VMY7=0,0,IF(MAX($F9:VMX9)=$D12,0,VMX9+1))</f>
        <v>0</v>
      </c>
      <c r="VMZ9" s="26">
        <f>IF(VMZ7=0,0,IF(MAX($F9:VMY9)=$D12,0,VMY9+1))</f>
        <v>0</v>
      </c>
      <c r="VNA9" s="26">
        <f>IF(VNA7=0,0,IF(MAX($F9:VMZ9)=$D12,0,VMZ9+1))</f>
        <v>0</v>
      </c>
      <c r="VNB9" s="26">
        <f>IF(VNB7=0,0,IF(MAX($F9:VNA9)=$D12,0,VNA9+1))</f>
        <v>0</v>
      </c>
      <c r="VNC9" s="26">
        <f>IF(VNC7=0,0,IF(MAX($F9:VNB9)=$D12,0,VNB9+1))</f>
        <v>0</v>
      </c>
      <c r="VND9" s="26">
        <f>IF(VND7=0,0,IF(MAX($F9:VNC9)=$D12,0,VNC9+1))</f>
        <v>0</v>
      </c>
      <c r="VNE9" s="26">
        <f>IF(VNE7=0,0,IF(MAX($F9:VND9)=$D12,0,VND9+1))</f>
        <v>0</v>
      </c>
      <c r="VNF9" s="26">
        <f>IF(VNF7=0,0,IF(MAX($F9:VNE9)=$D12,0,VNE9+1))</f>
        <v>0</v>
      </c>
      <c r="VNG9" s="26">
        <f>IF(VNG7=0,0,IF(MAX($F9:VNF9)=$D12,0,VNF9+1))</f>
        <v>0</v>
      </c>
      <c r="VNH9" s="26">
        <f>IF(VNH7=0,0,IF(MAX($F9:VNG9)=$D12,0,VNG9+1))</f>
        <v>0</v>
      </c>
      <c r="VNI9" s="26">
        <f>IF(VNI7=0,0,IF(MAX($F9:VNH9)=$D12,0,VNH9+1))</f>
        <v>0</v>
      </c>
      <c r="VNJ9" s="26">
        <f>IF(VNJ7=0,0,IF(MAX($F9:VNI9)=$D12,0,VNI9+1))</f>
        <v>0</v>
      </c>
      <c r="VNK9" s="26">
        <f>IF(VNK7=0,0,IF(MAX($F9:VNJ9)=$D12,0,VNJ9+1))</f>
        <v>0</v>
      </c>
      <c r="VNL9" s="26">
        <f>IF(VNL7=0,0,IF(MAX($F9:VNK9)=$D12,0,VNK9+1))</f>
        <v>0</v>
      </c>
      <c r="VNM9" s="26">
        <f>IF(VNM7=0,0,IF(MAX($F9:VNL9)=$D12,0,VNL9+1))</f>
        <v>0</v>
      </c>
      <c r="VNN9" s="26">
        <f>IF(VNN7=0,0,IF(MAX($F9:VNM9)=$D12,0,VNM9+1))</f>
        <v>0</v>
      </c>
      <c r="VNO9" s="26">
        <f>IF(VNO7=0,0,IF(MAX($F9:VNN9)=$D12,0,VNN9+1))</f>
        <v>0</v>
      </c>
      <c r="VNP9" s="26">
        <f>IF(VNP7=0,0,IF(MAX($F9:VNO9)=$D12,0,VNO9+1))</f>
        <v>0</v>
      </c>
      <c r="VNQ9" s="26">
        <f>IF(VNQ7=0,0,IF(MAX($F9:VNP9)=$D12,0,VNP9+1))</f>
        <v>0</v>
      </c>
      <c r="VNR9" s="26">
        <f>IF(VNR7=0,0,IF(MAX($F9:VNQ9)=$D12,0,VNQ9+1))</f>
        <v>0</v>
      </c>
      <c r="VNS9" s="26">
        <f>IF(VNS7=0,0,IF(MAX($F9:VNR9)=$D12,0,VNR9+1))</f>
        <v>0</v>
      </c>
      <c r="VNT9" s="26">
        <f>IF(VNT7=0,0,IF(MAX($F9:VNS9)=$D12,0,VNS9+1))</f>
        <v>0</v>
      </c>
      <c r="VNU9" s="26">
        <f>IF(VNU7=0,0,IF(MAX($F9:VNT9)=$D12,0,VNT9+1))</f>
        <v>0</v>
      </c>
      <c r="VNV9" s="26">
        <f>IF(VNV7=0,0,IF(MAX($F9:VNU9)=$D12,0,VNU9+1))</f>
        <v>0</v>
      </c>
      <c r="VNW9" s="26">
        <f>IF(VNW7=0,0,IF(MAX($F9:VNV9)=$D12,0,VNV9+1))</f>
        <v>0</v>
      </c>
      <c r="VNX9" s="26">
        <f>IF(VNX7=0,0,IF(MAX($F9:VNW9)=$D12,0,VNW9+1))</f>
        <v>0</v>
      </c>
      <c r="VNY9" s="26">
        <f>IF(VNY7=0,0,IF(MAX($F9:VNX9)=$D12,0,VNX9+1))</f>
        <v>0</v>
      </c>
      <c r="VNZ9" s="26">
        <f>IF(VNZ7=0,0,IF(MAX($F9:VNY9)=$D12,0,VNY9+1))</f>
        <v>0</v>
      </c>
      <c r="VOA9" s="26">
        <f>IF(VOA7=0,0,IF(MAX($F9:VNZ9)=$D12,0,VNZ9+1))</f>
        <v>0</v>
      </c>
      <c r="VOB9" s="26">
        <f>IF(VOB7=0,0,IF(MAX($F9:VOA9)=$D12,0,VOA9+1))</f>
        <v>0</v>
      </c>
      <c r="VOC9" s="26">
        <f>IF(VOC7=0,0,IF(MAX($F9:VOB9)=$D12,0,VOB9+1))</f>
        <v>0</v>
      </c>
      <c r="VOD9" s="26">
        <f>IF(VOD7=0,0,IF(MAX($F9:VOC9)=$D12,0,VOC9+1))</f>
        <v>0</v>
      </c>
      <c r="VOE9" s="26">
        <f>IF(VOE7=0,0,IF(MAX($F9:VOD9)=$D12,0,VOD9+1))</f>
        <v>0</v>
      </c>
      <c r="VOF9" s="26">
        <f>IF(VOF7=0,0,IF(MAX($F9:VOE9)=$D12,0,VOE9+1))</f>
        <v>0</v>
      </c>
      <c r="VOG9" s="26">
        <f>IF(VOG7=0,0,IF(MAX($F9:VOF9)=$D12,0,VOF9+1))</f>
        <v>0</v>
      </c>
      <c r="VOH9" s="26">
        <f>IF(VOH7=0,0,IF(MAX($F9:VOG9)=$D12,0,VOG9+1))</f>
        <v>0</v>
      </c>
      <c r="VOI9" s="26">
        <f>IF(VOI7=0,0,IF(MAX($F9:VOH9)=$D12,0,VOH9+1))</f>
        <v>0</v>
      </c>
      <c r="VOJ9" s="26">
        <f>IF(VOJ7=0,0,IF(MAX($F9:VOI9)=$D12,0,VOI9+1))</f>
        <v>0</v>
      </c>
      <c r="VOK9" s="26">
        <f>IF(VOK7=0,0,IF(MAX($F9:VOJ9)=$D12,0,VOJ9+1))</f>
        <v>0</v>
      </c>
      <c r="VOL9" s="26">
        <f>IF(VOL7=0,0,IF(MAX($F9:VOK9)=$D12,0,VOK9+1))</f>
        <v>0</v>
      </c>
      <c r="VOM9" s="26">
        <f>IF(VOM7=0,0,IF(MAX($F9:VOL9)=$D12,0,VOL9+1))</f>
        <v>0</v>
      </c>
      <c r="VON9" s="26">
        <f>IF(VON7=0,0,IF(MAX($F9:VOM9)=$D12,0,VOM9+1))</f>
        <v>0</v>
      </c>
      <c r="VOO9" s="26">
        <f>IF(VOO7=0,0,IF(MAX($F9:VON9)=$D12,0,VON9+1))</f>
        <v>0</v>
      </c>
      <c r="VOP9" s="26">
        <f>IF(VOP7=0,0,IF(MAX($F9:VOO9)=$D12,0,VOO9+1))</f>
        <v>0</v>
      </c>
      <c r="VOQ9" s="26">
        <f>IF(VOQ7=0,0,IF(MAX($F9:VOP9)=$D12,0,VOP9+1))</f>
        <v>0</v>
      </c>
      <c r="VOR9" s="26">
        <f>IF(VOR7=0,0,IF(MAX($F9:VOQ9)=$D12,0,VOQ9+1))</f>
        <v>0</v>
      </c>
      <c r="VOS9" s="26">
        <f>IF(VOS7=0,0,IF(MAX($F9:VOR9)=$D12,0,VOR9+1))</f>
        <v>0</v>
      </c>
      <c r="VOT9" s="26">
        <f>IF(VOT7=0,0,IF(MAX($F9:VOS9)=$D12,0,VOS9+1))</f>
        <v>0</v>
      </c>
      <c r="VOU9" s="26">
        <f>IF(VOU7=0,0,IF(MAX($F9:VOT9)=$D12,0,VOT9+1))</f>
        <v>0</v>
      </c>
      <c r="VOV9" s="26">
        <f>IF(VOV7=0,0,IF(MAX($F9:VOU9)=$D12,0,VOU9+1))</f>
        <v>0</v>
      </c>
      <c r="VOW9" s="26">
        <f>IF(VOW7=0,0,IF(MAX($F9:VOV9)=$D12,0,VOV9+1))</f>
        <v>0</v>
      </c>
      <c r="VOX9" s="26">
        <f>IF(VOX7=0,0,IF(MAX($F9:VOW9)=$D12,0,VOW9+1))</f>
        <v>0</v>
      </c>
      <c r="VOY9" s="26">
        <f>IF(VOY7=0,0,IF(MAX($F9:VOX9)=$D12,0,VOX9+1))</f>
        <v>0</v>
      </c>
      <c r="VOZ9" s="26">
        <f>IF(VOZ7=0,0,IF(MAX($F9:VOY9)=$D12,0,VOY9+1))</f>
        <v>0</v>
      </c>
      <c r="VPA9" s="26">
        <f>IF(VPA7=0,0,IF(MAX($F9:VOZ9)=$D12,0,VOZ9+1))</f>
        <v>0</v>
      </c>
      <c r="VPB9" s="26">
        <f>IF(VPB7=0,0,IF(MAX($F9:VPA9)=$D12,0,VPA9+1))</f>
        <v>0</v>
      </c>
      <c r="VPC9" s="26">
        <f>IF(VPC7=0,0,IF(MAX($F9:VPB9)=$D12,0,VPB9+1))</f>
        <v>0</v>
      </c>
      <c r="VPD9" s="26">
        <f>IF(VPD7=0,0,IF(MAX($F9:VPC9)=$D12,0,VPC9+1))</f>
        <v>0</v>
      </c>
      <c r="VPE9" s="26">
        <f>IF(VPE7=0,0,IF(MAX($F9:VPD9)=$D12,0,VPD9+1))</f>
        <v>0</v>
      </c>
      <c r="VPF9" s="26">
        <f>IF(VPF7=0,0,IF(MAX($F9:VPE9)=$D12,0,VPE9+1))</f>
        <v>0</v>
      </c>
      <c r="VPG9" s="26">
        <f>IF(VPG7=0,0,IF(MAX($F9:VPF9)=$D12,0,VPF9+1))</f>
        <v>0</v>
      </c>
      <c r="VPH9" s="26">
        <f>IF(VPH7=0,0,IF(MAX($F9:VPG9)=$D12,0,VPG9+1))</f>
        <v>0</v>
      </c>
      <c r="VPI9" s="26">
        <f>IF(VPI7=0,0,IF(MAX($F9:VPH9)=$D12,0,VPH9+1))</f>
        <v>0</v>
      </c>
      <c r="VPJ9" s="26">
        <f>IF(VPJ7=0,0,IF(MAX($F9:VPI9)=$D12,0,VPI9+1))</f>
        <v>0</v>
      </c>
      <c r="VPK9" s="26">
        <f>IF(VPK7=0,0,IF(MAX($F9:VPJ9)=$D12,0,VPJ9+1))</f>
        <v>0</v>
      </c>
      <c r="VPL9" s="26">
        <f>IF(VPL7=0,0,IF(MAX($F9:VPK9)=$D12,0,VPK9+1))</f>
        <v>0</v>
      </c>
      <c r="VPM9" s="26">
        <f>IF(VPM7=0,0,IF(MAX($F9:VPL9)=$D12,0,VPL9+1))</f>
        <v>0</v>
      </c>
      <c r="VPN9" s="26">
        <f>IF(VPN7=0,0,IF(MAX($F9:VPM9)=$D12,0,VPM9+1))</f>
        <v>0</v>
      </c>
      <c r="VPO9" s="26">
        <f>IF(VPO7=0,0,IF(MAX($F9:VPN9)=$D12,0,VPN9+1))</f>
        <v>0</v>
      </c>
      <c r="VPP9" s="26">
        <f>IF(VPP7=0,0,IF(MAX($F9:VPO9)=$D12,0,VPO9+1))</f>
        <v>0</v>
      </c>
      <c r="VPQ9" s="26">
        <f>IF(VPQ7=0,0,IF(MAX($F9:VPP9)=$D12,0,VPP9+1))</f>
        <v>0</v>
      </c>
      <c r="VPR9" s="26">
        <f>IF(VPR7=0,0,IF(MAX($F9:VPQ9)=$D12,0,VPQ9+1))</f>
        <v>0</v>
      </c>
      <c r="VPS9" s="26">
        <f>IF(VPS7=0,0,IF(MAX($F9:VPR9)=$D12,0,VPR9+1))</f>
        <v>0</v>
      </c>
      <c r="VPT9" s="26">
        <f>IF(VPT7=0,0,IF(MAX($F9:VPS9)=$D12,0,VPS9+1))</f>
        <v>0</v>
      </c>
      <c r="VPU9" s="26">
        <f>IF(VPU7=0,0,IF(MAX($F9:VPT9)=$D12,0,VPT9+1))</f>
        <v>0</v>
      </c>
      <c r="VPV9" s="26">
        <f>IF(VPV7=0,0,IF(MAX($F9:VPU9)=$D12,0,VPU9+1))</f>
        <v>0</v>
      </c>
      <c r="VPW9" s="26">
        <f>IF(VPW7=0,0,IF(MAX($F9:VPV9)=$D12,0,VPV9+1))</f>
        <v>0</v>
      </c>
      <c r="VPX9" s="26">
        <f>IF(VPX7=0,0,IF(MAX($F9:VPW9)=$D12,0,VPW9+1))</f>
        <v>0</v>
      </c>
      <c r="VPY9" s="26">
        <f>IF(VPY7=0,0,IF(MAX($F9:VPX9)=$D12,0,VPX9+1))</f>
        <v>0</v>
      </c>
      <c r="VPZ9" s="26">
        <f>IF(VPZ7=0,0,IF(MAX($F9:VPY9)=$D12,0,VPY9+1))</f>
        <v>0</v>
      </c>
      <c r="VQA9" s="26">
        <f>IF(VQA7=0,0,IF(MAX($F9:VPZ9)=$D12,0,VPZ9+1))</f>
        <v>0</v>
      </c>
      <c r="VQB9" s="26">
        <f>IF(VQB7=0,0,IF(MAX($F9:VQA9)=$D12,0,VQA9+1))</f>
        <v>0</v>
      </c>
      <c r="VQC9" s="26">
        <f>IF(VQC7=0,0,IF(MAX($F9:VQB9)=$D12,0,VQB9+1))</f>
        <v>0</v>
      </c>
      <c r="VQD9" s="26">
        <f>IF(VQD7=0,0,IF(MAX($F9:VQC9)=$D12,0,VQC9+1))</f>
        <v>0</v>
      </c>
      <c r="VQE9" s="26">
        <f>IF(VQE7=0,0,IF(MAX($F9:VQD9)=$D12,0,VQD9+1))</f>
        <v>0</v>
      </c>
      <c r="VQF9" s="26">
        <f>IF(VQF7=0,0,IF(MAX($F9:VQE9)=$D12,0,VQE9+1))</f>
        <v>0</v>
      </c>
      <c r="VQG9" s="26">
        <f>IF(VQG7=0,0,IF(MAX($F9:VQF9)=$D12,0,VQF9+1))</f>
        <v>0</v>
      </c>
      <c r="VQH9" s="26">
        <f>IF(VQH7=0,0,IF(MAX($F9:VQG9)=$D12,0,VQG9+1))</f>
        <v>0</v>
      </c>
      <c r="VQI9" s="26">
        <f>IF(VQI7=0,0,IF(MAX($F9:VQH9)=$D12,0,VQH9+1))</f>
        <v>0</v>
      </c>
      <c r="VQJ9" s="26">
        <f>IF(VQJ7=0,0,IF(MAX($F9:VQI9)=$D12,0,VQI9+1))</f>
        <v>0</v>
      </c>
      <c r="VQK9" s="26">
        <f>IF(VQK7=0,0,IF(MAX($F9:VQJ9)=$D12,0,VQJ9+1))</f>
        <v>0</v>
      </c>
      <c r="VQL9" s="26">
        <f>IF(VQL7=0,0,IF(MAX($F9:VQK9)=$D12,0,VQK9+1))</f>
        <v>0</v>
      </c>
      <c r="VQM9" s="26">
        <f>IF(VQM7=0,0,IF(MAX($F9:VQL9)=$D12,0,VQL9+1))</f>
        <v>0</v>
      </c>
      <c r="VQN9" s="26">
        <f>IF(VQN7=0,0,IF(MAX($F9:VQM9)=$D12,0,VQM9+1))</f>
        <v>0</v>
      </c>
      <c r="VQO9" s="26">
        <f>IF(VQO7=0,0,IF(MAX($F9:VQN9)=$D12,0,VQN9+1))</f>
        <v>0</v>
      </c>
      <c r="VQP9" s="26">
        <f>IF(VQP7=0,0,IF(MAX($F9:VQO9)=$D12,0,VQO9+1))</f>
        <v>0</v>
      </c>
      <c r="VQQ9" s="26">
        <f>IF(VQQ7=0,0,IF(MAX($F9:VQP9)=$D12,0,VQP9+1))</f>
        <v>0</v>
      </c>
      <c r="VQR9" s="26">
        <f>IF(VQR7=0,0,IF(MAX($F9:VQQ9)=$D12,0,VQQ9+1))</f>
        <v>0</v>
      </c>
      <c r="VQS9" s="26">
        <f>IF(VQS7=0,0,IF(MAX($F9:VQR9)=$D12,0,VQR9+1))</f>
        <v>0</v>
      </c>
      <c r="VQT9" s="26">
        <f>IF(VQT7=0,0,IF(MAX($F9:VQS9)=$D12,0,VQS9+1))</f>
        <v>0</v>
      </c>
      <c r="VQU9" s="26">
        <f>IF(VQU7=0,0,IF(MAX($F9:VQT9)=$D12,0,VQT9+1))</f>
        <v>0</v>
      </c>
      <c r="VQV9" s="26">
        <f>IF(VQV7=0,0,IF(MAX($F9:VQU9)=$D12,0,VQU9+1))</f>
        <v>0</v>
      </c>
      <c r="VQW9" s="26">
        <f>IF(VQW7=0,0,IF(MAX($F9:VQV9)=$D12,0,VQV9+1))</f>
        <v>0</v>
      </c>
      <c r="VQX9" s="26">
        <f>IF(VQX7=0,0,IF(MAX($F9:VQW9)=$D12,0,VQW9+1))</f>
        <v>0</v>
      </c>
      <c r="VQY9" s="26">
        <f>IF(VQY7=0,0,IF(MAX($F9:VQX9)=$D12,0,VQX9+1))</f>
        <v>0</v>
      </c>
      <c r="VQZ9" s="26">
        <f>IF(VQZ7=0,0,IF(MAX($F9:VQY9)=$D12,0,VQY9+1))</f>
        <v>0</v>
      </c>
      <c r="VRA9" s="26">
        <f>IF(VRA7=0,0,IF(MAX($F9:VQZ9)=$D12,0,VQZ9+1))</f>
        <v>0</v>
      </c>
      <c r="VRB9" s="26">
        <f>IF(VRB7=0,0,IF(MAX($F9:VRA9)=$D12,0,VRA9+1))</f>
        <v>0</v>
      </c>
      <c r="VRC9" s="26">
        <f>IF(VRC7=0,0,IF(MAX($F9:VRB9)=$D12,0,VRB9+1))</f>
        <v>0</v>
      </c>
      <c r="VRD9" s="26">
        <f>IF(VRD7=0,0,IF(MAX($F9:VRC9)=$D12,0,VRC9+1))</f>
        <v>0</v>
      </c>
      <c r="VRE9" s="26">
        <f>IF(VRE7=0,0,IF(MAX($F9:VRD9)=$D12,0,VRD9+1))</f>
        <v>0</v>
      </c>
      <c r="VRF9" s="26">
        <f>IF(VRF7=0,0,IF(MAX($F9:VRE9)=$D12,0,VRE9+1))</f>
        <v>0</v>
      </c>
      <c r="VRG9" s="26">
        <f>IF(VRG7=0,0,IF(MAX($F9:VRF9)=$D12,0,VRF9+1))</f>
        <v>0</v>
      </c>
      <c r="VRH9" s="26">
        <f>IF(VRH7=0,0,IF(MAX($F9:VRG9)=$D12,0,VRG9+1))</f>
        <v>0</v>
      </c>
      <c r="VRI9" s="26">
        <f>IF(VRI7=0,0,IF(MAX($F9:VRH9)=$D12,0,VRH9+1))</f>
        <v>0</v>
      </c>
      <c r="VRJ9" s="26">
        <f>IF(VRJ7=0,0,IF(MAX($F9:VRI9)=$D12,0,VRI9+1))</f>
        <v>0</v>
      </c>
      <c r="VRK9" s="26">
        <f>IF(VRK7=0,0,IF(MAX($F9:VRJ9)=$D12,0,VRJ9+1))</f>
        <v>0</v>
      </c>
      <c r="VRL9" s="26">
        <f>IF(VRL7=0,0,IF(MAX($F9:VRK9)=$D12,0,VRK9+1))</f>
        <v>0</v>
      </c>
      <c r="VRM9" s="26">
        <f>IF(VRM7=0,0,IF(MAX($F9:VRL9)=$D12,0,VRL9+1))</f>
        <v>0</v>
      </c>
      <c r="VRN9" s="26">
        <f>IF(VRN7=0,0,IF(MAX($F9:VRM9)=$D12,0,VRM9+1))</f>
        <v>0</v>
      </c>
      <c r="VRO9" s="26">
        <f>IF(VRO7=0,0,IF(MAX($F9:VRN9)=$D12,0,VRN9+1))</f>
        <v>0</v>
      </c>
      <c r="VRP9" s="26">
        <f>IF(VRP7=0,0,IF(MAX($F9:VRO9)=$D12,0,VRO9+1))</f>
        <v>0</v>
      </c>
      <c r="VRQ9" s="26">
        <f>IF(VRQ7=0,0,IF(MAX($F9:VRP9)=$D12,0,VRP9+1))</f>
        <v>0</v>
      </c>
      <c r="VRR9" s="26">
        <f>IF(VRR7=0,0,IF(MAX($F9:VRQ9)=$D12,0,VRQ9+1))</f>
        <v>0</v>
      </c>
      <c r="VRS9" s="26">
        <f>IF(VRS7=0,0,IF(MAX($F9:VRR9)=$D12,0,VRR9+1))</f>
        <v>0</v>
      </c>
      <c r="VRT9" s="26">
        <f>IF(VRT7=0,0,IF(MAX($F9:VRS9)=$D12,0,VRS9+1))</f>
        <v>0</v>
      </c>
      <c r="VRU9" s="26">
        <f>IF(VRU7=0,0,IF(MAX($F9:VRT9)=$D12,0,VRT9+1))</f>
        <v>0</v>
      </c>
      <c r="VRV9" s="26">
        <f>IF(VRV7=0,0,IF(MAX($F9:VRU9)=$D12,0,VRU9+1))</f>
        <v>0</v>
      </c>
      <c r="VRW9" s="26">
        <f>IF(VRW7=0,0,IF(MAX($F9:VRV9)=$D12,0,VRV9+1))</f>
        <v>0</v>
      </c>
      <c r="VRX9" s="26">
        <f>IF(VRX7=0,0,IF(MAX($F9:VRW9)=$D12,0,VRW9+1))</f>
        <v>0</v>
      </c>
      <c r="VRY9" s="26">
        <f>IF(VRY7=0,0,IF(MAX($F9:VRX9)=$D12,0,VRX9+1))</f>
        <v>0</v>
      </c>
      <c r="VRZ9" s="26">
        <f>IF(VRZ7=0,0,IF(MAX($F9:VRY9)=$D12,0,VRY9+1))</f>
        <v>0</v>
      </c>
      <c r="VSA9" s="26">
        <f>IF(VSA7=0,0,IF(MAX($F9:VRZ9)=$D12,0,VRZ9+1))</f>
        <v>0</v>
      </c>
      <c r="VSB9" s="26">
        <f>IF(VSB7=0,0,IF(MAX($F9:VSA9)=$D12,0,VSA9+1))</f>
        <v>0</v>
      </c>
      <c r="VSC9" s="26">
        <f>IF(VSC7=0,0,IF(MAX($F9:VSB9)=$D12,0,VSB9+1))</f>
        <v>0</v>
      </c>
      <c r="VSD9" s="26">
        <f>IF(VSD7=0,0,IF(MAX($F9:VSC9)=$D12,0,VSC9+1))</f>
        <v>0</v>
      </c>
      <c r="VSE9" s="26">
        <f>IF(VSE7=0,0,IF(MAX($F9:VSD9)=$D12,0,VSD9+1))</f>
        <v>0</v>
      </c>
      <c r="VSF9" s="26">
        <f>IF(VSF7=0,0,IF(MAX($F9:VSE9)=$D12,0,VSE9+1))</f>
        <v>0</v>
      </c>
      <c r="VSG9" s="26">
        <f>IF(VSG7=0,0,IF(MAX($F9:VSF9)=$D12,0,VSF9+1))</f>
        <v>0</v>
      </c>
      <c r="VSH9" s="26">
        <f>IF(VSH7=0,0,IF(MAX($F9:VSG9)=$D12,0,VSG9+1))</f>
        <v>0</v>
      </c>
      <c r="VSI9" s="26">
        <f>IF(VSI7=0,0,IF(MAX($F9:VSH9)=$D12,0,VSH9+1))</f>
        <v>0</v>
      </c>
      <c r="VSJ9" s="26">
        <f>IF(VSJ7=0,0,IF(MAX($F9:VSI9)=$D12,0,VSI9+1))</f>
        <v>0</v>
      </c>
      <c r="VSK9" s="26">
        <f>IF(VSK7=0,0,IF(MAX($F9:VSJ9)=$D12,0,VSJ9+1))</f>
        <v>0</v>
      </c>
      <c r="VSL9" s="26">
        <f>IF(VSL7=0,0,IF(MAX($F9:VSK9)=$D12,0,VSK9+1))</f>
        <v>0</v>
      </c>
      <c r="VSM9" s="26">
        <f>IF(VSM7=0,0,IF(MAX($F9:VSL9)=$D12,0,VSL9+1))</f>
        <v>0</v>
      </c>
      <c r="VSN9" s="26">
        <f>IF(VSN7=0,0,IF(MAX($F9:VSM9)=$D12,0,VSM9+1))</f>
        <v>0</v>
      </c>
      <c r="VSO9" s="26">
        <f>IF(VSO7=0,0,IF(MAX($F9:VSN9)=$D12,0,VSN9+1))</f>
        <v>0</v>
      </c>
      <c r="VSP9" s="26">
        <f>IF(VSP7=0,0,IF(MAX($F9:VSO9)=$D12,0,VSO9+1))</f>
        <v>0</v>
      </c>
      <c r="VSQ9" s="26">
        <f>IF(VSQ7=0,0,IF(MAX($F9:VSP9)=$D12,0,VSP9+1))</f>
        <v>0</v>
      </c>
      <c r="VSR9" s="26">
        <f>IF(VSR7=0,0,IF(MAX($F9:VSQ9)=$D12,0,VSQ9+1))</f>
        <v>0</v>
      </c>
      <c r="VSS9" s="26">
        <f>IF(VSS7=0,0,IF(MAX($F9:VSR9)=$D12,0,VSR9+1))</f>
        <v>0</v>
      </c>
      <c r="VST9" s="26">
        <f>IF(VST7=0,0,IF(MAX($F9:VSS9)=$D12,0,VSS9+1))</f>
        <v>0</v>
      </c>
      <c r="VSU9" s="26">
        <f>IF(VSU7=0,0,IF(MAX($F9:VST9)=$D12,0,VST9+1))</f>
        <v>0</v>
      </c>
      <c r="VSV9" s="26">
        <f>IF(VSV7=0,0,IF(MAX($F9:VSU9)=$D12,0,VSU9+1))</f>
        <v>0</v>
      </c>
      <c r="VSW9" s="26">
        <f>IF(VSW7=0,0,IF(MAX($F9:VSV9)=$D12,0,VSV9+1))</f>
        <v>0</v>
      </c>
      <c r="VSX9" s="26">
        <f>IF(VSX7=0,0,IF(MAX($F9:VSW9)=$D12,0,VSW9+1))</f>
        <v>0</v>
      </c>
      <c r="VSY9" s="26">
        <f>IF(VSY7=0,0,IF(MAX($F9:VSX9)=$D12,0,VSX9+1))</f>
        <v>0</v>
      </c>
      <c r="VSZ9" s="26">
        <f>IF(VSZ7=0,0,IF(MAX($F9:VSY9)=$D12,0,VSY9+1))</f>
        <v>0</v>
      </c>
      <c r="VTA9" s="26">
        <f>IF(VTA7=0,0,IF(MAX($F9:VSZ9)=$D12,0,VSZ9+1))</f>
        <v>0</v>
      </c>
      <c r="VTB9" s="26">
        <f>IF(VTB7=0,0,IF(MAX($F9:VTA9)=$D12,0,VTA9+1))</f>
        <v>0</v>
      </c>
      <c r="VTC9" s="26">
        <f>IF(VTC7=0,0,IF(MAX($F9:VTB9)=$D12,0,VTB9+1))</f>
        <v>0</v>
      </c>
      <c r="VTD9" s="26">
        <f>IF(VTD7=0,0,IF(MAX($F9:VTC9)=$D12,0,VTC9+1))</f>
        <v>0</v>
      </c>
      <c r="VTE9" s="26">
        <f>IF(VTE7=0,0,IF(MAX($F9:VTD9)=$D12,0,VTD9+1))</f>
        <v>0</v>
      </c>
      <c r="VTF9" s="26">
        <f>IF(VTF7=0,0,IF(MAX($F9:VTE9)=$D12,0,VTE9+1))</f>
        <v>0</v>
      </c>
      <c r="VTG9" s="26">
        <f>IF(VTG7=0,0,IF(MAX($F9:VTF9)=$D12,0,VTF9+1))</f>
        <v>0</v>
      </c>
      <c r="VTH9" s="26">
        <f>IF(VTH7=0,0,IF(MAX($F9:VTG9)=$D12,0,VTG9+1))</f>
        <v>0</v>
      </c>
      <c r="VTI9" s="26">
        <f>IF(VTI7=0,0,IF(MAX($F9:VTH9)=$D12,0,VTH9+1))</f>
        <v>0</v>
      </c>
      <c r="VTJ9" s="26">
        <f>IF(VTJ7=0,0,IF(MAX($F9:VTI9)=$D12,0,VTI9+1))</f>
        <v>0</v>
      </c>
      <c r="VTK9" s="26">
        <f>IF(VTK7=0,0,IF(MAX($F9:VTJ9)=$D12,0,VTJ9+1))</f>
        <v>0</v>
      </c>
      <c r="VTL9" s="26">
        <f>IF(VTL7=0,0,IF(MAX($F9:VTK9)=$D12,0,VTK9+1))</f>
        <v>0</v>
      </c>
      <c r="VTM9" s="26">
        <f>IF(VTM7=0,0,IF(MAX($F9:VTL9)=$D12,0,VTL9+1))</f>
        <v>0</v>
      </c>
      <c r="VTN9" s="26">
        <f>IF(VTN7=0,0,IF(MAX($F9:VTM9)=$D12,0,VTM9+1))</f>
        <v>0</v>
      </c>
      <c r="VTO9" s="26">
        <f>IF(VTO7=0,0,IF(MAX($F9:VTN9)=$D12,0,VTN9+1))</f>
        <v>0</v>
      </c>
      <c r="VTP9" s="26">
        <f>IF(VTP7=0,0,IF(MAX($F9:VTO9)=$D12,0,VTO9+1))</f>
        <v>0</v>
      </c>
      <c r="VTQ9" s="26">
        <f>IF(VTQ7=0,0,IF(MAX($F9:VTP9)=$D12,0,VTP9+1))</f>
        <v>0</v>
      </c>
      <c r="VTR9" s="26">
        <f>IF(VTR7=0,0,IF(MAX($F9:VTQ9)=$D12,0,VTQ9+1))</f>
        <v>0</v>
      </c>
      <c r="VTS9" s="26">
        <f>IF(VTS7=0,0,IF(MAX($F9:VTR9)=$D12,0,VTR9+1))</f>
        <v>0</v>
      </c>
      <c r="VTT9" s="26">
        <f>IF(VTT7=0,0,IF(MAX($F9:VTS9)=$D12,0,VTS9+1))</f>
        <v>0</v>
      </c>
      <c r="VTU9" s="26">
        <f>IF(VTU7=0,0,IF(MAX($F9:VTT9)=$D12,0,VTT9+1))</f>
        <v>0</v>
      </c>
      <c r="VTV9" s="26">
        <f>IF(VTV7=0,0,IF(MAX($F9:VTU9)=$D12,0,VTU9+1))</f>
        <v>0</v>
      </c>
      <c r="VTW9" s="26">
        <f>IF(VTW7=0,0,IF(MAX($F9:VTV9)=$D12,0,VTV9+1))</f>
        <v>0</v>
      </c>
      <c r="VTX9" s="26">
        <f>IF(VTX7=0,0,IF(MAX($F9:VTW9)=$D12,0,VTW9+1))</f>
        <v>0</v>
      </c>
      <c r="VTY9" s="26">
        <f>IF(VTY7=0,0,IF(MAX($F9:VTX9)=$D12,0,VTX9+1))</f>
        <v>0</v>
      </c>
      <c r="VTZ9" s="26">
        <f>IF(VTZ7=0,0,IF(MAX($F9:VTY9)=$D12,0,VTY9+1))</f>
        <v>0</v>
      </c>
      <c r="VUA9" s="26">
        <f>IF(VUA7=0,0,IF(MAX($F9:VTZ9)=$D12,0,VTZ9+1))</f>
        <v>0</v>
      </c>
      <c r="VUB9" s="26">
        <f>IF(VUB7=0,0,IF(MAX($F9:VUA9)=$D12,0,VUA9+1))</f>
        <v>0</v>
      </c>
      <c r="VUC9" s="26">
        <f>IF(VUC7=0,0,IF(MAX($F9:VUB9)=$D12,0,VUB9+1))</f>
        <v>0</v>
      </c>
      <c r="VUD9" s="26">
        <f>IF(VUD7=0,0,IF(MAX($F9:VUC9)=$D12,0,VUC9+1))</f>
        <v>0</v>
      </c>
      <c r="VUE9" s="26">
        <f>IF(VUE7=0,0,IF(MAX($F9:VUD9)=$D12,0,VUD9+1))</f>
        <v>0</v>
      </c>
      <c r="VUF9" s="26">
        <f>IF(VUF7=0,0,IF(MAX($F9:VUE9)=$D12,0,VUE9+1))</f>
        <v>0</v>
      </c>
      <c r="VUG9" s="26">
        <f>IF(VUG7=0,0,IF(MAX($F9:VUF9)=$D12,0,VUF9+1))</f>
        <v>0</v>
      </c>
      <c r="VUH9" s="26">
        <f>IF(VUH7=0,0,IF(MAX($F9:VUG9)=$D12,0,VUG9+1))</f>
        <v>0</v>
      </c>
      <c r="VUI9" s="26">
        <f>IF(VUI7=0,0,IF(MAX($F9:VUH9)=$D12,0,VUH9+1))</f>
        <v>0</v>
      </c>
      <c r="VUJ9" s="26">
        <f>IF(VUJ7=0,0,IF(MAX($F9:VUI9)=$D12,0,VUI9+1))</f>
        <v>0</v>
      </c>
      <c r="VUK9" s="26">
        <f>IF(VUK7=0,0,IF(MAX($F9:VUJ9)=$D12,0,VUJ9+1))</f>
        <v>0</v>
      </c>
      <c r="VUL9" s="26">
        <f>IF(VUL7=0,0,IF(MAX($F9:VUK9)=$D12,0,VUK9+1))</f>
        <v>0</v>
      </c>
      <c r="VUM9" s="26">
        <f>IF(VUM7=0,0,IF(MAX($F9:VUL9)=$D12,0,VUL9+1))</f>
        <v>0</v>
      </c>
      <c r="VUN9" s="26">
        <f>IF(VUN7=0,0,IF(MAX($F9:VUM9)=$D12,0,VUM9+1))</f>
        <v>0</v>
      </c>
      <c r="VUO9" s="26">
        <f>IF(VUO7=0,0,IF(MAX($F9:VUN9)=$D12,0,VUN9+1))</f>
        <v>0</v>
      </c>
      <c r="VUP9" s="26">
        <f>IF(VUP7=0,0,IF(MAX($F9:VUO9)=$D12,0,VUO9+1))</f>
        <v>0</v>
      </c>
      <c r="VUQ9" s="26">
        <f>IF(VUQ7=0,0,IF(MAX($F9:VUP9)=$D12,0,VUP9+1))</f>
        <v>0</v>
      </c>
      <c r="VUR9" s="26">
        <f>IF(VUR7=0,0,IF(MAX($F9:VUQ9)=$D12,0,VUQ9+1))</f>
        <v>0</v>
      </c>
      <c r="VUS9" s="26">
        <f>IF(VUS7=0,0,IF(MAX($F9:VUR9)=$D12,0,VUR9+1))</f>
        <v>0</v>
      </c>
      <c r="VUT9" s="26">
        <f>IF(VUT7=0,0,IF(MAX($F9:VUS9)=$D12,0,VUS9+1))</f>
        <v>0</v>
      </c>
      <c r="VUU9" s="26">
        <f>IF(VUU7=0,0,IF(MAX($F9:VUT9)=$D12,0,VUT9+1))</f>
        <v>0</v>
      </c>
      <c r="VUV9" s="26">
        <f>IF(VUV7=0,0,IF(MAX($F9:VUU9)=$D12,0,VUU9+1))</f>
        <v>0</v>
      </c>
      <c r="VUW9" s="26">
        <f>IF(VUW7=0,0,IF(MAX($F9:VUV9)=$D12,0,VUV9+1))</f>
        <v>0</v>
      </c>
      <c r="VUX9" s="26">
        <f>IF(VUX7=0,0,IF(MAX($F9:VUW9)=$D12,0,VUW9+1))</f>
        <v>0</v>
      </c>
      <c r="VUY9" s="26">
        <f>IF(VUY7=0,0,IF(MAX($F9:VUX9)=$D12,0,VUX9+1))</f>
        <v>0</v>
      </c>
      <c r="VUZ9" s="26">
        <f>IF(VUZ7=0,0,IF(MAX($F9:VUY9)=$D12,0,VUY9+1))</f>
        <v>0</v>
      </c>
      <c r="VVA9" s="26">
        <f>IF(VVA7=0,0,IF(MAX($F9:VUZ9)=$D12,0,VUZ9+1))</f>
        <v>0</v>
      </c>
      <c r="VVB9" s="26">
        <f>IF(VVB7=0,0,IF(MAX($F9:VVA9)=$D12,0,VVA9+1))</f>
        <v>0</v>
      </c>
      <c r="VVC9" s="26">
        <f>IF(VVC7=0,0,IF(MAX($F9:VVB9)=$D12,0,VVB9+1))</f>
        <v>0</v>
      </c>
      <c r="VVD9" s="26">
        <f>IF(VVD7=0,0,IF(MAX($F9:VVC9)=$D12,0,VVC9+1))</f>
        <v>0</v>
      </c>
      <c r="VVE9" s="26">
        <f>IF(VVE7=0,0,IF(MAX($F9:VVD9)=$D12,0,VVD9+1))</f>
        <v>0</v>
      </c>
      <c r="VVF9" s="26">
        <f>IF(VVF7=0,0,IF(MAX($F9:VVE9)=$D12,0,VVE9+1))</f>
        <v>0</v>
      </c>
      <c r="VVG9" s="26">
        <f>IF(VVG7=0,0,IF(MAX($F9:VVF9)=$D12,0,VVF9+1))</f>
        <v>0</v>
      </c>
      <c r="VVH9" s="26">
        <f>IF(VVH7=0,0,IF(MAX($F9:VVG9)=$D12,0,VVG9+1))</f>
        <v>0</v>
      </c>
      <c r="VVI9" s="26">
        <f>IF(VVI7=0,0,IF(MAX($F9:VVH9)=$D12,0,VVH9+1))</f>
        <v>0</v>
      </c>
      <c r="VVJ9" s="26">
        <f>IF(VVJ7=0,0,IF(MAX($F9:VVI9)=$D12,0,VVI9+1))</f>
        <v>0</v>
      </c>
      <c r="VVK9" s="26">
        <f>IF(VVK7=0,0,IF(MAX($F9:VVJ9)=$D12,0,VVJ9+1))</f>
        <v>0</v>
      </c>
      <c r="VVL9" s="26">
        <f>IF(VVL7=0,0,IF(MAX($F9:VVK9)=$D12,0,VVK9+1))</f>
        <v>0</v>
      </c>
      <c r="VVM9" s="26">
        <f>IF(VVM7=0,0,IF(MAX($F9:VVL9)=$D12,0,VVL9+1))</f>
        <v>0</v>
      </c>
      <c r="VVN9" s="26">
        <f>IF(VVN7=0,0,IF(MAX($F9:VVM9)=$D12,0,VVM9+1))</f>
        <v>0</v>
      </c>
      <c r="VVO9" s="26">
        <f>IF(VVO7=0,0,IF(MAX($F9:VVN9)=$D12,0,VVN9+1))</f>
        <v>0</v>
      </c>
      <c r="VVP9" s="26">
        <f>IF(VVP7=0,0,IF(MAX($F9:VVO9)=$D12,0,VVO9+1))</f>
        <v>0</v>
      </c>
      <c r="VVQ9" s="26">
        <f>IF(VVQ7=0,0,IF(MAX($F9:VVP9)=$D12,0,VVP9+1))</f>
        <v>0</v>
      </c>
      <c r="VVR9" s="26">
        <f>IF(VVR7=0,0,IF(MAX($F9:VVQ9)=$D12,0,VVQ9+1))</f>
        <v>0</v>
      </c>
      <c r="VVS9" s="26">
        <f>IF(VVS7=0,0,IF(MAX($F9:VVR9)=$D12,0,VVR9+1))</f>
        <v>0</v>
      </c>
      <c r="VVT9" s="26">
        <f>IF(VVT7=0,0,IF(MAX($F9:VVS9)=$D12,0,VVS9+1))</f>
        <v>0</v>
      </c>
      <c r="VVU9" s="26">
        <f>IF(VVU7=0,0,IF(MAX($F9:VVT9)=$D12,0,VVT9+1))</f>
        <v>0</v>
      </c>
      <c r="VVV9" s="26">
        <f>IF(VVV7=0,0,IF(MAX($F9:VVU9)=$D12,0,VVU9+1))</f>
        <v>0</v>
      </c>
      <c r="VVW9" s="26">
        <f>IF(VVW7=0,0,IF(MAX($F9:VVV9)=$D12,0,VVV9+1))</f>
        <v>0</v>
      </c>
      <c r="VVX9" s="26">
        <f>IF(VVX7=0,0,IF(MAX($F9:VVW9)=$D12,0,VVW9+1))</f>
        <v>0</v>
      </c>
      <c r="VVY9" s="26">
        <f>IF(VVY7=0,0,IF(MAX($F9:VVX9)=$D12,0,VVX9+1))</f>
        <v>0</v>
      </c>
      <c r="VVZ9" s="26">
        <f>IF(VVZ7=0,0,IF(MAX($F9:VVY9)=$D12,0,VVY9+1))</f>
        <v>0</v>
      </c>
      <c r="VWA9" s="26">
        <f>IF(VWA7=0,0,IF(MAX($F9:VVZ9)=$D12,0,VVZ9+1))</f>
        <v>0</v>
      </c>
      <c r="VWB9" s="26">
        <f>IF(VWB7=0,0,IF(MAX($F9:VWA9)=$D12,0,VWA9+1))</f>
        <v>0</v>
      </c>
      <c r="VWC9" s="26">
        <f>IF(VWC7=0,0,IF(MAX($F9:VWB9)=$D12,0,VWB9+1))</f>
        <v>0</v>
      </c>
      <c r="VWD9" s="26">
        <f>IF(VWD7=0,0,IF(MAX($F9:VWC9)=$D12,0,VWC9+1))</f>
        <v>0</v>
      </c>
      <c r="VWE9" s="26">
        <f>IF(VWE7=0,0,IF(MAX($F9:VWD9)=$D12,0,VWD9+1))</f>
        <v>0</v>
      </c>
      <c r="VWF9" s="26">
        <f>IF(VWF7=0,0,IF(MAX($F9:VWE9)=$D12,0,VWE9+1))</f>
        <v>0</v>
      </c>
      <c r="VWG9" s="26">
        <f>IF(VWG7=0,0,IF(MAX($F9:VWF9)=$D12,0,VWF9+1))</f>
        <v>0</v>
      </c>
      <c r="VWH9" s="26">
        <f>IF(VWH7=0,0,IF(MAX($F9:VWG9)=$D12,0,VWG9+1))</f>
        <v>0</v>
      </c>
      <c r="VWI9" s="26">
        <f>IF(VWI7=0,0,IF(MAX($F9:VWH9)=$D12,0,VWH9+1))</f>
        <v>0</v>
      </c>
      <c r="VWJ9" s="26">
        <f>IF(VWJ7=0,0,IF(MAX($F9:VWI9)=$D12,0,VWI9+1))</f>
        <v>0</v>
      </c>
      <c r="VWK9" s="26">
        <f>IF(VWK7=0,0,IF(MAX($F9:VWJ9)=$D12,0,VWJ9+1))</f>
        <v>0</v>
      </c>
      <c r="VWL9" s="26">
        <f>IF(VWL7=0,0,IF(MAX($F9:VWK9)=$D12,0,VWK9+1))</f>
        <v>0</v>
      </c>
      <c r="VWM9" s="26">
        <f>IF(VWM7=0,0,IF(MAX($F9:VWL9)=$D12,0,VWL9+1))</f>
        <v>0</v>
      </c>
      <c r="VWN9" s="26">
        <f>IF(VWN7=0,0,IF(MAX($F9:VWM9)=$D12,0,VWM9+1))</f>
        <v>0</v>
      </c>
      <c r="VWO9" s="26">
        <f>IF(VWO7=0,0,IF(MAX($F9:VWN9)=$D12,0,VWN9+1))</f>
        <v>0</v>
      </c>
      <c r="VWP9" s="26">
        <f>IF(VWP7=0,0,IF(MAX($F9:VWO9)=$D12,0,VWO9+1))</f>
        <v>0</v>
      </c>
      <c r="VWQ9" s="26">
        <f>IF(VWQ7=0,0,IF(MAX($F9:VWP9)=$D12,0,VWP9+1))</f>
        <v>0</v>
      </c>
      <c r="VWR9" s="26">
        <f>IF(VWR7=0,0,IF(MAX($F9:VWQ9)=$D12,0,VWQ9+1))</f>
        <v>0</v>
      </c>
      <c r="VWS9" s="26">
        <f>IF(VWS7=0,0,IF(MAX($F9:VWR9)=$D12,0,VWR9+1))</f>
        <v>0</v>
      </c>
      <c r="VWT9" s="26">
        <f>IF(VWT7=0,0,IF(MAX($F9:VWS9)=$D12,0,VWS9+1))</f>
        <v>0</v>
      </c>
      <c r="VWU9" s="26">
        <f>IF(VWU7=0,0,IF(MAX($F9:VWT9)=$D12,0,VWT9+1))</f>
        <v>0</v>
      </c>
      <c r="VWV9" s="26">
        <f>IF(VWV7=0,0,IF(MAX($F9:VWU9)=$D12,0,VWU9+1))</f>
        <v>0</v>
      </c>
      <c r="VWW9" s="26">
        <f>IF(VWW7=0,0,IF(MAX($F9:VWV9)=$D12,0,VWV9+1))</f>
        <v>0</v>
      </c>
      <c r="VWX9" s="26">
        <f>IF(VWX7=0,0,IF(MAX($F9:VWW9)=$D12,0,VWW9+1))</f>
        <v>0</v>
      </c>
      <c r="VWY9" s="26">
        <f>IF(VWY7=0,0,IF(MAX($F9:VWX9)=$D12,0,VWX9+1))</f>
        <v>0</v>
      </c>
      <c r="VWZ9" s="26">
        <f>IF(VWZ7=0,0,IF(MAX($F9:VWY9)=$D12,0,VWY9+1))</f>
        <v>0</v>
      </c>
      <c r="VXA9" s="26">
        <f>IF(VXA7=0,0,IF(MAX($F9:VWZ9)=$D12,0,VWZ9+1))</f>
        <v>0</v>
      </c>
      <c r="VXB9" s="26">
        <f>IF(VXB7=0,0,IF(MAX($F9:VXA9)=$D12,0,VXA9+1))</f>
        <v>0</v>
      </c>
      <c r="VXC9" s="26">
        <f>IF(VXC7=0,0,IF(MAX($F9:VXB9)=$D12,0,VXB9+1))</f>
        <v>0</v>
      </c>
      <c r="VXD9" s="26">
        <f>IF(VXD7=0,0,IF(MAX($F9:VXC9)=$D12,0,VXC9+1))</f>
        <v>0</v>
      </c>
      <c r="VXE9" s="26">
        <f>IF(VXE7=0,0,IF(MAX($F9:VXD9)=$D12,0,VXD9+1))</f>
        <v>0</v>
      </c>
      <c r="VXF9" s="26">
        <f>IF(VXF7=0,0,IF(MAX($F9:VXE9)=$D12,0,VXE9+1))</f>
        <v>0</v>
      </c>
      <c r="VXG9" s="26">
        <f>IF(VXG7=0,0,IF(MAX($F9:VXF9)=$D12,0,VXF9+1))</f>
        <v>0</v>
      </c>
      <c r="VXH9" s="26">
        <f>IF(VXH7=0,0,IF(MAX($F9:VXG9)=$D12,0,VXG9+1))</f>
        <v>0</v>
      </c>
      <c r="VXI9" s="26">
        <f>IF(VXI7=0,0,IF(MAX($F9:VXH9)=$D12,0,VXH9+1))</f>
        <v>0</v>
      </c>
      <c r="VXJ9" s="26">
        <f>IF(VXJ7=0,0,IF(MAX($F9:VXI9)=$D12,0,VXI9+1))</f>
        <v>0</v>
      </c>
      <c r="VXK9" s="26">
        <f>IF(VXK7=0,0,IF(MAX($F9:VXJ9)=$D12,0,VXJ9+1))</f>
        <v>0</v>
      </c>
      <c r="VXL9" s="26">
        <f>IF(VXL7=0,0,IF(MAX($F9:VXK9)=$D12,0,VXK9+1))</f>
        <v>0</v>
      </c>
      <c r="VXM9" s="26">
        <f>IF(VXM7=0,0,IF(MAX($F9:VXL9)=$D12,0,VXL9+1))</f>
        <v>0</v>
      </c>
      <c r="VXN9" s="26">
        <f>IF(VXN7=0,0,IF(MAX($F9:VXM9)=$D12,0,VXM9+1))</f>
        <v>0</v>
      </c>
      <c r="VXO9" s="26">
        <f>IF(VXO7=0,0,IF(MAX($F9:VXN9)=$D12,0,VXN9+1))</f>
        <v>0</v>
      </c>
      <c r="VXP9" s="26">
        <f>IF(VXP7=0,0,IF(MAX($F9:VXO9)=$D12,0,VXO9+1))</f>
        <v>0</v>
      </c>
      <c r="VXQ9" s="26">
        <f>IF(VXQ7=0,0,IF(MAX($F9:VXP9)=$D12,0,VXP9+1))</f>
        <v>0</v>
      </c>
      <c r="VXR9" s="26">
        <f>IF(VXR7=0,0,IF(MAX($F9:VXQ9)=$D12,0,VXQ9+1))</f>
        <v>0</v>
      </c>
      <c r="VXS9" s="26">
        <f>IF(VXS7=0,0,IF(MAX($F9:VXR9)=$D12,0,VXR9+1))</f>
        <v>0</v>
      </c>
      <c r="VXT9" s="26">
        <f>IF(VXT7=0,0,IF(MAX($F9:VXS9)=$D12,0,VXS9+1))</f>
        <v>0</v>
      </c>
      <c r="VXU9" s="26">
        <f>IF(VXU7=0,0,IF(MAX($F9:VXT9)=$D12,0,VXT9+1))</f>
        <v>0</v>
      </c>
      <c r="VXV9" s="26">
        <f>IF(VXV7=0,0,IF(MAX($F9:VXU9)=$D12,0,VXU9+1))</f>
        <v>0</v>
      </c>
      <c r="VXW9" s="26">
        <f>IF(VXW7=0,0,IF(MAX($F9:VXV9)=$D12,0,VXV9+1))</f>
        <v>0</v>
      </c>
      <c r="VXX9" s="26">
        <f>IF(VXX7=0,0,IF(MAX($F9:VXW9)=$D12,0,VXW9+1))</f>
        <v>0</v>
      </c>
      <c r="VXY9" s="26">
        <f>IF(VXY7=0,0,IF(MAX($F9:VXX9)=$D12,0,VXX9+1))</f>
        <v>0</v>
      </c>
      <c r="VXZ9" s="26">
        <f>IF(VXZ7=0,0,IF(MAX($F9:VXY9)=$D12,0,VXY9+1))</f>
        <v>0</v>
      </c>
      <c r="VYA9" s="26">
        <f>IF(VYA7=0,0,IF(MAX($F9:VXZ9)=$D12,0,VXZ9+1))</f>
        <v>0</v>
      </c>
      <c r="VYB9" s="26">
        <f>IF(VYB7=0,0,IF(MAX($F9:VYA9)=$D12,0,VYA9+1))</f>
        <v>0</v>
      </c>
      <c r="VYC9" s="26">
        <f>IF(VYC7=0,0,IF(MAX($F9:VYB9)=$D12,0,VYB9+1))</f>
        <v>0</v>
      </c>
      <c r="VYD9" s="26">
        <f>IF(VYD7=0,0,IF(MAX($F9:VYC9)=$D12,0,VYC9+1))</f>
        <v>0</v>
      </c>
      <c r="VYE9" s="26">
        <f>IF(VYE7=0,0,IF(MAX($F9:VYD9)=$D12,0,VYD9+1))</f>
        <v>0</v>
      </c>
      <c r="VYF9" s="26">
        <f>IF(VYF7=0,0,IF(MAX($F9:VYE9)=$D12,0,VYE9+1))</f>
        <v>0</v>
      </c>
      <c r="VYG9" s="26">
        <f>IF(VYG7=0,0,IF(MAX($F9:VYF9)=$D12,0,VYF9+1))</f>
        <v>0</v>
      </c>
      <c r="VYH9" s="26">
        <f>IF(VYH7=0,0,IF(MAX($F9:VYG9)=$D12,0,VYG9+1))</f>
        <v>0</v>
      </c>
      <c r="VYI9" s="26">
        <f>IF(VYI7=0,0,IF(MAX($F9:VYH9)=$D12,0,VYH9+1))</f>
        <v>0</v>
      </c>
      <c r="VYJ9" s="26">
        <f>IF(VYJ7=0,0,IF(MAX($F9:VYI9)=$D12,0,VYI9+1))</f>
        <v>0</v>
      </c>
      <c r="VYK9" s="26">
        <f>IF(VYK7=0,0,IF(MAX($F9:VYJ9)=$D12,0,VYJ9+1))</f>
        <v>0</v>
      </c>
      <c r="VYL9" s="26">
        <f>IF(VYL7=0,0,IF(MAX($F9:VYK9)=$D12,0,VYK9+1))</f>
        <v>0</v>
      </c>
      <c r="VYM9" s="26">
        <f>IF(VYM7=0,0,IF(MAX($F9:VYL9)=$D12,0,VYL9+1))</f>
        <v>0</v>
      </c>
      <c r="VYN9" s="26">
        <f>IF(VYN7=0,0,IF(MAX($F9:VYM9)=$D12,0,VYM9+1))</f>
        <v>0</v>
      </c>
      <c r="VYO9" s="26">
        <f>IF(VYO7=0,0,IF(MAX($F9:VYN9)=$D12,0,VYN9+1))</f>
        <v>0</v>
      </c>
      <c r="VYP9" s="26">
        <f>IF(VYP7=0,0,IF(MAX($F9:VYO9)=$D12,0,VYO9+1))</f>
        <v>0</v>
      </c>
      <c r="VYQ9" s="26">
        <f>IF(VYQ7=0,0,IF(MAX($F9:VYP9)=$D12,0,VYP9+1))</f>
        <v>0</v>
      </c>
      <c r="VYR9" s="26">
        <f>IF(VYR7=0,0,IF(MAX($F9:VYQ9)=$D12,0,VYQ9+1))</f>
        <v>0</v>
      </c>
      <c r="VYS9" s="26">
        <f>IF(VYS7=0,0,IF(MAX($F9:VYR9)=$D12,0,VYR9+1))</f>
        <v>0</v>
      </c>
      <c r="VYT9" s="26">
        <f>IF(VYT7=0,0,IF(MAX($F9:VYS9)=$D12,0,VYS9+1))</f>
        <v>0</v>
      </c>
      <c r="VYU9" s="26">
        <f>IF(VYU7=0,0,IF(MAX($F9:VYT9)=$D12,0,VYT9+1))</f>
        <v>0</v>
      </c>
      <c r="VYV9" s="26">
        <f>IF(VYV7=0,0,IF(MAX($F9:VYU9)=$D12,0,VYU9+1))</f>
        <v>0</v>
      </c>
      <c r="VYW9" s="26">
        <f>IF(VYW7=0,0,IF(MAX($F9:VYV9)=$D12,0,VYV9+1))</f>
        <v>0</v>
      </c>
      <c r="VYX9" s="26">
        <f>IF(VYX7=0,0,IF(MAX($F9:VYW9)=$D12,0,VYW9+1))</f>
        <v>0</v>
      </c>
      <c r="VYY9" s="26">
        <f>IF(VYY7=0,0,IF(MAX($F9:VYX9)=$D12,0,VYX9+1))</f>
        <v>0</v>
      </c>
      <c r="VYZ9" s="26">
        <f>IF(VYZ7=0,0,IF(MAX($F9:VYY9)=$D12,0,VYY9+1))</f>
        <v>0</v>
      </c>
      <c r="VZA9" s="26">
        <f>IF(VZA7=0,0,IF(MAX($F9:VYZ9)=$D12,0,VYZ9+1))</f>
        <v>0</v>
      </c>
      <c r="VZB9" s="26">
        <f>IF(VZB7=0,0,IF(MAX($F9:VZA9)=$D12,0,VZA9+1))</f>
        <v>0</v>
      </c>
      <c r="VZC9" s="26">
        <f>IF(VZC7=0,0,IF(MAX($F9:VZB9)=$D12,0,VZB9+1))</f>
        <v>0</v>
      </c>
      <c r="VZD9" s="26">
        <f>IF(VZD7=0,0,IF(MAX($F9:VZC9)=$D12,0,VZC9+1))</f>
        <v>0</v>
      </c>
      <c r="VZE9" s="26">
        <f>IF(VZE7=0,0,IF(MAX($F9:VZD9)=$D12,0,VZD9+1))</f>
        <v>0</v>
      </c>
      <c r="VZF9" s="26">
        <f>IF(VZF7=0,0,IF(MAX($F9:VZE9)=$D12,0,VZE9+1))</f>
        <v>0</v>
      </c>
      <c r="VZG9" s="26">
        <f>IF(VZG7=0,0,IF(MAX($F9:VZF9)=$D12,0,VZF9+1))</f>
        <v>0</v>
      </c>
      <c r="VZH9" s="26">
        <f>IF(VZH7=0,0,IF(MAX($F9:VZG9)=$D12,0,VZG9+1))</f>
        <v>0</v>
      </c>
      <c r="VZI9" s="26">
        <f>IF(VZI7=0,0,IF(MAX($F9:VZH9)=$D12,0,VZH9+1))</f>
        <v>0</v>
      </c>
      <c r="VZJ9" s="26">
        <f>IF(VZJ7=0,0,IF(MAX($F9:VZI9)=$D12,0,VZI9+1))</f>
        <v>0</v>
      </c>
      <c r="VZK9" s="26">
        <f>IF(VZK7=0,0,IF(MAX($F9:VZJ9)=$D12,0,VZJ9+1))</f>
        <v>0</v>
      </c>
      <c r="VZL9" s="26">
        <f>IF(VZL7=0,0,IF(MAX($F9:VZK9)=$D12,0,VZK9+1))</f>
        <v>0</v>
      </c>
      <c r="VZM9" s="26">
        <f>IF(VZM7=0,0,IF(MAX($F9:VZL9)=$D12,0,VZL9+1))</f>
        <v>0</v>
      </c>
      <c r="VZN9" s="26">
        <f>IF(VZN7=0,0,IF(MAX($F9:VZM9)=$D12,0,VZM9+1))</f>
        <v>0</v>
      </c>
      <c r="VZO9" s="26">
        <f>IF(VZO7=0,0,IF(MAX($F9:VZN9)=$D12,0,VZN9+1))</f>
        <v>0</v>
      </c>
      <c r="VZP9" s="26">
        <f>IF(VZP7=0,0,IF(MAX($F9:VZO9)=$D12,0,VZO9+1))</f>
        <v>0</v>
      </c>
      <c r="VZQ9" s="26">
        <f>IF(VZQ7=0,0,IF(MAX($F9:VZP9)=$D12,0,VZP9+1))</f>
        <v>0</v>
      </c>
      <c r="VZR9" s="26">
        <f>IF(VZR7=0,0,IF(MAX($F9:VZQ9)=$D12,0,VZQ9+1))</f>
        <v>0</v>
      </c>
      <c r="VZS9" s="26">
        <f>IF(VZS7=0,0,IF(MAX($F9:VZR9)=$D12,0,VZR9+1))</f>
        <v>0</v>
      </c>
      <c r="VZT9" s="26">
        <f>IF(VZT7=0,0,IF(MAX($F9:VZS9)=$D12,0,VZS9+1))</f>
        <v>0</v>
      </c>
      <c r="VZU9" s="26">
        <f>IF(VZU7=0,0,IF(MAX($F9:VZT9)=$D12,0,VZT9+1))</f>
        <v>0</v>
      </c>
      <c r="VZV9" s="26">
        <f>IF(VZV7=0,0,IF(MAX($F9:VZU9)=$D12,0,VZU9+1))</f>
        <v>0</v>
      </c>
      <c r="VZW9" s="26">
        <f>IF(VZW7=0,0,IF(MAX($F9:VZV9)=$D12,0,VZV9+1))</f>
        <v>0</v>
      </c>
      <c r="VZX9" s="26">
        <f>IF(VZX7=0,0,IF(MAX($F9:VZW9)=$D12,0,VZW9+1))</f>
        <v>0</v>
      </c>
      <c r="VZY9" s="26">
        <f>IF(VZY7=0,0,IF(MAX($F9:VZX9)=$D12,0,VZX9+1))</f>
        <v>0</v>
      </c>
      <c r="VZZ9" s="26">
        <f>IF(VZZ7=0,0,IF(MAX($F9:VZY9)=$D12,0,VZY9+1))</f>
        <v>0</v>
      </c>
      <c r="WAA9" s="26">
        <f>IF(WAA7=0,0,IF(MAX($F9:VZZ9)=$D12,0,VZZ9+1))</f>
        <v>0</v>
      </c>
      <c r="WAB9" s="26">
        <f>IF(WAB7=0,0,IF(MAX($F9:WAA9)=$D12,0,WAA9+1))</f>
        <v>0</v>
      </c>
      <c r="WAC9" s="26">
        <f>IF(WAC7=0,0,IF(MAX($F9:WAB9)=$D12,0,WAB9+1))</f>
        <v>0</v>
      </c>
      <c r="WAD9" s="26">
        <f>IF(WAD7=0,0,IF(MAX($F9:WAC9)=$D12,0,WAC9+1))</f>
        <v>0</v>
      </c>
      <c r="WAE9" s="26">
        <f>IF(WAE7=0,0,IF(MAX($F9:WAD9)=$D12,0,WAD9+1))</f>
        <v>0</v>
      </c>
      <c r="WAF9" s="26">
        <f>IF(WAF7=0,0,IF(MAX($F9:WAE9)=$D12,0,WAE9+1))</f>
        <v>0</v>
      </c>
      <c r="WAG9" s="26">
        <f>IF(WAG7=0,0,IF(MAX($F9:WAF9)=$D12,0,WAF9+1))</f>
        <v>0</v>
      </c>
      <c r="WAH9" s="26">
        <f>IF(WAH7=0,0,IF(MAX($F9:WAG9)=$D12,0,WAG9+1))</f>
        <v>0</v>
      </c>
      <c r="WAI9" s="26">
        <f>IF(WAI7=0,0,IF(MAX($F9:WAH9)=$D12,0,WAH9+1))</f>
        <v>0</v>
      </c>
      <c r="WAJ9" s="26">
        <f>IF(WAJ7=0,0,IF(MAX($F9:WAI9)=$D12,0,WAI9+1))</f>
        <v>0</v>
      </c>
      <c r="WAK9" s="26">
        <f>IF(WAK7=0,0,IF(MAX($F9:WAJ9)=$D12,0,WAJ9+1))</f>
        <v>0</v>
      </c>
      <c r="WAL9" s="26">
        <f>IF(WAL7=0,0,IF(MAX($F9:WAK9)=$D12,0,WAK9+1))</f>
        <v>0</v>
      </c>
      <c r="WAM9" s="26">
        <f>IF(WAM7=0,0,IF(MAX($F9:WAL9)=$D12,0,WAL9+1))</f>
        <v>0</v>
      </c>
      <c r="WAN9" s="26">
        <f>IF(WAN7=0,0,IF(MAX($F9:WAM9)=$D12,0,WAM9+1))</f>
        <v>0</v>
      </c>
      <c r="WAO9" s="26">
        <f>IF(WAO7=0,0,IF(MAX($F9:WAN9)=$D12,0,WAN9+1))</f>
        <v>0</v>
      </c>
      <c r="WAP9" s="26">
        <f>IF(WAP7=0,0,IF(MAX($F9:WAO9)=$D12,0,WAO9+1))</f>
        <v>0</v>
      </c>
      <c r="WAQ9" s="26">
        <f>IF(WAQ7=0,0,IF(MAX($F9:WAP9)=$D12,0,WAP9+1))</f>
        <v>0</v>
      </c>
      <c r="WAR9" s="26">
        <f>IF(WAR7=0,0,IF(MAX($F9:WAQ9)=$D12,0,WAQ9+1))</f>
        <v>0</v>
      </c>
      <c r="WAS9" s="26">
        <f>IF(WAS7=0,0,IF(MAX($F9:WAR9)=$D12,0,WAR9+1))</f>
        <v>0</v>
      </c>
      <c r="WAT9" s="26">
        <f>IF(WAT7=0,0,IF(MAX($F9:WAS9)=$D12,0,WAS9+1))</f>
        <v>0</v>
      </c>
      <c r="WAU9" s="26">
        <f>IF(WAU7=0,0,IF(MAX($F9:WAT9)=$D12,0,WAT9+1))</f>
        <v>0</v>
      </c>
      <c r="WAV9" s="26">
        <f>IF(WAV7=0,0,IF(MAX($F9:WAU9)=$D12,0,WAU9+1))</f>
        <v>0</v>
      </c>
      <c r="WAW9" s="26">
        <f>IF(WAW7=0,0,IF(MAX($F9:WAV9)=$D12,0,WAV9+1))</f>
        <v>0</v>
      </c>
      <c r="WAX9" s="26">
        <f>IF(WAX7=0,0,IF(MAX($F9:WAW9)=$D12,0,WAW9+1))</f>
        <v>0</v>
      </c>
      <c r="WAY9" s="26">
        <f>IF(WAY7=0,0,IF(MAX($F9:WAX9)=$D12,0,WAX9+1))</f>
        <v>0</v>
      </c>
      <c r="WAZ9" s="26">
        <f>IF(WAZ7=0,0,IF(MAX($F9:WAY9)=$D12,0,WAY9+1))</f>
        <v>0</v>
      </c>
      <c r="WBA9" s="26">
        <f>IF(WBA7=0,0,IF(MAX($F9:WAZ9)=$D12,0,WAZ9+1))</f>
        <v>0</v>
      </c>
      <c r="WBB9" s="26">
        <f>IF(WBB7=0,0,IF(MAX($F9:WBA9)=$D12,0,WBA9+1))</f>
        <v>0</v>
      </c>
      <c r="WBC9" s="26">
        <f>IF(WBC7=0,0,IF(MAX($F9:WBB9)=$D12,0,WBB9+1))</f>
        <v>0</v>
      </c>
      <c r="WBD9" s="26">
        <f>IF(WBD7=0,0,IF(MAX($F9:WBC9)=$D12,0,WBC9+1))</f>
        <v>0</v>
      </c>
      <c r="WBE9" s="26">
        <f>IF(WBE7=0,0,IF(MAX($F9:WBD9)=$D12,0,WBD9+1))</f>
        <v>0</v>
      </c>
      <c r="WBF9" s="26">
        <f>IF(WBF7=0,0,IF(MAX($F9:WBE9)=$D12,0,WBE9+1))</f>
        <v>0</v>
      </c>
      <c r="WBG9" s="26">
        <f>IF(WBG7=0,0,IF(MAX($F9:WBF9)=$D12,0,WBF9+1))</f>
        <v>0</v>
      </c>
      <c r="WBH9" s="26">
        <f>IF(WBH7=0,0,IF(MAX($F9:WBG9)=$D12,0,WBG9+1))</f>
        <v>0</v>
      </c>
      <c r="WBI9" s="26">
        <f>IF(WBI7=0,0,IF(MAX($F9:WBH9)=$D12,0,WBH9+1))</f>
        <v>0</v>
      </c>
      <c r="WBJ9" s="26">
        <f>IF(WBJ7=0,0,IF(MAX($F9:WBI9)=$D12,0,WBI9+1))</f>
        <v>0</v>
      </c>
      <c r="WBK9" s="26">
        <f>IF(WBK7=0,0,IF(MAX($F9:WBJ9)=$D12,0,WBJ9+1))</f>
        <v>0</v>
      </c>
      <c r="WBL9" s="26">
        <f>IF(WBL7=0,0,IF(MAX($F9:WBK9)=$D12,0,WBK9+1))</f>
        <v>0</v>
      </c>
      <c r="WBM9" s="26">
        <f>IF(WBM7=0,0,IF(MAX($F9:WBL9)=$D12,0,WBL9+1))</f>
        <v>0</v>
      </c>
      <c r="WBN9" s="26">
        <f>IF(WBN7=0,0,IF(MAX($F9:WBM9)=$D12,0,WBM9+1))</f>
        <v>0</v>
      </c>
      <c r="WBO9" s="26">
        <f>IF(WBO7=0,0,IF(MAX($F9:WBN9)=$D12,0,WBN9+1))</f>
        <v>0</v>
      </c>
      <c r="WBP9" s="26">
        <f>IF(WBP7=0,0,IF(MAX($F9:WBO9)=$D12,0,WBO9+1))</f>
        <v>0</v>
      </c>
      <c r="WBQ9" s="26">
        <f>IF(WBQ7=0,0,IF(MAX($F9:WBP9)=$D12,0,WBP9+1))</f>
        <v>0</v>
      </c>
      <c r="WBR9" s="26">
        <f>IF(WBR7=0,0,IF(MAX($F9:WBQ9)=$D12,0,WBQ9+1))</f>
        <v>0</v>
      </c>
      <c r="WBS9" s="26">
        <f>IF(WBS7=0,0,IF(MAX($F9:WBR9)=$D12,0,WBR9+1))</f>
        <v>0</v>
      </c>
      <c r="WBT9" s="26">
        <f>IF(WBT7=0,0,IF(MAX($F9:WBS9)=$D12,0,WBS9+1))</f>
        <v>0</v>
      </c>
      <c r="WBU9" s="26">
        <f>IF(WBU7=0,0,IF(MAX($F9:WBT9)=$D12,0,WBT9+1))</f>
        <v>0</v>
      </c>
      <c r="WBV9" s="26">
        <f>IF(WBV7=0,0,IF(MAX($F9:WBU9)=$D12,0,WBU9+1))</f>
        <v>0</v>
      </c>
      <c r="WBW9" s="26">
        <f>IF(WBW7=0,0,IF(MAX($F9:WBV9)=$D12,0,WBV9+1))</f>
        <v>0</v>
      </c>
      <c r="WBX9" s="26">
        <f>IF(WBX7=0,0,IF(MAX($F9:WBW9)=$D12,0,WBW9+1))</f>
        <v>0</v>
      </c>
      <c r="WBY9" s="26">
        <f>IF(WBY7=0,0,IF(MAX($F9:WBX9)=$D12,0,WBX9+1))</f>
        <v>0</v>
      </c>
      <c r="WBZ9" s="26">
        <f>IF(WBZ7=0,0,IF(MAX($F9:WBY9)=$D12,0,WBY9+1))</f>
        <v>0</v>
      </c>
      <c r="WCA9" s="26">
        <f>IF(WCA7=0,0,IF(MAX($F9:WBZ9)=$D12,0,WBZ9+1))</f>
        <v>0</v>
      </c>
      <c r="WCB9" s="26">
        <f>IF(WCB7=0,0,IF(MAX($F9:WCA9)=$D12,0,WCA9+1))</f>
        <v>0</v>
      </c>
      <c r="WCC9" s="26">
        <f>IF(WCC7=0,0,IF(MAX($F9:WCB9)=$D12,0,WCB9+1))</f>
        <v>0</v>
      </c>
      <c r="WCD9" s="26">
        <f>IF(WCD7=0,0,IF(MAX($F9:WCC9)=$D12,0,WCC9+1))</f>
        <v>0</v>
      </c>
      <c r="WCE9" s="26">
        <f>IF(WCE7=0,0,IF(MAX($F9:WCD9)=$D12,0,WCD9+1))</f>
        <v>0</v>
      </c>
      <c r="WCF9" s="26">
        <f>IF(WCF7=0,0,IF(MAX($F9:WCE9)=$D12,0,WCE9+1))</f>
        <v>0</v>
      </c>
      <c r="WCG9" s="26">
        <f>IF(WCG7=0,0,IF(MAX($F9:WCF9)=$D12,0,WCF9+1))</f>
        <v>0</v>
      </c>
      <c r="WCH9" s="26">
        <f>IF(WCH7=0,0,IF(MAX($F9:WCG9)=$D12,0,WCG9+1))</f>
        <v>0</v>
      </c>
      <c r="WCI9" s="26">
        <f>IF(WCI7=0,0,IF(MAX($F9:WCH9)=$D12,0,WCH9+1))</f>
        <v>0</v>
      </c>
      <c r="WCJ9" s="26">
        <f>IF(WCJ7=0,0,IF(MAX($F9:WCI9)=$D12,0,WCI9+1))</f>
        <v>0</v>
      </c>
      <c r="WCK9" s="26">
        <f>IF(WCK7=0,0,IF(MAX($F9:WCJ9)=$D12,0,WCJ9+1))</f>
        <v>0</v>
      </c>
      <c r="WCL9" s="26">
        <f>IF(WCL7=0,0,IF(MAX($F9:WCK9)=$D12,0,WCK9+1))</f>
        <v>0</v>
      </c>
      <c r="WCM9" s="26">
        <f>IF(WCM7=0,0,IF(MAX($F9:WCL9)=$D12,0,WCL9+1))</f>
        <v>0</v>
      </c>
      <c r="WCN9" s="26">
        <f>IF(WCN7=0,0,IF(MAX($F9:WCM9)=$D12,0,WCM9+1))</f>
        <v>0</v>
      </c>
      <c r="WCO9" s="26">
        <f>IF(WCO7=0,0,IF(MAX($F9:WCN9)=$D12,0,WCN9+1))</f>
        <v>0</v>
      </c>
      <c r="WCP9" s="26">
        <f>IF(WCP7=0,0,IF(MAX($F9:WCO9)=$D12,0,WCO9+1))</f>
        <v>0</v>
      </c>
      <c r="WCQ9" s="26">
        <f>IF(WCQ7=0,0,IF(MAX($F9:WCP9)=$D12,0,WCP9+1))</f>
        <v>0</v>
      </c>
      <c r="WCR9" s="26">
        <f>IF(WCR7=0,0,IF(MAX($F9:WCQ9)=$D12,0,WCQ9+1))</f>
        <v>0</v>
      </c>
      <c r="WCS9" s="26">
        <f>IF(WCS7=0,0,IF(MAX($F9:WCR9)=$D12,0,WCR9+1))</f>
        <v>0</v>
      </c>
      <c r="WCT9" s="26">
        <f>IF(WCT7=0,0,IF(MAX($F9:WCS9)=$D12,0,WCS9+1))</f>
        <v>0</v>
      </c>
      <c r="WCU9" s="26">
        <f>IF(WCU7=0,0,IF(MAX($F9:WCT9)=$D12,0,WCT9+1))</f>
        <v>0</v>
      </c>
      <c r="WCV9" s="26">
        <f>IF(WCV7=0,0,IF(MAX($F9:WCU9)=$D12,0,WCU9+1))</f>
        <v>0</v>
      </c>
      <c r="WCW9" s="26">
        <f>IF(WCW7=0,0,IF(MAX($F9:WCV9)=$D12,0,WCV9+1))</f>
        <v>0</v>
      </c>
      <c r="WCX9" s="26">
        <f>IF(WCX7=0,0,IF(MAX($F9:WCW9)=$D12,0,WCW9+1))</f>
        <v>0</v>
      </c>
      <c r="WCY9" s="26">
        <f>IF(WCY7=0,0,IF(MAX($F9:WCX9)=$D12,0,WCX9+1))</f>
        <v>0</v>
      </c>
      <c r="WCZ9" s="26">
        <f>IF(WCZ7=0,0,IF(MAX($F9:WCY9)=$D12,0,WCY9+1))</f>
        <v>0</v>
      </c>
      <c r="WDA9" s="26">
        <f>IF(WDA7=0,0,IF(MAX($F9:WCZ9)=$D12,0,WCZ9+1))</f>
        <v>0</v>
      </c>
      <c r="WDB9" s="26">
        <f>IF(WDB7=0,0,IF(MAX($F9:WDA9)=$D12,0,WDA9+1))</f>
        <v>0</v>
      </c>
      <c r="WDC9" s="26">
        <f>IF(WDC7=0,0,IF(MAX($F9:WDB9)=$D12,0,WDB9+1))</f>
        <v>0</v>
      </c>
      <c r="WDD9" s="26">
        <f>IF(WDD7=0,0,IF(MAX($F9:WDC9)=$D12,0,WDC9+1))</f>
        <v>0</v>
      </c>
      <c r="WDE9" s="26">
        <f>IF(WDE7=0,0,IF(MAX($F9:WDD9)=$D12,0,WDD9+1))</f>
        <v>0</v>
      </c>
      <c r="WDF9" s="26">
        <f>IF(WDF7=0,0,IF(MAX($F9:WDE9)=$D12,0,WDE9+1))</f>
        <v>0</v>
      </c>
      <c r="WDG9" s="26">
        <f>IF(WDG7=0,0,IF(MAX($F9:WDF9)=$D12,0,WDF9+1))</f>
        <v>0</v>
      </c>
      <c r="WDH9" s="26">
        <f>IF(WDH7=0,0,IF(MAX($F9:WDG9)=$D12,0,WDG9+1))</f>
        <v>0</v>
      </c>
      <c r="WDI9" s="26">
        <f>IF(WDI7=0,0,IF(MAX($F9:WDH9)=$D12,0,WDH9+1))</f>
        <v>0</v>
      </c>
      <c r="WDJ9" s="26">
        <f>IF(WDJ7=0,0,IF(MAX($F9:WDI9)=$D12,0,WDI9+1))</f>
        <v>0</v>
      </c>
      <c r="WDK9" s="26">
        <f>IF(WDK7=0,0,IF(MAX($F9:WDJ9)=$D12,0,WDJ9+1))</f>
        <v>0</v>
      </c>
      <c r="WDL9" s="26">
        <f>IF(WDL7=0,0,IF(MAX($F9:WDK9)=$D12,0,WDK9+1))</f>
        <v>0</v>
      </c>
      <c r="WDM9" s="26">
        <f>IF(WDM7=0,0,IF(MAX($F9:WDL9)=$D12,0,WDL9+1))</f>
        <v>0</v>
      </c>
      <c r="WDN9" s="26">
        <f>IF(WDN7=0,0,IF(MAX($F9:WDM9)=$D12,0,WDM9+1))</f>
        <v>0</v>
      </c>
      <c r="WDO9" s="26">
        <f>IF(WDO7=0,0,IF(MAX($F9:WDN9)=$D12,0,WDN9+1))</f>
        <v>0</v>
      </c>
      <c r="WDP9" s="26">
        <f>IF(WDP7=0,0,IF(MAX($F9:WDO9)=$D12,0,WDO9+1))</f>
        <v>0</v>
      </c>
      <c r="WDQ9" s="26">
        <f>IF(WDQ7=0,0,IF(MAX($F9:WDP9)=$D12,0,WDP9+1))</f>
        <v>0</v>
      </c>
      <c r="WDR9" s="26">
        <f>IF(WDR7=0,0,IF(MAX($F9:WDQ9)=$D12,0,WDQ9+1))</f>
        <v>0</v>
      </c>
      <c r="WDS9" s="26">
        <f>IF(WDS7=0,0,IF(MAX($F9:WDR9)=$D12,0,WDR9+1))</f>
        <v>0</v>
      </c>
      <c r="WDT9" s="26">
        <f>IF(WDT7=0,0,IF(MAX($F9:WDS9)=$D12,0,WDS9+1))</f>
        <v>0</v>
      </c>
      <c r="WDU9" s="26">
        <f>IF(WDU7=0,0,IF(MAX($F9:WDT9)=$D12,0,WDT9+1))</f>
        <v>0</v>
      </c>
      <c r="WDV9" s="26">
        <f>IF(WDV7=0,0,IF(MAX($F9:WDU9)=$D12,0,WDU9+1))</f>
        <v>0</v>
      </c>
      <c r="WDW9" s="26">
        <f>IF(WDW7=0,0,IF(MAX($F9:WDV9)=$D12,0,WDV9+1))</f>
        <v>0</v>
      </c>
      <c r="WDX9" s="26">
        <f>IF(WDX7=0,0,IF(MAX($F9:WDW9)=$D12,0,WDW9+1))</f>
        <v>0</v>
      </c>
      <c r="WDY9" s="26">
        <f>IF(WDY7=0,0,IF(MAX($F9:WDX9)=$D12,0,WDX9+1))</f>
        <v>0</v>
      </c>
      <c r="WDZ9" s="26">
        <f>IF(WDZ7=0,0,IF(MAX($F9:WDY9)=$D12,0,WDY9+1))</f>
        <v>0</v>
      </c>
      <c r="WEA9" s="26">
        <f>IF(WEA7=0,0,IF(MAX($F9:WDZ9)=$D12,0,WDZ9+1))</f>
        <v>0</v>
      </c>
      <c r="WEB9" s="26">
        <f>IF(WEB7=0,0,IF(MAX($F9:WEA9)=$D12,0,WEA9+1))</f>
        <v>0</v>
      </c>
      <c r="WEC9" s="26">
        <f>IF(WEC7=0,0,IF(MAX($F9:WEB9)=$D12,0,WEB9+1))</f>
        <v>0</v>
      </c>
      <c r="WED9" s="26">
        <f>IF(WED7=0,0,IF(MAX($F9:WEC9)=$D12,0,WEC9+1))</f>
        <v>0</v>
      </c>
      <c r="WEE9" s="26">
        <f>IF(WEE7=0,0,IF(MAX($F9:WED9)=$D12,0,WED9+1))</f>
        <v>0</v>
      </c>
      <c r="WEF9" s="26">
        <f>IF(WEF7=0,0,IF(MAX($F9:WEE9)=$D12,0,WEE9+1))</f>
        <v>0</v>
      </c>
      <c r="WEG9" s="26">
        <f>IF(WEG7=0,0,IF(MAX($F9:WEF9)=$D12,0,WEF9+1))</f>
        <v>0</v>
      </c>
      <c r="WEH9" s="26">
        <f>IF(WEH7=0,0,IF(MAX($F9:WEG9)=$D12,0,WEG9+1))</f>
        <v>0</v>
      </c>
      <c r="WEI9" s="26">
        <f>IF(WEI7=0,0,IF(MAX($F9:WEH9)=$D12,0,WEH9+1))</f>
        <v>0</v>
      </c>
      <c r="WEJ9" s="26">
        <f>IF(WEJ7=0,0,IF(MAX($F9:WEI9)=$D12,0,WEI9+1))</f>
        <v>0</v>
      </c>
      <c r="WEK9" s="26">
        <f>IF(WEK7=0,0,IF(MAX($F9:WEJ9)=$D12,0,WEJ9+1))</f>
        <v>0</v>
      </c>
      <c r="WEL9" s="26">
        <f>IF(WEL7=0,0,IF(MAX($F9:WEK9)=$D12,0,WEK9+1))</f>
        <v>0</v>
      </c>
      <c r="WEM9" s="26">
        <f>IF(WEM7=0,0,IF(MAX($F9:WEL9)=$D12,0,WEL9+1))</f>
        <v>0</v>
      </c>
      <c r="WEN9" s="26">
        <f>IF(WEN7=0,0,IF(MAX($F9:WEM9)=$D12,0,WEM9+1))</f>
        <v>0</v>
      </c>
      <c r="WEO9" s="26">
        <f>IF(WEO7=0,0,IF(MAX($F9:WEN9)=$D12,0,WEN9+1))</f>
        <v>0</v>
      </c>
      <c r="WEP9" s="26">
        <f>IF(WEP7=0,0,IF(MAX($F9:WEO9)=$D12,0,WEO9+1))</f>
        <v>0</v>
      </c>
      <c r="WEQ9" s="26">
        <f>IF(WEQ7=0,0,IF(MAX($F9:WEP9)=$D12,0,WEP9+1))</f>
        <v>0</v>
      </c>
      <c r="WER9" s="26">
        <f>IF(WER7=0,0,IF(MAX($F9:WEQ9)=$D12,0,WEQ9+1))</f>
        <v>0</v>
      </c>
      <c r="WES9" s="26">
        <f>IF(WES7=0,0,IF(MAX($F9:WER9)=$D12,0,WER9+1))</f>
        <v>0</v>
      </c>
      <c r="WET9" s="26">
        <f>IF(WET7=0,0,IF(MAX($F9:WES9)=$D12,0,WES9+1))</f>
        <v>0</v>
      </c>
      <c r="WEU9" s="26">
        <f>IF(WEU7=0,0,IF(MAX($F9:WET9)=$D12,0,WET9+1))</f>
        <v>0</v>
      </c>
      <c r="WEV9" s="26">
        <f>IF(WEV7=0,0,IF(MAX($F9:WEU9)=$D12,0,WEU9+1))</f>
        <v>0</v>
      </c>
      <c r="WEW9" s="26">
        <f>IF(WEW7=0,0,IF(MAX($F9:WEV9)=$D12,0,WEV9+1))</f>
        <v>0</v>
      </c>
      <c r="WEX9" s="26">
        <f>IF(WEX7=0,0,IF(MAX($F9:WEW9)=$D12,0,WEW9+1))</f>
        <v>0</v>
      </c>
      <c r="WEY9" s="26">
        <f>IF(WEY7=0,0,IF(MAX($F9:WEX9)=$D12,0,WEX9+1))</f>
        <v>0</v>
      </c>
      <c r="WEZ9" s="26">
        <f>IF(WEZ7=0,0,IF(MAX($F9:WEY9)=$D12,0,WEY9+1))</f>
        <v>0</v>
      </c>
      <c r="WFA9" s="26">
        <f>IF(WFA7=0,0,IF(MAX($F9:WEZ9)=$D12,0,WEZ9+1))</f>
        <v>0</v>
      </c>
      <c r="WFB9" s="26">
        <f>IF(WFB7=0,0,IF(MAX($F9:WFA9)=$D12,0,WFA9+1))</f>
        <v>0</v>
      </c>
      <c r="WFC9" s="26">
        <f>IF(WFC7=0,0,IF(MAX($F9:WFB9)=$D12,0,WFB9+1))</f>
        <v>0</v>
      </c>
      <c r="WFD9" s="26">
        <f>IF(WFD7=0,0,IF(MAX($F9:WFC9)=$D12,0,WFC9+1))</f>
        <v>0</v>
      </c>
      <c r="WFE9" s="26">
        <f>IF(WFE7=0,0,IF(MAX($F9:WFD9)=$D12,0,WFD9+1))</f>
        <v>0</v>
      </c>
      <c r="WFF9" s="26">
        <f>IF(WFF7=0,0,IF(MAX($F9:WFE9)=$D12,0,WFE9+1))</f>
        <v>0</v>
      </c>
      <c r="WFG9" s="26">
        <f>IF(WFG7=0,0,IF(MAX($F9:WFF9)=$D12,0,WFF9+1))</f>
        <v>0</v>
      </c>
      <c r="WFH9" s="26">
        <f>IF(WFH7=0,0,IF(MAX($F9:WFG9)=$D12,0,WFG9+1))</f>
        <v>0</v>
      </c>
      <c r="WFI9" s="26">
        <f>IF(WFI7=0,0,IF(MAX($F9:WFH9)=$D12,0,WFH9+1))</f>
        <v>0</v>
      </c>
      <c r="WFJ9" s="26">
        <f>IF(WFJ7=0,0,IF(MAX($F9:WFI9)=$D12,0,WFI9+1))</f>
        <v>0</v>
      </c>
      <c r="WFK9" s="26">
        <f>IF(WFK7=0,0,IF(MAX($F9:WFJ9)=$D12,0,WFJ9+1))</f>
        <v>0</v>
      </c>
      <c r="WFL9" s="26">
        <f>IF(WFL7=0,0,IF(MAX($F9:WFK9)=$D12,0,WFK9+1))</f>
        <v>0</v>
      </c>
      <c r="WFM9" s="26">
        <f>IF(WFM7=0,0,IF(MAX($F9:WFL9)=$D12,0,WFL9+1))</f>
        <v>0</v>
      </c>
      <c r="WFN9" s="26">
        <f>IF(WFN7=0,0,IF(MAX($F9:WFM9)=$D12,0,WFM9+1))</f>
        <v>0</v>
      </c>
      <c r="WFO9" s="26">
        <f>IF(WFO7=0,0,IF(MAX($F9:WFN9)=$D12,0,WFN9+1))</f>
        <v>0</v>
      </c>
      <c r="WFP9" s="26">
        <f>IF(WFP7=0,0,IF(MAX($F9:WFO9)=$D12,0,WFO9+1))</f>
        <v>0</v>
      </c>
      <c r="WFQ9" s="26">
        <f>IF(WFQ7=0,0,IF(MAX($F9:WFP9)=$D12,0,WFP9+1))</f>
        <v>0</v>
      </c>
      <c r="WFR9" s="26">
        <f>IF(WFR7=0,0,IF(MAX($F9:WFQ9)=$D12,0,WFQ9+1))</f>
        <v>0</v>
      </c>
      <c r="WFS9" s="26">
        <f>IF(WFS7=0,0,IF(MAX($F9:WFR9)=$D12,0,WFR9+1))</f>
        <v>0</v>
      </c>
      <c r="WFT9" s="26">
        <f>IF(WFT7=0,0,IF(MAX($F9:WFS9)=$D12,0,WFS9+1))</f>
        <v>0</v>
      </c>
      <c r="WFU9" s="26">
        <f>IF(WFU7=0,0,IF(MAX($F9:WFT9)=$D12,0,WFT9+1))</f>
        <v>0</v>
      </c>
      <c r="WFV9" s="26">
        <f>IF(WFV7=0,0,IF(MAX($F9:WFU9)=$D12,0,WFU9+1))</f>
        <v>0</v>
      </c>
      <c r="WFW9" s="26">
        <f>IF(WFW7=0,0,IF(MAX($F9:WFV9)=$D12,0,WFV9+1))</f>
        <v>0</v>
      </c>
      <c r="WFX9" s="26">
        <f>IF(WFX7=0,0,IF(MAX($F9:WFW9)=$D12,0,WFW9+1))</f>
        <v>0</v>
      </c>
      <c r="WFY9" s="26">
        <f>IF(WFY7=0,0,IF(MAX($F9:WFX9)=$D12,0,WFX9+1))</f>
        <v>0</v>
      </c>
      <c r="WFZ9" s="26">
        <f>IF(WFZ7=0,0,IF(MAX($F9:WFY9)=$D12,0,WFY9+1))</f>
        <v>0</v>
      </c>
      <c r="WGA9" s="26">
        <f>IF(WGA7=0,0,IF(MAX($F9:WFZ9)=$D12,0,WFZ9+1))</f>
        <v>0</v>
      </c>
      <c r="WGB9" s="26">
        <f>IF(WGB7=0,0,IF(MAX($F9:WGA9)=$D12,0,WGA9+1))</f>
        <v>0</v>
      </c>
      <c r="WGC9" s="26">
        <f>IF(WGC7=0,0,IF(MAX($F9:WGB9)=$D12,0,WGB9+1))</f>
        <v>0</v>
      </c>
      <c r="WGD9" s="26">
        <f>IF(WGD7=0,0,IF(MAX($F9:WGC9)=$D12,0,WGC9+1))</f>
        <v>0</v>
      </c>
      <c r="WGE9" s="26">
        <f>IF(WGE7=0,0,IF(MAX($F9:WGD9)=$D12,0,WGD9+1))</f>
        <v>0</v>
      </c>
      <c r="WGF9" s="26">
        <f>IF(WGF7=0,0,IF(MAX($F9:WGE9)=$D12,0,WGE9+1))</f>
        <v>0</v>
      </c>
      <c r="WGG9" s="26">
        <f>IF(WGG7=0,0,IF(MAX($F9:WGF9)=$D12,0,WGF9+1))</f>
        <v>0</v>
      </c>
      <c r="WGH9" s="26">
        <f>IF(WGH7=0,0,IF(MAX($F9:WGG9)=$D12,0,WGG9+1))</f>
        <v>0</v>
      </c>
      <c r="WGI9" s="26">
        <f>IF(WGI7=0,0,IF(MAX($F9:WGH9)=$D12,0,WGH9+1))</f>
        <v>0</v>
      </c>
      <c r="WGJ9" s="26">
        <f>IF(WGJ7=0,0,IF(MAX($F9:WGI9)=$D12,0,WGI9+1))</f>
        <v>0</v>
      </c>
      <c r="WGK9" s="26">
        <f>IF(WGK7=0,0,IF(MAX($F9:WGJ9)=$D12,0,WGJ9+1))</f>
        <v>0</v>
      </c>
      <c r="WGL9" s="26">
        <f>IF(WGL7=0,0,IF(MAX($F9:WGK9)=$D12,0,WGK9+1))</f>
        <v>0</v>
      </c>
      <c r="WGM9" s="26">
        <f>IF(WGM7=0,0,IF(MAX($F9:WGL9)=$D12,0,WGL9+1))</f>
        <v>0</v>
      </c>
      <c r="WGN9" s="26">
        <f>IF(WGN7=0,0,IF(MAX($F9:WGM9)=$D12,0,WGM9+1))</f>
        <v>0</v>
      </c>
      <c r="WGO9" s="26">
        <f>IF(WGO7=0,0,IF(MAX($F9:WGN9)=$D12,0,WGN9+1))</f>
        <v>0</v>
      </c>
      <c r="WGP9" s="26">
        <f>IF(WGP7=0,0,IF(MAX($F9:WGO9)=$D12,0,WGO9+1))</f>
        <v>0</v>
      </c>
      <c r="WGQ9" s="26">
        <f>IF(WGQ7=0,0,IF(MAX($F9:WGP9)=$D12,0,WGP9+1))</f>
        <v>0</v>
      </c>
      <c r="WGR9" s="26">
        <f>IF(WGR7=0,0,IF(MAX($F9:WGQ9)=$D12,0,WGQ9+1))</f>
        <v>0</v>
      </c>
      <c r="WGS9" s="26">
        <f>IF(WGS7=0,0,IF(MAX($F9:WGR9)=$D12,0,WGR9+1))</f>
        <v>0</v>
      </c>
      <c r="WGT9" s="26">
        <f>IF(WGT7=0,0,IF(MAX($F9:WGS9)=$D12,0,WGS9+1))</f>
        <v>0</v>
      </c>
      <c r="WGU9" s="26">
        <f>IF(WGU7=0,0,IF(MAX($F9:WGT9)=$D12,0,WGT9+1))</f>
        <v>0</v>
      </c>
      <c r="WGV9" s="26">
        <f>IF(WGV7=0,0,IF(MAX($F9:WGU9)=$D12,0,WGU9+1))</f>
        <v>0</v>
      </c>
      <c r="WGW9" s="26">
        <f>IF(WGW7=0,0,IF(MAX($F9:WGV9)=$D12,0,WGV9+1))</f>
        <v>0</v>
      </c>
      <c r="WGX9" s="26">
        <f>IF(WGX7=0,0,IF(MAX($F9:WGW9)=$D12,0,WGW9+1))</f>
        <v>0</v>
      </c>
      <c r="WGY9" s="26">
        <f>IF(WGY7=0,0,IF(MAX($F9:WGX9)=$D12,0,WGX9+1))</f>
        <v>0</v>
      </c>
      <c r="WGZ9" s="26">
        <f>IF(WGZ7=0,0,IF(MAX($F9:WGY9)=$D12,0,WGY9+1))</f>
        <v>0</v>
      </c>
      <c r="WHA9" s="26">
        <f>IF(WHA7=0,0,IF(MAX($F9:WGZ9)=$D12,0,WGZ9+1))</f>
        <v>0</v>
      </c>
      <c r="WHB9" s="26">
        <f>IF(WHB7=0,0,IF(MAX($F9:WHA9)=$D12,0,WHA9+1))</f>
        <v>0</v>
      </c>
      <c r="WHC9" s="26">
        <f>IF(WHC7=0,0,IF(MAX($F9:WHB9)=$D12,0,WHB9+1))</f>
        <v>0</v>
      </c>
      <c r="WHD9" s="26">
        <f>IF(WHD7=0,0,IF(MAX($F9:WHC9)=$D12,0,WHC9+1))</f>
        <v>0</v>
      </c>
      <c r="WHE9" s="26">
        <f>IF(WHE7=0,0,IF(MAX($F9:WHD9)=$D12,0,WHD9+1))</f>
        <v>0</v>
      </c>
      <c r="WHF9" s="26">
        <f>IF(WHF7=0,0,IF(MAX($F9:WHE9)=$D12,0,WHE9+1))</f>
        <v>0</v>
      </c>
      <c r="WHG9" s="26">
        <f>IF(WHG7=0,0,IF(MAX($F9:WHF9)=$D12,0,WHF9+1))</f>
        <v>0</v>
      </c>
      <c r="WHH9" s="26">
        <f>IF(WHH7=0,0,IF(MAX($F9:WHG9)=$D12,0,WHG9+1))</f>
        <v>0</v>
      </c>
      <c r="WHI9" s="26">
        <f>IF(WHI7=0,0,IF(MAX($F9:WHH9)=$D12,0,WHH9+1))</f>
        <v>0</v>
      </c>
      <c r="WHJ9" s="26">
        <f>IF(WHJ7=0,0,IF(MAX($F9:WHI9)=$D12,0,WHI9+1))</f>
        <v>0</v>
      </c>
      <c r="WHK9" s="26">
        <f>IF(WHK7=0,0,IF(MAX($F9:WHJ9)=$D12,0,WHJ9+1))</f>
        <v>0</v>
      </c>
      <c r="WHL9" s="26">
        <f>IF(WHL7=0,0,IF(MAX($F9:WHK9)=$D12,0,WHK9+1))</f>
        <v>0</v>
      </c>
      <c r="WHM9" s="26">
        <f>IF(WHM7=0,0,IF(MAX($F9:WHL9)=$D12,0,WHL9+1))</f>
        <v>0</v>
      </c>
      <c r="WHN9" s="26">
        <f>IF(WHN7=0,0,IF(MAX($F9:WHM9)=$D12,0,WHM9+1))</f>
        <v>0</v>
      </c>
      <c r="WHO9" s="26">
        <f>IF(WHO7=0,0,IF(MAX($F9:WHN9)=$D12,0,WHN9+1))</f>
        <v>0</v>
      </c>
      <c r="WHP9" s="26">
        <f>IF(WHP7=0,0,IF(MAX($F9:WHO9)=$D12,0,WHO9+1))</f>
        <v>0</v>
      </c>
      <c r="WHQ9" s="26">
        <f>IF(WHQ7=0,0,IF(MAX($F9:WHP9)=$D12,0,WHP9+1))</f>
        <v>0</v>
      </c>
      <c r="WHR9" s="26">
        <f>IF(WHR7=0,0,IF(MAX($F9:WHQ9)=$D12,0,WHQ9+1))</f>
        <v>0</v>
      </c>
      <c r="WHS9" s="26">
        <f>IF(WHS7=0,0,IF(MAX($F9:WHR9)=$D12,0,WHR9+1))</f>
        <v>0</v>
      </c>
      <c r="WHT9" s="26">
        <f>IF(WHT7=0,0,IF(MAX($F9:WHS9)=$D12,0,WHS9+1))</f>
        <v>0</v>
      </c>
      <c r="WHU9" s="26">
        <f>IF(WHU7=0,0,IF(MAX($F9:WHT9)=$D12,0,WHT9+1))</f>
        <v>0</v>
      </c>
      <c r="WHV9" s="26">
        <f>IF(WHV7=0,0,IF(MAX($F9:WHU9)=$D12,0,WHU9+1))</f>
        <v>0</v>
      </c>
      <c r="WHW9" s="26">
        <f>IF(WHW7=0,0,IF(MAX($F9:WHV9)=$D12,0,WHV9+1))</f>
        <v>0</v>
      </c>
      <c r="WHX9" s="26">
        <f>IF(WHX7=0,0,IF(MAX($F9:WHW9)=$D12,0,WHW9+1))</f>
        <v>0</v>
      </c>
      <c r="WHY9" s="26">
        <f>IF(WHY7=0,0,IF(MAX($F9:WHX9)=$D12,0,WHX9+1))</f>
        <v>0</v>
      </c>
      <c r="WHZ9" s="26">
        <f>IF(WHZ7=0,0,IF(MAX($F9:WHY9)=$D12,0,WHY9+1))</f>
        <v>0</v>
      </c>
      <c r="WIA9" s="26">
        <f>IF(WIA7=0,0,IF(MAX($F9:WHZ9)=$D12,0,WHZ9+1))</f>
        <v>0</v>
      </c>
      <c r="WIB9" s="26">
        <f>IF(WIB7=0,0,IF(MAX($F9:WIA9)=$D12,0,WIA9+1))</f>
        <v>0</v>
      </c>
      <c r="WIC9" s="26">
        <f>IF(WIC7=0,0,IF(MAX($F9:WIB9)=$D12,0,WIB9+1))</f>
        <v>0</v>
      </c>
      <c r="WID9" s="26">
        <f>IF(WID7=0,0,IF(MAX($F9:WIC9)=$D12,0,WIC9+1))</f>
        <v>0</v>
      </c>
      <c r="WIE9" s="26">
        <f>IF(WIE7=0,0,IF(MAX($F9:WID9)=$D12,0,WID9+1))</f>
        <v>0</v>
      </c>
      <c r="WIF9" s="26">
        <f>IF(WIF7=0,0,IF(MAX($F9:WIE9)=$D12,0,WIE9+1))</f>
        <v>0</v>
      </c>
      <c r="WIG9" s="26">
        <f>IF(WIG7=0,0,IF(MAX($F9:WIF9)=$D12,0,WIF9+1))</f>
        <v>0</v>
      </c>
      <c r="WIH9" s="26">
        <f>IF(WIH7=0,0,IF(MAX($F9:WIG9)=$D12,0,WIG9+1))</f>
        <v>0</v>
      </c>
      <c r="WII9" s="26">
        <f>IF(WII7=0,0,IF(MAX($F9:WIH9)=$D12,0,WIH9+1))</f>
        <v>0</v>
      </c>
      <c r="WIJ9" s="26">
        <f>IF(WIJ7=0,0,IF(MAX($F9:WII9)=$D12,0,WII9+1))</f>
        <v>0</v>
      </c>
      <c r="WIK9" s="26">
        <f>IF(WIK7=0,0,IF(MAX($F9:WIJ9)=$D12,0,WIJ9+1))</f>
        <v>0</v>
      </c>
      <c r="WIL9" s="26">
        <f>IF(WIL7=0,0,IF(MAX($F9:WIK9)=$D12,0,WIK9+1))</f>
        <v>0</v>
      </c>
      <c r="WIM9" s="26">
        <f>IF(WIM7=0,0,IF(MAX($F9:WIL9)=$D12,0,WIL9+1))</f>
        <v>0</v>
      </c>
      <c r="WIN9" s="26">
        <f>IF(WIN7=0,0,IF(MAX($F9:WIM9)=$D12,0,WIM9+1))</f>
        <v>0</v>
      </c>
      <c r="WIO9" s="26">
        <f>IF(WIO7=0,0,IF(MAX($F9:WIN9)=$D12,0,WIN9+1))</f>
        <v>0</v>
      </c>
      <c r="WIP9" s="26">
        <f>IF(WIP7=0,0,IF(MAX($F9:WIO9)=$D12,0,WIO9+1))</f>
        <v>0</v>
      </c>
      <c r="WIQ9" s="26">
        <f>IF(WIQ7=0,0,IF(MAX($F9:WIP9)=$D12,0,WIP9+1))</f>
        <v>0</v>
      </c>
      <c r="WIR9" s="26">
        <f>IF(WIR7=0,0,IF(MAX($F9:WIQ9)=$D12,0,WIQ9+1))</f>
        <v>0</v>
      </c>
      <c r="WIS9" s="26">
        <f>IF(WIS7=0,0,IF(MAX($F9:WIR9)=$D12,0,WIR9+1))</f>
        <v>0</v>
      </c>
      <c r="WIT9" s="26">
        <f>IF(WIT7=0,0,IF(MAX($F9:WIS9)=$D12,0,WIS9+1))</f>
        <v>0</v>
      </c>
      <c r="WIU9" s="26">
        <f>IF(WIU7=0,0,IF(MAX($F9:WIT9)=$D12,0,WIT9+1))</f>
        <v>0</v>
      </c>
      <c r="WIV9" s="26">
        <f>IF(WIV7=0,0,IF(MAX($F9:WIU9)=$D12,0,WIU9+1))</f>
        <v>0</v>
      </c>
      <c r="WIW9" s="26">
        <f>IF(WIW7=0,0,IF(MAX($F9:WIV9)=$D12,0,WIV9+1))</f>
        <v>0</v>
      </c>
      <c r="WIX9" s="26">
        <f>IF(WIX7=0,0,IF(MAX($F9:WIW9)=$D12,0,WIW9+1))</f>
        <v>0</v>
      </c>
      <c r="WIY9" s="26">
        <f>IF(WIY7=0,0,IF(MAX($F9:WIX9)=$D12,0,WIX9+1))</f>
        <v>0</v>
      </c>
      <c r="WIZ9" s="26">
        <f>IF(WIZ7=0,0,IF(MAX($F9:WIY9)=$D12,0,WIY9+1))</f>
        <v>0</v>
      </c>
      <c r="WJA9" s="26">
        <f>IF(WJA7=0,0,IF(MAX($F9:WIZ9)=$D12,0,WIZ9+1))</f>
        <v>0</v>
      </c>
      <c r="WJB9" s="26">
        <f>IF(WJB7=0,0,IF(MAX($F9:WJA9)=$D12,0,WJA9+1))</f>
        <v>0</v>
      </c>
      <c r="WJC9" s="26">
        <f>IF(WJC7=0,0,IF(MAX($F9:WJB9)=$D12,0,WJB9+1))</f>
        <v>0</v>
      </c>
      <c r="WJD9" s="26">
        <f>IF(WJD7=0,0,IF(MAX($F9:WJC9)=$D12,0,WJC9+1))</f>
        <v>0</v>
      </c>
      <c r="WJE9" s="26">
        <f>IF(WJE7=0,0,IF(MAX($F9:WJD9)=$D12,0,WJD9+1))</f>
        <v>0</v>
      </c>
      <c r="WJF9" s="26">
        <f>IF(WJF7=0,0,IF(MAX($F9:WJE9)=$D12,0,WJE9+1))</f>
        <v>0</v>
      </c>
      <c r="WJG9" s="26">
        <f>IF(WJG7=0,0,IF(MAX($F9:WJF9)=$D12,0,WJF9+1))</f>
        <v>0</v>
      </c>
      <c r="WJH9" s="26">
        <f>IF(WJH7=0,0,IF(MAX($F9:WJG9)=$D12,0,WJG9+1))</f>
        <v>0</v>
      </c>
      <c r="WJI9" s="26">
        <f>IF(WJI7=0,0,IF(MAX($F9:WJH9)=$D12,0,WJH9+1))</f>
        <v>0</v>
      </c>
      <c r="WJJ9" s="26">
        <f>IF(WJJ7=0,0,IF(MAX($F9:WJI9)=$D12,0,WJI9+1))</f>
        <v>0</v>
      </c>
      <c r="WJK9" s="26">
        <f>IF(WJK7=0,0,IF(MAX($F9:WJJ9)=$D12,0,WJJ9+1))</f>
        <v>0</v>
      </c>
      <c r="WJL9" s="26">
        <f>IF(WJL7=0,0,IF(MAX($F9:WJK9)=$D12,0,WJK9+1))</f>
        <v>0</v>
      </c>
      <c r="WJM9" s="26">
        <f>IF(WJM7=0,0,IF(MAX($F9:WJL9)=$D12,0,WJL9+1))</f>
        <v>0</v>
      </c>
      <c r="WJN9" s="26">
        <f>IF(WJN7=0,0,IF(MAX($F9:WJM9)=$D12,0,WJM9+1))</f>
        <v>0</v>
      </c>
      <c r="WJO9" s="26">
        <f>IF(WJO7=0,0,IF(MAX($F9:WJN9)=$D12,0,WJN9+1))</f>
        <v>0</v>
      </c>
      <c r="WJP9" s="26">
        <f>IF(WJP7=0,0,IF(MAX($F9:WJO9)=$D12,0,WJO9+1))</f>
        <v>0</v>
      </c>
      <c r="WJQ9" s="26">
        <f>IF(WJQ7=0,0,IF(MAX($F9:WJP9)=$D12,0,WJP9+1))</f>
        <v>0</v>
      </c>
      <c r="WJR9" s="26">
        <f>IF(WJR7=0,0,IF(MAX($F9:WJQ9)=$D12,0,WJQ9+1))</f>
        <v>0</v>
      </c>
      <c r="WJS9" s="26">
        <f>IF(WJS7=0,0,IF(MAX($F9:WJR9)=$D12,0,WJR9+1))</f>
        <v>0</v>
      </c>
      <c r="WJT9" s="26">
        <f>IF(WJT7=0,0,IF(MAX($F9:WJS9)=$D12,0,WJS9+1))</f>
        <v>0</v>
      </c>
      <c r="WJU9" s="26">
        <f>IF(WJU7=0,0,IF(MAX($F9:WJT9)=$D12,0,WJT9+1))</f>
        <v>0</v>
      </c>
      <c r="WJV9" s="26">
        <f>IF(WJV7=0,0,IF(MAX($F9:WJU9)=$D12,0,WJU9+1))</f>
        <v>0</v>
      </c>
      <c r="WJW9" s="26">
        <f>IF(WJW7=0,0,IF(MAX($F9:WJV9)=$D12,0,WJV9+1))</f>
        <v>0</v>
      </c>
      <c r="WJX9" s="26">
        <f>IF(WJX7=0,0,IF(MAX($F9:WJW9)=$D12,0,WJW9+1))</f>
        <v>0</v>
      </c>
      <c r="WJY9" s="26">
        <f>IF(WJY7=0,0,IF(MAX($F9:WJX9)=$D12,0,WJX9+1))</f>
        <v>0</v>
      </c>
      <c r="WJZ9" s="26">
        <f>IF(WJZ7=0,0,IF(MAX($F9:WJY9)=$D12,0,WJY9+1))</f>
        <v>0</v>
      </c>
      <c r="WKA9" s="26">
        <f>IF(WKA7=0,0,IF(MAX($F9:WJZ9)=$D12,0,WJZ9+1))</f>
        <v>0</v>
      </c>
      <c r="WKB9" s="26">
        <f>IF(WKB7=0,0,IF(MAX($F9:WKA9)=$D12,0,WKA9+1))</f>
        <v>0</v>
      </c>
      <c r="WKC9" s="26">
        <f>IF(WKC7=0,0,IF(MAX($F9:WKB9)=$D12,0,WKB9+1))</f>
        <v>0</v>
      </c>
      <c r="WKD9" s="26">
        <f>IF(WKD7=0,0,IF(MAX($F9:WKC9)=$D12,0,WKC9+1))</f>
        <v>0</v>
      </c>
      <c r="WKE9" s="26">
        <f>IF(WKE7=0,0,IF(MAX($F9:WKD9)=$D12,0,WKD9+1))</f>
        <v>0</v>
      </c>
      <c r="WKF9" s="26">
        <f>IF(WKF7=0,0,IF(MAX($F9:WKE9)=$D12,0,WKE9+1))</f>
        <v>0</v>
      </c>
      <c r="WKG9" s="26">
        <f>IF(WKG7=0,0,IF(MAX($F9:WKF9)=$D12,0,WKF9+1))</f>
        <v>0</v>
      </c>
      <c r="WKH9" s="26">
        <f>IF(WKH7=0,0,IF(MAX($F9:WKG9)=$D12,0,WKG9+1))</f>
        <v>0</v>
      </c>
      <c r="WKI9" s="26">
        <f>IF(WKI7=0,0,IF(MAX($F9:WKH9)=$D12,0,WKH9+1))</f>
        <v>0</v>
      </c>
      <c r="WKJ9" s="26">
        <f>IF(WKJ7=0,0,IF(MAX($F9:WKI9)=$D12,0,WKI9+1))</f>
        <v>0</v>
      </c>
      <c r="WKK9" s="26">
        <f>IF(WKK7=0,0,IF(MAX($F9:WKJ9)=$D12,0,WKJ9+1))</f>
        <v>0</v>
      </c>
      <c r="WKL9" s="26">
        <f>IF(WKL7=0,0,IF(MAX($F9:WKK9)=$D12,0,WKK9+1))</f>
        <v>0</v>
      </c>
      <c r="WKM9" s="26">
        <f>IF(WKM7=0,0,IF(MAX($F9:WKL9)=$D12,0,WKL9+1))</f>
        <v>0</v>
      </c>
      <c r="WKN9" s="26">
        <f>IF(WKN7=0,0,IF(MAX($F9:WKM9)=$D12,0,WKM9+1))</f>
        <v>0</v>
      </c>
      <c r="WKO9" s="26">
        <f>IF(WKO7=0,0,IF(MAX($F9:WKN9)=$D12,0,WKN9+1))</f>
        <v>0</v>
      </c>
      <c r="WKP9" s="26">
        <f>IF(WKP7=0,0,IF(MAX($F9:WKO9)=$D12,0,WKO9+1))</f>
        <v>0</v>
      </c>
      <c r="WKQ9" s="26">
        <f>IF(WKQ7=0,0,IF(MAX($F9:WKP9)=$D12,0,WKP9+1))</f>
        <v>0</v>
      </c>
      <c r="WKR9" s="26">
        <f>IF(WKR7=0,0,IF(MAX($F9:WKQ9)=$D12,0,WKQ9+1))</f>
        <v>0</v>
      </c>
      <c r="WKS9" s="26">
        <f>IF(WKS7=0,0,IF(MAX($F9:WKR9)=$D12,0,WKR9+1))</f>
        <v>0</v>
      </c>
      <c r="WKT9" s="26">
        <f>IF(WKT7=0,0,IF(MAX($F9:WKS9)=$D12,0,WKS9+1))</f>
        <v>0</v>
      </c>
      <c r="WKU9" s="26">
        <f>IF(WKU7=0,0,IF(MAX($F9:WKT9)=$D12,0,WKT9+1))</f>
        <v>0</v>
      </c>
      <c r="WKV9" s="26">
        <f>IF(WKV7=0,0,IF(MAX($F9:WKU9)=$D12,0,WKU9+1))</f>
        <v>0</v>
      </c>
      <c r="WKW9" s="26">
        <f>IF(WKW7=0,0,IF(MAX($F9:WKV9)=$D12,0,WKV9+1))</f>
        <v>0</v>
      </c>
      <c r="WKX9" s="26">
        <f>IF(WKX7=0,0,IF(MAX($F9:WKW9)=$D12,0,WKW9+1))</f>
        <v>0</v>
      </c>
      <c r="WKY9" s="26">
        <f>IF(WKY7=0,0,IF(MAX($F9:WKX9)=$D12,0,WKX9+1))</f>
        <v>0</v>
      </c>
      <c r="WKZ9" s="26">
        <f>IF(WKZ7=0,0,IF(MAX($F9:WKY9)=$D12,0,WKY9+1))</f>
        <v>0</v>
      </c>
      <c r="WLA9" s="26">
        <f>IF(WLA7=0,0,IF(MAX($F9:WKZ9)=$D12,0,WKZ9+1))</f>
        <v>0</v>
      </c>
      <c r="WLB9" s="26">
        <f>IF(WLB7=0,0,IF(MAX($F9:WLA9)=$D12,0,WLA9+1))</f>
        <v>0</v>
      </c>
      <c r="WLC9" s="26">
        <f>IF(WLC7=0,0,IF(MAX($F9:WLB9)=$D12,0,WLB9+1))</f>
        <v>0</v>
      </c>
      <c r="WLD9" s="26">
        <f>IF(WLD7=0,0,IF(MAX($F9:WLC9)=$D12,0,WLC9+1))</f>
        <v>0</v>
      </c>
      <c r="WLE9" s="26">
        <f>IF(WLE7=0,0,IF(MAX($F9:WLD9)=$D12,0,WLD9+1))</f>
        <v>0</v>
      </c>
      <c r="WLF9" s="26">
        <f>IF(WLF7=0,0,IF(MAX($F9:WLE9)=$D12,0,WLE9+1))</f>
        <v>0</v>
      </c>
      <c r="WLG9" s="26">
        <f>IF(WLG7=0,0,IF(MAX($F9:WLF9)=$D12,0,WLF9+1))</f>
        <v>0</v>
      </c>
      <c r="WLH9" s="26">
        <f>IF(WLH7=0,0,IF(MAX($F9:WLG9)=$D12,0,WLG9+1))</f>
        <v>0</v>
      </c>
      <c r="WLI9" s="26">
        <f>IF(WLI7=0,0,IF(MAX($F9:WLH9)=$D12,0,WLH9+1))</f>
        <v>0</v>
      </c>
      <c r="WLJ9" s="26">
        <f>IF(WLJ7=0,0,IF(MAX($F9:WLI9)=$D12,0,WLI9+1))</f>
        <v>0</v>
      </c>
      <c r="WLK9" s="26">
        <f>IF(WLK7=0,0,IF(MAX($F9:WLJ9)=$D12,0,WLJ9+1))</f>
        <v>0</v>
      </c>
      <c r="WLL9" s="26">
        <f>IF(WLL7=0,0,IF(MAX($F9:WLK9)=$D12,0,WLK9+1))</f>
        <v>0</v>
      </c>
      <c r="WLM9" s="26">
        <f>IF(WLM7=0,0,IF(MAX($F9:WLL9)=$D12,0,WLL9+1))</f>
        <v>0</v>
      </c>
      <c r="WLN9" s="26">
        <f>IF(WLN7=0,0,IF(MAX($F9:WLM9)=$D12,0,WLM9+1))</f>
        <v>0</v>
      </c>
      <c r="WLO9" s="26">
        <f>IF(WLO7=0,0,IF(MAX($F9:WLN9)=$D12,0,WLN9+1))</f>
        <v>0</v>
      </c>
      <c r="WLP9" s="26">
        <f>IF(WLP7=0,0,IF(MAX($F9:WLO9)=$D12,0,WLO9+1))</f>
        <v>0</v>
      </c>
      <c r="WLQ9" s="26">
        <f>IF(WLQ7=0,0,IF(MAX($F9:WLP9)=$D12,0,WLP9+1))</f>
        <v>0</v>
      </c>
      <c r="WLR9" s="26">
        <f>IF(WLR7=0,0,IF(MAX($F9:WLQ9)=$D12,0,WLQ9+1))</f>
        <v>0</v>
      </c>
      <c r="WLS9" s="26">
        <f>IF(WLS7=0,0,IF(MAX($F9:WLR9)=$D12,0,WLR9+1))</f>
        <v>0</v>
      </c>
      <c r="WLT9" s="26">
        <f>IF(WLT7=0,0,IF(MAX($F9:WLS9)=$D12,0,WLS9+1))</f>
        <v>0</v>
      </c>
      <c r="WLU9" s="26">
        <f>IF(WLU7=0,0,IF(MAX($F9:WLT9)=$D12,0,WLT9+1))</f>
        <v>0</v>
      </c>
      <c r="WLV9" s="26">
        <f>IF(WLV7=0,0,IF(MAX($F9:WLU9)=$D12,0,WLU9+1))</f>
        <v>0</v>
      </c>
      <c r="WLW9" s="26">
        <f>IF(WLW7=0,0,IF(MAX($F9:WLV9)=$D12,0,WLV9+1))</f>
        <v>0</v>
      </c>
      <c r="WLX9" s="26">
        <f>IF(WLX7=0,0,IF(MAX($F9:WLW9)=$D12,0,WLW9+1))</f>
        <v>0</v>
      </c>
      <c r="WLY9" s="26">
        <f>IF(WLY7=0,0,IF(MAX($F9:WLX9)=$D12,0,WLX9+1))</f>
        <v>0</v>
      </c>
      <c r="WLZ9" s="26">
        <f>IF(WLZ7=0,0,IF(MAX($F9:WLY9)=$D12,0,WLY9+1))</f>
        <v>0</v>
      </c>
      <c r="WMA9" s="26">
        <f>IF(WMA7=0,0,IF(MAX($F9:WLZ9)=$D12,0,WLZ9+1))</f>
        <v>0</v>
      </c>
      <c r="WMB9" s="26">
        <f>IF(WMB7=0,0,IF(MAX($F9:WMA9)=$D12,0,WMA9+1))</f>
        <v>0</v>
      </c>
      <c r="WMC9" s="26">
        <f>IF(WMC7=0,0,IF(MAX($F9:WMB9)=$D12,0,WMB9+1))</f>
        <v>0</v>
      </c>
      <c r="WMD9" s="26">
        <f>IF(WMD7=0,0,IF(MAX($F9:WMC9)=$D12,0,WMC9+1))</f>
        <v>0</v>
      </c>
      <c r="WME9" s="26">
        <f>IF(WME7=0,0,IF(MAX($F9:WMD9)=$D12,0,WMD9+1))</f>
        <v>0</v>
      </c>
      <c r="WMF9" s="26">
        <f>IF(WMF7=0,0,IF(MAX($F9:WME9)=$D12,0,WME9+1))</f>
        <v>0</v>
      </c>
      <c r="WMG9" s="26">
        <f>IF(WMG7=0,0,IF(MAX($F9:WMF9)=$D12,0,WMF9+1))</f>
        <v>0</v>
      </c>
      <c r="WMH9" s="26">
        <f>IF(WMH7=0,0,IF(MAX($F9:WMG9)=$D12,0,WMG9+1))</f>
        <v>0</v>
      </c>
      <c r="WMI9" s="26">
        <f>IF(WMI7=0,0,IF(MAX($F9:WMH9)=$D12,0,WMH9+1))</f>
        <v>0</v>
      </c>
      <c r="WMJ9" s="26">
        <f>IF(WMJ7=0,0,IF(MAX($F9:WMI9)=$D12,0,WMI9+1))</f>
        <v>0</v>
      </c>
      <c r="WMK9" s="26">
        <f>IF(WMK7=0,0,IF(MAX($F9:WMJ9)=$D12,0,WMJ9+1))</f>
        <v>0</v>
      </c>
      <c r="WML9" s="26">
        <f>IF(WML7=0,0,IF(MAX($F9:WMK9)=$D12,0,WMK9+1))</f>
        <v>0</v>
      </c>
      <c r="WMM9" s="26">
        <f>IF(WMM7=0,0,IF(MAX($F9:WML9)=$D12,0,WML9+1))</f>
        <v>0</v>
      </c>
      <c r="WMN9" s="26">
        <f>IF(WMN7=0,0,IF(MAX($F9:WMM9)=$D12,0,WMM9+1))</f>
        <v>0</v>
      </c>
      <c r="WMO9" s="26">
        <f>IF(WMO7=0,0,IF(MAX($F9:WMN9)=$D12,0,WMN9+1))</f>
        <v>0</v>
      </c>
      <c r="WMP9" s="26">
        <f>IF(WMP7=0,0,IF(MAX($F9:WMO9)=$D12,0,WMO9+1))</f>
        <v>0</v>
      </c>
      <c r="WMQ9" s="26">
        <f>IF(WMQ7=0,0,IF(MAX($F9:WMP9)=$D12,0,WMP9+1))</f>
        <v>0</v>
      </c>
      <c r="WMR9" s="26">
        <f>IF(WMR7=0,0,IF(MAX($F9:WMQ9)=$D12,0,WMQ9+1))</f>
        <v>0</v>
      </c>
      <c r="WMS9" s="26">
        <f>IF(WMS7=0,0,IF(MAX($F9:WMR9)=$D12,0,WMR9+1))</f>
        <v>0</v>
      </c>
      <c r="WMT9" s="26">
        <f>IF(WMT7=0,0,IF(MAX($F9:WMS9)=$D12,0,WMS9+1))</f>
        <v>0</v>
      </c>
      <c r="WMU9" s="26">
        <f>IF(WMU7=0,0,IF(MAX($F9:WMT9)=$D12,0,WMT9+1))</f>
        <v>0</v>
      </c>
      <c r="WMV9" s="26">
        <f>IF(WMV7=0,0,IF(MAX($F9:WMU9)=$D12,0,WMU9+1))</f>
        <v>0</v>
      </c>
      <c r="WMW9" s="26">
        <f>IF(WMW7=0,0,IF(MAX($F9:WMV9)=$D12,0,WMV9+1))</f>
        <v>0</v>
      </c>
      <c r="WMX9" s="26">
        <f>IF(WMX7=0,0,IF(MAX($F9:WMW9)=$D12,0,WMW9+1))</f>
        <v>0</v>
      </c>
      <c r="WMY9" s="26">
        <f>IF(WMY7=0,0,IF(MAX($F9:WMX9)=$D12,0,WMX9+1))</f>
        <v>0</v>
      </c>
      <c r="WMZ9" s="26">
        <f>IF(WMZ7=0,0,IF(MAX($F9:WMY9)=$D12,0,WMY9+1))</f>
        <v>0</v>
      </c>
      <c r="WNA9" s="26">
        <f>IF(WNA7=0,0,IF(MAX($F9:WMZ9)=$D12,0,WMZ9+1))</f>
        <v>0</v>
      </c>
      <c r="WNB9" s="26">
        <f>IF(WNB7=0,0,IF(MAX($F9:WNA9)=$D12,0,WNA9+1))</f>
        <v>0</v>
      </c>
      <c r="WNC9" s="26">
        <f>IF(WNC7=0,0,IF(MAX($F9:WNB9)=$D12,0,WNB9+1))</f>
        <v>0</v>
      </c>
      <c r="WND9" s="26">
        <f>IF(WND7=0,0,IF(MAX($F9:WNC9)=$D12,0,WNC9+1))</f>
        <v>0</v>
      </c>
      <c r="WNE9" s="26">
        <f>IF(WNE7=0,0,IF(MAX($F9:WND9)=$D12,0,WND9+1))</f>
        <v>0</v>
      </c>
      <c r="WNF9" s="26">
        <f>IF(WNF7=0,0,IF(MAX($F9:WNE9)=$D12,0,WNE9+1))</f>
        <v>0</v>
      </c>
      <c r="WNG9" s="26">
        <f>IF(WNG7=0,0,IF(MAX($F9:WNF9)=$D12,0,WNF9+1))</f>
        <v>0</v>
      </c>
      <c r="WNH9" s="26">
        <f>IF(WNH7=0,0,IF(MAX($F9:WNG9)=$D12,0,WNG9+1))</f>
        <v>0</v>
      </c>
      <c r="WNI9" s="26">
        <f>IF(WNI7=0,0,IF(MAX($F9:WNH9)=$D12,0,WNH9+1))</f>
        <v>0</v>
      </c>
      <c r="WNJ9" s="26">
        <f>IF(WNJ7=0,0,IF(MAX($F9:WNI9)=$D12,0,WNI9+1))</f>
        <v>0</v>
      </c>
      <c r="WNK9" s="26">
        <f>IF(WNK7=0,0,IF(MAX($F9:WNJ9)=$D12,0,WNJ9+1))</f>
        <v>0</v>
      </c>
      <c r="WNL9" s="26">
        <f>IF(WNL7=0,0,IF(MAX($F9:WNK9)=$D12,0,WNK9+1))</f>
        <v>0</v>
      </c>
      <c r="WNM9" s="26">
        <f>IF(WNM7=0,0,IF(MAX($F9:WNL9)=$D12,0,WNL9+1))</f>
        <v>0</v>
      </c>
      <c r="WNN9" s="26">
        <f>IF(WNN7=0,0,IF(MAX($F9:WNM9)=$D12,0,WNM9+1))</f>
        <v>0</v>
      </c>
      <c r="WNO9" s="26">
        <f>IF(WNO7=0,0,IF(MAX($F9:WNN9)=$D12,0,WNN9+1))</f>
        <v>0</v>
      </c>
      <c r="WNP9" s="26">
        <f>IF(WNP7=0,0,IF(MAX($F9:WNO9)=$D12,0,WNO9+1))</f>
        <v>0</v>
      </c>
      <c r="WNQ9" s="26">
        <f>IF(WNQ7=0,0,IF(MAX($F9:WNP9)=$D12,0,WNP9+1))</f>
        <v>0</v>
      </c>
      <c r="WNR9" s="26">
        <f>IF(WNR7=0,0,IF(MAX($F9:WNQ9)=$D12,0,WNQ9+1))</f>
        <v>0</v>
      </c>
      <c r="WNS9" s="26">
        <f>IF(WNS7=0,0,IF(MAX($F9:WNR9)=$D12,0,WNR9+1))</f>
        <v>0</v>
      </c>
      <c r="WNT9" s="26">
        <f>IF(WNT7=0,0,IF(MAX($F9:WNS9)=$D12,0,WNS9+1))</f>
        <v>0</v>
      </c>
      <c r="WNU9" s="26">
        <f>IF(WNU7=0,0,IF(MAX($F9:WNT9)=$D12,0,WNT9+1))</f>
        <v>0</v>
      </c>
      <c r="WNV9" s="26">
        <f>IF(WNV7=0,0,IF(MAX($F9:WNU9)=$D12,0,WNU9+1))</f>
        <v>0</v>
      </c>
      <c r="WNW9" s="26">
        <f>IF(WNW7=0,0,IF(MAX($F9:WNV9)=$D12,0,WNV9+1))</f>
        <v>0</v>
      </c>
      <c r="WNX9" s="26">
        <f>IF(WNX7=0,0,IF(MAX($F9:WNW9)=$D12,0,WNW9+1))</f>
        <v>0</v>
      </c>
      <c r="WNY9" s="26">
        <f>IF(WNY7=0,0,IF(MAX($F9:WNX9)=$D12,0,WNX9+1))</f>
        <v>0</v>
      </c>
      <c r="WNZ9" s="26">
        <f>IF(WNZ7=0,0,IF(MAX($F9:WNY9)=$D12,0,WNY9+1))</f>
        <v>0</v>
      </c>
      <c r="WOA9" s="26">
        <f>IF(WOA7=0,0,IF(MAX($F9:WNZ9)=$D12,0,WNZ9+1))</f>
        <v>0</v>
      </c>
      <c r="WOB9" s="26">
        <f>IF(WOB7=0,0,IF(MAX($F9:WOA9)=$D12,0,WOA9+1))</f>
        <v>0</v>
      </c>
      <c r="WOC9" s="26">
        <f>IF(WOC7=0,0,IF(MAX($F9:WOB9)=$D12,0,WOB9+1))</f>
        <v>0</v>
      </c>
      <c r="WOD9" s="26">
        <f>IF(WOD7=0,0,IF(MAX($F9:WOC9)=$D12,0,WOC9+1))</f>
        <v>0</v>
      </c>
      <c r="WOE9" s="26">
        <f>IF(WOE7=0,0,IF(MAX($F9:WOD9)=$D12,0,WOD9+1))</f>
        <v>0</v>
      </c>
      <c r="WOF9" s="26">
        <f>IF(WOF7=0,0,IF(MAX($F9:WOE9)=$D12,0,WOE9+1))</f>
        <v>0</v>
      </c>
      <c r="WOG9" s="26">
        <f>IF(WOG7=0,0,IF(MAX($F9:WOF9)=$D12,0,WOF9+1))</f>
        <v>0</v>
      </c>
      <c r="WOH9" s="26">
        <f>IF(WOH7=0,0,IF(MAX($F9:WOG9)=$D12,0,WOG9+1))</f>
        <v>0</v>
      </c>
      <c r="WOI9" s="26">
        <f>IF(WOI7=0,0,IF(MAX($F9:WOH9)=$D12,0,WOH9+1))</f>
        <v>0</v>
      </c>
      <c r="WOJ9" s="26">
        <f>IF(WOJ7=0,0,IF(MAX($F9:WOI9)=$D12,0,WOI9+1))</f>
        <v>0</v>
      </c>
      <c r="WOK9" s="26">
        <f>IF(WOK7=0,0,IF(MAX($F9:WOJ9)=$D12,0,WOJ9+1))</f>
        <v>0</v>
      </c>
      <c r="WOL9" s="26">
        <f>IF(WOL7=0,0,IF(MAX($F9:WOK9)=$D12,0,WOK9+1))</f>
        <v>0</v>
      </c>
      <c r="WOM9" s="26">
        <f>IF(WOM7=0,0,IF(MAX($F9:WOL9)=$D12,0,WOL9+1))</f>
        <v>0</v>
      </c>
      <c r="WON9" s="26">
        <f>IF(WON7=0,0,IF(MAX($F9:WOM9)=$D12,0,WOM9+1))</f>
        <v>0</v>
      </c>
      <c r="WOO9" s="26">
        <f>IF(WOO7=0,0,IF(MAX($F9:WON9)=$D12,0,WON9+1))</f>
        <v>0</v>
      </c>
      <c r="WOP9" s="26">
        <f>IF(WOP7=0,0,IF(MAX($F9:WOO9)=$D12,0,WOO9+1))</f>
        <v>0</v>
      </c>
      <c r="WOQ9" s="26">
        <f>IF(WOQ7=0,0,IF(MAX($F9:WOP9)=$D12,0,WOP9+1))</f>
        <v>0</v>
      </c>
      <c r="WOR9" s="26">
        <f>IF(WOR7=0,0,IF(MAX($F9:WOQ9)=$D12,0,WOQ9+1))</f>
        <v>0</v>
      </c>
      <c r="WOS9" s="26">
        <f>IF(WOS7=0,0,IF(MAX($F9:WOR9)=$D12,0,WOR9+1))</f>
        <v>0</v>
      </c>
      <c r="WOT9" s="26">
        <f>IF(WOT7=0,0,IF(MAX($F9:WOS9)=$D12,0,WOS9+1))</f>
        <v>0</v>
      </c>
      <c r="WOU9" s="26">
        <f>IF(WOU7=0,0,IF(MAX($F9:WOT9)=$D12,0,WOT9+1))</f>
        <v>0</v>
      </c>
      <c r="WOV9" s="26">
        <f>IF(WOV7=0,0,IF(MAX($F9:WOU9)=$D12,0,WOU9+1))</f>
        <v>0</v>
      </c>
      <c r="WOW9" s="26">
        <f>IF(WOW7=0,0,IF(MAX($F9:WOV9)=$D12,0,WOV9+1))</f>
        <v>0</v>
      </c>
      <c r="WOX9" s="26">
        <f>IF(WOX7=0,0,IF(MAX($F9:WOW9)=$D12,0,WOW9+1))</f>
        <v>0</v>
      </c>
      <c r="WOY9" s="26">
        <f>IF(WOY7=0,0,IF(MAX($F9:WOX9)=$D12,0,WOX9+1))</f>
        <v>0</v>
      </c>
      <c r="WOZ9" s="26">
        <f>IF(WOZ7=0,0,IF(MAX($F9:WOY9)=$D12,0,WOY9+1))</f>
        <v>0</v>
      </c>
      <c r="WPA9" s="26">
        <f>IF(WPA7=0,0,IF(MAX($F9:WOZ9)=$D12,0,WOZ9+1))</f>
        <v>0</v>
      </c>
      <c r="WPB9" s="26">
        <f>IF(WPB7=0,0,IF(MAX($F9:WPA9)=$D12,0,WPA9+1))</f>
        <v>0</v>
      </c>
      <c r="WPC9" s="26">
        <f>IF(WPC7=0,0,IF(MAX($F9:WPB9)=$D12,0,WPB9+1))</f>
        <v>0</v>
      </c>
      <c r="WPD9" s="26">
        <f>IF(WPD7=0,0,IF(MAX($F9:WPC9)=$D12,0,WPC9+1))</f>
        <v>0</v>
      </c>
      <c r="WPE9" s="26">
        <f>IF(WPE7=0,0,IF(MAX($F9:WPD9)=$D12,0,WPD9+1))</f>
        <v>0</v>
      </c>
      <c r="WPF9" s="26">
        <f>IF(WPF7=0,0,IF(MAX($F9:WPE9)=$D12,0,WPE9+1))</f>
        <v>0</v>
      </c>
      <c r="WPG9" s="26">
        <f>IF(WPG7=0,0,IF(MAX($F9:WPF9)=$D12,0,WPF9+1))</f>
        <v>0</v>
      </c>
      <c r="WPH9" s="26">
        <f>IF(WPH7=0,0,IF(MAX($F9:WPG9)=$D12,0,WPG9+1))</f>
        <v>0</v>
      </c>
      <c r="WPI9" s="26">
        <f>IF(WPI7=0,0,IF(MAX($F9:WPH9)=$D12,0,WPH9+1))</f>
        <v>0</v>
      </c>
      <c r="WPJ9" s="26">
        <f>IF(WPJ7=0,0,IF(MAX($F9:WPI9)=$D12,0,WPI9+1))</f>
        <v>0</v>
      </c>
      <c r="WPK9" s="26">
        <f>IF(WPK7=0,0,IF(MAX($F9:WPJ9)=$D12,0,WPJ9+1))</f>
        <v>0</v>
      </c>
      <c r="WPL9" s="26">
        <f>IF(WPL7=0,0,IF(MAX($F9:WPK9)=$D12,0,WPK9+1))</f>
        <v>0</v>
      </c>
      <c r="WPM9" s="26">
        <f>IF(WPM7=0,0,IF(MAX($F9:WPL9)=$D12,0,WPL9+1))</f>
        <v>0</v>
      </c>
      <c r="WPN9" s="26">
        <f>IF(WPN7=0,0,IF(MAX($F9:WPM9)=$D12,0,WPM9+1))</f>
        <v>0</v>
      </c>
      <c r="WPO9" s="26">
        <f>IF(WPO7=0,0,IF(MAX($F9:WPN9)=$D12,0,WPN9+1))</f>
        <v>0</v>
      </c>
      <c r="WPP9" s="26">
        <f>IF(WPP7=0,0,IF(MAX($F9:WPO9)=$D12,0,WPO9+1))</f>
        <v>0</v>
      </c>
      <c r="WPQ9" s="26">
        <f>IF(WPQ7=0,0,IF(MAX($F9:WPP9)=$D12,0,WPP9+1))</f>
        <v>0</v>
      </c>
      <c r="WPR9" s="26">
        <f>IF(WPR7=0,0,IF(MAX($F9:WPQ9)=$D12,0,WPQ9+1))</f>
        <v>0</v>
      </c>
      <c r="WPS9" s="26">
        <f>IF(WPS7=0,0,IF(MAX($F9:WPR9)=$D12,0,WPR9+1))</f>
        <v>0</v>
      </c>
      <c r="WPT9" s="26">
        <f>IF(WPT7=0,0,IF(MAX($F9:WPS9)=$D12,0,WPS9+1))</f>
        <v>0</v>
      </c>
      <c r="WPU9" s="26">
        <f>IF(WPU7=0,0,IF(MAX($F9:WPT9)=$D12,0,WPT9+1))</f>
        <v>0</v>
      </c>
      <c r="WPV9" s="26">
        <f>IF(WPV7=0,0,IF(MAX($F9:WPU9)=$D12,0,WPU9+1))</f>
        <v>0</v>
      </c>
      <c r="WPW9" s="26">
        <f>IF(WPW7=0,0,IF(MAX($F9:WPV9)=$D12,0,WPV9+1))</f>
        <v>0</v>
      </c>
      <c r="WPX9" s="26">
        <f>IF(WPX7=0,0,IF(MAX($F9:WPW9)=$D12,0,WPW9+1))</f>
        <v>0</v>
      </c>
      <c r="WPY9" s="26">
        <f>IF(WPY7=0,0,IF(MAX($F9:WPX9)=$D12,0,WPX9+1))</f>
        <v>0</v>
      </c>
      <c r="WPZ9" s="26">
        <f>IF(WPZ7=0,0,IF(MAX($F9:WPY9)=$D12,0,WPY9+1))</f>
        <v>0</v>
      </c>
      <c r="WQA9" s="26">
        <f>IF(WQA7=0,0,IF(MAX($F9:WPZ9)=$D12,0,WPZ9+1))</f>
        <v>0</v>
      </c>
      <c r="WQB9" s="26">
        <f>IF(WQB7=0,0,IF(MAX($F9:WQA9)=$D12,0,WQA9+1))</f>
        <v>0</v>
      </c>
      <c r="WQC9" s="26">
        <f>IF(WQC7=0,0,IF(MAX($F9:WQB9)=$D12,0,WQB9+1))</f>
        <v>0</v>
      </c>
      <c r="WQD9" s="26">
        <f>IF(WQD7=0,0,IF(MAX($F9:WQC9)=$D12,0,WQC9+1))</f>
        <v>0</v>
      </c>
      <c r="WQE9" s="26">
        <f>IF(WQE7=0,0,IF(MAX($F9:WQD9)=$D12,0,WQD9+1))</f>
        <v>0</v>
      </c>
      <c r="WQF9" s="26">
        <f>IF(WQF7=0,0,IF(MAX($F9:WQE9)=$D12,0,WQE9+1))</f>
        <v>0</v>
      </c>
      <c r="WQG9" s="26">
        <f>IF(WQG7=0,0,IF(MAX($F9:WQF9)=$D12,0,WQF9+1))</f>
        <v>0</v>
      </c>
      <c r="WQH9" s="26">
        <f>IF(WQH7=0,0,IF(MAX($F9:WQG9)=$D12,0,WQG9+1))</f>
        <v>0</v>
      </c>
      <c r="WQI9" s="26">
        <f>IF(WQI7=0,0,IF(MAX($F9:WQH9)=$D12,0,WQH9+1))</f>
        <v>0</v>
      </c>
      <c r="WQJ9" s="26">
        <f>IF(WQJ7=0,0,IF(MAX($F9:WQI9)=$D12,0,WQI9+1))</f>
        <v>0</v>
      </c>
      <c r="WQK9" s="26">
        <f>IF(WQK7=0,0,IF(MAX($F9:WQJ9)=$D12,0,WQJ9+1))</f>
        <v>0</v>
      </c>
      <c r="WQL9" s="26">
        <f>IF(WQL7=0,0,IF(MAX($F9:WQK9)=$D12,0,WQK9+1))</f>
        <v>0</v>
      </c>
      <c r="WQM9" s="26">
        <f>IF(WQM7=0,0,IF(MAX($F9:WQL9)=$D12,0,WQL9+1))</f>
        <v>0</v>
      </c>
      <c r="WQN9" s="26">
        <f>IF(WQN7=0,0,IF(MAX($F9:WQM9)=$D12,0,WQM9+1))</f>
        <v>0</v>
      </c>
      <c r="WQO9" s="26">
        <f>IF(WQO7=0,0,IF(MAX($F9:WQN9)=$D12,0,WQN9+1))</f>
        <v>0</v>
      </c>
      <c r="WQP9" s="26">
        <f>IF(WQP7=0,0,IF(MAX($F9:WQO9)=$D12,0,WQO9+1))</f>
        <v>0</v>
      </c>
      <c r="WQQ9" s="26">
        <f>IF(WQQ7=0,0,IF(MAX($F9:WQP9)=$D12,0,WQP9+1))</f>
        <v>0</v>
      </c>
      <c r="WQR9" s="26">
        <f>IF(WQR7=0,0,IF(MAX($F9:WQQ9)=$D12,0,WQQ9+1))</f>
        <v>0</v>
      </c>
      <c r="WQS9" s="26">
        <f>IF(WQS7=0,0,IF(MAX($F9:WQR9)=$D12,0,WQR9+1))</f>
        <v>0</v>
      </c>
      <c r="WQT9" s="26">
        <f>IF(WQT7=0,0,IF(MAX($F9:WQS9)=$D12,0,WQS9+1))</f>
        <v>0</v>
      </c>
      <c r="WQU9" s="26">
        <f>IF(WQU7=0,0,IF(MAX($F9:WQT9)=$D12,0,WQT9+1))</f>
        <v>0</v>
      </c>
      <c r="WQV9" s="26">
        <f>IF(WQV7=0,0,IF(MAX($F9:WQU9)=$D12,0,WQU9+1))</f>
        <v>0</v>
      </c>
      <c r="WQW9" s="26">
        <f>IF(WQW7=0,0,IF(MAX($F9:WQV9)=$D12,0,WQV9+1))</f>
        <v>0</v>
      </c>
      <c r="WQX9" s="26">
        <f>IF(WQX7=0,0,IF(MAX($F9:WQW9)=$D12,0,WQW9+1))</f>
        <v>0</v>
      </c>
      <c r="WQY9" s="26">
        <f>IF(WQY7=0,0,IF(MAX($F9:WQX9)=$D12,0,WQX9+1))</f>
        <v>0</v>
      </c>
      <c r="WQZ9" s="26">
        <f>IF(WQZ7=0,0,IF(MAX($F9:WQY9)=$D12,0,WQY9+1))</f>
        <v>0</v>
      </c>
      <c r="WRA9" s="26">
        <f>IF(WRA7=0,0,IF(MAX($F9:WQZ9)=$D12,0,WQZ9+1))</f>
        <v>0</v>
      </c>
      <c r="WRB9" s="26">
        <f>IF(WRB7=0,0,IF(MAX($F9:WRA9)=$D12,0,WRA9+1))</f>
        <v>0</v>
      </c>
      <c r="WRC9" s="26">
        <f>IF(WRC7=0,0,IF(MAX($F9:WRB9)=$D12,0,WRB9+1))</f>
        <v>0</v>
      </c>
      <c r="WRD9" s="26">
        <f>IF(WRD7=0,0,IF(MAX($F9:WRC9)=$D12,0,WRC9+1))</f>
        <v>0</v>
      </c>
      <c r="WRE9" s="26">
        <f>IF(WRE7=0,0,IF(MAX($F9:WRD9)=$D12,0,WRD9+1))</f>
        <v>0</v>
      </c>
      <c r="WRF9" s="26">
        <f>IF(WRF7=0,0,IF(MAX($F9:WRE9)=$D12,0,WRE9+1))</f>
        <v>0</v>
      </c>
      <c r="WRG9" s="26">
        <f>IF(WRG7=0,0,IF(MAX($F9:WRF9)=$D12,0,WRF9+1))</f>
        <v>0</v>
      </c>
      <c r="WRH9" s="26">
        <f>IF(WRH7=0,0,IF(MAX($F9:WRG9)=$D12,0,WRG9+1))</f>
        <v>0</v>
      </c>
      <c r="WRI9" s="26">
        <f>IF(WRI7=0,0,IF(MAX($F9:WRH9)=$D12,0,WRH9+1))</f>
        <v>0</v>
      </c>
      <c r="WRJ9" s="26">
        <f>IF(WRJ7=0,0,IF(MAX($F9:WRI9)=$D12,0,WRI9+1))</f>
        <v>0</v>
      </c>
      <c r="WRK9" s="26">
        <f>IF(WRK7=0,0,IF(MAX($F9:WRJ9)=$D12,0,WRJ9+1))</f>
        <v>0</v>
      </c>
      <c r="WRL9" s="26">
        <f>IF(WRL7=0,0,IF(MAX($F9:WRK9)=$D12,0,WRK9+1))</f>
        <v>0</v>
      </c>
      <c r="WRM9" s="26">
        <f>IF(WRM7=0,0,IF(MAX($F9:WRL9)=$D12,0,WRL9+1))</f>
        <v>0</v>
      </c>
      <c r="WRN9" s="26">
        <f>IF(WRN7=0,0,IF(MAX($F9:WRM9)=$D12,0,WRM9+1))</f>
        <v>0</v>
      </c>
      <c r="WRO9" s="26">
        <f>IF(WRO7=0,0,IF(MAX($F9:WRN9)=$D12,0,WRN9+1))</f>
        <v>0</v>
      </c>
      <c r="WRP9" s="26">
        <f>IF(WRP7=0,0,IF(MAX($F9:WRO9)=$D12,0,WRO9+1))</f>
        <v>0</v>
      </c>
      <c r="WRQ9" s="26">
        <f>IF(WRQ7=0,0,IF(MAX($F9:WRP9)=$D12,0,WRP9+1))</f>
        <v>0</v>
      </c>
      <c r="WRR9" s="26">
        <f>IF(WRR7=0,0,IF(MAX($F9:WRQ9)=$D12,0,WRQ9+1))</f>
        <v>0</v>
      </c>
      <c r="WRS9" s="26">
        <f>IF(WRS7=0,0,IF(MAX($F9:WRR9)=$D12,0,WRR9+1))</f>
        <v>0</v>
      </c>
      <c r="WRT9" s="26">
        <f>IF(WRT7=0,0,IF(MAX($F9:WRS9)=$D12,0,WRS9+1))</f>
        <v>0</v>
      </c>
      <c r="WRU9" s="26">
        <f>IF(WRU7=0,0,IF(MAX($F9:WRT9)=$D12,0,WRT9+1))</f>
        <v>0</v>
      </c>
      <c r="WRV9" s="26">
        <f>IF(WRV7=0,0,IF(MAX($F9:WRU9)=$D12,0,WRU9+1))</f>
        <v>0</v>
      </c>
      <c r="WRW9" s="26">
        <f>IF(WRW7=0,0,IF(MAX($F9:WRV9)=$D12,0,WRV9+1))</f>
        <v>0</v>
      </c>
      <c r="WRX9" s="26">
        <f>IF(WRX7=0,0,IF(MAX($F9:WRW9)=$D12,0,WRW9+1))</f>
        <v>0</v>
      </c>
      <c r="WRY9" s="26">
        <f>IF(WRY7=0,0,IF(MAX($F9:WRX9)=$D12,0,WRX9+1))</f>
        <v>0</v>
      </c>
      <c r="WRZ9" s="26">
        <f>IF(WRZ7=0,0,IF(MAX($F9:WRY9)=$D12,0,WRY9+1))</f>
        <v>0</v>
      </c>
      <c r="WSA9" s="26">
        <f>IF(WSA7=0,0,IF(MAX($F9:WRZ9)=$D12,0,WRZ9+1))</f>
        <v>0</v>
      </c>
      <c r="WSB9" s="26">
        <f>IF(WSB7=0,0,IF(MAX($F9:WSA9)=$D12,0,WSA9+1))</f>
        <v>0</v>
      </c>
      <c r="WSC9" s="26">
        <f>IF(WSC7=0,0,IF(MAX($F9:WSB9)=$D12,0,WSB9+1))</f>
        <v>0</v>
      </c>
      <c r="WSD9" s="26">
        <f>IF(WSD7=0,0,IF(MAX($F9:WSC9)=$D12,0,WSC9+1))</f>
        <v>0</v>
      </c>
      <c r="WSE9" s="26">
        <f>IF(WSE7=0,0,IF(MAX($F9:WSD9)=$D12,0,WSD9+1))</f>
        <v>0</v>
      </c>
      <c r="WSF9" s="26">
        <f>IF(WSF7=0,0,IF(MAX($F9:WSE9)=$D12,0,WSE9+1))</f>
        <v>0</v>
      </c>
      <c r="WSG9" s="26">
        <f>IF(WSG7=0,0,IF(MAX($F9:WSF9)=$D12,0,WSF9+1))</f>
        <v>0</v>
      </c>
      <c r="WSH9" s="26">
        <f>IF(WSH7=0,0,IF(MAX($F9:WSG9)=$D12,0,WSG9+1))</f>
        <v>0</v>
      </c>
      <c r="WSI9" s="26">
        <f>IF(WSI7=0,0,IF(MAX($F9:WSH9)=$D12,0,WSH9+1))</f>
        <v>0</v>
      </c>
      <c r="WSJ9" s="26">
        <f>IF(WSJ7=0,0,IF(MAX($F9:WSI9)=$D12,0,WSI9+1))</f>
        <v>0</v>
      </c>
      <c r="WSK9" s="26">
        <f>IF(WSK7=0,0,IF(MAX($F9:WSJ9)=$D12,0,WSJ9+1))</f>
        <v>0</v>
      </c>
      <c r="WSL9" s="26">
        <f>IF(WSL7=0,0,IF(MAX($F9:WSK9)=$D12,0,WSK9+1))</f>
        <v>0</v>
      </c>
      <c r="WSM9" s="26">
        <f>IF(WSM7=0,0,IF(MAX($F9:WSL9)=$D12,0,WSL9+1))</f>
        <v>0</v>
      </c>
      <c r="WSN9" s="26">
        <f>IF(WSN7=0,0,IF(MAX($F9:WSM9)=$D12,0,WSM9+1))</f>
        <v>0</v>
      </c>
      <c r="WSO9" s="26">
        <f>IF(WSO7=0,0,IF(MAX($F9:WSN9)=$D12,0,WSN9+1))</f>
        <v>0</v>
      </c>
      <c r="WSP9" s="26">
        <f>IF(WSP7=0,0,IF(MAX($F9:WSO9)=$D12,0,WSO9+1))</f>
        <v>0</v>
      </c>
      <c r="WSQ9" s="26">
        <f>IF(WSQ7=0,0,IF(MAX($F9:WSP9)=$D12,0,WSP9+1))</f>
        <v>0</v>
      </c>
      <c r="WSR9" s="26">
        <f>IF(WSR7=0,0,IF(MAX($F9:WSQ9)=$D12,0,WSQ9+1))</f>
        <v>0</v>
      </c>
      <c r="WSS9" s="26">
        <f>IF(WSS7=0,0,IF(MAX($F9:WSR9)=$D12,0,WSR9+1))</f>
        <v>0</v>
      </c>
      <c r="WST9" s="26">
        <f>IF(WST7=0,0,IF(MAX($F9:WSS9)=$D12,0,WSS9+1))</f>
        <v>0</v>
      </c>
      <c r="WSU9" s="26">
        <f>IF(WSU7=0,0,IF(MAX($F9:WST9)=$D12,0,WST9+1))</f>
        <v>0</v>
      </c>
      <c r="WSV9" s="26">
        <f>IF(WSV7=0,0,IF(MAX($F9:WSU9)=$D12,0,WSU9+1))</f>
        <v>0</v>
      </c>
      <c r="WSW9" s="26">
        <f>IF(WSW7=0,0,IF(MAX($F9:WSV9)=$D12,0,WSV9+1))</f>
        <v>0</v>
      </c>
      <c r="WSX9" s="26">
        <f>IF(WSX7=0,0,IF(MAX($F9:WSW9)=$D12,0,WSW9+1))</f>
        <v>0</v>
      </c>
      <c r="WSY9" s="26">
        <f>IF(WSY7=0,0,IF(MAX($F9:WSX9)=$D12,0,WSX9+1))</f>
        <v>0</v>
      </c>
      <c r="WSZ9" s="26">
        <f>IF(WSZ7=0,0,IF(MAX($F9:WSY9)=$D12,0,WSY9+1))</f>
        <v>0</v>
      </c>
      <c r="WTA9" s="26">
        <f>IF(WTA7=0,0,IF(MAX($F9:WSZ9)=$D12,0,WSZ9+1))</f>
        <v>0</v>
      </c>
      <c r="WTB9" s="26">
        <f>IF(WTB7=0,0,IF(MAX($F9:WTA9)=$D12,0,WTA9+1))</f>
        <v>0</v>
      </c>
      <c r="WTC9" s="26">
        <f>IF(WTC7=0,0,IF(MAX($F9:WTB9)=$D12,0,WTB9+1))</f>
        <v>0</v>
      </c>
      <c r="WTD9" s="26">
        <f>IF(WTD7=0,0,IF(MAX($F9:WTC9)=$D12,0,WTC9+1))</f>
        <v>0</v>
      </c>
      <c r="WTE9" s="26">
        <f>IF(WTE7=0,0,IF(MAX($F9:WTD9)=$D12,0,WTD9+1))</f>
        <v>0</v>
      </c>
      <c r="WTF9" s="26">
        <f>IF(WTF7=0,0,IF(MAX($F9:WTE9)=$D12,0,WTE9+1))</f>
        <v>0</v>
      </c>
      <c r="WTG9" s="26">
        <f>IF(WTG7=0,0,IF(MAX($F9:WTF9)=$D12,0,WTF9+1))</f>
        <v>0</v>
      </c>
      <c r="WTH9" s="26">
        <f>IF(WTH7=0,0,IF(MAX($F9:WTG9)=$D12,0,WTG9+1))</f>
        <v>0</v>
      </c>
      <c r="WTI9" s="26">
        <f>IF(WTI7=0,0,IF(MAX($F9:WTH9)=$D12,0,WTH9+1))</f>
        <v>0</v>
      </c>
      <c r="WTJ9" s="26">
        <f>IF(WTJ7=0,0,IF(MAX($F9:WTI9)=$D12,0,WTI9+1))</f>
        <v>0</v>
      </c>
      <c r="WTK9" s="26">
        <f>IF(WTK7=0,0,IF(MAX($F9:WTJ9)=$D12,0,WTJ9+1))</f>
        <v>0</v>
      </c>
      <c r="WTL9" s="26">
        <f>IF(WTL7=0,0,IF(MAX($F9:WTK9)=$D12,0,WTK9+1))</f>
        <v>0</v>
      </c>
      <c r="WTM9" s="26">
        <f>IF(WTM7=0,0,IF(MAX($F9:WTL9)=$D12,0,WTL9+1))</f>
        <v>0</v>
      </c>
      <c r="WTN9" s="26">
        <f>IF(WTN7=0,0,IF(MAX($F9:WTM9)=$D12,0,WTM9+1))</f>
        <v>0</v>
      </c>
      <c r="WTO9" s="26">
        <f>IF(WTO7=0,0,IF(MAX($F9:WTN9)=$D12,0,WTN9+1))</f>
        <v>0</v>
      </c>
      <c r="WTP9" s="26">
        <f>IF(WTP7=0,0,IF(MAX($F9:WTO9)=$D12,0,WTO9+1))</f>
        <v>0</v>
      </c>
      <c r="WTQ9" s="26">
        <f>IF(WTQ7=0,0,IF(MAX($F9:WTP9)=$D12,0,WTP9+1))</f>
        <v>0</v>
      </c>
      <c r="WTR9" s="26">
        <f>IF(WTR7=0,0,IF(MAX($F9:WTQ9)=$D12,0,WTQ9+1))</f>
        <v>0</v>
      </c>
      <c r="WTS9" s="26">
        <f>IF(WTS7=0,0,IF(MAX($F9:WTR9)=$D12,0,WTR9+1))</f>
        <v>0</v>
      </c>
      <c r="WTT9" s="26">
        <f>IF(WTT7=0,0,IF(MAX($F9:WTS9)=$D12,0,WTS9+1))</f>
        <v>0</v>
      </c>
      <c r="WTU9" s="26">
        <f>IF(WTU7=0,0,IF(MAX($F9:WTT9)=$D12,0,WTT9+1))</f>
        <v>0</v>
      </c>
      <c r="WTV9" s="26">
        <f>IF(WTV7=0,0,IF(MAX($F9:WTU9)=$D12,0,WTU9+1))</f>
        <v>0</v>
      </c>
      <c r="WTW9" s="26">
        <f>IF(WTW7=0,0,IF(MAX($F9:WTV9)=$D12,0,WTV9+1))</f>
        <v>0</v>
      </c>
      <c r="WTX9" s="26">
        <f>IF(WTX7=0,0,IF(MAX($F9:WTW9)=$D12,0,WTW9+1))</f>
        <v>0</v>
      </c>
      <c r="WTY9" s="26">
        <f>IF(WTY7=0,0,IF(MAX($F9:WTX9)=$D12,0,WTX9+1))</f>
        <v>0</v>
      </c>
      <c r="WTZ9" s="26">
        <f>IF(WTZ7=0,0,IF(MAX($F9:WTY9)=$D12,0,WTY9+1))</f>
        <v>0</v>
      </c>
      <c r="WUA9" s="26">
        <f>IF(WUA7=0,0,IF(MAX($F9:WTZ9)=$D12,0,WTZ9+1))</f>
        <v>0</v>
      </c>
      <c r="WUB9" s="26">
        <f>IF(WUB7=0,0,IF(MAX($F9:WUA9)=$D12,0,WUA9+1))</f>
        <v>0</v>
      </c>
      <c r="WUC9" s="26">
        <f>IF(WUC7=0,0,IF(MAX($F9:WUB9)=$D12,0,WUB9+1))</f>
        <v>0</v>
      </c>
      <c r="WUD9" s="26">
        <f>IF(WUD7=0,0,IF(MAX($F9:WUC9)=$D12,0,WUC9+1))</f>
        <v>0</v>
      </c>
      <c r="WUE9" s="26">
        <f>IF(WUE7=0,0,IF(MAX($F9:WUD9)=$D12,0,WUD9+1))</f>
        <v>0</v>
      </c>
      <c r="WUF9" s="26">
        <f>IF(WUF7=0,0,IF(MAX($F9:WUE9)=$D12,0,WUE9+1))</f>
        <v>0</v>
      </c>
      <c r="WUG9" s="26">
        <f>IF(WUG7=0,0,IF(MAX($F9:WUF9)=$D12,0,WUF9+1))</f>
        <v>0</v>
      </c>
      <c r="WUH9" s="26">
        <f>IF(WUH7=0,0,IF(MAX($F9:WUG9)=$D12,0,WUG9+1))</f>
        <v>0</v>
      </c>
      <c r="WUI9" s="26">
        <f>IF(WUI7=0,0,IF(MAX($F9:WUH9)=$D12,0,WUH9+1))</f>
        <v>0</v>
      </c>
      <c r="WUJ9" s="26">
        <f>IF(WUJ7=0,0,IF(MAX($F9:WUI9)=$D12,0,WUI9+1))</f>
        <v>0</v>
      </c>
      <c r="WUK9" s="26">
        <f>IF(WUK7=0,0,IF(MAX($F9:WUJ9)=$D12,0,WUJ9+1))</f>
        <v>0</v>
      </c>
      <c r="WUL9" s="26">
        <f>IF(WUL7=0,0,IF(MAX($F9:WUK9)=$D12,0,WUK9+1))</f>
        <v>0</v>
      </c>
      <c r="WUM9" s="26">
        <f>IF(WUM7=0,0,IF(MAX($F9:WUL9)=$D12,0,WUL9+1))</f>
        <v>0</v>
      </c>
      <c r="WUN9" s="26">
        <f>IF(WUN7=0,0,IF(MAX($F9:WUM9)=$D12,0,WUM9+1))</f>
        <v>0</v>
      </c>
      <c r="WUO9" s="26">
        <f>IF(WUO7=0,0,IF(MAX($F9:WUN9)=$D12,0,WUN9+1))</f>
        <v>0</v>
      </c>
      <c r="WUP9" s="26">
        <f>IF(WUP7=0,0,IF(MAX($F9:WUO9)=$D12,0,WUO9+1))</f>
        <v>0</v>
      </c>
      <c r="WUQ9" s="26">
        <f>IF(WUQ7=0,0,IF(MAX($F9:WUP9)=$D12,0,WUP9+1))</f>
        <v>0</v>
      </c>
      <c r="WUR9" s="26">
        <f>IF(WUR7=0,0,IF(MAX($F9:WUQ9)=$D12,0,WUQ9+1))</f>
        <v>0</v>
      </c>
      <c r="WUS9" s="26">
        <f>IF(WUS7=0,0,IF(MAX($F9:WUR9)=$D12,0,WUR9+1))</f>
        <v>0</v>
      </c>
      <c r="WUT9" s="26">
        <f>IF(WUT7=0,0,IF(MAX($F9:WUS9)=$D12,0,WUS9+1))</f>
        <v>0</v>
      </c>
      <c r="WUU9" s="26">
        <f>IF(WUU7=0,0,IF(MAX($F9:WUT9)=$D12,0,WUT9+1))</f>
        <v>0</v>
      </c>
      <c r="WUV9" s="26">
        <f>IF(WUV7=0,0,IF(MAX($F9:WUU9)=$D12,0,WUU9+1))</f>
        <v>0</v>
      </c>
      <c r="WUW9" s="26">
        <f>IF(WUW7=0,0,IF(MAX($F9:WUV9)=$D12,0,WUV9+1))</f>
        <v>0</v>
      </c>
      <c r="WUX9" s="26">
        <f>IF(WUX7=0,0,IF(MAX($F9:WUW9)=$D12,0,WUW9+1))</f>
        <v>0</v>
      </c>
      <c r="WUY9" s="26">
        <f>IF(WUY7=0,0,IF(MAX($F9:WUX9)=$D12,0,WUX9+1))</f>
        <v>0</v>
      </c>
      <c r="WUZ9" s="26">
        <f>IF(WUZ7=0,0,IF(MAX($F9:WUY9)=$D12,0,WUY9+1))</f>
        <v>0</v>
      </c>
      <c r="WVA9" s="26">
        <f>IF(WVA7=0,0,IF(MAX($F9:WUZ9)=$D12,0,WUZ9+1))</f>
        <v>0</v>
      </c>
      <c r="WVB9" s="26">
        <f>IF(WVB7=0,0,IF(MAX($F9:WVA9)=$D12,0,WVA9+1))</f>
        <v>0</v>
      </c>
      <c r="WVC9" s="26">
        <f>IF(WVC7=0,0,IF(MAX($F9:WVB9)=$D12,0,WVB9+1))</f>
        <v>0</v>
      </c>
      <c r="WVD9" s="26">
        <f>IF(WVD7=0,0,IF(MAX($F9:WVC9)=$D12,0,WVC9+1))</f>
        <v>0</v>
      </c>
      <c r="WVE9" s="26">
        <f>IF(WVE7=0,0,IF(MAX($F9:WVD9)=$D12,0,WVD9+1))</f>
        <v>0</v>
      </c>
      <c r="WVF9" s="26">
        <f>IF(WVF7=0,0,IF(MAX($F9:WVE9)=$D12,0,WVE9+1))</f>
        <v>0</v>
      </c>
      <c r="WVG9" s="26">
        <f>IF(WVG7=0,0,IF(MAX($F9:WVF9)=$D12,0,WVF9+1))</f>
        <v>0</v>
      </c>
      <c r="WVH9" s="26">
        <f>IF(WVH7=0,0,IF(MAX($F9:WVG9)=$D12,0,WVG9+1))</f>
        <v>0</v>
      </c>
      <c r="WVI9" s="26">
        <f>IF(WVI7=0,0,IF(MAX($F9:WVH9)=$D12,0,WVH9+1))</f>
        <v>0</v>
      </c>
      <c r="WVJ9" s="26">
        <f>IF(WVJ7=0,0,IF(MAX($F9:WVI9)=$D12,0,WVI9+1))</f>
        <v>0</v>
      </c>
      <c r="WVK9" s="26">
        <f>IF(WVK7=0,0,IF(MAX($F9:WVJ9)=$D12,0,WVJ9+1))</f>
        <v>0</v>
      </c>
      <c r="WVL9" s="26">
        <f>IF(WVL7=0,0,IF(MAX($F9:WVK9)=$D12,0,WVK9+1))</f>
        <v>0</v>
      </c>
      <c r="WVM9" s="26">
        <f>IF(WVM7=0,0,IF(MAX($F9:WVL9)=$D12,0,WVL9+1))</f>
        <v>0</v>
      </c>
      <c r="WVN9" s="26">
        <f>IF(WVN7=0,0,IF(MAX($F9:WVM9)=$D12,0,WVM9+1))</f>
        <v>0</v>
      </c>
      <c r="WVO9" s="26">
        <f>IF(WVO7=0,0,IF(MAX($F9:WVN9)=$D12,0,WVN9+1))</f>
        <v>0</v>
      </c>
      <c r="WVP9" s="26">
        <f>IF(WVP7=0,0,IF(MAX($F9:WVO9)=$D12,0,WVO9+1))</f>
        <v>0</v>
      </c>
      <c r="WVQ9" s="26">
        <f>IF(WVQ7=0,0,IF(MAX($F9:WVP9)=$D12,0,WVP9+1))</f>
        <v>0</v>
      </c>
      <c r="WVR9" s="26">
        <f>IF(WVR7=0,0,IF(MAX($F9:WVQ9)=$D12,0,WVQ9+1))</f>
        <v>0</v>
      </c>
      <c r="WVS9" s="26">
        <f>IF(WVS7=0,0,IF(MAX($F9:WVR9)=$D12,0,WVR9+1))</f>
        <v>0</v>
      </c>
      <c r="WVT9" s="26">
        <f>IF(WVT7=0,0,IF(MAX($F9:WVS9)=$D12,0,WVS9+1))</f>
        <v>0</v>
      </c>
      <c r="WVU9" s="26">
        <f>IF(WVU7=0,0,IF(MAX($F9:WVT9)=$D12,0,WVT9+1))</f>
        <v>0</v>
      </c>
      <c r="WVV9" s="26">
        <f>IF(WVV7=0,0,IF(MAX($F9:WVU9)=$D12,0,WVU9+1))</f>
        <v>0</v>
      </c>
      <c r="WVW9" s="26">
        <f>IF(WVW7=0,0,IF(MAX($F9:WVV9)=$D12,0,WVV9+1))</f>
        <v>0</v>
      </c>
      <c r="WVX9" s="26">
        <f>IF(WVX7=0,0,IF(MAX($F9:WVW9)=$D12,0,WVW9+1))</f>
        <v>0</v>
      </c>
      <c r="WVY9" s="26">
        <f>IF(WVY7=0,0,IF(MAX($F9:WVX9)=$D12,0,WVX9+1))</f>
        <v>0</v>
      </c>
      <c r="WVZ9" s="26">
        <f>IF(WVZ7=0,0,IF(MAX($F9:WVY9)=$D12,0,WVY9+1))</f>
        <v>0</v>
      </c>
      <c r="WWA9" s="26">
        <f>IF(WWA7=0,0,IF(MAX($F9:WVZ9)=$D12,0,WVZ9+1))</f>
        <v>0</v>
      </c>
      <c r="WWB9" s="26">
        <f>IF(WWB7=0,0,IF(MAX($F9:WWA9)=$D12,0,WWA9+1))</f>
        <v>0</v>
      </c>
      <c r="WWC9" s="26">
        <f>IF(WWC7=0,0,IF(MAX($F9:WWB9)=$D12,0,WWB9+1))</f>
        <v>0</v>
      </c>
      <c r="WWD9" s="26">
        <f>IF(WWD7=0,0,IF(MAX($F9:WWC9)=$D12,0,WWC9+1))</f>
        <v>0</v>
      </c>
      <c r="WWE9" s="26">
        <f>IF(WWE7=0,0,IF(MAX($F9:WWD9)=$D12,0,WWD9+1))</f>
        <v>0</v>
      </c>
      <c r="WWF9" s="26">
        <f>IF(WWF7=0,0,IF(MAX($F9:WWE9)=$D12,0,WWE9+1))</f>
        <v>0</v>
      </c>
      <c r="WWG9" s="26">
        <f>IF(WWG7=0,0,IF(MAX($F9:WWF9)=$D12,0,WWF9+1))</f>
        <v>0</v>
      </c>
      <c r="WWH9" s="26">
        <f>IF(WWH7=0,0,IF(MAX($F9:WWG9)=$D12,0,WWG9+1))</f>
        <v>0</v>
      </c>
      <c r="WWI9" s="26">
        <f>IF(WWI7=0,0,IF(MAX($F9:WWH9)=$D12,0,WWH9+1))</f>
        <v>0</v>
      </c>
      <c r="WWJ9" s="26">
        <f>IF(WWJ7=0,0,IF(MAX($F9:WWI9)=$D12,0,WWI9+1))</f>
        <v>0</v>
      </c>
      <c r="WWK9" s="26">
        <f>IF(WWK7=0,0,IF(MAX($F9:WWJ9)=$D12,0,WWJ9+1))</f>
        <v>0</v>
      </c>
      <c r="WWL9" s="26">
        <f>IF(WWL7=0,0,IF(MAX($F9:WWK9)=$D12,0,WWK9+1))</f>
        <v>0</v>
      </c>
      <c r="WWM9" s="26">
        <f>IF(WWM7=0,0,IF(MAX($F9:WWL9)=$D12,0,WWL9+1))</f>
        <v>0</v>
      </c>
      <c r="WWN9" s="26">
        <f>IF(WWN7=0,0,IF(MAX($F9:WWM9)=$D12,0,WWM9+1))</f>
        <v>0</v>
      </c>
      <c r="WWO9" s="26">
        <f>IF(WWO7=0,0,IF(MAX($F9:WWN9)=$D12,0,WWN9+1))</f>
        <v>0</v>
      </c>
      <c r="WWP9" s="26">
        <f>IF(WWP7=0,0,IF(MAX($F9:WWO9)=$D12,0,WWO9+1))</f>
        <v>0</v>
      </c>
      <c r="WWQ9" s="26">
        <f>IF(WWQ7=0,0,IF(MAX($F9:WWP9)=$D12,0,WWP9+1))</f>
        <v>0</v>
      </c>
      <c r="WWR9" s="26">
        <f>IF(WWR7=0,0,IF(MAX($F9:WWQ9)=$D12,0,WWQ9+1))</f>
        <v>0</v>
      </c>
      <c r="WWS9" s="26">
        <f>IF(WWS7=0,0,IF(MAX($F9:WWR9)=$D12,0,WWR9+1))</f>
        <v>0</v>
      </c>
      <c r="WWT9" s="26">
        <f>IF(WWT7=0,0,IF(MAX($F9:WWS9)=$D12,0,WWS9+1))</f>
        <v>0</v>
      </c>
      <c r="WWU9" s="26">
        <f>IF(WWU7=0,0,IF(MAX($F9:WWT9)=$D12,0,WWT9+1))</f>
        <v>0</v>
      </c>
      <c r="WWV9" s="26">
        <f>IF(WWV7=0,0,IF(MAX($F9:WWU9)=$D12,0,WWU9+1))</f>
        <v>0</v>
      </c>
      <c r="WWW9" s="26">
        <f>IF(WWW7=0,0,IF(MAX($F9:WWV9)=$D12,0,WWV9+1))</f>
        <v>0</v>
      </c>
      <c r="WWX9" s="26">
        <f>IF(WWX7=0,0,IF(MAX($F9:WWW9)=$D12,0,WWW9+1))</f>
        <v>0</v>
      </c>
      <c r="WWY9" s="26">
        <f>IF(WWY7=0,0,IF(MAX($F9:WWX9)=$D12,0,WWX9+1))</f>
        <v>0</v>
      </c>
      <c r="WWZ9" s="26">
        <f>IF(WWZ7=0,0,IF(MAX($F9:WWY9)=$D12,0,WWY9+1))</f>
        <v>0</v>
      </c>
      <c r="WXA9" s="26">
        <f>IF(WXA7=0,0,IF(MAX($F9:WWZ9)=$D12,0,WWZ9+1))</f>
        <v>0</v>
      </c>
      <c r="WXB9" s="26">
        <f>IF(WXB7=0,0,IF(MAX($F9:WXA9)=$D12,0,WXA9+1))</f>
        <v>0</v>
      </c>
      <c r="WXC9" s="26">
        <f>IF(WXC7=0,0,IF(MAX($F9:WXB9)=$D12,0,WXB9+1))</f>
        <v>0</v>
      </c>
      <c r="WXD9" s="26">
        <f>IF(WXD7=0,0,IF(MAX($F9:WXC9)=$D12,0,WXC9+1))</f>
        <v>0</v>
      </c>
      <c r="WXE9" s="26">
        <f>IF(WXE7=0,0,IF(MAX($F9:WXD9)=$D12,0,WXD9+1))</f>
        <v>0</v>
      </c>
      <c r="WXF9" s="26">
        <f>IF(WXF7=0,0,IF(MAX($F9:WXE9)=$D12,0,WXE9+1))</f>
        <v>0</v>
      </c>
      <c r="WXG9" s="26">
        <f>IF(WXG7=0,0,IF(MAX($F9:WXF9)=$D12,0,WXF9+1))</f>
        <v>0</v>
      </c>
      <c r="WXH9" s="26">
        <f>IF(WXH7=0,0,IF(MAX($F9:WXG9)=$D12,0,WXG9+1))</f>
        <v>0</v>
      </c>
      <c r="WXI9" s="26">
        <f>IF(WXI7=0,0,IF(MAX($F9:WXH9)=$D12,0,WXH9+1))</f>
        <v>0</v>
      </c>
      <c r="WXJ9" s="26">
        <f>IF(WXJ7=0,0,IF(MAX($F9:WXI9)=$D12,0,WXI9+1))</f>
        <v>0</v>
      </c>
      <c r="WXK9" s="26">
        <f>IF(WXK7=0,0,IF(MAX($F9:WXJ9)=$D12,0,WXJ9+1))</f>
        <v>0</v>
      </c>
      <c r="WXL9" s="26">
        <f>IF(WXL7=0,0,IF(MAX($F9:WXK9)=$D12,0,WXK9+1))</f>
        <v>0</v>
      </c>
      <c r="WXM9" s="26">
        <f>IF(WXM7=0,0,IF(MAX($F9:WXL9)=$D12,0,WXL9+1))</f>
        <v>0</v>
      </c>
      <c r="WXN9" s="26">
        <f>IF(WXN7=0,0,IF(MAX($F9:WXM9)=$D12,0,WXM9+1))</f>
        <v>0</v>
      </c>
      <c r="WXO9" s="26">
        <f>IF(WXO7=0,0,IF(MAX($F9:WXN9)=$D12,0,WXN9+1))</f>
        <v>0</v>
      </c>
      <c r="WXP9" s="26">
        <f>IF(WXP7=0,0,IF(MAX($F9:WXO9)=$D12,0,WXO9+1))</f>
        <v>0</v>
      </c>
      <c r="WXQ9" s="26">
        <f>IF(WXQ7=0,0,IF(MAX($F9:WXP9)=$D12,0,WXP9+1))</f>
        <v>0</v>
      </c>
      <c r="WXR9" s="26">
        <f>IF(WXR7=0,0,IF(MAX($F9:WXQ9)=$D12,0,WXQ9+1))</f>
        <v>0</v>
      </c>
      <c r="WXS9" s="26">
        <f>IF(WXS7=0,0,IF(MAX($F9:WXR9)=$D12,0,WXR9+1))</f>
        <v>0</v>
      </c>
      <c r="WXT9" s="26">
        <f>IF(WXT7=0,0,IF(MAX($F9:WXS9)=$D12,0,WXS9+1))</f>
        <v>0</v>
      </c>
      <c r="WXU9" s="26">
        <f>IF(WXU7=0,0,IF(MAX($F9:WXT9)=$D12,0,WXT9+1))</f>
        <v>0</v>
      </c>
      <c r="WXV9" s="26">
        <f>IF(WXV7=0,0,IF(MAX($F9:WXU9)=$D12,0,WXU9+1))</f>
        <v>0</v>
      </c>
      <c r="WXW9" s="26">
        <f>IF(WXW7=0,0,IF(MAX($F9:WXV9)=$D12,0,WXV9+1))</f>
        <v>0</v>
      </c>
      <c r="WXX9" s="26">
        <f>IF(WXX7=0,0,IF(MAX($F9:WXW9)=$D12,0,WXW9+1))</f>
        <v>0</v>
      </c>
      <c r="WXY9" s="26">
        <f>IF(WXY7=0,0,IF(MAX($F9:WXX9)=$D12,0,WXX9+1))</f>
        <v>0</v>
      </c>
      <c r="WXZ9" s="26">
        <f>IF(WXZ7=0,0,IF(MAX($F9:WXY9)=$D12,0,WXY9+1))</f>
        <v>0</v>
      </c>
      <c r="WYA9" s="26">
        <f>IF(WYA7=0,0,IF(MAX($F9:WXZ9)=$D12,0,WXZ9+1))</f>
        <v>0</v>
      </c>
      <c r="WYB9" s="26">
        <f>IF(WYB7=0,0,IF(MAX($F9:WYA9)=$D12,0,WYA9+1))</f>
        <v>0</v>
      </c>
      <c r="WYC9" s="26">
        <f>IF(WYC7=0,0,IF(MAX($F9:WYB9)=$D12,0,WYB9+1))</f>
        <v>0</v>
      </c>
      <c r="WYD9" s="26">
        <f>IF(WYD7=0,0,IF(MAX($F9:WYC9)=$D12,0,WYC9+1))</f>
        <v>0</v>
      </c>
      <c r="WYE9" s="26">
        <f>IF(WYE7=0,0,IF(MAX($F9:WYD9)=$D12,0,WYD9+1))</f>
        <v>0</v>
      </c>
      <c r="WYF9" s="26">
        <f>IF(WYF7=0,0,IF(MAX($F9:WYE9)=$D12,0,WYE9+1))</f>
        <v>0</v>
      </c>
      <c r="WYG9" s="26">
        <f>IF(WYG7=0,0,IF(MAX($F9:WYF9)=$D12,0,WYF9+1))</f>
        <v>0</v>
      </c>
      <c r="WYH9" s="26">
        <f>IF(WYH7=0,0,IF(MAX($F9:WYG9)=$D12,0,WYG9+1))</f>
        <v>0</v>
      </c>
      <c r="WYI9" s="26">
        <f>IF(WYI7=0,0,IF(MAX($F9:WYH9)=$D12,0,WYH9+1))</f>
        <v>0</v>
      </c>
      <c r="WYJ9" s="26">
        <f>IF(WYJ7=0,0,IF(MAX($F9:WYI9)=$D12,0,WYI9+1))</f>
        <v>0</v>
      </c>
      <c r="WYK9" s="26">
        <f>IF(WYK7=0,0,IF(MAX($F9:WYJ9)=$D12,0,WYJ9+1))</f>
        <v>0</v>
      </c>
      <c r="WYL9" s="26">
        <f>IF(WYL7=0,0,IF(MAX($F9:WYK9)=$D12,0,WYK9+1))</f>
        <v>0</v>
      </c>
      <c r="WYM9" s="26">
        <f>IF(WYM7=0,0,IF(MAX($F9:WYL9)=$D12,0,WYL9+1))</f>
        <v>0</v>
      </c>
      <c r="WYN9" s="26">
        <f>IF(WYN7=0,0,IF(MAX($F9:WYM9)=$D12,0,WYM9+1))</f>
        <v>0</v>
      </c>
      <c r="WYO9" s="26">
        <f>IF(WYO7=0,0,IF(MAX($F9:WYN9)=$D12,0,WYN9+1))</f>
        <v>0</v>
      </c>
      <c r="WYP9" s="26">
        <f>IF(WYP7=0,0,IF(MAX($F9:WYO9)=$D12,0,WYO9+1))</f>
        <v>0</v>
      </c>
      <c r="WYQ9" s="26">
        <f>IF(WYQ7=0,0,IF(MAX($F9:WYP9)=$D12,0,WYP9+1))</f>
        <v>0</v>
      </c>
      <c r="WYR9" s="26">
        <f>IF(WYR7=0,0,IF(MAX($F9:WYQ9)=$D12,0,WYQ9+1))</f>
        <v>0</v>
      </c>
      <c r="WYS9" s="26">
        <f>IF(WYS7=0,0,IF(MAX($F9:WYR9)=$D12,0,WYR9+1))</f>
        <v>0</v>
      </c>
      <c r="WYT9" s="26">
        <f>IF(WYT7=0,0,IF(MAX($F9:WYS9)=$D12,0,WYS9+1))</f>
        <v>0</v>
      </c>
      <c r="WYU9" s="26">
        <f>IF(WYU7=0,0,IF(MAX($F9:WYT9)=$D12,0,WYT9+1))</f>
        <v>0</v>
      </c>
      <c r="WYV9" s="26">
        <f>IF(WYV7=0,0,IF(MAX($F9:WYU9)=$D12,0,WYU9+1))</f>
        <v>0</v>
      </c>
      <c r="WYW9" s="26">
        <f>IF(WYW7=0,0,IF(MAX($F9:WYV9)=$D12,0,WYV9+1))</f>
        <v>0</v>
      </c>
      <c r="WYX9" s="26">
        <f>IF(WYX7=0,0,IF(MAX($F9:WYW9)=$D12,0,WYW9+1))</f>
        <v>0</v>
      </c>
      <c r="WYY9" s="26">
        <f>IF(WYY7=0,0,IF(MAX($F9:WYX9)=$D12,0,WYX9+1))</f>
        <v>0</v>
      </c>
      <c r="WYZ9" s="26">
        <f>IF(WYZ7=0,0,IF(MAX($F9:WYY9)=$D12,0,WYY9+1))</f>
        <v>0</v>
      </c>
      <c r="WZA9" s="26">
        <f>IF(WZA7=0,0,IF(MAX($F9:WYZ9)=$D12,0,WYZ9+1))</f>
        <v>0</v>
      </c>
      <c r="WZB9" s="26">
        <f>IF(WZB7=0,0,IF(MAX($F9:WZA9)=$D12,0,WZA9+1))</f>
        <v>0</v>
      </c>
      <c r="WZC9" s="26">
        <f>IF(WZC7=0,0,IF(MAX($F9:WZB9)=$D12,0,WZB9+1))</f>
        <v>0</v>
      </c>
      <c r="WZD9" s="26">
        <f>IF(WZD7=0,0,IF(MAX($F9:WZC9)=$D12,0,WZC9+1))</f>
        <v>0</v>
      </c>
      <c r="WZE9" s="26">
        <f>IF(WZE7=0,0,IF(MAX($F9:WZD9)=$D12,0,WZD9+1))</f>
        <v>0</v>
      </c>
      <c r="WZF9" s="26">
        <f>IF(WZF7=0,0,IF(MAX($F9:WZE9)=$D12,0,WZE9+1))</f>
        <v>0</v>
      </c>
      <c r="WZG9" s="26">
        <f>IF(WZG7=0,0,IF(MAX($F9:WZF9)=$D12,0,WZF9+1))</f>
        <v>0</v>
      </c>
      <c r="WZH9" s="26">
        <f>IF(WZH7=0,0,IF(MAX($F9:WZG9)=$D12,0,WZG9+1))</f>
        <v>0</v>
      </c>
      <c r="WZI9" s="26">
        <f>IF(WZI7=0,0,IF(MAX($F9:WZH9)=$D12,0,WZH9+1))</f>
        <v>0</v>
      </c>
      <c r="WZJ9" s="26">
        <f>IF(WZJ7=0,0,IF(MAX($F9:WZI9)=$D12,0,WZI9+1))</f>
        <v>0</v>
      </c>
      <c r="WZK9" s="26">
        <f>IF(WZK7=0,0,IF(MAX($F9:WZJ9)=$D12,0,WZJ9+1))</f>
        <v>0</v>
      </c>
      <c r="WZL9" s="26">
        <f>IF(WZL7=0,0,IF(MAX($F9:WZK9)=$D12,0,WZK9+1))</f>
        <v>0</v>
      </c>
      <c r="WZM9" s="26">
        <f>IF(WZM7=0,0,IF(MAX($F9:WZL9)=$D12,0,WZL9+1))</f>
        <v>0</v>
      </c>
      <c r="WZN9" s="26">
        <f>IF(WZN7=0,0,IF(MAX($F9:WZM9)=$D12,0,WZM9+1))</f>
        <v>0</v>
      </c>
      <c r="WZO9" s="26">
        <f>IF(WZO7=0,0,IF(MAX($F9:WZN9)=$D12,0,WZN9+1))</f>
        <v>0</v>
      </c>
      <c r="WZP9" s="26">
        <f>IF(WZP7=0,0,IF(MAX($F9:WZO9)=$D12,0,WZO9+1))</f>
        <v>0</v>
      </c>
      <c r="WZQ9" s="26">
        <f>IF(WZQ7=0,0,IF(MAX($F9:WZP9)=$D12,0,WZP9+1))</f>
        <v>0</v>
      </c>
      <c r="WZR9" s="26">
        <f>IF(WZR7=0,0,IF(MAX($F9:WZQ9)=$D12,0,WZQ9+1))</f>
        <v>0</v>
      </c>
      <c r="WZS9" s="26">
        <f>IF(WZS7=0,0,IF(MAX($F9:WZR9)=$D12,0,WZR9+1))</f>
        <v>0</v>
      </c>
      <c r="WZT9" s="26">
        <f>IF(WZT7=0,0,IF(MAX($F9:WZS9)=$D12,0,WZS9+1))</f>
        <v>0</v>
      </c>
      <c r="WZU9" s="26">
        <f>IF(WZU7=0,0,IF(MAX($F9:WZT9)=$D12,0,WZT9+1))</f>
        <v>0</v>
      </c>
      <c r="WZV9" s="26">
        <f>IF(WZV7=0,0,IF(MAX($F9:WZU9)=$D12,0,WZU9+1))</f>
        <v>0</v>
      </c>
      <c r="WZW9" s="26">
        <f>IF(WZW7=0,0,IF(MAX($F9:WZV9)=$D12,0,WZV9+1))</f>
        <v>0</v>
      </c>
      <c r="WZX9" s="26">
        <f>IF(WZX7=0,0,IF(MAX($F9:WZW9)=$D12,0,WZW9+1))</f>
        <v>0</v>
      </c>
      <c r="WZY9" s="26">
        <f>IF(WZY7=0,0,IF(MAX($F9:WZX9)=$D12,0,WZX9+1))</f>
        <v>0</v>
      </c>
      <c r="WZZ9" s="26">
        <f>IF(WZZ7=0,0,IF(MAX($F9:WZY9)=$D12,0,WZY9+1))</f>
        <v>0</v>
      </c>
      <c r="XAA9" s="26">
        <f>IF(XAA7=0,0,IF(MAX($F9:WZZ9)=$D12,0,WZZ9+1))</f>
        <v>0</v>
      </c>
      <c r="XAB9" s="26">
        <f>IF(XAB7=0,0,IF(MAX($F9:XAA9)=$D12,0,XAA9+1))</f>
        <v>0</v>
      </c>
      <c r="XAC9" s="26">
        <f>IF(XAC7=0,0,IF(MAX($F9:XAB9)=$D12,0,XAB9+1))</f>
        <v>0</v>
      </c>
      <c r="XAD9" s="26">
        <f>IF(XAD7=0,0,IF(MAX($F9:XAC9)=$D12,0,XAC9+1))</f>
        <v>0</v>
      </c>
      <c r="XAE9" s="26">
        <f>IF(XAE7=0,0,IF(MAX($F9:XAD9)=$D12,0,XAD9+1))</f>
        <v>0</v>
      </c>
      <c r="XAF9" s="26">
        <f>IF(XAF7=0,0,IF(MAX($F9:XAE9)=$D12,0,XAE9+1))</f>
        <v>0</v>
      </c>
      <c r="XAG9" s="26">
        <f>IF(XAG7=0,0,IF(MAX($F9:XAF9)=$D12,0,XAF9+1))</f>
        <v>0</v>
      </c>
      <c r="XAH9" s="26">
        <f>IF(XAH7=0,0,IF(MAX($F9:XAG9)=$D12,0,XAG9+1))</f>
        <v>0</v>
      </c>
      <c r="XAI9" s="26">
        <f>IF(XAI7=0,0,IF(MAX($F9:XAH9)=$D12,0,XAH9+1))</f>
        <v>0</v>
      </c>
      <c r="XAJ9" s="26">
        <f>IF(XAJ7=0,0,IF(MAX($F9:XAI9)=$D12,0,XAI9+1))</f>
        <v>0</v>
      </c>
      <c r="XAK9" s="26">
        <f>IF(XAK7=0,0,IF(MAX($F9:XAJ9)=$D12,0,XAJ9+1))</f>
        <v>0</v>
      </c>
      <c r="XAL9" s="26">
        <f>IF(XAL7=0,0,IF(MAX($F9:XAK9)=$D12,0,XAK9+1))</f>
        <v>0</v>
      </c>
      <c r="XAM9" s="26">
        <f>IF(XAM7=0,0,IF(MAX($F9:XAL9)=$D12,0,XAL9+1))</f>
        <v>0</v>
      </c>
      <c r="XAN9" s="26">
        <f>IF(XAN7=0,0,IF(MAX($F9:XAM9)=$D12,0,XAM9+1))</f>
        <v>0</v>
      </c>
      <c r="XAO9" s="26">
        <f>IF(XAO7=0,0,IF(MAX($F9:XAN9)=$D12,0,XAN9+1))</f>
        <v>0</v>
      </c>
      <c r="XAP9" s="26">
        <f>IF(XAP7=0,0,IF(MAX($F9:XAO9)=$D12,0,XAO9+1))</f>
        <v>0</v>
      </c>
      <c r="XAQ9" s="26">
        <f>IF(XAQ7=0,0,IF(MAX($F9:XAP9)=$D12,0,XAP9+1))</f>
        <v>0</v>
      </c>
      <c r="XAR9" s="26">
        <f>IF(XAR7=0,0,IF(MAX($F9:XAQ9)=$D12,0,XAQ9+1))</f>
        <v>0</v>
      </c>
      <c r="XAS9" s="26">
        <f>IF(XAS7=0,0,IF(MAX($F9:XAR9)=$D12,0,XAR9+1))</f>
        <v>0</v>
      </c>
      <c r="XAT9" s="26">
        <f>IF(XAT7=0,0,IF(MAX($F9:XAS9)=$D12,0,XAS9+1))</f>
        <v>0</v>
      </c>
      <c r="XAU9" s="26">
        <f>IF(XAU7=0,0,IF(MAX($F9:XAT9)=$D12,0,XAT9+1))</f>
        <v>0</v>
      </c>
      <c r="XAV9" s="26">
        <f>IF(XAV7=0,0,IF(MAX($F9:XAU9)=$D12,0,XAU9+1))</f>
        <v>0</v>
      </c>
      <c r="XAW9" s="26">
        <f>IF(XAW7=0,0,IF(MAX($F9:XAV9)=$D12,0,XAV9+1))</f>
        <v>0</v>
      </c>
      <c r="XAX9" s="26">
        <f>IF(XAX7=0,0,IF(MAX($F9:XAW9)=$D12,0,XAW9+1))</f>
        <v>0</v>
      </c>
      <c r="XAY9" s="26">
        <f>IF(XAY7=0,0,IF(MAX($F9:XAX9)=$D12,0,XAX9+1))</f>
        <v>0</v>
      </c>
      <c r="XAZ9" s="26">
        <f>IF(XAZ7=0,0,IF(MAX($F9:XAY9)=$D12,0,XAY9+1))</f>
        <v>0</v>
      </c>
      <c r="XBA9" s="26">
        <f>IF(XBA7=0,0,IF(MAX($F9:XAZ9)=$D12,0,XAZ9+1))</f>
        <v>0</v>
      </c>
      <c r="XBB9" s="26">
        <f>IF(XBB7=0,0,IF(MAX($F9:XBA9)=$D12,0,XBA9+1))</f>
        <v>0</v>
      </c>
      <c r="XBC9" s="26">
        <f>IF(XBC7=0,0,IF(MAX($F9:XBB9)=$D12,0,XBB9+1))</f>
        <v>0</v>
      </c>
      <c r="XBD9" s="26">
        <f>IF(XBD7=0,0,IF(MAX($F9:XBC9)=$D12,0,XBC9+1))</f>
        <v>0</v>
      </c>
      <c r="XBE9" s="26">
        <f>IF(XBE7=0,0,IF(MAX($F9:XBD9)=$D12,0,XBD9+1))</f>
        <v>0</v>
      </c>
      <c r="XBF9" s="26">
        <f>IF(XBF7=0,0,IF(MAX($F9:XBE9)=$D12,0,XBE9+1))</f>
        <v>0</v>
      </c>
      <c r="XBG9" s="26">
        <f>IF(XBG7=0,0,IF(MAX($F9:XBF9)=$D12,0,XBF9+1))</f>
        <v>0</v>
      </c>
      <c r="XBH9" s="26">
        <f>IF(XBH7=0,0,IF(MAX($F9:XBG9)=$D12,0,XBG9+1))</f>
        <v>0</v>
      </c>
      <c r="XBI9" s="26">
        <f>IF(XBI7=0,0,IF(MAX($F9:XBH9)=$D12,0,XBH9+1))</f>
        <v>0</v>
      </c>
      <c r="XBJ9" s="26">
        <f>IF(XBJ7=0,0,IF(MAX($F9:XBI9)=$D12,0,XBI9+1))</f>
        <v>0</v>
      </c>
      <c r="XBK9" s="26">
        <f>IF(XBK7=0,0,IF(MAX($F9:XBJ9)=$D12,0,XBJ9+1))</f>
        <v>0</v>
      </c>
      <c r="XBL9" s="26">
        <f>IF(XBL7=0,0,IF(MAX($F9:XBK9)=$D12,0,XBK9+1))</f>
        <v>0</v>
      </c>
      <c r="XBM9" s="26">
        <f>IF(XBM7=0,0,IF(MAX($F9:XBL9)=$D12,0,XBL9+1))</f>
        <v>0</v>
      </c>
      <c r="XBN9" s="26">
        <f>IF(XBN7=0,0,IF(MAX($F9:XBM9)=$D12,0,XBM9+1))</f>
        <v>0</v>
      </c>
      <c r="XBO9" s="26">
        <f>IF(XBO7=0,0,IF(MAX($F9:XBN9)=$D12,0,XBN9+1))</f>
        <v>0</v>
      </c>
      <c r="XBP9" s="26">
        <f>IF(XBP7=0,0,IF(MAX($F9:XBO9)=$D12,0,XBO9+1))</f>
        <v>0</v>
      </c>
      <c r="XBQ9" s="26">
        <f>IF(XBQ7=0,0,IF(MAX($F9:XBP9)=$D12,0,XBP9+1))</f>
        <v>0</v>
      </c>
      <c r="XBR9" s="26">
        <f>IF(XBR7=0,0,IF(MAX($F9:XBQ9)=$D12,0,XBQ9+1))</f>
        <v>0</v>
      </c>
      <c r="XBS9" s="26">
        <f>IF(XBS7=0,0,IF(MAX($F9:XBR9)=$D12,0,XBR9+1))</f>
        <v>0</v>
      </c>
      <c r="XBT9" s="26">
        <f>IF(XBT7=0,0,IF(MAX($F9:XBS9)=$D12,0,XBS9+1))</f>
        <v>0</v>
      </c>
      <c r="XBU9" s="26">
        <f>IF(XBU7=0,0,IF(MAX($F9:XBT9)=$D12,0,XBT9+1))</f>
        <v>0</v>
      </c>
      <c r="XBV9" s="26">
        <f>IF(XBV7=0,0,IF(MAX($F9:XBU9)=$D12,0,XBU9+1))</f>
        <v>0</v>
      </c>
      <c r="XBW9" s="26">
        <f>IF(XBW7=0,0,IF(MAX($F9:XBV9)=$D12,0,XBV9+1))</f>
        <v>0</v>
      </c>
      <c r="XBX9" s="26">
        <f>IF(XBX7=0,0,IF(MAX($F9:XBW9)=$D12,0,XBW9+1))</f>
        <v>0</v>
      </c>
      <c r="XBY9" s="26">
        <f>IF(XBY7=0,0,IF(MAX($F9:XBX9)=$D12,0,XBX9+1))</f>
        <v>0</v>
      </c>
      <c r="XBZ9" s="26">
        <f>IF(XBZ7=0,0,IF(MAX($F9:XBY9)=$D12,0,XBY9+1))</f>
        <v>0</v>
      </c>
      <c r="XCA9" s="26">
        <f>IF(XCA7=0,0,IF(MAX($F9:XBZ9)=$D12,0,XBZ9+1))</f>
        <v>0</v>
      </c>
      <c r="XCB9" s="26">
        <f>IF(XCB7=0,0,IF(MAX($F9:XCA9)=$D12,0,XCA9+1))</f>
        <v>0</v>
      </c>
      <c r="XCC9" s="26">
        <f>IF(XCC7=0,0,IF(MAX($F9:XCB9)=$D12,0,XCB9+1))</f>
        <v>0</v>
      </c>
      <c r="XCD9" s="26">
        <f>IF(XCD7=0,0,IF(MAX($F9:XCC9)=$D12,0,XCC9+1))</f>
        <v>0</v>
      </c>
      <c r="XCE9" s="26">
        <f>IF(XCE7=0,0,IF(MAX($F9:XCD9)=$D12,0,XCD9+1))</f>
        <v>0</v>
      </c>
      <c r="XCF9" s="26">
        <f>IF(XCF7=0,0,IF(MAX($F9:XCE9)=$D12,0,XCE9+1))</f>
        <v>0</v>
      </c>
      <c r="XCG9" s="26">
        <f>IF(XCG7=0,0,IF(MAX($F9:XCF9)=$D12,0,XCF9+1))</f>
        <v>0</v>
      </c>
      <c r="XCH9" s="26">
        <f>IF(XCH7=0,0,IF(MAX($F9:XCG9)=$D12,0,XCG9+1))</f>
        <v>0</v>
      </c>
      <c r="XCI9" s="26">
        <f>IF(XCI7=0,0,IF(MAX($F9:XCH9)=$D12,0,XCH9+1))</f>
        <v>0</v>
      </c>
      <c r="XCJ9" s="26">
        <f>IF(XCJ7=0,0,IF(MAX($F9:XCI9)=$D12,0,XCI9+1))</f>
        <v>0</v>
      </c>
      <c r="XCK9" s="26">
        <f>IF(XCK7=0,0,IF(MAX($F9:XCJ9)=$D12,0,XCJ9+1))</f>
        <v>0</v>
      </c>
      <c r="XCL9" s="26">
        <f>IF(XCL7=0,0,IF(MAX($F9:XCK9)=$D12,0,XCK9+1))</f>
        <v>0</v>
      </c>
      <c r="XCM9" s="26">
        <f>IF(XCM7=0,0,IF(MAX($F9:XCL9)=$D12,0,XCL9+1))</f>
        <v>0</v>
      </c>
      <c r="XCN9" s="26">
        <f>IF(XCN7=0,0,IF(MAX($F9:XCM9)=$D12,0,XCM9+1))</f>
        <v>0</v>
      </c>
      <c r="XCO9" s="26">
        <f>IF(XCO7=0,0,IF(MAX($F9:XCN9)=$D12,0,XCN9+1))</f>
        <v>0</v>
      </c>
      <c r="XCP9" s="26">
        <f>IF(XCP7=0,0,IF(MAX($F9:XCO9)=$D12,0,XCO9+1))</f>
        <v>0</v>
      </c>
      <c r="XCQ9" s="26">
        <f>IF(XCQ7=0,0,IF(MAX($F9:XCP9)=$D12,0,XCP9+1))</f>
        <v>0</v>
      </c>
      <c r="XCR9" s="26">
        <f>IF(XCR7=0,0,IF(MAX($F9:XCQ9)=$D12,0,XCQ9+1))</f>
        <v>0</v>
      </c>
      <c r="XCS9" s="26">
        <f>IF(XCS7=0,0,IF(MAX($F9:XCR9)=$D12,0,XCR9+1))</f>
        <v>0</v>
      </c>
      <c r="XCT9" s="26">
        <f>IF(XCT7=0,0,IF(MAX($F9:XCS9)=$D12,0,XCS9+1))</f>
        <v>0</v>
      </c>
      <c r="XCU9" s="26">
        <f>IF(XCU7=0,0,IF(MAX($F9:XCT9)=$D12,0,XCT9+1))</f>
        <v>0</v>
      </c>
      <c r="XCV9" s="26">
        <f>IF(XCV7=0,0,IF(MAX($F9:XCU9)=$D12,0,XCU9+1))</f>
        <v>0</v>
      </c>
      <c r="XCW9" s="26">
        <f>IF(XCW7=0,0,IF(MAX($F9:XCV9)=$D12,0,XCV9+1))</f>
        <v>0</v>
      </c>
      <c r="XCX9" s="26">
        <f>IF(XCX7=0,0,IF(MAX($F9:XCW9)=$D12,0,XCW9+1))</f>
        <v>0</v>
      </c>
      <c r="XCY9" s="26">
        <f>IF(XCY7=0,0,IF(MAX($F9:XCX9)=$D12,0,XCX9+1))</f>
        <v>0</v>
      </c>
      <c r="XCZ9" s="26">
        <f>IF(XCZ7=0,0,IF(MAX($F9:XCY9)=$D12,0,XCY9+1))</f>
        <v>0</v>
      </c>
      <c r="XDA9" s="26">
        <f>IF(XDA7=0,0,IF(MAX($F9:XCZ9)=$D12,0,XCZ9+1))</f>
        <v>0</v>
      </c>
      <c r="XDB9" s="26">
        <f>IF(XDB7=0,0,IF(MAX($F9:XDA9)=$D12,0,XDA9+1))</f>
        <v>0</v>
      </c>
      <c r="XDC9" s="26">
        <f>IF(XDC7=0,0,IF(MAX($F9:XDB9)=$D12,0,XDB9+1))</f>
        <v>0</v>
      </c>
      <c r="XDD9" s="26">
        <f>IF(XDD7=0,0,IF(MAX($F9:XDC9)=$D12,0,XDC9+1))</f>
        <v>0</v>
      </c>
      <c r="XDE9" s="26">
        <f>IF(XDE7=0,0,IF(MAX($F9:XDD9)=$D12,0,XDD9+1))</f>
        <v>0</v>
      </c>
      <c r="XDF9" s="26">
        <f>IF(XDF7=0,0,IF(MAX($F9:XDE9)=$D12,0,XDE9+1))</f>
        <v>0</v>
      </c>
      <c r="XDG9" s="26">
        <f>IF(XDG7=0,0,IF(MAX($F9:XDF9)=$D12,0,XDF9+1))</f>
        <v>0</v>
      </c>
      <c r="XDH9" s="26">
        <f>IF(XDH7=0,0,IF(MAX($F9:XDG9)=$D12,0,XDG9+1))</f>
        <v>0</v>
      </c>
      <c r="XDI9" s="26">
        <f>IF(XDI7=0,0,IF(MAX($F9:XDH9)=$D12,0,XDH9+1))</f>
        <v>0</v>
      </c>
      <c r="XDJ9" s="26">
        <f>IF(XDJ7=0,0,IF(MAX($F9:XDI9)=$D12,0,XDI9+1))</f>
        <v>0</v>
      </c>
      <c r="XDK9" s="26">
        <f>IF(XDK7=0,0,IF(MAX($F9:XDJ9)=$D12,0,XDJ9+1))</f>
        <v>0</v>
      </c>
      <c r="XDL9" s="26">
        <f>IF(XDL7=0,0,IF(MAX($F9:XDK9)=$D12,0,XDK9+1))</f>
        <v>0</v>
      </c>
      <c r="XDM9" s="26">
        <f>IF(XDM7=0,0,IF(MAX($F9:XDL9)=$D12,0,XDL9+1))</f>
        <v>0</v>
      </c>
      <c r="XDN9" s="26">
        <f>IF(XDN7=0,0,IF(MAX($F9:XDM9)=$D12,0,XDM9+1))</f>
        <v>0</v>
      </c>
      <c r="XDO9" s="26">
        <f>IF(XDO7=0,0,IF(MAX($F9:XDN9)=$D12,0,XDN9+1))</f>
        <v>0</v>
      </c>
      <c r="XDP9" s="26">
        <f>IF(XDP7=0,0,IF(MAX($F9:XDO9)=$D12,0,XDO9+1))</f>
        <v>0</v>
      </c>
      <c r="XDQ9" s="26">
        <f>IF(XDQ7=0,0,IF(MAX($F9:XDP9)=$D12,0,XDP9+1))</f>
        <v>0</v>
      </c>
      <c r="XDR9" s="26">
        <f>IF(XDR7=0,0,IF(MAX($F9:XDQ9)=$D12,0,XDQ9+1))</f>
        <v>0</v>
      </c>
      <c r="XDS9" s="26">
        <f>IF(XDS7=0,0,IF(MAX($F9:XDR9)=$D12,0,XDR9+1))</f>
        <v>0</v>
      </c>
      <c r="XDT9" s="26">
        <f>IF(XDT7=0,0,IF(MAX($F9:XDS9)=$D12,0,XDS9+1))</f>
        <v>0</v>
      </c>
      <c r="XDU9" s="26">
        <f>IF(XDU7=0,0,IF(MAX($F9:XDT9)=$D12,0,XDT9+1))</f>
        <v>0</v>
      </c>
      <c r="XDV9" s="26">
        <f>IF(XDV7=0,0,IF(MAX($F9:XDU9)=$D12,0,XDU9+1))</f>
        <v>0</v>
      </c>
      <c r="XDW9" s="26">
        <f>IF(XDW7=0,0,IF(MAX($F9:XDV9)=$D12,0,XDV9+1))</f>
        <v>0</v>
      </c>
      <c r="XDX9" s="26">
        <f>IF(XDX7=0,0,IF(MAX($F9:XDW9)=$D12,0,XDW9+1))</f>
        <v>0</v>
      </c>
      <c r="XDY9" s="26">
        <f>IF(XDY7=0,0,IF(MAX($F9:XDX9)=$D12,0,XDX9+1))</f>
        <v>0</v>
      </c>
      <c r="XDZ9" s="26">
        <f>IF(XDZ7=0,0,IF(MAX($F9:XDY9)=$D12,0,XDY9+1))</f>
        <v>0</v>
      </c>
      <c r="XEA9" s="26">
        <f>IF(XEA7=0,0,IF(MAX($F9:XDZ9)=$D12,0,XDZ9+1))</f>
        <v>0</v>
      </c>
      <c r="XEB9" s="26">
        <f>IF(XEB7=0,0,IF(MAX($F9:XEA9)=$D12,0,XEA9+1))</f>
        <v>0</v>
      </c>
      <c r="XEC9" s="26">
        <f>IF(XEC7=0,0,IF(MAX($F9:XEB9)=$D12,0,XEB9+1))</f>
        <v>0</v>
      </c>
      <c r="XED9" s="26">
        <f>IF(XED7=0,0,IF(MAX($F9:XEC9)=$D12,0,XEC9+1))</f>
        <v>0</v>
      </c>
      <c r="XEE9" s="26">
        <f>IF(XEE7=0,0,IF(MAX($F9:XED9)=$D12,0,XED9+1))</f>
        <v>0</v>
      </c>
      <c r="XEF9" s="26">
        <f>IF(XEF7=0,0,IF(MAX($F9:XEE9)=$D12,0,XEE9+1))</f>
        <v>0</v>
      </c>
      <c r="XEG9" s="26">
        <f>IF(XEG7=0,0,IF(MAX($F9:XEF9)=$D12,0,XEF9+1))</f>
        <v>0</v>
      </c>
      <c r="XEH9" s="26">
        <f>IF(XEH7=0,0,IF(MAX($F9:XEG9)=$D12,0,XEG9+1))</f>
        <v>0</v>
      </c>
      <c r="XEI9" s="26">
        <f>IF(XEI7=0,0,IF(MAX($F9:XEH9)=$D12,0,XEH9+1))</f>
        <v>0</v>
      </c>
      <c r="XEJ9" s="26">
        <f>IF(XEJ7=0,0,IF(MAX($F9:XEI9)=$D12,0,XEI9+1))</f>
        <v>0</v>
      </c>
      <c r="XEK9" s="26">
        <f>IF(XEK7=0,0,IF(MAX($F9:XEJ9)=$D12,0,XEJ9+1))</f>
        <v>0</v>
      </c>
      <c r="XEL9" s="26">
        <f>IF(XEL7=0,0,IF(MAX($F9:XEK9)=$D12,0,XEK9+1))</f>
        <v>0</v>
      </c>
      <c r="XEM9" s="26">
        <f>IF(XEM7=0,0,IF(MAX($F9:XEL9)=$D12,0,XEL9+1))</f>
        <v>0</v>
      </c>
      <c r="XEN9" s="26">
        <f>IF(XEN7=0,0,IF(MAX($F9:XEM9)=$D12,0,XEM9+1))</f>
        <v>0</v>
      </c>
      <c r="XEO9" s="26">
        <f>IF(XEO7=0,0,IF(MAX($F9:XEN9)=$D12,0,XEN9+1))</f>
        <v>0</v>
      </c>
      <c r="XEP9" s="26">
        <f>IF(XEP7=0,0,IF(MAX($F9:XEO9)=$D12,0,XEO9+1))</f>
        <v>0</v>
      </c>
      <c r="XEQ9" s="26">
        <f>IF(XEQ7=0,0,IF(MAX($F9:XEP9)=$D12,0,XEP9+1))</f>
        <v>0</v>
      </c>
      <c r="XER9" s="26">
        <f>IF(XER7=0,0,IF(MAX($F9:XEQ9)=$D12,0,XEQ9+1))</f>
        <v>0</v>
      </c>
      <c r="XES9" s="26">
        <f>IF(XES7=0,0,IF(MAX($F9:XER9)=$D12,0,XER9+1))</f>
        <v>0</v>
      </c>
      <c r="XET9" s="26">
        <f>IF(XET7=0,0,IF(MAX($F9:XES9)=$D12,0,XES9+1))</f>
        <v>0</v>
      </c>
      <c r="XEU9" s="26">
        <f>IF(XEU7=0,0,IF(MAX($F9:XET9)=$D12,0,XET9+1))</f>
        <v>0</v>
      </c>
      <c r="XEV9" s="26">
        <f>IF(XEV7=0,0,IF(MAX($F9:XEU9)=$D12,0,XEU9+1))</f>
        <v>0</v>
      </c>
      <c r="XEW9" s="26">
        <f>IF(XEW7=0,0,IF(MAX($F9:XEV9)=$D12,0,XEV9+1))</f>
        <v>0</v>
      </c>
      <c r="XEX9" s="26">
        <f>IF(XEX7=0,0,IF(MAX($F9:XEW9)=$D12,0,XEW9+1))</f>
        <v>0</v>
      </c>
      <c r="XEY9" s="26">
        <f>IF(XEY7=0,0,IF(MAX($F9:XEX9)=$D12,0,XEX9+1))</f>
        <v>0</v>
      </c>
      <c r="XEZ9" s="26">
        <f>IF(XEZ7=0,0,IF(MAX($F9:XEY9)=$D12,0,XEY9+1))</f>
        <v>0</v>
      </c>
      <c r="XFA9" s="26">
        <f>IF(XFA7=0,0,IF(MAX($F9:XEZ9)=$D12,0,XEZ9+1))</f>
        <v>0</v>
      </c>
      <c r="XFB9" s="26">
        <f>IF(XFB7=0,0,IF(MAX($F9:XFA9)=$D12,0,XFA9+1))</f>
        <v>0</v>
      </c>
      <c r="XFC9" s="26">
        <f>IF(XFC7=0,0,IF(MAX($F9:XFB9)=$D12,0,XFB9+1))</f>
        <v>0</v>
      </c>
      <c r="XFD9" s="26">
        <f>IF(XFD7=0,0,IF(MAX($F9:XFC9)=$D12,0,XFC9+1))</f>
        <v>0</v>
      </c>
    </row>
    <row r="10" spans="1:16384" ht="11.25" customHeight="1" x14ac:dyDescent="0.25">
      <c r="A10" s="12"/>
      <c r="B10" s="25" t="s">
        <v>63</v>
      </c>
      <c r="C10" s="22" t="s">
        <v>34</v>
      </c>
      <c r="D10" s="366">
        <f>Construction!D47</f>
        <v>7.0300000000000001E-2</v>
      </c>
      <c r="E10" s="12"/>
      <c r="F10" s="80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</row>
    <row r="11" spans="1:16384" ht="11.25" customHeight="1" x14ac:dyDescent="0.25">
      <c r="A11" s="12"/>
      <c r="B11" s="12" t="s">
        <v>64</v>
      </c>
      <c r="C11" s="22" t="s">
        <v>139</v>
      </c>
      <c r="E11" s="374">
        <f t="shared" si="0"/>
        <v>0.91390000000000027</v>
      </c>
      <c r="F11" s="80" t="s">
        <v>26</v>
      </c>
      <c r="G11" s="2">
        <f>IF(G9=0,0,G3*$D$10)</f>
        <v>0</v>
      </c>
      <c r="H11" s="2">
        <f t="shared" ref="H11:BJ11" si="1">IF(H9=0,0,H3*$D$10)</f>
        <v>0</v>
      </c>
      <c r="I11" s="2">
        <f t="shared" si="1"/>
        <v>0</v>
      </c>
      <c r="J11" s="2">
        <f t="shared" si="1"/>
        <v>0</v>
      </c>
      <c r="K11" s="2">
        <f t="shared" si="1"/>
        <v>0</v>
      </c>
      <c r="L11" s="2">
        <f t="shared" si="1"/>
        <v>0</v>
      </c>
      <c r="M11" s="2">
        <f t="shared" si="1"/>
        <v>0</v>
      </c>
      <c r="N11" s="2">
        <f t="shared" si="1"/>
        <v>0</v>
      </c>
      <c r="O11" s="2">
        <f t="shared" si="1"/>
        <v>0</v>
      </c>
      <c r="P11" s="2">
        <f t="shared" si="1"/>
        <v>0</v>
      </c>
      <c r="Q11" s="2">
        <f t="shared" si="1"/>
        <v>0</v>
      </c>
      <c r="R11" s="2">
        <f t="shared" si="1"/>
        <v>0</v>
      </c>
      <c r="S11" s="2">
        <f t="shared" si="1"/>
        <v>0</v>
      </c>
      <c r="T11" s="2">
        <f t="shared" si="1"/>
        <v>0</v>
      </c>
      <c r="U11" s="2">
        <f t="shared" si="1"/>
        <v>0</v>
      </c>
      <c r="V11" s="2">
        <f t="shared" si="1"/>
        <v>0</v>
      </c>
      <c r="W11" s="2">
        <f t="shared" si="1"/>
        <v>3.5150000000000001E-2</v>
      </c>
      <c r="X11" s="2">
        <f t="shared" si="1"/>
        <v>3.5150000000000001E-2</v>
      </c>
      <c r="Y11" s="2">
        <f t="shared" si="1"/>
        <v>3.5150000000000001E-2</v>
      </c>
      <c r="Z11" s="2">
        <f t="shared" si="1"/>
        <v>3.5150000000000001E-2</v>
      </c>
      <c r="AA11" s="2">
        <f t="shared" si="1"/>
        <v>3.5150000000000001E-2</v>
      </c>
      <c r="AB11" s="2">
        <f t="shared" si="1"/>
        <v>3.5150000000000001E-2</v>
      </c>
      <c r="AC11" s="2">
        <f t="shared" si="1"/>
        <v>3.5150000000000001E-2</v>
      </c>
      <c r="AD11" s="2">
        <f t="shared" si="1"/>
        <v>3.5150000000000001E-2</v>
      </c>
      <c r="AE11" s="2">
        <f t="shared" si="1"/>
        <v>3.5150000000000001E-2</v>
      </c>
      <c r="AF11" s="2">
        <f t="shared" si="1"/>
        <v>3.5150000000000001E-2</v>
      </c>
      <c r="AG11" s="2">
        <f t="shared" si="1"/>
        <v>3.5150000000000001E-2</v>
      </c>
      <c r="AH11" s="2">
        <f t="shared" si="1"/>
        <v>3.5150000000000001E-2</v>
      </c>
      <c r="AI11" s="2">
        <f t="shared" si="1"/>
        <v>3.5150000000000001E-2</v>
      </c>
      <c r="AJ11" s="2">
        <f t="shared" si="1"/>
        <v>3.5150000000000001E-2</v>
      </c>
      <c r="AK11" s="2">
        <f t="shared" si="1"/>
        <v>3.5150000000000001E-2</v>
      </c>
      <c r="AL11" s="2">
        <f t="shared" si="1"/>
        <v>3.5150000000000001E-2</v>
      </c>
      <c r="AM11" s="2">
        <f t="shared" si="1"/>
        <v>3.5150000000000001E-2</v>
      </c>
      <c r="AN11" s="2">
        <f t="shared" si="1"/>
        <v>3.5150000000000001E-2</v>
      </c>
      <c r="AO11" s="2">
        <f t="shared" si="1"/>
        <v>3.5150000000000001E-2</v>
      </c>
      <c r="AP11" s="2">
        <f t="shared" si="1"/>
        <v>3.5150000000000001E-2</v>
      </c>
      <c r="AQ11" s="2">
        <f t="shared" si="1"/>
        <v>3.5150000000000001E-2</v>
      </c>
      <c r="AR11" s="2">
        <f t="shared" si="1"/>
        <v>3.5150000000000001E-2</v>
      </c>
      <c r="AS11" s="2">
        <f t="shared" si="1"/>
        <v>3.5150000000000001E-2</v>
      </c>
      <c r="AT11" s="2">
        <f t="shared" si="1"/>
        <v>3.5150000000000001E-2</v>
      </c>
      <c r="AU11" s="2">
        <f t="shared" si="1"/>
        <v>3.5150000000000001E-2</v>
      </c>
      <c r="AV11" s="2">
        <f t="shared" si="1"/>
        <v>3.5150000000000001E-2</v>
      </c>
      <c r="AW11" s="2">
        <f t="shared" si="1"/>
        <v>0</v>
      </c>
      <c r="AX11" s="2">
        <f t="shared" si="1"/>
        <v>0</v>
      </c>
      <c r="AY11" s="2">
        <f t="shared" si="1"/>
        <v>0</v>
      </c>
      <c r="AZ11" s="2">
        <f t="shared" si="1"/>
        <v>0</v>
      </c>
      <c r="BA11" s="2">
        <f t="shared" si="1"/>
        <v>0</v>
      </c>
      <c r="BB11" s="2">
        <f t="shared" si="1"/>
        <v>0</v>
      </c>
      <c r="BC11" s="2">
        <f t="shared" si="1"/>
        <v>0</v>
      </c>
      <c r="BD11" s="2">
        <f t="shared" si="1"/>
        <v>0</v>
      </c>
      <c r="BE11" s="2">
        <f t="shared" si="1"/>
        <v>0</v>
      </c>
      <c r="BF11" s="2">
        <f t="shared" si="1"/>
        <v>0</v>
      </c>
      <c r="BG11" s="2">
        <f t="shared" si="1"/>
        <v>0</v>
      </c>
      <c r="BH11" s="2">
        <f t="shared" si="1"/>
        <v>0</v>
      </c>
      <c r="BI11" s="2">
        <f t="shared" si="1"/>
        <v>0</v>
      </c>
      <c r="BJ11" s="2">
        <f t="shared" si="1"/>
        <v>0</v>
      </c>
    </row>
    <row r="12" spans="1:16384" ht="11.25" customHeight="1" x14ac:dyDescent="0.25">
      <c r="A12" s="12"/>
      <c r="B12" s="12" t="s">
        <v>144</v>
      </c>
      <c r="C12" s="22" t="s">
        <v>67</v>
      </c>
      <c r="D12" s="274">
        <f>Assumptions!D168</f>
        <v>26</v>
      </c>
      <c r="E12" s="12"/>
      <c r="F12" s="324"/>
      <c r="G12" s="52"/>
      <c r="H12" s="52"/>
      <c r="I12" s="52"/>
      <c r="J12" s="52"/>
      <c r="K12" s="52"/>
      <c r="L12" s="52"/>
      <c r="M12" s="5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</row>
    <row r="13" spans="1:16384" ht="11.25" customHeight="1" x14ac:dyDescent="0.25">
      <c r="A13" s="12"/>
      <c r="B13" s="12" t="s">
        <v>432</v>
      </c>
      <c r="C13" s="22" t="s">
        <v>34</v>
      </c>
      <c r="D13" s="12"/>
      <c r="E13" s="374">
        <f t="shared" si="0"/>
        <v>0.99999999999999989</v>
      </c>
      <c r="F13" s="80" t="s">
        <v>26</v>
      </c>
      <c r="G13" s="2">
        <f>IF(G9&gt;0,PPMT(G11,G9,$D$12,-$D$14,0,0)/$D$14,0)</f>
        <v>0</v>
      </c>
      <c r="H13" s="2">
        <f t="shared" ref="H13:BJ13" si="2">IF(H9&gt;0,PPMT(H11,H9,$D$12,-$D$14,0,0)/$D$14,0)</f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O13" s="2">
        <f t="shared" si="2"/>
        <v>0</v>
      </c>
      <c r="P13" s="2">
        <f t="shared" si="2"/>
        <v>0</v>
      </c>
      <c r="Q13" s="2">
        <f t="shared" si="2"/>
        <v>0</v>
      </c>
      <c r="R13" s="2">
        <f t="shared" si="2"/>
        <v>0</v>
      </c>
      <c r="S13" s="2">
        <f t="shared" si="2"/>
        <v>0</v>
      </c>
      <c r="T13" s="2">
        <f t="shared" si="2"/>
        <v>0</v>
      </c>
      <c r="U13" s="2">
        <f t="shared" si="2"/>
        <v>0</v>
      </c>
      <c r="V13" s="2">
        <f t="shared" si="2"/>
        <v>0</v>
      </c>
      <c r="W13" s="2">
        <f t="shared" si="2"/>
        <v>2.4154889308022311E-2</v>
      </c>
      <c r="X13" s="2">
        <f t="shared" si="2"/>
        <v>2.5003933667199291E-2</v>
      </c>
      <c r="Y13" s="2">
        <f t="shared" si="2"/>
        <v>2.5882821935601347E-2</v>
      </c>
      <c r="Z13" s="2">
        <f t="shared" si="2"/>
        <v>2.6792603126637737E-2</v>
      </c>
      <c r="AA13" s="2">
        <f t="shared" si="2"/>
        <v>2.7734363126539055E-2</v>
      </c>
      <c r="AB13" s="2">
        <f t="shared" si="2"/>
        <v>2.8709225990436904E-2</v>
      </c>
      <c r="AC13" s="2">
        <f t="shared" si="2"/>
        <v>2.9718355284000755E-2</v>
      </c>
      <c r="AD13" s="2">
        <f t="shared" si="2"/>
        <v>3.0762955472233393E-2</v>
      </c>
      <c r="AE13" s="2">
        <f t="shared" si="2"/>
        <v>3.1844273357082391E-2</v>
      </c>
      <c r="AF13" s="2">
        <f t="shared" si="2"/>
        <v>3.296359956558384E-2</v>
      </c>
      <c r="AG13" s="2">
        <f t="shared" si="2"/>
        <v>3.4122270090314114E-2</v>
      </c>
      <c r="AH13" s="2">
        <f t="shared" si="2"/>
        <v>3.5321667883988654E-2</v>
      </c>
      <c r="AI13" s="2">
        <f t="shared" si="2"/>
        <v>3.6563224510110855E-2</v>
      </c>
      <c r="AJ13" s="2">
        <f t="shared" si="2"/>
        <v>3.7848421851641251E-2</v>
      </c>
      <c r="AK13" s="2">
        <f t="shared" si="2"/>
        <v>3.9178793879726434E-2</v>
      </c>
      <c r="AL13" s="2">
        <f t="shared" si="2"/>
        <v>4.0555928484598831E-2</v>
      </c>
      <c r="AM13" s="2">
        <f t="shared" si="2"/>
        <v>4.1981469370832476E-2</v>
      </c>
      <c r="AN13" s="2">
        <f t="shared" si="2"/>
        <v>4.3457118019217235E-2</v>
      </c>
      <c r="AO13" s="2">
        <f t="shared" si="2"/>
        <v>4.4984635717592723E-2</v>
      </c>
      <c r="AP13" s="2">
        <f t="shared" si="2"/>
        <v>4.6565845663066104E-2</v>
      </c>
      <c r="AQ13" s="2">
        <f t="shared" si="2"/>
        <v>4.8202635138122889E-2</v>
      </c>
      <c r="AR13" s="2">
        <f t="shared" si="2"/>
        <v>4.9896957763227903E-2</v>
      </c>
      <c r="AS13" s="2">
        <f t="shared" si="2"/>
        <v>5.1650835828605364E-2</v>
      </c>
      <c r="AT13" s="2">
        <f t="shared" si="2"/>
        <v>5.3466362707980837E-2</v>
      </c>
      <c r="AU13" s="2">
        <f t="shared" si="2"/>
        <v>5.5345705357166361E-2</v>
      </c>
      <c r="AV13" s="2">
        <f t="shared" si="2"/>
        <v>5.7291106900470755E-2</v>
      </c>
      <c r="AW13" s="2">
        <f t="shared" si="2"/>
        <v>0</v>
      </c>
      <c r="AX13" s="2">
        <f t="shared" si="2"/>
        <v>0</v>
      </c>
      <c r="AY13" s="2">
        <f t="shared" si="2"/>
        <v>0</v>
      </c>
      <c r="AZ13" s="2">
        <f t="shared" si="2"/>
        <v>0</v>
      </c>
      <c r="BA13" s="2">
        <f t="shared" si="2"/>
        <v>0</v>
      </c>
      <c r="BB13" s="2">
        <f t="shared" si="2"/>
        <v>0</v>
      </c>
      <c r="BC13" s="2">
        <f t="shared" si="2"/>
        <v>0</v>
      </c>
      <c r="BD13" s="2">
        <f t="shared" si="2"/>
        <v>0</v>
      </c>
      <c r="BE13" s="2">
        <f t="shared" si="2"/>
        <v>0</v>
      </c>
      <c r="BF13" s="2">
        <f t="shared" si="2"/>
        <v>0</v>
      </c>
      <c r="BG13" s="2">
        <f t="shared" si="2"/>
        <v>0</v>
      </c>
      <c r="BH13" s="2">
        <f t="shared" si="2"/>
        <v>0</v>
      </c>
      <c r="BI13" s="2">
        <f t="shared" si="2"/>
        <v>0</v>
      </c>
      <c r="BJ13" s="2">
        <f t="shared" si="2"/>
        <v>0</v>
      </c>
    </row>
    <row r="14" spans="1:16384" ht="11.25" customHeight="1" x14ac:dyDescent="0.25">
      <c r="A14" s="12"/>
      <c r="B14" s="12" t="s">
        <v>145</v>
      </c>
      <c r="C14" s="22" t="s">
        <v>1</v>
      </c>
      <c r="D14" s="273">
        <f>Assumptions!D170</f>
        <v>330246.11397619656</v>
      </c>
      <c r="E14" s="12"/>
      <c r="F14" s="80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62"/>
      <c r="X14" s="62"/>
      <c r="Y14" s="6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</row>
    <row r="15" spans="1:16384" ht="11.25" customHeight="1" x14ac:dyDescent="0.25">
      <c r="A15" s="12"/>
      <c r="B15" s="12" t="s">
        <v>146</v>
      </c>
      <c r="C15" s="22" t="s">
        <v>1</v>
      </c>
      <c r="D15" s="12"/>
      <c r="E15" s="1">
        <f t="shared" si="0"/>
        <v>5091588.2247976623</v>
      </c>
      <c r="F15" s="80" t="s">
        <v>26</v>
      </c>
      <c r="G15" s="1">
        <f>F17</f>
        <v>0</v>
      </c>
      <c r="H15" s="1">
        <f t="shared" ref="H15:BJ15" si="3">G17</f>
        <v>0</v>
      </c>
      <c r="I15" s="1">
        <f t="shared" si="3"/>
        <v>0</v>
      </c>
      <c r="J15" s="1">
        <f t="shared" si="3"/>
        <v>0</v>
      </c>
      <c r="K15" s="1">
        <f t="shared" si="3"/>
        <v>0</v>
      </c>
      <c r="L15" s="1">
        <f t="shared" si="3"/>
        <v>0</v>
      </c>
      <c r="M15" s="1">
        <f t="shared" si="3"/>
        <v>0</v>
      </c>
      <c r="N15" s="1">
        <f t="shared" si="3"/>
        <v>0</v>
      </c>
      <c r="O15" s="1">
        <f t="shared" si="3"/>
        <v>0</v>
      </c>
      <c r="P15" s="1">
        <f t="shared" si="3"/>
        <v>0</v>
      </c>
      <c r="Q15" s="1">
        <f t="shared" si="3"/>
        <v>0</v>
      </c>
      <c r="R15" s="1">
        <f t="shared" si="3"/>
        <v>0</v>
      </c>
      <c r="S15" s="1">
        <f t="shared" si="3"/>
        <v>0</v>
      </c>
      <c r="T15" s="1">
        <f t="shared" si="3"/>
        <v>0</v>
      </c>
      <c r="U15" s="1">
        <f t="shared" si="3"/>
        <v>0</v>
      </c>
      <c r="V15" s="1">
        <f t="shared" si="3"/>
        <v>0</v>
      </c>
      <c r="W15" s="1">
        <f t="shared" si="3"/>
        <v>330246.11397619656</v>
      </c>
      <c r="X15" s="1">
        <f t="shared" si="3"/>
        <v>322269.05564869702</v>
      </c>
      <c r="Y15" s="1">
        <f t="shared" si="3"/>
        <v>314011.60372098588</v>
      </c>
      <c r="Z15" s="1">
        <f t="shared" si="3"/>
        <v>305463.90235801565</v>
      </c>
      <c r="AA15" s="1">
        <f t="shared" si="3"/>
        <v>296615.74929213704</v>
      </c>
      <c r="AB15" s="1">
        <f t="shared" si="3"/>
        <v>287456.5836459928</v>
      </c>
      <c r="AC15" s="1">
        <f t="shared" si="3"/>
        <v>277975.4733273866</v>
      </c>
      <c r="AD15" s="1">
        <f t="shared" si="3"/>
        <v>268161.10198108136</v>
      </c>
      <c r="AE15" s="1">
        <f t="shared" si="3"/>
        <v>258001.7554819535</v>
      </c>
      <c r="AF15" s="1">
        <f t="shared" si="3"/>
        <v>247485.3079533813</v>
      </c>
      <c r="AG15" s="1">
        <f t="shared" si="3"/>
        <v>236599.2072941798</v>
      </c>
      <c r="AH15" s="1">
        <f t="shared" si="3"/>
        <v>225330.46019680737</v>
      </c>
      <c r="AI15" s="1">
        <f t="shared" si="3"/>
        <v>213665.6166389623</v>
      </c>
      <c r="AJ15" s="1">
        <f t="shared" si="3"/>
        <v>201590.75383005897</v>
      </c>
      <c r="AK15" s="1">
        <f t="shared" si="3"/>
        <v>189091.45959342268</v>
      </c>
      <c r="AL15" s="1">
        <f t="shared" si="3"/>
        <v>176152.81516436863</v>
      </c>
      <c r="AM15" s="1">
        <f t="shared" si="3"/>
        <v>162759.37738363331</v>
      </c>
      <c r="AN15" s="1">
        <f t="shared" si="3"/>
        <v>148895.16026490516</v>
      </c>
      <c r="AO15" s="1">
        <f t="shared" si="3"/>
        <v>134543.61591445372</v>
      </c>
      <c r="AP15" s="1">
        <f t="shared" si="3"/>
        <v>119687.61478008391</v>
      </c>
      <c r="AQ15" s="1">
        <f t="shared" si="3"/>
        <v>104309.42520584101</v>
      </c>
      <c r="AR15" s="1">
        <f t="shared" si="3"/>
        <v>88390.69226806346</v>
      </c>
      <c r="AS15" s="1">
        <f t="shared" si="3"/>
        <v>71912.415867523028</v>
      </c>
      <c r="AT15" s="1">
        <f t="shared" si="3"/>
        <v>54854.928051503608</v>
      </c>
      <c r="AU15" s="1">
        <f t="shared" si="3"/>
        <v>37197.869538751103</v>
      </c>
      <c r="AV15" s="1">
        <f t="shared" si="3"/>
        <v>18920.165419275349</v>
      </c>
      <c r="AW15" s="1">
        <f t="shared" si="3"/>
        <v>2.1827872842550278E-11</v>
      </c>
      <c r="AX15" s="1">
        <f t="shared" si="3"/>
        <v>2.1827872842550278E-11</v>
      </c>
      <c r="AY15" s="1">
        <f t="shared" si="3"/>
        <v>2.1827872842550278E-11</v>
      </c>
      <c r="AZ15" s="1">
        <f t="shared" si="3"/>
        <v>2.1827872842550278E-11</v>
      </c>
      <c r="BA15" s="1">
        <f t="shared" si="3"/>
        <v>2.1827872842550278E-11</v>
      </c>
      <c r="BB15" s="1">
        <f t="shared" si="3"/>
        <v>2.1827872842550278E-11</v>
      </c>
      <c r="BC15" s="1">
        <f t="shared" si="3"/>
        <v>2.1827872842550278E-11</v>
      </c>
      <c r="BD15" s="1">
        <f t="shared" si="3"/>
        <v>2.1827872842550278E-11</v>
      </c>
      <c r="BE15" s="1">
        <f t="shared" si="3"/>
        <v>2.1827872842550278E-11</v>
      </c>
      <c r="BF15" s="1">
        <f t="shared" si="3"/>
        <v>2.1827872842550278E-11</v>
      </c>
      <c r="BG15" s="1">
        <f t="shared" si="3"/>
        <v>2.1827872842550278E-11</v>
      </c>
      <c r="BH15" s="1">
        <f t="shared" si="3"/>
        <v>2.1827872842550278E-11</v>
      </c>
      <c r="BI15" s="1">
        <f t="shared" si="3"/>
        <v>2.1827872842550278E-11</v>
      </c>
      <c r="BJ15" s="1">
        <f t="shared" si="3"/>
        <v>2.1827872842550278E-11</v>
      </c>
    </row>
    <row r="16" spans="1:16384" ht="11.25" customHeight="1" x14ac:dyDescent="0.25">
      <c r="A16" s="12"/>
      <c r="B16" s="12" t="s">
        <v>147</v>
      </c>
      <c r="C16" s="22" t="s">
        <v>1</v>
      </c>
      <c r="D16" s="12"/>
      <c r="E16" s="1">
        <f t="shared" si="0"/>
        <v>-330246.11397619656</v>
      </c>
      <c r="F16" s="80" t="s">
        <v>26</v>
      </c>
      <c r="G16" s="1">
        <f>-(IF(G9=0,0,G13*$D$14))</f>
        <v>0</v>
      </c>
      <c r="H16" s="1">
        <f t="shared" ref="H16:BJ16" si="4">-(IF(H9=0,0,H13*$D$14))</f>
        <v>0</v>
      </c>
      <c r="I16" s="1">
        <f t="shared" si="4"/>
        <v>0</v>
      </c>
      <c r="J16" s="1">
        <f t="shared" si="4"/>
        <v>0</v>
      </c>
      <c r="K16" s="1">
        <f t="shared" si="4"/>
        <v>0</v>
      </c>
      <c r="L16" s="1">
        <f t="shared" si="4"/>
        <v>0</v>
      </c>
      <c r="M16" s="1">
        <f t="shared" si="4"/>
        <v>0</v>
      </c>
      <c r="N16" s="1">
        <f t="shared" si="4"/>
        <v>0</v>
      </c>
      <c r="O16" s="1">
        <f t="shared" si="4"/>
        <v>0</v>
      </c>
      <c r="P16" s="1">
        <f t="shared" si="4"/>
        <v>0</v>
      </c>
      <c r="Q16" s="1">
        <f t="shared" si="4"/>
        <v>0</v>
      </c>
      <c r="R16" s="1">
        <f t="shared" si="4"/>
        <v>0</v>
      </c>
      <c r="S16" s="1">
        <f t="shared" si="4"/>
        <v>0</v>
      </c>
      <c r="T16" s="1">
        <f t="shared" si="4"/>
        <v>0</v>
      </c>
      <c r="U16" s="1">
        <f t="shared" si="4"/>
        <v>0</v>
      </c>
      <c r="V16" s="1">
        <f t="shared" si="4"/>
        <v>0</v>
      </c>
      <c r="W16" s="1">
        <f t="shared" si="4"/>
        <v>-7977.0583274995479</v>
      </c>
      <c r="X16" s="1">
        <f t="shared" si="4"/>
        <v>-8257.4519277111558</v>
      </c>
      <c r="Y16" s="1">
        <f t="shared" si="4"/>
        <v>-8547.7013629702033</v>
      </c>
      <c r="Z16" s="1">
        <f t="shared" si="4"/>
        <v>-8848.1530658786069</v>
      </c>
      <c r="AA16" s="1">
        <f t="shared" si="4"/>
        <v>-9159.1656461442399</v>
      </c>
      <c r="AB16" s="1">
        <f t="shared" si="4"/>
        <v>-9481.1103186062101</v>
      </c>
      <c r="AC16" s="1">
        <f t="shared" si="4"/>
        <v>-9814.3713463052172</v>
      </c>
      <c r="AD16" s="1">
        <f t="shared" si="4"/>
        <v>-10159.346499127849</v>
      </c>
      <c r="AE16" s="1">
        <f t="shared" si="4"/>
        <v>-10516.447528572191</v>
      </c>
      <c r="AF16" s="1">
        <f t="shared" si="4"/>
        <v>-10886.100659201504</v>
      </c>
      <c r="AG16" s="1">
        <f t="shared" si="4"/>
        <v>-11268.747097372438</v>
      </c>
      <c r="AH16" s="1">
        <f t="shared" si="4"/>
        <v>-11664.843557845079</v>
      </c>
      <c r="AI16" s="1">
        <f t="shared" si="4"/>
        <v>-12074.862808903334</v>
      </c>
      <c r="AJ16" s="1">
        <f t="shared" si="4"/>
        <v>-12499.294236636286</v>
      </c>
      <c r="AK16" s="1">
        <f t="shared" si="4"/>
        <v>-12938.644429054048</v>
      </c>
      <c r="AL16" s="1">
        <f t="shared" si="4"/>
        <v>-13393.437780735303</v>
      </c>
      <c r="AM16" s="1">
        <f t="shared" si="4"/>
        <v>-13864.217118728147</v>
      </c>
      <c r="AN16" s="1">
        <f t="shared" si="4"/>
        <v>-14351.544350451441</v>
      </c>
      <c r="AO16" s="1">
        <f t="shared" si="4"/>
        <v>-14856.00113436981</v>
      </c>
      <c r="AP16" s="1">
        <f t="shared" si="4"/>
        <v>-15378.189574242906</v>
      </c>
      <c r="AQ16" s="1">
        <f t="shared" si="4"/>
        <v>-15918.73293777755</v>
      </c>
      <c r="AR16" s="1">
        <f t="shared" si="4"/>
        <v>-16478.276400540428</v>
      </c>
      <c r="AS16" s="1">
        <f t="shared" si="4"/>
        <v>-17057.487816019424</v>
      </c>
      <c r="AT16" s="1">
        <f t="shared" si="4"/>
        <v>-17657.058512752505</v>
      </c>
      <c r="AU16" s="1">
        <f t="shared" si="4"/>
        <v>-18277.704119475755</v>
      </c>
      <c r="AV16" s="1">
        <f t="shared" si="4"/>
        <v>-18920.165419275327</v>
      </c>
      <c r="AW16" s="1">
        <f t="shared" si="4"/>
        <v>0</v>
      </c>
      <c r="AX16" s="1">
        <f t="shared" si="4"/>
        <v>0</v>
      </c>
      <c r="AY16" s="1">
        <f t="shared" si="4"/>
        <v>0</v>
      </c>
      <c r="AZ16" s="1">
        <f t="shared" si="4"/>
        <v>0</v>
      </c>
      <c r="BA16" s="1">
        <f t="shared" si="4"/>
        <v>0</v>
      </c>
      <c r="BB16" s="1">
        <f t="shared" si="4"/>
        <v>0</v>
      </c>
      <c r="BC16" s="1">
        <f t="shared" si="4"/>
        <v>0</v>
      </c>
      <c r="BD16" s="1">
        <f t="shared" si="4"/>
        <v>0</v>
      </c>
      <c r="BE16" s="1">
        <f t="shared" si="4"/>
        <v>0</v>
      </c>
      <c r="BF16" s="1">
        <f t="shared" si="4"/>
        <v>0</v>
      </c>
      <c r="BG16" s="1">
        <f t="shared" si="4"/>
        <v>0</v>
      </c>
      <c r="BH16" s="1">
        <f t="shared" si="4"/>
        <v>0</v>
      </c>
      <c r="BI16" s="1">
        <f t="shared" si="4"/>
        <v>0</v>
      </c>
      <c r="BJ16" s="1">
        <f t="shared" si="4"/>
        <v>0</v>
      </c>
    </row>
    <row r="17" spans="1:62" ht="11.25" customHeight="1" x14ac:dyDescent="0.25">
      <c r="A17" s="12"/>
      <c r="B17" s="12" t="s">
        <v>148</v>
      </c>
      <c r="C17" s="22" t="s">
        <v>1</v>
      </c>
      <c r="D17" s="12"/>
      <c r="E17" s="1">
        <f t="shared" si="0"/>
        <v>5091588.2247976623</v>
      </c>
      <c r="F17" s="80"/>
      <c r="G17" s="1">
        <f>IF(AND(G7=0,H7=1),$D$14,G15+G16)</f>
        <v>0</v>
      </c>
      <c r="H17" s="1">
        <f t="shared" ref="H17:BJ17" si="5">IF(AND(H7=0,I7=1),$D$14,H15+H16)</f>
        <v>0</v>
      </c>
      <c r="I17" s="1">
        <f t="shared" si="5"/>
        <v>0</v>
      </c>
      <c r="J17" s="1">
        <f t="shared" si="5"/>
        <v>0</v>
      </c>
      <c r="K17" s="1">
        <f t="shared" si="5"/>
        <v>0</v>
      </c>
      <c r="L17" s="1">
        <f t="shared" si="5"/>
        <v>0</v>
      </c>
      <c r="M17" s="1">
        <f t="shared" si="5"/>
        <v>0</v>
      </c>
      <c r="N17" s="1">
        <f t="shared" si="5"/>
        <v>0</v>
      </c>
      <c r="O17" s="1">
        <f t="shared" si="5"/>
        <v>0</v>
      </c>
      <c r="P17" s="1">
        <f t="shared" si="5"/>
        <v>0</v>
      </c>
      <c r="Q17" s="1">
        <f t="shared" si="5"/>
        <v>0</v>
      </c>
      <c r="R17" s="1">
        <f t="shared" si="5"/>
        <v>0</v>
      </c>
      <c r="S17" s="1">
        <f t="shared" si="5"/>
        <v>0</v>
      </c>
      <c r="T17" s="1">
        <f t="shared" si="5"/>
        <v>0</v>
      </c>
      <c r="U17" s="1">
        <f t="shared" si="5"/>
        <v>0</v>
      </c>
      <c r="V17" s="1">
        <f t="shared" si="5"/>
        <v>330246.11397619656</v>
      </c>
      <c r="W17" s="1">
        <f t="shared" si="5"/>
        <v>322269.05564869702</v>
      </c>
      <c r="X17" s="1">
        <f t="shared" si="5"/>
        <v>314011.60372098588</v>
      </c>
      <c r="Y17" s="1">
        <f t="shared" si="5"/>
        <v>305463.90235801565</v>
      </c>
      <c r="Z17" s="1">
        <f t="shared" si="5"/>
        <v>296615.74929213704</v>
      </c>
      <c r="AA17" s="1">
        <f t="shared" si="5"/>
        <v>287456.5836459928</v>
      </c>
      <c r="AB17" s="1">
        <f t="shared" si="5"/>
        <v>277975.4733273866</v>
      </c>
      <c r="AC17" s="1">
        <f t="shared" si="5"/>
        <v>268161.10198108136</v>
      </c>
      <c r="AD17" s="1">
        <f t="shared" si="5"/>
        <v>258001.7554819535</v>
      </c>
      <c r="AE17" s="1">
        <f t="shared" si="5"/>
        <v>247485.3079533813</v>
      </c>
      <c r="AF17" s="1">
        <f t="shared" si="5"/>
        <v>236599.2072941798</v>
      </c>
      <c r="AG17" s="1">
        <f t="shared" si="5"/>
        <v>225330.46019680737</v>
      </c>
      <c r="AH17" s="1">
        <f t="shared" si="5"/>
        <v>213665.6166389623</v>
      </c>
      <c r="AI17" s="1">
        <f t="shared" si="5"/>
        <v>201590.75383005897</v>
      </c>
      <c r="AJ17" s="1">
        <f t="shared" si="5"/>
        <v>189091.45959342268</v>
      </c>
      <c r="AK17" s="1">
        <f t="shared" si="5"/>
        <v>176152.81516436863</v>
      </c>
      <c r="AL17" s="1">
        <f t="shared" si="5"/>
        <v>162759.37738363331</v>
      </c>
      <c r="AM17" s="1">
        <f t="shared" si="5"/>
        <v>148895.16026490516</v>
      </c>
      <c r="AN17" s="1">
        <f t="shared" si="5"/>
        <v>134543.61591445372</v>
      </c>
      <c r="AO17" s="1">
        <f t="shared" si="5"/>
        <v>119687.61478008391</v>
      </c>
      <c r="AP17" s="1">
        <f t="shared" si="5"/>
        <v>104309.42520584101</v>
      </c>
      <c r="AQ17" s="1">
        <f t="shared" si="5"/>
        <v>88390.69226806346</v>
      </c>
      <c r="AR17" s="1">
        <f t="shared" si="5"/>
        <v>71912.415867523028</v>
      </c>
      <c r="AS17" s="1">
        <f t="shared" si="5"/>
        <v>54854.928051503608</v>
      </c>
      <c r="AT17" s="1">
        <f t="shared" si="5"/>
        <v>37197.869538751103</v>
      </c>
      <c r="AU17" s="1">
        <f t="shared" si="5"/>
        <v>18920.165419275349</v>
      </c>
      <c r="AV17" s="1">
        <f t="shared" si="5"/>
        <v>2.1827872842550278E-11</v>
      </c>
      <c r="AW17" s="1">
        <f t="shared" si="5"/>
        <v>2.1827872842550278E-11</v>
      </c>
      <c r="AX17" s="1">
        <f t="shared" si="5"/>
        <v>2.1827872842550278E-11</v>
      </c>
      <c r="AY17" s="1">
        <f t="shared" si="5"/>
        <v>2.1827872842550278E-11</v>
      </c>
      <c r="AZ17" s="1">
        <f t="shared" si="5"/>
        <v>2.1827872842550278E-11</v>
      </c>
      <c r="BA17" s="1">
        <f t="shared" si="5"/>
        <v>2.1827872842550278E-11</v>
      </c>
      <c r="BB17" s="1">
        <f t="shared" si="5"/>
        <v>2.1827872842550278E-11</v>
      </c>
      <c r="BC17" s="1">
        <f t="shared" si="5"/>
        <v>2.1827872842550278E-11</v>
      </c>
      <c r="BD17" s="1">
        <f t="shared" si="5"/>
        <v>2.1827872842550278E-11</v>
      </c>
      <c r="BE17" s="1">
        <f t="shared" si="5"/>
        <v>2.1827872842550278E-11</v>
      </c>
      <c r="BF17" s="1">
        <f t="shared" si="5"/>
        <v>2.1827872842550278E-11</v>
      </c>
      <c r="BG17" s="1">
        <f t="shared" si="5"/>
        <v>2.1827872842550278E-11</v>
      </c>
      <c r="BH17" s="1">
        <f t="shared" si="5"/>
        <v>2.1827872842550278E-11</v>
      </c>
      <c r="BI17" s="1">
        <f t="shared" si="5"/>
        <v>2.1827872842550278E-11</v>
      </c>
      <c r="BJ17" s="1">
        <f t="shared" si="5"/>
        <v>2.1827872842550278E-11</v>
      </c>
    </row>
    <row r="18" spans="1:62" ht="11.25" customHeight="1" x14ac:dyDescent="0.25">
      <c r="A18" s="12"/>
      <c r="B18" s="12" t="s">
        <v>149</v>
      </c>
      <c r="C18" s="22" t="s">
        <v>1</v>
      </c>
      <c r="D18" s="12"/>
      <c r="E18" s="1">
        <f t="shared" si="0"/>
        <v>-178969.32610163782</v>
      </c>
      <c r="F18" s="80" t="s">
        <v>26</v>
      </c>
      <c r="G18" s="149">
        <f>-(G15*G11)</f>
        <v>0</v>
      </c>
      <c r="H18" s="149">
        <f t="shared" ref="H18:BJ18" si="6">-(H15*H11)</f>
        <v>0</v>
      </c>
      <c r="I18" s="149">
        <f t="shared" si="6"/>
        <v>0</v>
      </c>
      <c r="J18" s="149">
        <f t="shared" si="6"/>
        <v>0</v>
      </c>
      <c r="K18" s="149">
        <f t="shared" si="6"/>
        <v>0</v>
      </c>
      <c r="L18" s="149">
        <f t="shared" si="6"/>
        <v>0</v>
      </c>
      <c r="M18" s="149">
        <f t="shared" si="6"/>
        <v>0</v>
      </c>
      <c r="N18" s="149">
        <f t="shared" si="6"/>
        <v>0</v>
      </c>
      <c r="O18" s="149">
        <f t="shared" si="6"/>
        <v>0</v>
      </c>
      <c r="P18" s="149">
        <f t="shared" si="6"/>
        <v>0</v>
      </c>
      <c r="Q18" s="149">
        <f t="shared" si="6"/>
        <v>0</v>
      </c>
      <c r="R18" s="149">
        <f t="shared" si="6"/>
        <v>0</v>
      </c>
      <c r="S18" s="149">
        <f t="shared" si="6"/>
        <v>0</v>
      </c>
      <c r="T18" s="149">
        <f t="shared" si="6"/>
        <v>0</v>
      </c>
      <c r="U18" s="149">
        <f t="shared" si="6"/>
        <v>0</v>
      </c>
      <c r="V18" s="149">
        <f t="shared" si="6"/>
        <v>0</v>
      </c>
      <c r="W18" s="149">
        <f t="shared" si="6"/>
        <v>-11608.150906263309</v>
      </c>
      <c r="X18" s="149">
        <f t="shared" si="6"/>
        <v>-11327.757306051701</v>
      </c>
      <c r="Y18" s="149">
        <f t="shared" si="6"/>
        <v>-11037.507870792653</v>
      </c>
      <c r="Z18" s="149">
        <f t="shared" si="6"/>
        <v>-10737.05616788425</v>
      </c>
      <c r="AA18" s="149">
        <f t="shared" si="6"/>
        <v>-10426.043587618617</v>
      </c>
      <c r="AB18" s="149">
        <f t="shared" si="6"/>
        <v>-10104.098915156646</v>
      </c>
      <c r="AC18" s="149">
        <f t="shared" si="6"/>
        <v>-9770.8378874576392</v>
      </c>
      <c r="AD18" s="149">
        <f t="shared" si="6"/>
        <v>-9425.8627346350095</v>
      </c>
      <c r="AE18" s="149">
        <f t="shared" si="6"/>
        <v>-9068.7617051906655</v>
      </c>
      <c r="AF18" s="149">
        <f t="shared" si="6"/>
        <v>-8699.1085745613527</v>
      </c>
      <c r="AG18" s="149">
        <f t="shared" si="6"/>
        <v>-8316.4621363904207</v>
      </c>
      <c r="AH18" s="149">
        <f t="shared" si="6"/>
        <v>-7920.3656759177793</v>
      </c>
      <c r="AI18" s="149">
        <f t="shared" si="6"/>
        <v>-7510.3464248595246</v>
      </c>
      <c r="AJ18" s="149">
        <f t="shared" si="6"/>
        <v>-7085.9149971265724</v>
      </c>
      <c r="AK18" s="149">
        <f t="shared" si="6"/>
        <v>-6646.5648047088071</v>
      </c>
      <c r="AL18" s="149">
        <f t="shared" si="6"/>
        <v>-6191.7714530275571</v>
      </c>
      <c r="AM18" s="149">
        <f t="shared" si="6"/>
        <v>-5720.9921150347109</v>
      </c>
      <c r="AN18" s="149">
        <f t="shared" si="6"/>
        <v>-5233.6648833114168</v>
      </c>
      <c r="AO18" s="149">
        <f t="shared" si="6"/>
        <v>-4729.2080993930485</v>
      </c>
      <c r="AP18" s="149">
        <f t="shared" si="6"/>
        <v>-4207.0196595199495</v>
      </c>
      <c r="AQ18" s="149">
        <f t="shared" si="6"/>
        <v>-3666.4762959853115</v>
      </c>
      <c r="AR18" s="149">
        <f t="shared" si="6"/>
        <v>-3106.9328332224309</v>
      </c>
      <c r="AS18" s="149">
        <f t="shared" si="6"/>
        <v>-2527.7214177434344</v>
      </c>
      <c r="AT18" s="149">
        <f t="shared" si="6"/>
        <v>-1928.1507210103518</v>
      </c>
      <c r="AU18" s="149">
        <f t="shared" si="6"/>
        <v>-1307.5051142871014</v>
      </c>
      <c r="AV18" s="149">
        <f t="shared" si="6"/>
        <v>-665.04381448752849</v>
      </c>
      <c r="AW18" s="149">
        <f t="shared" si="6"/>
        <v>0</v>
      </c>
      <c r="AX18" s="149">
        <f t="shared" si="6"/>
        <v>0</v>
      </c>
      <c r="AY18" s="149">
        <f t="shared" si="6"/>
        <v>0</v>
      </c>
      <c r="AZ18" s="149">
        <f t="shared" si="6"/>
        <v>0</v>
      </c>
      <c r="BA18" s="149">
        <f t="shared" si="6"/>
        <v>0</v>
      </c>
      <c r="BB18" s="149">
        <f t="shared" si="6"/>
        <v>0</v>
      </c>
      <c r="BC18" s="149">
        <f t="shared" si="6"/>
        <v>0</v>
      </c>
      <c r="BD18" s="149">
        <f t="shared" si="6"/>
        <v>0</v>
      </c>
      <c r="BE18" s="149">
        <f t="shared" si="6"/>
        <v>0</v>
      </c>
      <c r="BF18" s="149">
        <f t="shared" si="6"/>
        <v>0</v>
      </c>
      <c r="BG18" s="149">
        <f t="shared" si="6"/>
        <v>0</v>
      </c>
      <c r="BH18" s="149">
        <f t="shared" si="6"/>
        <v>0</v>
      </c>
      <c r="BI18" s="149">
        <f t="shared" si="6"/>
        <v>0</v>
      </c>
      <c r="BJ18" s="149">
        <f t="shared" si="6"/>
        <v>0</v>
      </c>
    </row>
    <row r="19" spans="1:62" ht="11.25" customHeight="1" x14ac:dyDescent="0.25">
      <c r="A19" s="12" t="s">
        <v>26</v>
      </c>
      <c r="B19" s="222" t="s">
        <v>150</v>
      </c>
      <c r="C19" s="223" t="s">
        <v>1</v>
      </c>
      <c r="D19" s="222"/>
      <c r="E19" s="224">
        <f t="shared" si="0"/>
        <v>-509215.44007783453</v>
      </c>
      <c r="F19" s="307" t="s">
        <v>26</v>
      </c>
      <c r="G19" s="224">
        <f>G16+G18</f>
        <v>0</v>
      </c>
      <c r="H19" s="224">
        <f t="shared" ref="H19:BJ19" si="7">H16+H18</f>
        <v>0</v>
      </c>
      <c r="I19" s="224">
        <f t="shared" si="7"/>
        <v>0</v>
      </c>
      <c r="J19" s="224">
        <f t="shared" si="7"/>
        <v>0</v>
      </c>
      <c r="K19" s="224">
        <f t="shared" si="7"/>
        <v>0</v>
      </c>
      <c r="L19" s="224">
        <f t="shared" si="7"/>
        <v>0</v>
      </c>
      <c r="M19" s="224">
        <f t="shared" si="7"/>
        <v>0</v>
      </c>
      <c r="N19" s="224">
        <f t="shared" si="7"/>
        <v>0</v>
      </c>
      <c r="O19" s="224">
        <f t="shared" si="7"/>
        <v>0</v>
      </c>
      <c r="P19" s="224">
        <f t="shared" si="7"/>
        <v>0</v>
      </c>
      <c r="Q19" s="224">
        <f t="shared" si="7"/>
        <v>0</v>
      </c>
      <c r="R19" s="224">
        <f t="shared" si="7"/>
        <v>0</v>
      </c>
      <c r="S19" s="224">
        <f t="shared" si="7"/>
        <v>0</v>
      </c>
      <c r="T19" s="224">
        <f t="shared" si="7"/>
        <v>0</v>
      </c>
      <c r="U19" s="224">
        <f t="shared" si="7"/>
        <v>0</v>
      </c>
      <c r="V19" s="224">
        <f t="shared" si="7"/>
        <v>0</v>
      </c>
      <c r="W19" s="224">
        <f t="shared" si="7"/>
        <v>-19585.209233762856</v>
      </c>
      <c r="X19" s="224">
        <f t="shared" si="7"/>
        <v>-19585.209233762856</v>
      </c>
      <c r="Y19" s="224">
        <f t="shared" si="7"/>
        <v>-19585.209233762856</v>
      </c>
      <c r="Z19" s="224">
        <f t="shared" si="7"/>
        <v>-19585.209233762856</v>
      </c>
      <c r="AA19" s="224">
        <f t="shared" si="7"/>
        <v>-19585.209233762856</v>
      </c>
      <c r="AB19" s="224">
        <f t="shared" si="7"/>
        <v>-19585.209233762856</v>
      </c>
      <c r="AC19" s="224">
        <f t="shared" si="7"/>
        <v>-19585.209233762856</v>
      </c>
      <c r="AD19" s="224">
        <f t="shared" si="7"/>
        <v>-19585.209233762856</v>
      </c>
      <c r="AE19" s="224">
        <f t="shared" si="7"/>
        <v>-19585.209233762856</v>
      </c>
      <c r="AF19" s="224">
        <f t="shared" si="7"/>
        <v>-19585.209233762856</v>
      </c>
      <c r="AG19" s="224">
        <f t="shared" si="7"/>
        <v>-19585.209233762856</v>
      </c>
      <c r="AH19" s="224">
        <f t="shared" si="7"/>
        <v>-19585.209233762856</v>
      </c>
      <c r="AI19" s="224">
        <f t="shared" si="7"/>
        <v>-19585.209233762856</v>
      </c>
      <c r="AJ19" s="224">
        <f t="shared" si="7"/>
        <v>-19585.209233762856</v>
      </c>
      <c r="AK19" s="224">
        <f t="shared" si="7"/>
        <v>-19585.209233762856</v>
      </c>
      <c r="AL19" s="224">
        <f t="shared" si="7"/>
        <v>-19585.20923376286</v>
      </c>
      <c r="AM19" s="224">
        <f t="shared" si="7"/>
        <v>-19585.209233762856</v>
      </c>
      <c r="AN19" s="224">
        <f t="shared" si="7"/>
        <v>-19585.209233762856</v>
      </c>
      <c r="AO19" s="224">
        <f t="shared" si="7"/>
        <v>-19585.209233762856</v>
      </c>
      <c r="AP19" s="224">
        <f t="shared" si="7"/>
        <v>-19585.209233762856</v>
      </c>
      <c r="AQ19" s="224">
        <f t="shared" si="7"/>
        <v>-19585.20923376286</v>
      </c>
      <c r="AR19" s="224">
        <f t="shared" si="7"/>
        <v>-19585.20923376286</v>
      </c>
      <c r="AS19" s="224">
        <f t="shared" si="7"/>
        <v>-19585.209233762856</v>
      </c>
      <c r="AT19" s="224">
        <f t="shared" si="7"/>
        <v>-19585.209233762856</v>
      </c>
      <c r="AU19" s="224">
        <f t="shared" si="7"/>
        <v>-19585.209233762856</v>
      </c>
      <c r="AV19" s="224">
        <f t="shared" si="7"/>
        <v>-19585.209233762856</v>
      </c>
      <c r="AW19" s="224">
        <f t="shared" si="7"/>
        <v>0</v>
      </c>
      <c r="AX19" s="224">
        <f t="shared" si="7"/>
        <v>0</v>
      </c>
      <c r="AY19" s="224">
        <f t="shared" si="7"/>
        <v>0</v>
      </c>
      <c r="AZ19" s="224">
        <f t="shared" si="7"/>
        <v>0</v>
      </c>
      <c r="BA19" s="224">
        <f t="shared" si="7"/>
        <v>0</v>
      </c>
      <c r="BB19" s="224">
        <f t="shared" si="7"/>
        <v>0</v>
      </c>
      <c r="BC19" s="224">
        <f t="shared" si="7"/>
        <v>0</v>
      </c>
      <c r="BD19" s="224">
        <f t="shared" si="7"/>
        <v>0</v>
      </c>
      <c r="BE19" s="224">
        <f t="shared" si="7"/>
        <v>0</v>
      </c>
      <c r="BF19" s="224">
        <f t="shared" si="7"/>
        <v>0</v>
      </c>
      <c r="BG19" s="224">
        <f t="shared" si="7"/>
        <v>0</v>
      </c>
      <c r="BH19" s="224">
        <f t="shared" si="7"/>
        <v>0</v>
      </c>
      <c r="BI19" s="224">
        <f t="shared" si="7"/>
        <v>0</v>
      </c>
      <c r="BJ19" s="224">
        <f t="shared" si="7"/>
        <v>0</v>
      </c>
    </row>
    <row r="20" spans="1:62" ht="11.25" customHeight="1" x14ac:dyDescent="0.25">
      <c r="A20" s="12"/>
      <c r="B20" s="12"/>
      <c r="C20" s="22"/>
      <c r="D20" s="12"/>
      <c r="E20" s="12"/>
      <c r="F20" s="80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</row>
    <row r="21" spans="1:62" ht="11.25" customHeight="1" x14ac:dyDescent="0.25">
      <c r="A21" s="12" t="s">
        <v>26</v>
      </c>
      <c r="B21" s="17" t="s">
        <v>151</v>
      </c>
      <c r="C21" s="22"/>
      <c r="D21" s="12"/>
      <c r="E21" s="12"/>
      <c r="F21" s="80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</row>
    <row r="22" spans="1:62" ht="11.25" customHeight="1" x14ac:dyDescent="0.25">
      <c r="A22" s="12"/>
      <c r="B22" s="12" t="s">
        <v>66</v>
      </c>
      <c r="C22" s="22" t="s">
        <v>108</v>
      </c>
      <c r="D22" s="12"/>
      <c r="E22" s="12"/>
      <c r="F22" s="80" t="s">
        <v>26</v>
      </c>
      <c r="G22" s="23">
        <f>G9</f>
        <v>0</v>
      </c>
      <c r="H22" s="23">
        <f t="shared" ref="H22:BJ22" si="8">H9</f>
        <v>0</v>
      </c>
      <c r="I22" s="23">
        <f t="shared" si="8"/>
        <v>0</v>
      </c>
      <c r="J22" s="23">
        <f t="shared" si="8"/>
        <v>0</v>
      </c>
      <c r="K22" s="23">
        <f t="shared" si="8"/>
        <v>0</v>
      </c>
      <c r="L22" s="23">
        <f t="shared" si="8"/>
        <v>0</v>
      </c>
      <c r="M22" s="23">
        <f t="shared" si="8"/>
        <v>0</v>
      </c>
      <c r="N22" s="23">
        <f t="shared" si="8"/>
        <v>0</v>
      </c>
      <c r="O22" s="23">
        <f t="shared" si="8"/>
        <v>0</v>
      </c>
      <c r="P22" s="23">
        <f t="shared" si="8"/>
        <v>0</v>
      </c>
      <c r="Q22" s="23">
        <f t="shared" si="8"/>
        <v>0</v>
      </c>
      <c r="R22" s="23">
        <f t="shared" si="8"/>
        <v>0</v>
      </c>
      <c r="S22" s="23">
        <f t="shared" si="8"/>
        <v>0</v>
      </c>
      <c r="T22" s="23">
        <f t="shared" si="8"/>
        <v>0</v>
      </c>
      <c r="U22" s="23">
        <f t="shared" si="8"/>
        <v>0</v>
      </c>
      <c r="V22" s="23">
        <f t="shared" si="8"/>
        <v>0</v>
      </c>
      <c r="W22" s="23">
        <f t="shared" si="8"/>
        <v>1</v>
      </c>
      <c r="X22" s="23">
        <f t="shared" si="8"/>
        <v>2</v>
      </c>
      <c r="Y22" s="23">
        <f t="shared" si="8"/>
        <v>3</v>
      </c>
      <c r="Z22" s="23">
        <f t="shared" si="8"/>
        <v>4</v>
      </c>
      <c r="AA22" s="23">
        <f t="shared" si="8"/>
        <v>5</v>
      </c>
      <c r="AB22" s="23">
        <f t="shared" si="8"/>
        <v>6</v>
      </c>
      <c r="AC22" s="23">
        <f t="shared" si="8"/>
        <v>7</v>
      </c>
      <c r="AD22" s="23">
        <f t="shared" si="8"/>
        <v>8</v>
      </c>
      <c r="AE22" s="23">
        <f t="shared" si="8"/>
        <v>9</v>
      </c>
      <c r="AF22" s="23">
        <f t="shared" si="8"/>
        <v>10</v>
      </c>
      <c r="AG22" s="23">
        <f t="shared" si="8"/>
        <v>11</v>
      </c>
      <c r="AH22" s="23">
        <f t="shared" si="8"/>
        <v>12</v>
      </c>
      <c r="AI22" s="23">
        <f t="shared" si="8"/>
        <v>13</v>
      </c>
      <c r="AJ22" s="23">
        <f t="shared" si="8"/>
        <v>14</v>
      </c>
      <c r="AK22" s="23">
        <f t="shared" si="8"/>
        <v>15</v>
      </c>
      <c r="AL22" s="23">
        <f t="shared" si="8"/>
        <v>16</v>
      </c>
      <c r="AM22" s="23">
        <f t="shared" si="8"/>
        <v>17</v>
      </c>
      <c r="AN22" s="23">
        <f t="shared" si="8"/>
        <v>18</v>
      </c>
      <c r="AO22" s="23">
        <f t="shared" si="8"/>
        <v>19</v>
      </c>
      <c r="AP22" s="23">
        <f t="shared" si="8"/>
        <v>20</v>
      </c>
      <c r="AQ22" s="23">
        <f t="shared" si="8"/>
        <v>21</v>
      </c>
      <c r="AR22" s="23">
        <f t="shared" si="8"/>
        <v>22</v>
      </c>
      <c r="AS22" s="23">
        <f t="shared" si="8"/>
        <v>23</v>
      </c>
      <c r="AT22" s="23">
        <f t="shared" si="8"/>
        <v>24</v>
      </c>
      <c r="AU22" s="23">
        <f t="shared" si="8"/>
        <v>25</v>
      </c>
      <c r="AV22" s="23">
        <f t="shared" si="8"/>
        <v>26</v>
      </c>
      <c r="AW22" s="23">
        <f t="shared" si="8"/>
        <v>0</v>
      </c>
      <c r="AX22" s="23">
        <f t="shared" si="8"/>
        <v>0</v>
      </c>
      <c r="AY22" s="23">
        <f t="shared" si="8"/>
        <v>0</v>
      </c>
      <c r="AZ22" s="23">
        <f t="shared" si="8"/>
        <v>0</v>
      </c>
      <c r="BA22" s="23">
        <f t="shared" si="8"/>
        <v>0</v>
      </c>
      <c r="BB22" s="23">
        <f t="shared" si="8"/>
        <v>0</v>
      </c>
      <c r="BC22" s="23">
        <f t="shared" si="8"/>
        <v>0</v>
      </c>
      <c r="BD22" s="23">
        <f t="shared" si="8"/>
        <v>0</v>
      </c>
      <c r="BE22" s="23">
        <f t="shared" si="8"/>
        <v>0</v>
      </c>
      <c r="BF22" s="23">
        <f t="shared" si="8"/>
        <v>0</v>
      </c>
      <c r="BG22" s="23">
        <f t="shared" si="8"/>
        <v>0</v>
      </c>
      <c r="BH22" s="23">
        <f t="shared" si="8"/>
        <v>0</v>
      </c>
      <c r="BI22" s="23">
        <f t="shared" si="8"/>
        <v>0</v>
      </c>
      <c r="BJ22" s="23">
        <f t="shared" si="8"/>
        <v>0</v>
      </c>
    </row>
    <row r="23" spans="1:62" ht="11.25" customHeight="1" x14ac:dyDescent="0.25">
      <c r="A23" s="12"/>
      <c r="B23" s="12" t="s">
        <v>68</v>
      </c>
      <c r="C23" s="22" t="s">
        <v>69</v>
      </c>
      <c r="D23" s="76"/>
      <c r="E23" s="12"/>
      <c r="F23" s="80" t="s">
        <v>26</v>
      </c>
      <c r="G23" s="53">
        <f>IF(G22&gt;0,G3*G22,0)</f>
        <v>0</v>
      </c>
      <c r="H23" s="53">
        <f t="shared" ref="H23:BJ23" si="9">IF(H22&gt;0,H3*H22,0)</f>
        <v>0</v>
      </c>
      <c r="I23" s="53">
        <f t="shared" si="9"/>
        <v>0</v>
      </c>
      <c r="J23" s="53">
        <f t="shared" si="9"/>
        <v>0</v>
      </c>
      <c r="K23" s="53">
        <f t="shared" si="9"/>
        <v>0</v>
      </c>
      <c r="L23" s="53">
        <f t="shared" si="9"/>
        <v>0</v>
      </c>
      <c r="M23" s="53">
        <f t="shared" si="9"/>
        <v>0</v>
      </c>
      <c r="N23" s="53">
        <f t="shared" si="9"/>
        <v>0</v>
      </c>
      <c r="O23" s="53">
        <f t="shared" si="9"/>
        <v>0</v>
      </c>
      <c r="P23" s="53">
        <f t="shared" si="9"/>
        <v>0</v>
      </c>
      <c r="Q23" s="53">
        <f t="shared" si="9"/>
        <v>0</v>
      </c>
      <c r="R23" s="53">
        <f t="shared" si="9"/>
        <v>0</v>
      </c>
      <c r="S23" s="53">
        <f t="shared" si="9"/>
        <v>0</v>
      </c>
      <c r="T23" s="53">
        <f t="shared" si="9"/>
        <v>0</v>
      </c>
      <c r="U23" s="53">
        <f t="shared" si="9"/>
        <v>0</v>
      </c>
      <c r="V23" s="53">
        <f t="shared" si="9"/>
        <v>0</v>
      </c>
      <c r="W23" s="53">
        <f t="shared" si="9"/>
        <v>0.5</v>
      </c>
      <c r="X23" s="53">
        <f t="shared" si="9"/>
        <v>1</v>
      </c>
      <c r="Y23" s="53">
        <f t="shared" si="9"/>
        <v>1.5</v>
      </c>
      <c r="Z23" s="53">
        <f t="shared" si="9"/>
        <v>2</v>
      </c>
      <c r="AA23" s="53">
        <f t="shared" si="9"/>
        <v>2.5</v>
      </c>
      <c r="AB23" s="53">
        <f t="shared" si="9"/>
        <v>3</v>
      </c>
      <c r="AC23" s="53">
        <f t="shared" si="9"/>
        <v>3.5</v>
      </c>
      <c r="AD23" s="53">
        <f t="shared" si="9"/>
        <v>4</v>
      </c>
      <c r="AE23" s="53">
        <f t="shared" si="9"/>
        <v>4.5</v>
      </c>
      <c r="AF23" s="53">
        <f t="shared" si="9"/>
        <v>5</v>
      </c>
      <c r="AG23" s="53">
        <f t="shared" si="9"/>
        <v>5.5</v>
      </c>
      <c r="AH23" s="53">
        <f t="shared" si="9"/>
        <v>6</v>
      </c>
      <c r="AI23" s="53">
        <f t="shared" si="9"/>
        <v>6.5</v>
      </c>
      <c r="AJ23" s="53">
        <f t="shared" si="9"/>
        <v>7</v>
      </c>
      <c r="AK23" s="53">
        <f t="shared" si="9"/>
        <v>7.5</v>
      </c>
      <c r="AL23" s="53">
        <f t="shared" si="9"/>
        <v>8</v>
      </c>
      <c r="AM23" s="53">
        <f t="shared" si="9"/>
        <v>8.5</v>
      </c>
      <c r="AN23" s="53">
        <f t="shared" si="9"/>
        <v>9</v>
      </c>
      <c r="AO23" s="53">
        <f t="shared" si="9"/>
        <v>9.5</v>
      </c>
      <c r="AP23" s="53">
        <f t="shared" si="9"/>
        <v>10</v>
      </c>
      <c r="AQ23" s="53">
        <f t="shared" si="9"/>
        <v>10.5</v>
      </c>
      <c r="AR23" s="53">
        <f t="shared" si="9"/>
        <v>11</v>
      </c>
      <c r="AS23" s="53">
        <f t="shared" si="9"/>
        <v>11.5</v>
      </c>
      <c r="AT23" s="53">
        <f t="shared" si="9"/>
        <v>12</v>
      </c>
      <c r="AU23" s="53">
        <f t="shared" si="9"/>
        <v>12.5</v>
      </c>
      <c r="AV23" s="53">
        <f t="shared" si="9"/>
        <v>13</v>
      </c>
      <c r="AW23" s="53">
        <f t="shared" si="9"/>
        <v>0</v>
      </c>
      <c r="AX23" s="53">
        <f t="shared" si="9"/>
        <v>0</v>
      </c>
      <c r="AY23" s="53">
        <f t="shared" si="9"/>
        <v>0</v>
      </c>
      <c r="AZ23" s="53">
        <f t="shared" si="9"/>
        <v>0</v>
      </c>
      <c r="BA23" s="53">
        <f t="shared" si="9"/>
        <v>0</v>
      </c>
      <c r="BB23" s="53">
        <f t="shared" si="9"/>
        <v>0</v>
      </c>
      <c r="BC23" s="53">
        <f t="shared" si="9"/>
        <v>0</v>
      </c>
      <c r="BD23" s="53">
        <f t="shared" si="9"/>
        <v>0</v>
      </c>
      <c r="BE23" s="53">
        <f t="shared" si="9"/>
        <v>0</v>
      </c>
      <c r="BF23" s="53">
        <f t="shared" si="9"/>
        <v>0</v>
      </c>
      <c r="BG23" s="53">
        <f t="shared" si="9"/>
        <v>0</v>
      </c>
      <c r="BH23" s="53">
        <f t="shared" si="9"/>
        <v>0</v>
      </c>
      <c r="BI23" s="53">
        <f t="shared" si="9"/>
        <v>0</v>
      </c>
      <c r="BJ23" s="53">
        <f t="shared" si="9"/>
        <v>0</v>
      </c>
    </row>
    <row r="24" spans="1:62" ht="11.25" customHeight="1" x14ac:dyDescent="0.25">
      <c r="A24" s="12"/>
      <c r="B24" s="12" t="s">
        <v>152</v>
      </c>
      <c r="C24" s="22" t="s">
        <v>153</v>
      </c>
      <c r="D24" s="12"/>
      <c r="E24" s="12"/>
      <c r="F24" s="80" t="s">
        <v>26</v>
      </c>
      <c r="G24" s="2">
        <f>-(G16/$D$14)</f>
        <v>0</v>
      </c>
      <c r="H24" s="2">
        <f t="shared" ref="H24:BJ24" si="10">-(H16/$D$14)</f>
        <v>0</v>
      </c>
      <c r="I24" s="2">
        <f t="shared" si="10"/>
        <v>0</v>
      </c>
      <c r="J24" s="2">
        <f t="shared" si="10"/>
        <v>0</v>
      </c>
      <c r="K24" s="2">
        <f t="shared" si="10"/>
        <v>0</v>
      </c>
      <c r="L24" s="2">
        <f t="shared" si="10"/>
        <v>0</v>
      </c>
      <c r="M24" s="2">
        <f t="shared" si="10"/>
        <v>0</v>
      </c>
      <c r="N24" s="2">
        <f t="shared" si="10"/>
        <v>0</v>
      </c>
      <c r="O24" s="2">
        <f t="shared" si="10"/>
        <v>0</v>
      </c>
      <c r="P24" s="2">
        <f t="shared" si="10"/>
        <v>0</v>
      </c>
      <c r="Q24" s="2">
        <f t="shared" si="10"/>
        <v>0</v>
      </c>
      <c r="R24" s="2">
        <f t="shared" si="10"/>
        <v>0</v>
      </c>
      <c r="S24" s="2">
        <f t="shared" si="10"/>
        <v>0</v>
      </c>
      <c r="T24" s="2">
        <f t="shared" si="10"/>
        <v>0</v>
      </c>
      <c r="U24" s="2">
        <f t="shared" si="10"/>
        <v>0</v>
      </c>
      <c r="V24" s="2">
        <f t="shared" si="10"/>
        <v>0</v>
      </c>
      <c r="W24" s="2">
        <f t="shared" si="10"/>
        <v>2.4154889308022311E-2</v>
      </c>
      <c r="X24" s="2">
        <f t="shared" si="10"/>
        <v>2.5003933667199291E-2</v>
      </c>
      <c r="Y24" s="2">
        <f t="shared" si="10"/>
        <v>2.5882821935601347E-2</v>
      </c>
      <c r="Z24" s="2">
        <f t="shared" si="10"/>
        <v>2.6792603126637737E-2</v>
      </c>
      <c r="AA24" s="2">
        <f t="shared" si="10"/>
        <v>2.7734363126539055E-2</v>
      </c>
      <c r="AB24" s="2">
        <f t="shared" si="10"/>
        <v>2.8709225990436904E-2</v>
      </c>
      <c r="AC24" s="2">
        <f t="shared" si="10"/>
        <v>2.9718355284000755E-2</v>
      </c>
      <c r="AD24" s="2">
        <f t="shared" si="10"/>
        <v>3.0762955472233393E-2</v>
      </c>
      <c r="AE24" s="2">
        <f t="shared" si="10"/>
        <v>3.1844273357082391E-2</v>
      </c>
      <c r="AF24" s="2">
        <f t="shared" si="10"/>
        <v>3.296359956558384E-2</v>
      </c>
      <c r="AG24" s="2">
        <f t="shared" si="10"/>
        <v>3.4122270090314114E-2</v>
      </c>
      <c r="AH24" s="2">
        <f t="shared" si="10"/>
        <v>3.5321667883988654E-2</v>
      </c>
      <c r="AI24" s="2">
        <f t="shared" si="10"/>
        <v>3.6563224510110855E-2</v>
      </c>
      <c r="AJ24" s="2">
        <f t="shared" si="10"/>
        <v>3.7848421851641251E-2</v>
      </c>
      <c r="AK24" s="2">
        <f t="shared" si="10"/>
        <v>3.9178793879726434E-2</v>
      </c>
      <c r="AL24" s="2">
        <f t="shared" si="10"/>
        <v>4.0555928484598831E-2</v>
      </c>
      <c r="AM24" s="2">
        <f t="shared" si="10"/>
        <v>4.1981469370832476E-2</v>
      </c>
      <c r="AN24" s="2">
        <f t="shared" si="10"/>
        <v>4.3457118019217235E-2</v>
      </c>
      <c r="AO24" s="2">
        <f t="shared" si="10"/>
        <v>4.4984635717592723E-2</v>
      </c>
      <c r="AP24" s="2">
        <f t="shared" si="10"/>
        <v>4.6565845663066104E-2</v>
      </c>
      <c r="AQ24" s="2">
        <f t="shared" si="10"/>
        <v>4.8202635138122889E-2</v>
      </c>
      <c r="AR24" s="2">
        <f t="shared" si="10"/>
        <v>4.9896957763227903E-2</v>
      </c>
      <c r="AS24" s="2">
        <f t="shared" si="10"/>
        <v>5.1650835828605364E-2</v>
      </c>
      <c r="AT24" s="2">
        <f t="shared" si="10"/>
        <v>5.3466362707980837E-2</v>
      </c>
      <c r="AU24" s="2">
        <f t="shared" si="10"/>
        <v>5.5345705357166361E-2</v>
      </c>
      <c r="AV24" s="2">
        <f t="shared" si="10"/>
        <v>5.7291106900470755E-2</v>
      </c>
      <c r="AW24" s="2">
        <f t="shared" si="10"/>
        <v>0</v>
      </c>
      <c r="AX24" s="2">
        <f t="shared" si="10"/>
        <v>0</v>
      </c>
      <c r="AY24" s="2">
        <f t="shared" si="10"/>
        <v>0</v>
      </c>
      <c r="AZ24" s="2">
        <f t="shared" si="10"/>
        <v>0</v>
      </c>
      <c r="BA24" s="2">
        <f t="shared" si="10"/>
        <v>0</v>
      </c>
      <c r="BB24" s="2">
        <f t="shared" si="10"/>
        <v>0</v>
      </c>
      <c r="BC24" s="2">
        <f t="shared" si="10"/>
        <v>0</v>
      </c>
      <c r="BD24" s="2">
        <f t="shared" si="10"/>
        <v>0</v>
      </c>
      <c r="BE24" s="2">
        <f t="shared" si="10"/>
        <v>0</v>
      </c>
      <c r="BF24" s="2">
        <f t="shared" si="10"/>
        <v>0</v>
      </c>
      <c r="BG24" s="2">
        <f t="shared" si="10"/>
        <v>0</v>
      </c>
      <c r="BH24" s="2">
        <f t="shared" si="10"/>
        <v>0</v>
      </c>
      <c r="BI24" s="2">
        <f t="shared" si="10"/>
        <v>0</v>
      </c>
      <c r="BJ24" s="2">
        <f t="shared" si="10"/>
        <v>0</v>
      </c>
    </row>
    <row r="25" spans="1:62" ht="11.25" customHeight="1" x14ac:dyDescent="0.25">
      <c r="A25" s="12" t="s">
        <v>26</v>
      </c>
      <c r="B25" s="17" t="s">
        <v>154</v>
      </c>
      <c r="C25" s="29" t="s">
        <v>155</v>
      </c>
      <c r="D25" s="17"/>
      <c r="E25" s="294">
        <f>SUM(G25:BJ25)</f>
        <v>7.7087784069499312</v>
      </c>
      <c r="F25" s="80" t="s">
        <v>26</v>
      </c>
      <c r="G25" s="97">
        <f>G23*G24</f>
        <v>0</v>
      </c>
      <c r="H25" s="97">
        <f t="shared" ref="H25:BJ25" si="11">H23*H24</f>
        <v>0</v>
      </c>
      <c r="I25" s="97">
        <f t="shared" si="11"/>
        <v>0</v>
      </c>
      <c r="J25" s="97">
        <f t="shared" si="11"/>
        <v>0</v>
      </c>
      <c r="K25" s="97">
        <f t="shared" si="11"/>
        <v>0</v>
      </c>
      <c r="L25" s="97">
        <f t="shared" si="11"/>
        <v>0</v>
      </c>
      <c r="M25" s="97">
        <f t="shared" si="11"/>
        <v>0</v>
      </c>
      <c r="N25" s="97">
        <f t="shared" si="11"/>
        <v>0</v>
      </c>
      <c r="O25" s="97">
        <f t="shared" si="11"/>
        <v>0</v>
      </c>
      <c r="P25" s="97">
        <f t="shared" si="11"/>
        <v>0</v>
      </c>
      <c r="Q25" s="97">
        <f t="shared" si="11"/>
        <v>0</v>
      </c>
      <c r="R25" s="97">
        <f t="shared" si="11"/>
        <v>0</v>
      </c>
      <c r="S25" s="97">
        <f t="shared" si="11"/>
        <v>0</v>
      </c>
      <c r="T25" s="97">
        <f t="shared" si="11"/>
        <v>0</v>
      </c>
      <c r="U25" s="97">
        <f t="shared" si="11"/>
        <v>0</v>
      </c>
      <c r="V25" s="97">
        <f t="shared" si="11"/>
        <v>0</v>
      </c>
      <c r="W25" s="97">
        <f t="shared" si="11"/>
        <v>1.2077444654011156E-2</v>
      </c>
      <c r="X25" s="97">
        <f t="shared" si="11"/>
        <v>2.5003933667199291E-2</v>
      </c>
      <c r="Y25" s="97">
        <f t="shared" si="11"/>
        <v>3.882423290340202E-2</v>
      </c>
      <c r="Z25" s="97">
        <f t="shared" si="11"/>
        <v>5.3585206253275473E-2</v>
      </c>
      <c r="AA25" s="97">
        <f t="shared" si="11"/>
        <v>6.9335907816347631E-2</v>
      </c>
      <c r="AB25" s="97">
        <f t="shared" si="11"/>
        <v>8.6127677971310712E-2</v>
      </c>
      <c r="AC25" s="97">
        <f t="shared" si="11"/>
        <v>0.10401424349400265</v>
      </c>
      <c r="AD25" s="97">
        <f t="shared" si="11"/>
        <v>0.12305182188893357</v>
      </c>
      <c r="AE25" s="97">
        <f t="shared" si="11"/>
        <v>0.14329923010687076</v>
      </c>
      <c r="AF25" s="97">
        <f t="shared" si="11"/>
        <v>0.1648179978279192</v>
      </c>
      <c r="AG25" s="97">
        <f t="shared" si="11"/>
        <v>0.18767248549672763</v>
      </c>
      <c r="AH25" s="97">
        <f t="shared" si="11"/>
        <v>0.21193000730393191</v>
      </c>
      <c r="AI25" s="97">
        <f t="shared" si="11"/>
        <v>0.23766095931572057</v>
      </c>
      <c r="AJ25" s="97">
        <f t="shared" si="11"/>
        <v>0.26493895296148873</v>
      </c>
      <c r="AK25" s="97">
        <f t="shared" si="11"/>
        <v>0.29384095409794825</v>
      </c>
      <c r="AL25" s="97">
        <f t="shared" si="11"/>
        <v>0.32444742787679065</v>
      </c>
      <c r="AM25" s="97">
        <f t="shared" si="11"/>
        <v>0.35684248965207604</v>
      </c>
      <c r="AN25" s="97">
        <f t="shared" si="11"/>
        <v>0.39111406217295513</v>
      </c>
      <c r="AO25" s="97">
        <f t="shared" si="11"/>
        <v>0.4273540393171309</v>
      </c>
      <c r="AP25" s="97">
        <f t="shared" si="11"/>
        <v>0.46565845663066102</v>
      </c>
      <c r="AQ25" s="97">
        <f t="shared" si="11"/>
        <v>0.50612766895029038</v>
      </c>
      <c r="AR25" s="97">
        <f t="shared" si="11"/>
        <v>0.54886653539550689</v>
      </c>
      <c r="AS25" s="97">
        <f t="shared" si="11"/>
        <v>0.59398461202896169</v>
      </c>
      <c r="AT25" s="97">
        <f t="shared" si="11"/>
        <v>0.64159635249577007</v>
      </c>
      <c r="AU25" s="97">
        <f t="shared" si="11"/>
        <v>0.69182131696457949</v>
      </c>
      <c r="AV25" s="97">
        <f t="shared" si="11"/>
        <v>0.74478438970611982</v>
      </c>
      <c r="AW25" s="97">
        <f t="shared" si="11"/>
        <v>0</v>
      </c>
      <c r="AX25" s="97">
        <f t="shared" si="11"/>
        <v>0</v>
      </c>
      <c r="AY25" s="97">
        <f t="shared" si="11"/>
        <v>0</v>
      </c>
      <c r="AZ25" s="97">
        <f t="shared" si="11"/>
        <v>0</v>
      </c>
      <c r="BA25" s="97">
        <f t="shared" si="11"/>
        <v>0</v>
      </c>
      <c r="BB25" s="97">
        <f t="shared" si="11"/>
        <v>0</v>
      </c>
      <c r="BC25" s="97">
        <f t="shared" si="11"/>
        <v>0</v>
      </c>
      <c r="BD25" s="97">
        <f t="shared" si="11"/>
        <v>0</v>
      </c>
      <c r="BE25" s="97">
        <f t="shared" si="11"/>
        <v>0</v>
      </c>
      <c r="BF25" s="97">
        <f t="shared" si="11"/>
        <v>0</v>
      </c>
      <c r="BG25" s="97">
        <f t="shared" si="11"/>
        <v>0</v>
      </c>
      <c r="BH25" s="97">
        <f t="shared" si="11"/>
        <v>0</v>
      </c>
      <c r="BI25" s="97">
        <f t="shared" si="11"/>
        <v>0</v>
      </c>
      <c r="BJ25" s="97">
        <f t="shared" si="11"/>
        <v>0</v>
      </c>
    </row>
    <row r="26" spans="1:62" ht="11.25" customHeight="1" x14ac:dyDescent="0.25">
      <c r="E26" s="12"/>
      <c r="F26" s="80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</row>
    <row r="27" spans="1:62" ht="11.25" customHeight="1" x14ac:dyDescent="0.25">
      <c r="A27" s="12"/>
      <c r="B27" s="12"/>
      <c r="C27" s="12"/>
      <c r="D27" s="12"/>
      <c r="E27" s="12"/>
      <c r="F27" s="325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</row>
    <row r="28" spans="1:62" ht="11.25" customHeight="1" x14ac:dyDescent="0.25">
      <c r="A28" s="12"/>
      <c r="B28" s="12"/>
      <c r="C28" s="12"/>
      <c r="D28" s="12"/>
      <c r="E28" s="12"/>
      <c r="F28" s="80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>
        <v>2026</v>
      </c>
      <c r="W28" s="12">
        <v>2027</v>
      </c>
      <c r="X28" s="12">
        <v>2028</v>
      </c>
      <c r="Y28" s="12">
        <v>2029</v>
      </c>
      <c r="Z28" s="12">
        <v>2030</v>
      </c>
      <c r="AA28" s="12">
        <v>2031</v>
      </c>
      <c r="AB28" s="12">
        <v>2032</v>
      </c>
      <c r="AC28" s="12">
        <v>2033</v>
      </c>
      <c r="AD28" s="12">
        <v>2034</v>
      </c>
      <c r="AE28" s="12">
        <v>2035</v>
      </c>
      <c r="AF28" s="12">
        <v>2036</v>
      </c>
      <c r="AG28" s="12">
        <v>2037</v>
      </c>
      <c r="AH28" s="12">
        <v>2038</v>
      </c>
      <c r="AI28" s="12">
        <v>2039</v>
      </c>
      <c r="AJ28" s="12">
        <v>2040</v>
      </c>
      <c r="AK28" s="12">
        <v>2041</v>
      </c>
      <c r="AL28" s="12">
        <v>2042</v>
      </c>
      <c r="AM28" s="12">
        <v>2043</v>
      </c>
      <c r="AN28" s="12">
        <v>2044</v>
      </c>
      <c r="AO28" s="12">
        <v>2045</v>
      </c>
      <c r="AP28" s="12">
        <v>2046</v>
      </c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</row>
    <row r="29" spans="1:62" ht="11.25" customHeight="1" x14ac:dyDescent="0.25">
      <c r="A29" s="37"/>
      <c r="B29" s="37"/>
      <c r="C29" s="37"/>
      <c r="D29" s="37"/>
      <c r="E29" s="37"/>
      <c r="F29" s="192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 t="s">
        <v>142</v>
      </c>
      <c r="V29" s="414">
        <f>SUMIFS($V$19:$BJ$19,$V$2:$BJ$2, "&gt;="&amp;V28, $V$2:$BJ$2, "&lt;"&amp;W28)</f>
        <v>-19585.209233762856</v>
      </c>
      <c r="W29" s="414">
        <f>SUMIFS($V$19:$BJ$19,$V$2:$BJ$2, "&gt;="&amp;W28, $V$2:$BJ$2, "&lt;"&amp;X28)</f>
        <v>-39170.418467525713</v>
      </c>
      <c r="X29" s="414">
        <f t="shared" ref="X29:AP29" si="12">SUMIFS($V$19:$BJ$19,$V$2:$BJ$2, "&gt;="&amp;X28, $V$2:$BJ$2, "&lt;"&amp;Y28)</f>
        <v>-39170.418467525713</v>
      </c>
      <c r="Y29" s="414">
        <f t="shared" si="12"/>
        <v>-39170.418467525713</v>
      </c>
      <c r="Z29" s="414">
        <f t="shared" si="12"/>
        <v>-39170.418467525713</v>
      </c>
      <c r="AA29" s="414">
        <f t="shared" si="12"/>
        <v>-39170.418467525713</v>
      </c>
      <c r="AB29" s="414">
        <f t="shared" si="12"/>
        <v>-39170.418467525713</v>
      </c>
      <c r="AC29" s="414">
        <f t="shared" si="12"/>
        <v>-39170.418467525713</v>
      </c>
      <c r="AD29" s="414">
        <f t="shared" si="12"/>
        <v>-39170.418467525713</v>
      </c>
      <c r="AE29" s="414">
        <f t="shared" si="12"/>
        <v>-39170.418467525713</v>
      </c>
      <c r="AF29" s="414">
        <f t="shared" si="12"/>
        <v>-39170.418467525713</v>
      </c>
      <c r="AG29" s="414">
        <f t="shared" si="12"/>
        <v>-39170.418467525713</v>
      </c>
      <c r="AH29" s="414">
        <f t="shared" si="12"/>
        <v>-39170.418467525713</v>
      </c>
      <c r="AI29" s="414">
        <f t="shared" si="12"/>
        <v>-19585.209233762856</v>
      </c>
      <c r="AJ29" s="414">
        <f t="shared" si="12"/>
        <v>0</v>
      </c>
      <c r="AK29" s="414">
        <f t="shared" si="12"/>
        <v>0</v>
      </c>
      <c r="AL29" s="414">
        <f t="shared" si="12"/>
        <v>0</v>
      </c>
      <c r="AM29" s="414">
        <f t="shared" si="12"/>
        <v>0</v>
      </c>
      <c r="AN29" s="414">
        <f t="shared" si="12"/>
        <v>0</v>
      </c>
      <c r="AO29" s="414">
        <f t="shared" si="12"/>
        <v>0</v>
      </c>
      <c r="AP29" s="414">
        <f t="shared" si="12"/>
        <v>0</v>
      </c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</row>
    <row r="30" spans="1:62" ht="11.25" customHeight="1" x14ac:dyDescent="0.25">
      <c r="A30" s="37"/>
      <c r="B30" s="37"/>
      <c r="C30" s="37"/>
      <c r="D30" s="37"/>
      <c r="E30" s="37"/>
      <c r="F30" s="326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 t="s">
        <v>492</v>
      </c>
      <c r="V30" s="54">
        <f>SUMIFS($V$16:$BJ$16,$V$2:$BJ$2, "&gt;="&amp;V28, $V$2:$BJ$2, "&lt;"&amp;W28)</f>
        <v>-7977.0583274995479</v>
      </c>
      <c r="W30" s="54">
        <f t="shared" ref="W30:AP30" si="13">SUMIFS($V$16:$BJ$16,$V$2:$BJ$2, "&gt;="&amp;W28, $V$2:$BJ$2, "&lt;"&amp;X28)</f>
        <v>-16805.153290681359</v>
      </c>
      <c r="X30" s="54">
        <f t="shared" si="13"/>
        <v>-18007.318712022847</v>
      </c>
      <c r="Y30" s="54">
        <f t="shared" si="13"/>
        <v>-19295.481664911429</v>
      </c>
      <c r="Z30" s="54">
        <f t="shared" si="13"/>
        <v>-20675.794027700038</v>
      </c>
      <c r="AA30" s="54">
        <f t="shared" si="13"/>
        <v>-22154.847756573941</v>
      </c>
      <c r="AB30" s="54">
        <f t="shared" si="13"/>
        <v>-23739.706366748411</v>
      </c>
      <c r="AC30" s="54">
        <f t="shared" si="13"/>
        <v>-25437.938665690333</v>
      </c>
      <c r="AD30" s="54">
        <f t="shared" si="13"/>
        <v>-27257.65489946345</v>
      </c>
      <c r="AE30" s="54">
        <f t="shared" si="13"/>
        <v>-29207.54548482125</v>
      </c>
      <c r="AF30" s="54">
        <f t="shared" si="13"/>
        <v>-31296.922512020457</v>
      </c>
      <c r="AG30" s="54">
        <f t="shared" si="13"/>
        <v>-33535.764216559852</v>
      </c>
      <c r="AH30" s="54">
        <f t="shared" si="13"/>
        <v>-35934.762632228259</v>
      </c>
      <c r="AI30" s="54">
        <f t="shared" si="13"/>
        <v>-18920.165419275327</v>
      </c>
      <c r="AJ30" s="54">
        <f t="shared" si="13"/>
        <v>0</v>
      </c>
      <c r="AK30" s="54">
        <f t="shared" si="13"/>
        <v>0</v>
      </c>
      <c r="AL30" s="54">
        <f t="shared" si="13"/>
        <v>0</v>
      </c>
      <c r="AM30" s="54">
        <f t="shared" si="13"/>
        <v>0</v>
      </c>
      <c r="AN30" s="54">
        <f t="shared" si="13"/>
        <v>0</v>
      </c>
      <c r="AO30" s="54">
        <f t="shared" si="13"/>
        <v>0</v>
      </c>
      <c r="AP30" s="54">
        <f t="shared" si="13"/>
        <v>0</v>
      </c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</row>
    <row r="31" spans="1:62" ht="11.25" customHeight="1" x14ac:dyDescent="0.25">
      <c r="A31" s="37"/>
      <c r="B31" s="37"/>
      <c r="C31" s="37"/>
      <c r="D31" s="37"/>
      <c r="E31" s="37"/>
      <c r="F31" s="326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180" t="s">
        <v>491</v>
      </c>
      <c r="V31" s="54">
        <f>SUMIFS($V$18:$BJ$18,$V$2:$BJ$2, "&gt;="&amp;V28, $V$2:$BJ$2, "&lt;"&amp;W28)</f>
        <v>-11608.150906263309</v>
      </c>
      <c r="W31" s="54">
        <f t="shared" ref="W31:AP31" si="14">SUMIFS($V$18:$BJ$18,$V$2:$BJ$2, "&gt;="&amp;W28, $V$2:$BJ$2, "&lt;"&amp;X28)</f>
        <v>-22365.265176844354</v>
      </c>
      <c r="X31" s="54">
        <f t="shared" si="14"/>
        <v>-21163.099755502866</v>
      </c>
      <c r="Y31" s="54">
        <f t="shared" si="14"/>
        <v>-19874.936802614284</v>
      </c>
      <c r="Z31" s="54">
        <f t="shared" si="14"/>
        <v>-18494.624439825675</v>
      </c>
      <c r="AA31" s="54">
        <f t="shared" si="14"/>
        <v>-17015.570710951775</v>
      </c>
      <c r="AB31" s="54">
        <f t="shared" si="14"/>
        <v>-15430.712100777304</v>
      </c>
      <c r="AC31" s="54">
        <f t="shared" si="14"/>
        <v>-13732.479801835379</v>
      </c>
      <c r="AD31" s="54">
        <f t="shared" si="14"/>
        <v>-11912.763568062268</v>
      </c>
      <c r="AE31" s="54">
        <f t="shared" si="14"/>
        <v>-9962.8729827044663</v>
      </c>
      <c r="AF31" s="54">
        <f t="shared" si="14"/>
        <v>-7873.495955505261</v>
      </c>
      <c r="AG31" s="54">
        <f t="shared" si="14"/>
        <v>-5634.6542509658648</v>
      </c>
      <c r="AH31" s="54">
        <f t="shared" si="14"/>
        <v>-3235.6558352974535</v>
      </c>
      <c r="AI31" s="54">
        <f t="shared" si="14"/>
        <v>-665.04381448752849</v>
      </c>
      <c r="AJ31" s="54">
        <f t="shared" si="14"/>
        <v>0</v>
      </c>
      <c r="AK31" s="54">
        <f t="shared" si="14"/>
        <v>0</v>
      </c>
      <c r="AL31" s="54">
        <f t="shared" si="14"/>
        <v>0</v>
      </c>
      <c r="AM31" s="54">
        <f t="shared" si="14"/>
        <v>0</v>
      </c>
      <c r="AN31" s="54">
        <f t="shared" si="14"/>
        <v>0</v>
      </c>
      <c r="AO31" s="54">
        <f t="shared" si="14"/>
        <v>0</v>
      </c>
      <c r="AP31" s="54">
        <f t="shared" si="14"/>
        <v>0</v>
      </c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</row>
    <row r="32" spans="1:62" s="181" customFormat="1" ht="11.25" customHeight="1" x14ac:dyDescent="0.25">
      <c r="A32" s="179"/>
      <c r="B32" s="179"/>
      <c r="C32" s="179"/>
      <c r="D32" s="179"/>
      <c r="E32" s="179"/>
      <c r="F32" s="327"/>
      <c r="G32" s="179"/>
      <c r="H32" s="179"/>
      <c r="I32" s="179"/>
      <c r="J32" s="179"/>
      <c r="K32" s="179"/>
      <c r="L32" s="179"/>
      <c r="M32" s="179"/>
      <c r="N32" s="179"/>
      <c r="O32" s="179"/>
      <c r="P32" s="179"/>
      <c r="Q32" s="179"/>
      <c r="R32" s="179"/>
      <c r="S32" s="179"/>
      <c r="T32" s="179"/>
      <c r="U32" s="180"/>
      <c r="V32" s="180"/>
      <c r="W32" s="180"/>
      <c r="X32" s="180"/>
      <c r="Y32" s="180"/>
      <c r="Z32" s="180"/>
      <c r="AA32" s="180"/>
      <c r="AB32" s="180"/>
      <c r="AC32" s="180"/>
      <c r="AD32" s="180"/>
      <c r="AE32" s="180"/>
      <c r="AF32" s="180"/>
      <c r="AG32" s="180"/>
      <c r="AH32" s="180"/>
      <c r="AI32" s="180"/>
      <c r="AJ32" s="180"/>
      <c r="AK32" s="180"/>
      <c r="AL32" s="180"/>
      <c r="AM32" s="180"/>
      <c r="AN32" s="180"/>
      <c r="AO32" s="180"/>
      <c r="AP32" s="180"/>
      <c r="AQ32" s="180"/>
      <c r="AR32" s="180"/>
      <c r="AS32" s="180"/>
      <c r="AT32" s="179"/>
      <c r="AU32" s="179"/>
      <c r="AV32" s="179"/>
      <c r="AW32" s="179"/>
      <c r="AX32" s="179"/>
      <c r="AY32" s="179"/>
      <c r="AZ32" s="179"/>
      <c r="BA32" s="179"/>
      <c r="BB32" s="179"/>
      <c r="BC32" s="179"/>
      <c r="BD32" s="179"/>
      <c r="BE32" s="179"/>
      <c r="BF32" s="179"/>
      <c r="BG32" s="179"/>
      <c r="BH32" s="179"/>
      <c r="BI32" s="179"/>
    </row>
    <row r="33" spans="1:62" ht="11.25" customHeight="1" x14ac:dyDescent="0.25">
      <c r="A33" s="12"/>
      <c r="B33" s="12"/>
      <c r="C33" s="12"/>
      <c r="D33" s="12"/>
      <c r="E33" s="12"/>
      <c r="F33" s="80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</row>
    <row r="34" spans="1:62" ht="11.25" customHeight="1" x14ac:dyDescent="0.25">
      <c r="A34" s="12"/>
      <c r="B34" s="12"/>
      <c r="C34" s="12"/>
      <c r="D34" s="12"/>
      <c r="E34" s="12"/>
      <c r="F34" s="80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</row>
    <row r="35" spans="1:62" ht="11.25" customHeight="1" x14ac:dyDescent="0.25">
      <c r="A35" s="12"/>
      <c r="B35" s="12"/>
      <c r="C35" s="12"/>
      <c r="D35" s="12"/>
      <c r="E35" s="12"/>
      <c r="F35" s="80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</row>
    <row r="36" spans="1:62" ht="11.25" customHeight="1" x14ac:dyDescent="0.25">
      <c r="A36" s="12"/>
      <c r="B36" s="12"/>
      <c r="C36" s="12"/>
      <c r="D36" s="12"/>
      <c r="E36" s="12"/>
      <c r="F36" s="80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8" tint="0.79998168889431442"/>
  </sheetPr>
  <dimension ref="A1:BS24"/>
  <sheetViews>
    <sheetView zoomScale="185" zoomScaleNormal="110" workbookViewId="0">
      <selection activeCell="B13" sqref="B13"/>
    </sheetView>
  </sheetViews>
  <sheetFormatPr defaultColWidth="8.7109375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style="305" customWidth="1"/>
    <col min="7" max="62" width="8.7109375" customWidth="1"/>
  </cols>
  <sheetData>
    <row r="1" spans="1:71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71" s="183" customFormat="1" ht="11.25" customHeight="1" x14ac:dyDescent="0.25">
      <c r="A2" s="200" t="s">
        <v>71</v>
      </c>
      <c r="B2" s="201"/>
      <c r="C2" s="202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71" s="183" customFormat="1" ht="11.25" customHeight="1" x14ac:dyDescent="0.25">
      <c r="A3" s="200"/>
      <c r="B3" s="201"/>
      <c r="C3" s="202"/>
      <c r="D3" s="200"/>
      <c r="E3" s="203" t="s">
        <v>403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71" s="183" customFormat="1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80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t="s">
        <v>102</v>
      </c>
    </row>
    <row r="5" spans="1:71" s="183" customFormat="1" ht="11.25" customHeight="1" x14ac:dyDescent="0.25">
      <c r="A5" s="12"/>
      <c r="B5" s="25"/>
      <c r="C5" s="12"/>
      <c r="D5" s="12"/>
      <c r="E5" s="12"/>
      <c r="F5" s="80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t="s">
        <v>102</v>
      </c>
    </row>
    <row r="6" spans="1:71" s="183" customFormat="1" ht="11.25" customHeight="1" x14ac:dyDescent="0.25">
      <c r="A6" s="12" t="s">
        <v>26</v>
      </c>
      <c r="B6" s="18" t="s">
        <v>71</v>
      </c>
      <c r="C6" s="12"/>
      <c r="D6" s="12"/>
      <c r="E6" s="12"/>
      <c r="F6" s="80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t="s">
        <v>102</v>
      </c>
    </row>
    <row r="7" spans="1:71" s="183" customFormat="1" ht="11.25" customHeight="1" x14ac:dyDescent="0.25">
      <c r="A7" s="12"/>
      <c r="B7" s="19" t="s">
        <v>370</v>
      </c>
      <c r="C7" s="55" t="s">
        <v>102</v>
      </c>
      <c r="D7" s="12"/>
      <c r="E7" s="389">
        <f t="shared" ref="E7:E12" si="0">SUM(G7:BJ7)</f>
        <v>77.175271781058484</v>
      </c>
      <c r="F7" s="80" t="s">
        <v>26</v>
      </c>
      <c r="G7" s="45">
        <f>'Time &amp; Technical'!G171</f>
        <v>1.0037085358888664</v>
      </c>
      <c r="H7" s="45">
        <f>'Time &amp; Technical'!H171</f>
        <v>1.0111531141434773</v>
      </c>
      <c r="I7" s="45">
        <f>'Time &amp; Technical'!I171</f>
        <v>1.0186529093693575</v>
      </c>
      <c r="J7" s="45">
        <f>'Time &amp; Technical'!J171</f>
        <v>1.0262083311147465</v>
      </c>
      <c r="K7" s="45">
        <f>'Time &amp; Technical'!K171</f>
        <v>1.0338197919655321</v>
      </c>
      <c r="L7" s="45">
        <f>'Time &amp; Technical'!L171</f>
        <v>1.0414877075677813</v>
      </c>
      <c r="M7" s="45">
        <f>'Time &amp; Technical'!M171</f>
        <v>1.0492124966504379</v>
      </c>
      <c r="N7" s="45">
        <f>'Time &amp; Technical'!N171</f>
        <v>1.0569945810481887</v>
      </c>
      <c r="O7" s="45">
        <f>'Time &amp; Technical'!O171</f>
        <v>1.0648343857244977</v>
      </c>
      <c r="P7" s="45">
        <f>'Time &amp; Technical'!P171</f>
        <v>1.0727323387948144</v>
      </c>
      <c r="Q7" s="45">
        <f>'Time &amp; Technical'!Q171</f>
        <v>1.0806888715499507</v>
      </c>
      <c r="R7" s="45">
        <f>'Time &amp; Technical'!R171</f>
        <v>1.088704418479634</v>
      </c>
      <c r="S7" s="45">
        <f>'Time &amp; Technical'!S171</f>
        <v>1.0967794172962324</v>
      </c>
      <c r="T7" s="45">
        <f>'Time &amp; Technical'!T171</f>
        <v>1.1049143089586586</v>
      </c>
      <c r="U7" s="45">
        <f>'Time &amp; Technical'!U171</f>
        <v>1.1131095376964493</v>
      </c>
      <c r="V7" s="45">
        <f>'Time &amp; Technical'!V171</f>
        <v>1.1213655510340228</v>
      </c>
      <c r="W7" s="45">
        <f>'Time &amp; Technical'!W171</f>
        <v>1.133887748412298</v>
      </c>
      <c r="X7" s="45">
        <f>'Time &amp; Technical'!X171</f>
        <v>1.1507703805622977</v>
      </c>
      <c r="Y7" s="45">
        <f>'Time &amp; Technical'!Y171</f>
        <v>1.1679043808646667</v>
      </c>
      <c r="Z7" s="45">
        <f>'Time &amp; Technical'!Z171</f>
        <v>1.1852934919791667</v>
      </c>
      <c r="AA7" s="45">
        <f>'Time &amp; Technical'!AA171</f>
        <v>1.2029415122906066</v>
      </c>
      <c r="AB7" s="45">
        <f>'Time &amp; Technical'!AB171</f>
        <v>1.2208522967385416</v>
      </c>
      <c r="AC7" s="45">
        <f>'Time &amp; Technical'!AC171</f>
        <v>1.238271903311835</v>
      </c>
      <c r="AD7" s="45">
        <f>'Time &amp; Technical'!AD171</f>
        <v>1.2551826689614272</v>
      </c>
      <c r="AE7" s="45">
        <f>'Time &amp; Technical'!AE171</f>
        <v>1.2723243806529108</v>
      </c>
      <c r="AF7" s="45">
        <f>'Time &amp; Technical'!AF171</f>
        <v>1.2897001923578668</v>
      </c>
      <c r="AG7" s="45">
        <f>'Time &amp; Technical'!AG171</f>
        <v>1.3073133011208662</v>
      </c>
      <c r="AH7" s="45">
        <f>'Time &amp; Technical'!AH171</f>
        <v>1.3251669476477081</v>
      </c>
      <c r="AI7" s="45">
        <f>'Time &amp; Technical'!AI171</f>
        <v>1.3432644169016901</v>
      </c>
      <c r="AJ7" s="45">
        <f>'Time &amp; Technical'!AJ171</f>
        <v>1.3616090387080204</v>
      </c>
      <c r="AK7" s="45">
        <f>'Time &amp; Technical'!AK171</f>
        <v>1.3802041883664868</v>
      </c>
      <c r="AL7" s="45">
        <f>'Time &amp; Technical'!AL171</f>
        <v>1.3990532872724912</v>
      </c>
      <c r="AM7" s="45">
        <f>'Time &amp; Technical'!AM171</f>
        <v>1.4181598035465655</v>
      </c>
      <c r="AN7" s="45">
        <f>'Time &amp; Technical'!AN171</f>
        <v>1.4375272526724852</v>
      </c>
      <c r="AO7" s="45">
        <f>'Time &amp; Technical'!AO171</f>
        <v>1.4571591981440966</v>
      </c>
      <c r="AP7" s="45">
        <f>'Time &amp; Technical'!AP171</f>
        <v>1.4770592521209789</v>
      </c>
      <c r="AQ7" s="45">
        <f>'Time &amp; Technical'!AQ171</f>
        <v>1.4972310760930596</v>
      </c>
      <c r="AR7" s="45">
        <f>'Time &amp; Technical'!AR171</f>
        <v>1.517678381554306</v>
      </c>
      <c r="AS7" s="45">
        <f>'Time &amp; Technical'!AS171</f>
        <v>1.5384049306856187</v>
      </c>
      <c r="AT7" s="45">
        <f>'Time &amp; Technical'!AT171</f>
        <v>1.5594145370470496</v>
      </c>
      <c r="AU7" s="45">
        <f>'Time &amp; Technical'!AU171</f>
        <v>1.5807110662794734</v>
      </c>
      <c r="AV7" s="45">
        <f>'Time &amp; Technical'!AV171</f>
        <v>1.6022984368158437</v>
      </c>
      <c r="AW7" s="45">
        <f>'Time &amp; Technical'!AW171</f>
        <v>1.6241806206021594</v>
      </c>
      <c r="AX7" s="45">
        <f>'Time &amp; Technical'!AX171</f>
        <v>1.6463616438282798</v>
      </c>
      <c r="AY7" s="45">
        <f>'Time &amp; Technical'!AY171</f>
        <v>1.6688455876687192</v>
      </c>
      <c r="AZ7" s="45">
        <f>'Time &amp; Technical'!AZ171</f>
        <v>1.6916365890335578</v>
      </c>
      <c r="BA7" s="45">
        <f>'Time &amp; Technical'!BA171</f>
        <v>1.7147388413296092</v>
      </c>
      <c r="BB7" s="45">
        <f>'Time &amp; Technical'!BB171</f>
        <v>1.7381565952319811</v>
      </c>
      <c r="BC7" s="45">
        <f>'Time &amp; Technical'!BC171</f>
        <v>1.7618941594661739</v>
      </c>
      <c r="BD7" s="45">
        <f>'Time &amp; Technical'!BD171</f>
        <v>1.7859559016008608</v>
      </c>
      <c r="BE7" s="45">
        <f>'Time &amp; Technical'!BE171</f>
        <v>1.8103462488514941</v>
      </c>
      <c r="BF7" s="45">
        <f>'Time &amp; Technical'!BF171</f>
        <v>1.835069688894885</v>
      </c>
      <c r="BG7" s="45">
        <f>'Time &amp; Technical'!BG171</f>
        <v>1.8601307706949104</v>
      </c>
      <c r="BH7" s="45">
        <f>'Time &amp; Technical'!BH171</f>
        <v>1.8855341053394945</v>
      </c>
      <c r="BI7" s="45">
        <f>'Time &amp; Technical'!BI171</f>
        <v>1.9112843668890207</v>
      </c>
      <c r="BJ7" s="45">
        <f>'Time &amp; Technical'!BJ171</f>
        <v>1.9373862932363308</v>
      </c>
      <c r="BK7" t="s">
        <v>102</v>
      </c>
      <c r="BL7" s="186"/>
      <c r="BM7" s="186"/>
      <c r="BN7" s="186"/>
      <c r="BO7" s="186"/>
      <c r="BP7" s="186"/>
    </row>
    <row r="8" spans="1:71" s="183" customFormat="1" ht="11.25" customHeight="1" x14ac:dyDescent="0.25">
      <c r="A8" s="12"/>
      <c r="B8" s="12" t="s">
        <v>396</v>
      </c>
      <c r="C8" s="22" t="s">
        <v>101</v>
      </c>
      <c r="D8" s="12"/>
      <c r="E8" s="389">
        <f t="shared" si="0"/>
        <v>2</v>
      </c>
      <c r="F8" s="80" t="s">
        <v>26</v>
      </c>
      <c r="G8" s="26">
        <f>'Time &amp; Technical'!G152</f>
        <v>0</v>
      </c>
      <c r="H8" s="26">
        <f>'Time &amp; Technical'!H152</f>
        <v>0</v>
      </c>
      <c r="I8" s="26">
        <f>'Time &amp; Technical'!I152</f>
        <v>0</v>
      </c>
      <c r="J8" s="26">
        <f>'Time &amp; Technical'!J152</f>
        <v>0</v>
      </c>
      <c r="K8" s="26">
        <f>'Time &amp; Technical'!K152</f>
        <v>0</v>
      </c>
      <c r="L8" s="26">
        <f>'Time &amp; Technical'!L152</f>
        <v>0</v>
      </c>
      <c r="M8" s="26">
        <f>'Time &amp; Technical'!M152</f>
        <v>0</v>
      </c>
      <c r="N8" s="26">
        <f>'Time &amp; Technical'!N152</f>
        <v>0</v>
      </c>
      <c r="O8" s="26">
        <f>'Time &amp; Technical'!O152</f>
        <v>0</v>
      </c>
      <c r="P8" s="26">
        <f>'Time &amp; Technical'!P152</f>
        <v>0</v>
      </c>
      <c r="Q8" s="26">
        <f>'Time &amp; Technical'!Q152</f>
        <v>0</v>
      </c>
      <c r="R8" s="26">
        <f>'Time &amp; Technical'!R152</f>
        <v>0</v>
      </c>
      <c r="S8" s="26">
        <f>'Time &amp; Technical'!S152</f>
        <v>0</v>
      </c>
      <c r="T8" s="26">
        <f>'Time &amp; Technical'!T152</f>
        <v>0</v>
      </c>
      <c r="U8" s="26">
        <f>'Time &amp; Technical'!U152</f>
        <v>0</v>
      </c>
      <c r="V8" s="26">
        <f>'Time &amp; Technical'!V152</f>
        <v>0</v>
      </c>
      <c r="W8" s="26">
        <f>'Time &amp; Technical'!W152</f>
        <v>0</v>
      </c>
      <c r="X8" s="26">
        <f>'Time &amp; Technical'!X152</f>
        <v>0</v>
      </c>
      <c r="Y8" s="26">
        <f>'Time &amp; Technical'!Y152</f>
        <v>0</v>
      </c>
      <c r="Z8" s="26">
        <f>'Time &amp; Technical'!Z152</f>
        <v>0</v>
      </c>
      <c r="AA8" s="26">
        <f>'Time &amp; Technical'!AA152</f>
        <v>0</v>
      </c>
      <c r="AB8" s="26">
        <f>'Time &amp; Technical'!AB152</f>
        <v>0</v>
      </c>
      <c r="AC8" s="26">
        <f>'Time &amp; Technical'!AC152</f>
        <v>0</v>
      </c>
      <c r="AD8" s="26">
        <f>'Time &amp; Technical'!AD152</f>
        <v>0</v>
      </c>
      <c r="AE8" s="26">
        <f>'Time &amp; Technical'!AE152</f>
        <v>0</v>
      </c>
      <c r="AF8" s="26">
        <f>'Time &amp; Technical'!AF152</f>
        <v>0</v>
      </c>
      <c r="AG8" s="26">
        <f>'Time &amp; Technical'!AG152</f>
        <v>0</v>
      </c>
      <c r="AH8" s="26">
        <f>'Time &amp; Technical'!AH152</f>
        <v>0</v>
      </c>
      <c r="AI8" s="26">
        <f>'Time &amp; Technical'!AI152</f>
        <v>0</v>
      </c>
      <c r="AJ8" s="26">
        <f>'Time &amp; Technical'!AJ152</f>
        <v>0</v>
      </c>
      <c r="AK8" s="26">
        <f>'Time &amp; Technical'!AK152</f>
        <v>0</v>
      </c>
      <c r="AL8" s="26">
        <f>'Time &amp; Technical'!AL152</f>
        <v>1</v>
      </c>
      <c r="AM8" s="26">
        <f>'Time &amp; Technical'!AM152</f>
        <v>0</v>
      </c>
      <c r="AN8" s="26">
        <f>'Time &amp; Technical'!AN152</f>
        <v>0</v>
      </c>
      <c r="AO8" s="26">
        <f>'Time &amp; Technical'!AO152</f>
        <v>0</v>
      </c>
      <c r="AP8" s="26">
        <f>'Time &amp; Technical'!AP152</f>
        <v>0</v>
      </c>
      <c r="AQ8" s="26">
        <f>'Time &amp; Technical'!AQ152</f>
        <v>0</v>
      </c>
      <c r="AR8" s="26">
        <f>'Time &amp; Technical'!AR152</f>
        <v>0</v>
      </c>
      <c r="AS8" s="26">
        <f>'Time &amp; Technical'!AS152</f>
        <v>0</v>
      </c>
      <c r="AT8" s="26">
        <f>'Time &amp; Technical'!AT152</f>
        <v>0</v>
      </c>
      <c r="AU8" s="26">
        <f>'Time &amp; Technical'!AU152</f>
        <v>0</v>
      </c>
      <c r="AV8" s="26">
        <f>'Time &amp; Technical'!AV152</f>
        <v>0</v>
      </c>
      <c r="AW8" s="26">
        <f>'Time &amp; Technical'!AW152</f>
        <v>0</v>
      </c>
      <c r="AX8" s="26">
        <f>'Time &amp; Technical'!AX152</f>
        <v>0</v>
      </c>
      <c r="AY8" s="26">
        <f>'Time &amp; Technical'!AY152</f>
        <v>0</v>
      </c>
      <c r="AZ8" s="26">
        <f>'Time &amp; Technical'!AZ152</f>
        <v>0</v>
      </c>
      <c r="BA8" s="26">
        <f>'Time &amp; Technical'!BA152</f>
        <v>0</v>
      </c>
      <c r="BB8" s="26">
        <f>'Time &amp; Technical'!BB152</f>
        <v>1</v>
      </c>
      <c r="BC8" s="26">
        <f>'Time &amp; Technical'!BC152</f>
        <v>0</v>
      </c>
      <c r="BD8" s="26">
        <f>'Time &amp; Technical'!BD152</f>
        <v>0</v>
      </c>
      <c r="BE8" s="26">
        <f>'Time &amp; Technical'!BE152</f>
        <v>0</v>
      </c>
      <c r="BF8" s="26">
        <f>'Time &amp; Technical'!BF152</f>
        <v>0</v>
      </c>
      <c r="BG8" s="26">
        <f>'Time &amp; Technical'!BG152</f>
        <v>0</v>
      </c>
      <c r="BH8" s="26">
        <f>'Time &amp; Technical'!BH152</f>
        <v>0</v>
      </c>
      <c r="BI8" s="26">
        <f>'Time &amp; Technical'!BI152</f>
        <v>0</v>
      </c>
      <c r="BJ8" s="26">
        <f>'Time &amp; Technical'!BJ152</f>
        <v>0</v>
      </c>
      <c r="BK8" t="s">
        <v>102</v>
      </c>
      <c r="BL8" s="184"/>
      <c r="BM8" s="184"/>
      <c r="BN8" s="184"/>
      <c r="BO8" s="184"/>
      <c r="BP8" s="184"/>
      <c r="BQ8" s="184"/>
      <c r="BR8" s="184"/>
      <c r="BS8" s="184"/>
    </row>
    <row r="9" spans="1:71" s="183" customFormat="1" ht="11.25" customHeight="1" x14ac:dyDescent="0.25">
      <c r="A9" s="12"/>
      <c r="B9" s="12" t="s">
        <v>70</v>
      </c>
      <c r="C9" s="22" t="s">
        <v>156</v>
      </c>
      <c r="D9" s="12"/>
      <c r="E9" s="389">
        <f t="shared" si="0"/>
        <v>34</v>
      </c>
      <c r="F9" s="80" t="s">
        <v>26</v>
      </c>
      <c r="G9" s="26">
        <f>IF(SUM($G$8:G8)=0,0,IF(SUM($G$8:G8)=1,1,SUM($G$8:G8)))</f>
        <v>0</v>
      </c>
      <c r="H9" s="26">
        <f>IF(SUM($G$8:H8)=0,0,IF(SUM($G$8:H8)=1,1,SUM($G$8:H8)))</f>
        <v>0</v>
      </c>
      <c r="I9" s="26">
        <f>IF(SUM($G$8:I8)=0,0,IF(SUM($G$8:I8)=1,1,SUM($G$8:I8)))</f>
        <v>0</v>
      </c>
      <c r="J9" s="26">
        <f>IF(SUM($G$8:J8)=0,0,IF(SUM($G$8:J8)=1,1,SUM($G$8:J8)))</f>
        <v>0</v>
      </c>
      <c r="K9" s="26">
        <f>IF(SUM($G$8:K8)=0,0,IF(SUM($G$8:K8)=1,1,SUM($G$8:K8)))</f>
        <v>0</v>
      </c>
      <c r="L9" s="26">
        <f>IF(SUM($G$8:L8)=0,0,IF(SUM($G$8:L8)=1,1,SUM($G$8:L8)))</f>
        <v>0</v>
      </c>
      <c r="M9" s="26">
        <f>IF(SUM($G$8:M8)=0,0,IF(SUM($G$8:M8)=1,1,SUM($G$8:M8)))</f>
        <v>0</v>
      </c>
      <c r="N9" s="26">
        <f>IF(SUM($G$8:N8)=0,0,IF(SUM($G$8:N8)=1,1,SUM($G$8:N8)))</f>
        <v>0</v>
      </c>
      <c r="O9" s="26">
        <f>IF(SUM($G$8:O8)=0,0,IF(SUM($G$8:O8)=1,1,SUM($G$8:O8)))</f>
        <v>0</v>
      </c>
      <c r="P9" s="26">
        <f>IF(SUM($G$8:P8)=0,0,IF(SUM($G$8:P8)=1,1,SUM($G$8:P8)))</f>
        <v>0</v>
      </c>
      <c r="Q9" s="26">
        <f>IF(SUM($G$8:Q8)=0,0,IF(SUM($G$8:Q8)=1,1,SUM($G$8:Q8)))</f>
        <v>0</v>
      </c>
      <c r="R9" s="26">
        <f>IF(SUM($G$8:R8)=0,0,IF(SUM($G$8:R8)=1,1,SUM($G$8:R8)))</f>
        <v>0</v>
      </c>
      <c r="S9" s="26">
        <f>IF(SUM($G$8:S8)=0,0,IF(SUM($G$8:S8)=1,1,SUM($G$8:S8)))</f>
        <v>0</v>
      </c>
      <c r="T9" s="26">
        <f>IF(SUM($G$8:T8)=0,0,IF(SUM($G$8:T8)=1,1,SUM($G$8:T8)))</f>
        <v>0</v>
      </c>
      <c r="U9" s="26">
        <f>IF(SUM($G$8:U8)=0,0,IF(SUM($G$8:U8)=1,1,SUM($G$8:U8)))</f>
        <v>0</v>
      </c>
      <c r="V9" s="26">
        <f>IF(SUM($G$8:V8)=0,0,IF(SUM($G$8:V8)=1,1,SUM($G$8:V8)))</f>
        <v>0</v>
      </c>
      <c r="W9" s="26">
        <f>IF(SUM($G$8:W8)=0,0,IF(SUM($G$8:W8)=1,1,SUM($G$8:W8)))</f>
        <v>0</v>
      </c>
      <c r="X9" s="26">
        <f>IF(SUM($G$8:X8)=0,0,IF(SUM($G$8:X8)=1,1,SUM($G$8:X8)))</f>
        <v>0</v>
      </c>
      <c r="Y9" s="26">
        <f>IF(SUM($G$8:Y8)=0,0,IF(SUM($G$8:Y8)=1,1,SUM($G$8:Y8)))</f>
        <v>0</v>
      </c>
      <c r="Z9" s="26">
        <f>IF(SUM($G$8:Z8)=0,0,IF(SUM($G$8:Z8)=1,1,SUM($G$8:Z8)))</f>
        <v>0</v>
      </c>
      <c r="AA9" s="26">
        <f>IF(SUM($G$8:AA8)=0,0,IF(SUM($G$8:AA8)=1,1,SUM($G$8:AA8)))</f>
        <v>0</v>
      </c>
      <c r="AB9" s="26">
        <f>IF(SUM($G$8:AB8)=0,0,IF(SUM($G$8:AB8)=1,1,SUM($G$8:AB8)))</f>
        <v>0</v>
      </c>
      <c r="AC9" s="26">
        <f>IF(SUM($G$8:AC8)=0,0,IF(SUM($G$8:AC8)=1,1,SUM($G$8:AC8)))</f>
        <v>0</v>
      </c>
      <c r="AD9" s="26">
        <f>IF(SUM($G$8:AD8)=0,0,IF(SUM($G$8:AD8)=1,1,SUM($G$8:AD8)))</f>
        <v>0</v>
      </c>
      <c r="AE9" s="26">
        <f>IF(SUM($G$8:AE8)=0,0,IF(SUM($G$8:AE8)=1,1,SUM($G$8:AE8)))</f>
        <v>0</v>
      </c>
      <c r="AF9" s="26">
        <f>IF(SUM($G$8:AF8)=0,0,IF(SUM($G$8:AF8)=1,1,SUM($G$8:AF8)))</f>
        <v>0</v>
      </c>
      <c r="AG9" s="26">
        <f>IF(SUM($G$8:AG8)=0,0,IF(SUM($G$8:AG8)=1,1,SUM($G$8:AG8)))</f>
        <v>0</v>
      </c>
      <c r="AH9" s="26">
        <f>IF(SUM($G$8:AH8)=0,0,IF(SUM($G$8:AH8)=1,1,SUM($G$8:AH8)))</f>
        <v>0</v>
      </c>
      <c r="AI9" s="26">
        <f>IF(SUM($G$8:AI8)=0,0,IF(SUM($G$8:AI8)=1,1,SUM($G$8:AI8)))</f>
        <v>0</v>
      </c>
      <c r="AJ9" s="26">
        <f>IF(SUM($G$8:AJ8)=0,0,IF(SUM($G$8:AJ8)=1,1,SUM($G$8:AJ8)))</f>
        <v>0</v>
      </c>
      <c r="AK9" s="26">
        <f>IF(SUM($G$8:AK8)=0,0,IF(SUM($G$8:AK8)=1,1,SUM($G$8:AK8)))</f>
        <v>0</v>
      </c>
      <c r="AL9" s="26">
        <f>IF(SUM($G$8:AL8)=0,0,IF(SUM($G$8:AL8)=1,1,SUM($G$8:AL8)))</f>
        <v>1</v>
      </c>
      <c r="AM9" s="26">
        <f>IF(SUM($G$8:AM8)=0,0,IF(SUM($G$8:AM8)=1,1,SUM($G$8:AM8)))</f>
        <v>1</v>
      </c>
      <c r="AN9" s="26">
        <f>IF(SUM($G$8:AN8)=0,0,IF(SUM($G$8:AN8)=1,1,SUM($G$8:AN8)))</f>
        <v>1</v>
      </c>
      <c r="AO9" s="26">
        <f>IF(SUM($G$8:AO8)=0,0,IF(SUM($G$8:AO8)=1,1,SUM($G$8:AO8)))</f>
        <v>1</v>
      </c>
      <c r="AP9" s="26">
        <f>IF(SUM($G$8:AP8)=0,0,IF(SUM($G$8:AP8)=1,1,SUM($G$8:AP8)))</f>
        <v>1</v>
      </c>
      <c r="AQ9" s="26">
        <f>IF(SUM($G$8:AQ8)=0,0,IF(SUM($G$8:AQ8)=1,1,SUM($G$8:AQ8)))</f>
        <v>1</v>
      </c>
      <c r="AR9" s="26">
        <f>IF(SUM($G$8:AR8)=0,0,IF(SUM($G$8:AR8)=1,1,SUM($G$8:AR8)))</f>
        <v>1</v>
      </c>
      <c r="AS9" s="26">
        <f>IF(SUM($G$8:AS8)=0,0,IF(SUM($G$8:AS8)=1,1,SUM($G$8:AS8)))</f>
        <v>1</v>
      </c>
      <c r="AT9" s="26">
        <f>IF(SUM($G$8:AT8)=0,0,IF(SUM($G$8:AT8)=1,1,SUM($G$8:AT8)))</f>
        <v>1</v>
      </c>
      <c r="AU9" s="26">
        <f>IF(SUM($G$8:AU8)=0,0,IF(SUM($G$8:AU8)=1,1,SUM($G$8:AU8)))</f>
        <v>1</v>
      </c>
      <c r="AV9" s="26">
        <f>IF(SUM($G$8:AV8)=0,0,IF(SUM($G$8:AV8)=1,1,SUM($G$8:AV8)))</f>
        <v>1</v>
      </c>
      <c r="AW9" s="26">
        <f>IF(SUM($G$8:AW8)=0,0,IF(SUM($G$8:AW8)=1,1,SUM($G$8:AW8)))</f>
        <v>1</v>
      </c>
      <c r="AX9" s="26">
        <f>IF(SUM($G$8:AX8)=0,0,IF(SUM($G$8:AX8)=1,1,SUM($G$8:AX8)))</f>
        <v>1</v>
      </c>
      <c r="AY9" s="26">
        <f>IF(SUM($G$8:AY8)=0,0,IF(SUM($G$8:AY8)=1,1,SUM($G$8:AY8)))</f>
        <v>1</v>
      </c>
      <c r="AZ9" s="26">
        <f>IF(SUM($G$8:AZ8)=0,0,IF(SUM($G$8:AZ8)=1,1,SUM($G$8:AZ8)))</f>
        <v>1</v>
      </c>
      <c r="BA9" s="26">
        <f>IF(SUM($G$8:BA8)=0,0,IF(SUM($G$8:BA8)=1,1,SUM($G$8:BA8)))</f>
        <v>1</v>
      </c>
      <c r="BB9" s="26">
        <f>IF(SUM($G$8:BB8)=0,0,IF(SUM($G$8:BB8)=1,1,SUM($G$8:BB8)))</f>
        <v>2</v>
      </c>
      <c r="BC9" s="26">
        <f>IF(SUM($G$8:BC8)=0,0,IF(SUM($G$8:BC8)=1,1,SUM($G$8:BC8)))</f>
        <v>2</v>
      </c>
      <c r="BD9" s="26">
        <f>IF(SUM($G$8:BD8)=0,0,IF(SUM($G$8:BD8)=1,1,SUM($G$8:BD8)))</f>
        <v>2</v>
      </c>
      <c r="BE9" s="26">
        <f>IF(SUM($G$8:BE8)=0,0,IF(SUM($G$8:BE8)=1,1,SUM($G$8:BE8)))</f>
        <v>2</v>
      </c>
      <c r="BF9" s="26">
        <f>IF(SUM($G$8:BF8)=0,0,IF(SUM($G$8:BF8)=1,1,SUM($G$8:BF8)))</f>
        <v>2</v>
      </c>
      <c r="BG9" s="26">
        <f>IF(SUM($G$8:BG8)=0,0,IF(SUM($G$8:BG8)=1,1,SUM($G$8:BG8)))</f>
        <v>2</v>
      </c>
      <c r="BH9" s="26">
        <f>IF(SUM($G$8:BH8)=0,0,IF(SUM($G$8:BH8)=1,1,SUM($G$8:BH8)))</f>
        <v>2</v>
      </c>
      <c r="BI9" s="26">
        <f>IF(SUM($G$8:BI8)=0,0,IF(SUM($G$8:BI8)=1,1,SUM($G$8:BI8)))</f>
        <v>2</v>
      </c>
      <c r="BJ9" s="26">
        <f>IF(SUM($G$8:BJ8)=0,0,IF(SUM($G$8:BJ8)=1,1,SUM($G$8:BJ8)))</f>
        <v>2</v>
      </c>
      <c r="BK9" t="s">
        <v>102</v>
      </c>
      <c r="BL9" s="184"/>
      <c r="BM9" s="184"/>
      <c r="BN9" s="184"/>
      <c r="BO9" s="184"/>
      <c r="BP9" s="184"/>
    </row>
    <row r="10" spans="1:71" s="183" customFormat="1" ht="11.25" customHeight="1" x14ac:dyDescent="0.25">
      <c r="A10" s="12"/>
      <c r="B10" s="12" t="s">
        <v>70</v>
      </c>
      <c r="C10" s="22" t="s">
        <v>108</v>
      </c>
      <c r="D10" s="12"/>
      <c r="E10" s="389">
        <f t="shared" si="0"/>
        <v>3</v>
      </c>
      <c r="F10" s="80" t="s">
        <v>26</v>
      </c>
      <c r="G10" s="26">
        <f>IF(G8=1,G9,0)</f>
        <v>0</v>
      </c>
      <c r="H10" s="26">
        <f t="shared" ref="H10:BJ10" si="1">IF(H8=1,H9,0)</f>
        <v>0</v>
      </c>
      <c r="I10" s="26">
        <f t="shared" si="1"/>
        <v>0</v>
      </c>
      <c r="J10" s="26">
        <f t="shared" si="1"/>
        <v>0</v>
      </c>
      <c r="K10" s="26">
        <f t="shared" si="1"/>
        <v>0</v>
      </c>
      <c r="L10" s="26">
        <f t="shared" si="1"/>
        <v>0</v>
      </c>
      <c r="M10" s="26">
        <f t="shared" si="1"/>
        <v>0</v>
      </c>
      <c r="N10" s="26">
        <f t="shared" si="1"/>
        <v>0</v>
      </c>
      <c r="O10" s="26">
        <f t="shared" si="1"/>
        <v>0</v>
      </c>
      <c r="P10" s="26">
        <f t="shared" si="1"/>
        <v>0</v>
      </c>
      <c r="Q10" s="26">
        <f t="shared" si="1"/>
        <v>0</v>
      </c>
      <c r="R10" s="26">
        <f t="shared" si="1"/>
        <v>0</v>
      </c>
      <c r="S10" s="26">
        <f t="shared" si="1"/>
        <v>0</v>
      </c>
      <c r="T10" s="26">
        <f t="shared" si="1"/>
        <v>0</v>
      </c>
      <c r="U10" s="26">
        <f t="shared" si="1"/>
        <v>0</v>
      </c>
      <c r="V10" s="26">
        <f t="shared" si="1"/>
        <v>0</v>
      </c>
      <c r="W10" s="26">
        <f t="shared" si="1"/>
        <v>0</v>
      </c>
      <c r="X10" s="26">
        <f t="shared" si="1"/>
        <v>0</v>
      </c>
      <c r="Y10" s="26">
        <f t="shared" si="1"/>
        <v>0</v>
      </c>
      <c r="Z10" s="26">
        <f t="shared" si="1"/>
        <v>0</v>
      </c>
      <c r="AA10" s="26">
        <f t="shared" si="1"/>
        <v>0</v>
      </c>
      <c r="AB10" s="26">
        <f t="shared" si="1"/>
        <v>0</v>
      </c>
      <c r="AC10" s="26">
        <f t="shared" si="1"/>
        <v>0</v>
      </c>
      <c r="AD10" s="26">
        <f t="shared" si="1"/>
        <v>0</v>
      </c>
      <c r="AE10" s="26">
        <f t="shared" si="1"/>
        <v>0</v>
      </c>
      <c r="AF10" s="26">
        <f t="shared" si="1"/>
        <v>0</v>
      </c>
      <c r="AG10" s="26">
        <f t="shared" si="1"/>
        <v>0</v>
      </c>
      <c r="AH10" s="26">
        <f t="shared" si="1"/>
        <v>0</v>
      </c>
      <c r="AI10" s="26">
        <f t="shared" si="1"/>
        <v>0</v>
      </c>
      <c r="AJ10" s="26">
        <f t="shared" si="1"/>
        <v>0</v>
      </c>
      <c r="AK10" s="26">
        <f t="shared" si="1"/>
        <v>0</v>
      </c>
      <c r="AL10" s="26">
        <f t="shared" si="1"/>
        <v>1</v>
      </c>
      <c r="AM10" s="26">
        <f t="shared" si="1"/>
        <v>0</v>
      </c>
      <c r="AN10" s="26">
        <f t="shared" si="1"/>
        <v>0</v>
      </c>
      <c r="AO10" s="26">
        <f t="shared" si="1"/>
        <v>0</v>
      </c>
      <c r="AP10" s="26">
        <f t="shared" si="1"/>
        <v>0</v>
      </c>
      <c r="AQ10" s="26">
        <f t="shared" si="1"/>
        <v>0</v>
      </c>
      <c r="AR10" s="26">
        <f t="shared" si="1"/>
        <v>0</v>
      </c>
      <c r="AS10" s="26">
        <f t="shared" si="1"/>
        <v>0</v>
      </c>
      <c r="AT10" s="26">
        <f t="shared" si="1"/>
        <v>0</v>
      </c>
      <c r="AU10" s="26">
        <f t="shared" si="1"/>
        <v>0</v>
      </c>
      <c r="AV10" s="26">
        <f t="shared" si="1"/>
        <v>0</v>
      </c>
      <c r="AW10" s="26">
        <f t="shared" si="1"/>
        <v>0</v>
      </c>
      <c r="AX10" s="26">
        <f t="shared" si="1"/>
        <v>0</v>
      </c>
      <c r="AY10" s="26">
        <f t="shared" si="1"/>
        <v>0</v>
      </c>
      <c r="AZ10" s="26">
        <f t="shared" si="1"/>
        <v>0</v>
      </c>
      <c r="BA10" s="26">
        <f t="shared" si="1"/>
        <v>0</v>
      </c>
      <c r="BB10" s="26">
        <f t="shared" si="1"/>
        <v>2</v>
      </c>
      <c r="BC10" s="26">
        <f t="shared" si="1"/>
        <v>0</v>
      </c>
      <c r="BD10" s="26">
        <f t="shared" si="1"/>
        <v>0</v>
      </c>
      <c r="BE10" s="26">
        <f t="shared" si="1"/>
        <v>0</v>
      </c>
      <c r="BF10" s="26">
        <f t="shared" si="1"/>
        <v>0</v>
      </c>
      <c r="BG10" s="26">
        <f t="shared" si="1"/>
        <v>0</v>
      </c>
      <c r="BH10" s="26">
        <f t="shared" si="1"/>
        <v>0</v>
      </c>
      <c r="BI10" s="26">
        <f t="shared" si="1"/>
        <v>0</v>
      </c>
      <c r="BJ10" s="26">
        <f t="shared" si="1"/>
        <v>0</v>
      </c>
      <c r="BK10" t="s">
        <v>102</v>
      </c>
      <c r="BL10" s="184"/>
      <c r="BM10" s="184"/>
      <c r="BN10" s="184"/>
      <c r="BO10" s="184"/>
      <c r="BP10" s="184"/>
    </row>
    <row r="11" spans="1:71" s="183" customFormat="1" ht="11.25" customHeight="1" x14ac:dyDescent="0.25">
      <c r="A11" s="12"/>
      <c r="B11" s="12" t="s">
        <v>71</v>
      </c>
      <c r="C11" s="33" t="s">
        <v>446</v>
      </c>
      <c r="D11" s="263">
        <f>Assumptions!D119</f>
        <v>4550</v>
      </c>
      <c r="E11" s="389"/>
      <c r="F11" s="80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t="s">
        <v>102</v>
      </c>
    </row>
    <row r="12" spans="1:71" s="183" customFormat="1" ht="11.25" customHeight="1" x14ac:dyDescent="0.25">
      <c r="A12" s="12"/>
      <c r="B12" s="12" t="s">
        <v>71</v>
      </c>
      <c r="C12" s="33" t="s">
        <v>446</v>
      </c>
      <c r="D12" s="31"/>
      <c r="E12" s="389">
        <f t="shared" si="0"/>
        <v>9100</v>
      </c>
      <c r="F12" s="80" t="s">
        <v>26</v>
      </c>
      <c r="G12" s="1">
        <f>IF(G8=0,0,$D$11)</f>
        <v>0</v>
      </c>
      <c r="H12" s="1">
        <f t="shared" ref="H12:BJ12" si="2">IF(H8=0,0,$D$11)</f>
        <v>0</v>
      </c>
      <c r="I12" s="1">
        <f t="shared" si="2"/>
        <v>0</v>
      </c>
      <c r="J12" s="1">
        <f t="shared" si="2"/>
        <v>0</v>
      </c>
      <c r="K12" s="1">
        <f t="shared" si="2"/>
        <v>0</v>
      </c>
      <c r="L12" s="1">
        <f t="shared" si="2"/>
        <v>0</v>
      </c>
      <c r="M12" s="1">
        <f t="shared" si="2"/>
        <v>0</v>
      </c>
      <c r="N12" s="1">
        <f t="shared" si="2"/>
        <v>0</v>
      </c>
      <c r="O12" s="1">
        <f t="shared" si="2"/>
        <v>0</v>
      </c>
      <c r="P12" s="1">
        <f t="shared" si="2"/>
        <v>0</v>
      </c>
      <c r="Q12" s="1">
        <f t="shared" si="2"/>
        <v>0</v>
      </c>
      <c r="R12" s="1">
        <f t="shared" si="2"/>
        <v>0</v>
      </c>
      <c r="S12" s="1">
        <f t="shared" si="2"/>
        <v>0</v>
      </c>
      <c r="T12" s="1">
        <f t="shared" si="2"/>
        <v>0</v>
      </c>
      <c r="U12" s="1">
        <f t="shared" si="2"/>
        <v>0</v>
      </c>
      <c r="V12" s="1">
        <f t="shared" si="2"/>
        <v>0</v>
      </c>
      <c r="W12" s="1">
        <f t="shared" si="2"/>
        <v>0</v>
      </c>
      <c r="X12" s="1">
        <f t="shared" si="2"/>
        <v>0</v>
      </c>
      <c r="Y12" s="1">
        <f t="shared" si="2"/>
        <v>0</v>
      </c>
      <c r="Z12" s="1">
        <f t="shared" si="2"/>
        <v>0</v>
      </c>
      <c r="AA12" s="1">
        <f t="shared" si="2"/>
        <v>0</v>
      </c>
      <c r="AB12" s="1">
        <f t="shared" si="2"/>
        <v>0</v>
      </c>
      <c r="AC12" s="1">
        <f t="shared" si="2"/>
        <v>0</v>
      </c>
      <c r="AD12" s="1">
        <f t="shared" si="2"/>
        <v>0</v>
      </c>
      <c r="AE12" s="1">
        <f t="shared" si="2"/>
        <v>0</v>
      </c>
      <c r="AF12" s="1">
        <f t="shared" si="2"/>
        <v>0</v>
      </c>
      <c r="AG12" s="1">
        <f t="shared" si="2"/>
        <v>0</v>
      </c>
      <c r="AH12" s="1">
        <f t="shared" si="2"/>
        <v>0</v>
      </c>
      <c r="AI12" s="1">
        <f t="shared" si="2"/>
        <v>0</v>
      </c>
      <c r="AJ12" s="1">
        <f t="shared" si="2"/>
        <v>0</v>
      </c>
      <c r="AK12" s="1">
        <f t="shared" si="2"/>
        <v>0</v>
      </c>
      <c r="AL12" s="1">
        <f t="shared" si="2"/>
        <v>4550</v>
      </c>
      <c r="AM12" s="1">
        <f t="shared" si="2"/>
        <v>0</v>
      </c>
      <c r="AN12" s="1">
        <f t="shared" si="2"/>
        <v>0</v>
      </c>
      <c r="AO12" s="1">
        <f t="shared" si="2"/>
        <v>0</v>
      </c>
      <c r="AP12" s="1">
        <f t="shared" si="2"/>
        <v>0</v>
      </c>
      <c r="AQ12" s="1">
        <f t="shared" si="2"/>
        <v>0</v>
      </c>
      <c r="AR12" s="1">
        <f t="shared" si="2"/>
        <v>0</v>
      </c>
      <c r="AS12" s="1">
        <f t="shared" si="2"/>
        <v>0</v>
      </c>
      <c r="AT12" s="1">
        <f t="shared" si="2"/>
        <v>0</v>
      </c>
      <c r="AU12" s="1">
        <f t="shared" si="2"/>
        <v>0</v>
      </c>
      <c r="AV12" s="1">
        <f t="shared" si="2"/>
        <v>0</v>
      </c>
      <c r="AW12" s="1">
        <f t="shared" si="2"/>
        <v>0</v>
      </c>
      <c r="AX12" s="1">
        <f t="shared" si="2"/>
        <v>0</v>
      </c>
      <c r="AY12" s="1">
        <f t="shared" si="2"/>
        <v>0</v>
      </c>
      <c r="AZ12" s="1">
        <f t="shared" si="2"/>
        <v>0</v>
      </c>
      <c r="BA12" s="1">
        <f t="shared" si="2"/>
        <v>0</v>
      </c>
      <c r="BB12" s="1">
        <f t="shared" si="2"/>
        <v>4550</v>
      </c>
      <c r="BC12" s="1">
        <f t="shared" si="2"/>
        <v>0</v>
      </c>
      <c r="BD12" s="1">
        <f t="shared" si="2"/>
        <v>0</v>
      </c>
      <c r="BE12" s="1">
        <f t="shared" si="2"/>
        <v>0</v>
      </c>
      <c r="BF12" s="1">
        <f t="shared" si="2"/>
        <v>0</v>
      </c>
      <c r="BG12" s="1">
        <f t="shared" si="2"/>
        <v>0</v>
      </c>
      <c r="BH12" s="1">
        <f t="shared" si="2"/>
        <v>0</v>
      </c>
      <c r="BI12" s="1">
        <f t="shared" si="2"/>
        <v>0</v>
      </c>
      <c r="BJ12" s="1">
        <f t="shared" si="2"/>
        <v>0</v>
      </c>
      <c r="BK12" t="s">
        <v>102</v>
      </c>
      <c r="BL12" s="185"/>
      <c r="BM12" s="185"/>
      <c r="BN12" s="185"/>
      <c r="BO12" s="185"/>
      <c r="BP12" s="185"/>
    </row>
    <row r="13" spans="1:71" s="183" customFormat="1" ht="11.25" customHeight="1" x14ac:dyDescent="0.25">
      <c r="A13" s="12" t="s">
        <v>26</v>
      </c>
      <c r="B13" s="222" t="s">
        <v>157</v>
      </c>
      <c r="C13" s="225" t="s">
        <v>1</v>
      </c>
      <c r="D13" s="222"/>
      <c r="E13" s="395">
        <f>SUM(G13:BJ13)</f>
        <v>14274.304965395349</v>
      </c>
      <c r="F13" s="307" t="s">
        <v>26</v>
      </c>
      <c r="G13" s="224">
        <f>G12*G7</f>
        <v>0</v>
      </c>
      <c r="H13" s="224">
        <f t="shared" ref="H13:BJ13" si="3">H12*H7</f>
        <v>0</v>
      </c>
      <c r="I13" s="224">
        <f t="shared" si="3"/>
        <v>0</v>
      </c>
      <c r="J13" s="224">
        <f t="shared" si="3"/>
        <v>0</v>
      </c>
      <c r="K13" s="224">
        <f t="shared" si="3"/>
        <v>0</v>
      </c>
      <c r="L13" s="224">
        <f t="shared" si="3"/>
        <v>0</v>
      </c>
      <c r="M13" s="224">
        <f t="shared" si="3"/>
        <v>0</v>
      </c>
      <c r="N13" s="224">
        <f t="shared" si="3"/>
        <v>0</v>
      </c>
      <c r="O13" s="224">
        <f t="shared" si="3"/>
        <v>0</v>
      </c>
      <c r="P13" s="224">
        <f t="shared" si="3"/>
        <v>0</v>
      </c>
      <c r="Q13" s="224">
        <f t="shared" si="3"/>
        <v>0</v>
      </c>
      <c r="R13" s="224">
        <f t="shared" si="3"/>
        <v>0</v>
      </c>
      <c r="S13" s="224">
        <f t="shared" si="3"/>
        <v>0</v>
      </c>
      <c r="T13" s="224">
        <f t="shared" si="3"/>
        <v>0</v>
      </c>
      <c r="U13" s="224">
        <f t="shared" si="3"/>
        <v>0</v>
      </c>
      <c r="V13" s="224">
        <f t="shared" si="3"/>
        <v>0</v>
      </c>
      <c r="W13" s="224">
        <f t="shared" si="3"/>
        <v>0</v>
      </c>
      <c r="X13" s="224">
        <f t="shared" si="3"/>
        <v>0</v>
      </c>
      <c r="Y13" s="224">
        <f t="shared" si="3"/>
        <v>0</v>
      </c>
      <c r="Z13" s="224">
        <f t="shared" si="3"/>
        <v>0</v>
      </c>
      <c r="AA13" s="224">
        <f t="shared" si="3"/>
        <v>0</v>
      </c>
      <c r="AB13" s="224">
        <f t="shared" si="3"/>
        <v>0</v>
      </c>
      <c r="AC13" s="224">
        <f t="shared" si="3"/>
        <v>0</v>
      </c>
      <c r="AD13" s="224">
        <f t="shared" si="3"/>
        <v>0</v>
      </c>
      <c r="AE13" s="224">
        <f t="shared" si="3"/>
        <v>0</v>
      </c>
      <c r="AF13" s="224">
        <f t="shared" si="3"/>
        <v>0</v>
      </c>
      <c r="AG13" s="224">
        <f t="shared" si="3"/>
        <v>0</v>
      </c>
      <c r="AH13" s="224">
        <f t="shared" si="3"/>
        <v>0</v>
      </c>
      <c r="AI13" s="224">
        <f t="shared" si="3"/>
        <v>0</v>
      </c>
      <c r="AJ13" s="224">
        <f t="shared" si="3"/>
        <v>0</v>
      </c>
      <c r="AK13" s="224">
        <f t="shared" si="3"/>
        <v>0</v>
      </c>
      <c r="AL13" s="224">
        <f t="shared" si="3"/>
        <v>6365.6924570898354</v>
      </c>
      <c r="AM13" s="224">
        <f t="shared" si="3"/>
        <v>0</v>
      </c>
      <c r="AN13" s="224">
        <f t="shared" si="3"/>
        <v>0</v>
      </c>
      <c r="AO13" s="224">
        <f t="shared" si="3"/>
        <v>0</v>
      </c>
      <c r="AP13" s="224">
        <f t="shared" si="3"/>
        <v>0</v>
      </c>
      <c r="AQ13" s="224">
        <f t="shared" si="3"/>
        <v>0</v>
      </c>
      <c r="AR13" s="224">
        <f t="shared" si="3"/>
        <v>0</v>
      </c>
      <c r="AS13" s="224">
        <f t="shared" si="3"/>
        <v>0</v>
      </c>
      <c r="AT13" s="224">
        <f t="shared" si="3"/>
        <v>0</v>
      </c>
      <c r="AU13" s="224">
        <f t="shared" si="3"/>
        <v>0</v>
      </c>
      <c r="AV13" s="224">
        <f t="shared" si="3"/>
        <v>0</v>
      </c>
      <c r="AW13" s="224">
        <f t="shared" si="3"/>
        <v>0</v>
      </c>
      <c r="AX13" s="224">
        <f t="shared" si="3"/>
        <v>0</v>
      </c>
      <c r="AY13" s="224">
        <f t="shared" si="3"/>
        <v>0</v>
      </c>
      <c r="AZ13" s="224">
        <f t="shared" si="3"/>
        <v>0</v>
      </c>
      <c r="BA13" s="224">
        <f t="shared" si="3"/>
        <v>0</v>
      </c>
      <c r="BB13" s="224">
        <f t="shared" si="3"/>
        <v>7908.612508305514</v>
      </c>
      <c r="BC13" s="224">
        <f t="shared" si="3"/>
        <v>0</v>
      </c>
      <c r="BD13" s="224">
        <f t="shared" si="3"/>
        <v>0</v>
      </c>
      <c r="BE13" s="224">
        <f t="shared" si="3"/>
        <v>0</v>
      </c>
      <c r="BF13" s="224">
        <f t="shared" si="3"/>
        <v>0</v>
      </c>
      <c r="BG13" s="224">
        <f t="shared" si="3"/>
        <v>0</v>
      </c>
      <c r="BH13" s="224">
        <f t="shared" si="3"/>
        <v>0</v>
      </c>
      <c r="BI13" s="224">
        <f t="shared" si="3"/>
        <v>0</v>
      </c>
      <c r="BJ13" s="224">
        <f t="shared" si="3"/>
        <v>0</v>
      </c>
      <c r="BK13" t="s">
        <v>102</v>
      </c>
      <c r="BL13" s="187"/>
      <c r="BM13" s="187"/>
      <c r="BN13" s="187"/>
      <c r="BO13" s="187"/>
      <c r="BP13" s="187"/>
    </row>
    <row r="14" spans="1:71" ht="11.25" customHeight="1" x14ac:dyDescent="0.25">
      <c r="E14" s="394"/>
      <c r="BK14" t="s">
        <v>102</v>
      </c>
    </row>
    <row r="15" spans="1:71" s="183" customFormat="1" ht="11.25" customHeight="1" x14ac:dyDescent="0.25">
      <c r="A15" s="12"/>
      <c r="B15" s="12"/>
      <c r="C15" s="12"/>
      <c r="D15" s="12"/>
      <c r="E15" s="389"/>
      <c r="F15" s="80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t="s">
        <v>102</v>
      </c>
    </row>
    <row r="16" spans="1:71" s="183" customFormat="1" ht="11.25" customHeight="1" x14ac:dyDescent="0.25">
      <c r="A16" s="12" t="s">
        <v>26</v>
      </c>
      <c r="B16" s="12" t="s">
        <v>70</v>
      </c>
      <c r="C16" s="22" t="s">
        <v>108</v>
      </c>
      <c r="D16" s="12"/>
      <c r="E16" s="389">
        <f t="shared" ref="E16" si="4">SUM(G16:BJ16)</f>
        <v>308</v>
      </c>
      <c r="F16" s="80" t="s">
        <v>26</v>
      </c>
      <c r="G16" s="26">
        <f>G10</f>
        <v>0</v>
      </c>
      <c r="H16" s="26">
        <f>'Time &amp; Technical'!H150</f>
        <v>0</v>
      </c>
      <c r="I16" s="26">
        <f>'Time &amp; Technical'!I150</f>
        <v>0</v>
      </c>
      <c r="J16" s="26">
        <f>'Time &amp; Technical'!J150</f>
        <v>0</v>
      </c>
      <c r="K16" s="26">
        <f>'Time &amp; Technical'!K150</f>
        <v>0</v>
      </c>
      <c r="L16" s="26">
        <f>'Time &amp; Technical'!L150</f>
        <v>0</v>
      </c>
      <c r="M16" s="26">
        <f>'Time &amp; Technical'!M150</f>
        <v>0</v>
      </c>
      <c r="N16" s="26">
        <f>'Time &amp; Technical'!N150</f>
        <v>0</v>
      </c>
      <c r="O16" s="26">
        <f>'Time &amp; Technical'!O150</f>
        <v>0</v>
      </c>
      <c r="P16" s="26">
        <f>'Time &amp; Technical'!P150</f>
        <v>0</v>
      </c>
      <c r="Q16" s="26">
        <f>'Time &amp; Technical'!Q150</f>
        <v>0</v>
      </c>
      <c r="R16" s="26">
        <f>'Time &amp; Technical'!R150</f>
        <v>0</v>
      </c>
      <c r="S16" s="26">
        <f>'Time &amp; Technical'!S150</f>
        <v>0</v>
      </c>
      <c r="T16" s="26">
        <f>'Time &amp; Technical'!T150</f>
        <v>0</v>
      </c>
      <c r="U16" s="26">
        <f>'Time &amp; Technical'!U150</f>
        <v>0</v>
      </c>
      <c r="V16" s="26">
        <f>'Time &amp; Technical'!V150</f>
        <v>0</v>
      </c>
      <c r="W16" s="26">
        <f>'Time &amp; Technical'!W150</f>
        <v>1</v>
      </c>
      <c r="X16" s="26">
        <f>'Time &amp; Technical'!X150</f>
        <v>2</v>
      </c>
      <c r="Y16" s="26">
        <f>'Time &amp; Technical'!Y150</f>
        <v>3</v>
      </c>
      <c r="Z16" s="26">
        <f>'Time &amp; Technical'!Z150</f>
        <v>4</v>
      </c>
      <c r="AA16" s="26">
        <f>'Time &amp; Technical'!AA150</f>
        <v>5</v>
      </c>
      <c r="AB16" s="26">
        <f>'Time &amp; Technical'!AB150</f>
        <v>6</v>
      </c>
      <c r="AC16" s="26">
        <f>'Time &amp; Technical'!AC150</f>
        <v>7</v>
      </c>
      <c r="AD16" s="26">
        <f>'Time &amp; Technical'!AD150</f>
        <v>8</v>
      </c>
      <c r="AE16" s="26">
        <f>'Time &amp; Technical'!AE150</f>
        <v>9</v>
      </c>
      <c r="AF16" s="26">
        <f>'Time &amp; Technical'!AF150</f>
        <v>10</v>
      </c>
      <c r="AG16" s="26">
        <f>'Time &amp; Technical'!AG150</f>
        <v>11</v>
      </c>
      <c r="AH16" s="26">
        <f>'Time &amp; Technical'!AH150</f>
        <v>12</v>
      </c>
      <c r="AI16" s="26">
        <f>'Time &amp; Technical'!AI150</f>
        <v>13</v>
      </c>
      <c r="AJ16" s="26">
        <f>'Time &amp; Technical'!AJ150</f>
        <v>14</v>
      </c>
      <c r="AK16" s="26">
        <f>'Time &amp; Technical'!AK150</f>
        <v>15</v>
      </c>
      <c r="AL16" s="26">
        <f>'Time &amp; Technical'!AL150</f>
        <v>16</v>
      </c>
      <c r="AM16" s="26">
        <f>'Time &amp; Technical'!AM150</f>
        <v>1</v>
      </c>
      <c r="AN16" s="26">
        <f>'Time &amp; Technical'!AN150</f>
        <v>2</v>
      </c>
      <c r="AO16" s="26">
        <f>'Time &amp; Technical'!AO150</f>
        <v>3</v>
      </c>
      <c r="AP16" s="26">
        <f>'Time &amp; Technical'!AP150</f>
        <v>4</v>
      </c>
      <c r="AQ16" s="26">
        <f>'Time &amp; Technical'!AQ150</f>
        <v>5</v>
      </c>
      <c r="AR16" s="26">
        <f>'Time &amp; Technical'!AR150</f>
        <v>6</v>
      </c>
      <c r="AS16" s="26">
        <f>'Time &amp; Technical'!AS150</f>
        <v>7</v>
      </c>
      <c r="AT16" s="26">
        <f>'Time &amp; Technical'!AT150</f>
        <v>8</v>
      </c>
      <c r="AU16" s="26">
        <f>'Time &amp; Technical'!AU150</f>
        <v>9</v>
      </c>
      <c r="AV16" s="26">
        <f>'Time &amp; Technical'!AV150</f>
        <v>10</v>
      </c>
      <c r="AW16" s="26">
        <f>'Time &amp; Technical'!AW150</f>
        <v>11</v>
      </c>
      <c r="AX16" s="26">
        <f>'Time &amp; Technical'!AX150</f>
        <v>12</v>
      </c>
      <c r="AY16" s="26">
        <f>'Time &amp; Technical'!AY150</f>
        <v>13</v>
      </c>
      <c r="AZ16" s="26">
        <f>'Time &amp; Technical'!AZ150</f>
        <v>14</v>
      </c>
      <c r="BA16" s="26">
        <f>'Time &amp; Technical'!BA150</f>
        <v>15</v>
      </c>
      <c r="BB16" s="26">
        <f>'Time &amp; Technical'!BB150</f>
        <v>16</v>
      </c>
      <c r="BC16" s="26">
        <f>'Time &amp; Technical'!BC150</f>
        <v>1</v>
      </c>
      <c r="BD16" s="26">
        <f>'Time &amp; Technical'!BD150</f>
        <v>2</v>
      </c>
      <c r="BE16" s="26">
        <f>'Time &amp; Technical'!BE150</f>
        <v>3</v>
      </c>
      <c r="BF16" s="26">
        <f>'Time &amp; Technical'!BF150</f>
        <v>4</v>
      </c>
      <c r="BG16" s="26">
        <f>'Time &amp; Technical'!BG150</f>
        <v>5</v>
      </c>
      <c r="BH16" s="26">
        <f>'Time &amp; Technical'!BH150</f>
        <v>6</v>
      </c>
      <c r="BI16" s="26">
        <f>'Time &amp; Technical'!BI150</f>
        <v>7</v>
      </c>
      <c r="BJ16" s="26">
        <f>'Time &amp; Technical'!BJ150</f>
        <v>8</v>
      </c>
      <c r="BK16" t="s">
        <v>102</v>
      </c>
      <c r="BL16" s="184"/>
      <c r="BM16" s="184"/>
      <c r="BN16" s="184"/>
      <c r="BO16" s="184"/>
      <c r="BP16" s="184"/>
    </row>
    <row r="17" spans="1:68" s="185" customFormat="1" ht="11.25" customHeight="1" x14ac:dyDescent="0.25">
      <c r="A17" s="12"/>
      <c r="B17" s="12" t="s">
        <v>49</v>
      </c>
      <c r="C17" s="22" t="s">
        <v>15</v>
      </c>
      <c r="D17" s="263">
        <f>Assumptions!D120</f>
        <v>16</v>
      </c>
      <c r="E17" s="389"/>
      <c r="F17" s="80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t="s">
        <v>102</v>
      </c>
    </row>
    <row r="18" spans="1:68" s="183" customFormat="1" ht="11.25" customHeight="1" x14ac:dyDescent="0.25">
      <c r="A18" s="12"/>
      <c r="B18" s="12" t="s">
        <v>431</v>
      </c>
      <c r="C18" s="12"/>
      <c r="D18" s="12"/>
      <c r="E18" s="389">
        <f t="shared" ref="E18:E20" si="5">SUM(G18:BJ18)</f>
        <v>0</v>
      </c>
      <c r="F18" s="80" t="s">
        <v>26</v>
      </c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t="s">
        <v>102</v>
      </c>
    </row>
    <row r="19" spans="1:68" s="185" customFormat="1" ht="11.25" customHeight="1" x14ac:dyDescent="0.25">
      <c r="A19" s="12"/>
      <c r="B19" s="12" t="s">
        <v>158</v>
      </c>
      <c r="C19" s="22" t="s">
        <v>1</v>
      </c>
      <c r="D19" s="12"/>
      <c r="E19" s="389">
        <f t="shared" ca="1" si="5"/>
        <v>14274.304965395357</v>
      </c>
      <c r="F19" s="80" t="s">
        <v>26</v>
      </c>
      <c r="G19" s="23">
        <f t="shared" ref="G19" ca="1" si="6">IF(G16&gt;0,SUM(OFFSET(G13,0,0,1,$D$17))/$D$17,0)</f>
        <v>0</v>
      </c>
      <c r="H19" s="23">
        <f ca="1">IF(H16&gt;0,SUM(OFFSET(H13,0,0,1,$D$17))/$D$17,0)</f>
        <v>0</v>
      </c>
      <c r="I19" s="23">
        <f t="shared" ref="I19:BJ19" ca="1" si="7">IF(I16&gt;0,SUM(OFFSET(I13,0,0,1,$D$17))/$D$17,0)</f>
        <v>0</v>
      </c>
      <c r="J19" s="23">
        <f t="shared" ca="1" si="7"/>
        <v>0</v>
      </c>
      <c r="K19" s="23">
        <f t="shared" ca="1" si="7"/>
        <v>0</v>
      </c>
      <c r="L19" s="23">
        <f t="shared" ca="1" si="7"/>
        <v>0</v>
      </c>
      <c r="M19" s="23">
        <f t="shared" ca="1" si="7"/>
        <v>0</v>
      </c>
      <c r="N19" s="23">
        <f t="shared" ca="1" si="7"/>
        <v>0</v>
      </c>
      <c r="O19" s="23">
        <f t="shared" ca="1" si="7"/>
        <v>0</v>
      </c>
      <c r="P19" s="23">
        <f t="shared" ca="1" si="7"/>
        <v>0</v>
      </c>
      <c r="Q19" s="23">
        <f t="shared" ca="1" si="7"/>
        <v>0</v>
      </c>
      <c r="R19" s="23">
        <f t="shared" ca="1" si="7"/>
        <v>0</v>
      </c>
      <c r="S19" s="23">
        <f t="shared" ca="1" si="7"/>
        <v>0</v>
      </c>
      <c r="T19" s="23">
        <f t="shared" ca="1" si="7"/>
        <v>0</v>
      </c>
      <c r="U19" s="23">
        <f t="shared" ca="1" si="7"/>
        <v>0</v>
      </c>
      <c r="V19" s="23">
        <f t="shared" ca="1" si="7"/>
        <v>0</v>
      </c>
      <c r="W19" s="23">
        <f t="shared" ca="1" si="7"/>
        <v>397.85577856811472</v>
      </c>
      <c r="X19" s="23">
        <f t="shared" ca="1" si="7"/>
        <v>397.85577856811472</v>
      </c>
      <c r="Y19" s="23">
        <f t="shared" ca="1" si="7"/>
        <v>397.85577856811472</v>
      </c>
      <c r="Z19" s="23">
        <f t="shared" ca="1" si="7"/>
        <v>397.85577856811472</v>
      </c>
      <c r="AA19" s="23">
        <f t="shared" ca="1" si="7"/>
        <v>397.85577856811472</v>
      </c>
      <c r="AB19" s="23">
        <f t="shared" ca="1" si="7"/>
        <v>397.85577856811472</v>
      </c>
      <c r="AC19" s="23">
        <f t="shared" ca="1" si="7"/>
        <v>397.85577856811472</v>
      </c>
      <c r="AD19" s="23">
        <f t="shared" ca="1" si="7"/>
        <v>397.85577856811472</v>
      </c>
      <c r="AE19" s="23">
        <f t="shared" ca="1" si="7"/>
        <v>397.85577856811472</v>
      </c>
      <c r="AF19" s="23">
        <f t="shared" ca="1" si="7"/>
        <v>397.85577856811472</v>
      </c>
      <c r="AG19" s="23">
        <f t="shared" ca="1" si="7"/>
        <v>397.85577856811472</v>
      </c>
      <c r="AH19" s="23">
        <f t="shared" ca="1" si="7"/>
        <v>397.85577856811472</v>
      </c>
      <c r="AI19" s="23">
        <f t="shared" ca="1" si="7"/>
        <v>397.85577856811472</v>
      </c>
      <c r="AJ19" s="23">
        <f t="shared" ca="1" si="7"/>
        <v>397.85577856811472</v>
      </c>
      <c r="AK19" s="23">
        <f t="shared" ca="1" si="7"/>
        <v>397.85577856811472</v>
      </c>
      <c r="AL19" s="23">
        <f t="shared" ca="1" si="7"/>
        <v>397.85577856811472</v>
      </c>
      <c r="AM19" s="23">
        <f t="shared" ca="1" si="7"/>
        <v>494.28828176909462</v>
      </c>
      <c r="AN19" s="23">
        <f t="shared" ca="1" si="7"/>
        <v>494.28828176909462</v>
      </c>
      <c r="AO19" s="23">
        <f t="shared" ca="1" si="7"/>
        <v>494.28828176909462</v>
      </c>
      <c r="AP19" s="23">
        <f t="shared" ca="1" si="7"/>
        <v>494.28828176909462</v>
      </c>
      <c r="AQ19" s="23">
        <f t="shared" ca="1" si="7"/>
        <v>494.28828176909462</v>
      </c>
      <c r="AR19" s="23">
        <f t="shared" ca="1" si="7"/>
        <v>494.28828176909462</v>
      </c>
      <c r="AS19" s="23">
        <f t="shared" ca="1" si="7"/>
        <v>494.28828176909462</v>
      </c>
      <c r="AT19" s="23">
        <f t="shared" ca="1" si="7"/>
        <v>494.28828176909462</v>
      </c>
      <c r="AU19" s="23">
        <f t="shared" ca="1" si="7"/>
        <v>494.28828176909462</v>
      </c>
      <c r="AV19" s="23">
        <f t="shared" ca="1" si="7"/>
        <v>494.28828176909462</v>
      </c>
      <c r="AW19" s="23">
        <f t="shared" ca="1" si="7"/>
        <v>494.28828176909462</v>
      </c>
      <c r="AX19" s="23">
        <f t="shared" ca="1" si="7"/>
        <v>494.28828176909462</v>
      </c>
      <c r="AY19" s="23">
        <f t="shared" ca="1" si="7"/>
        <v>494.28828176909462</v>
      </c>
      <c r="AZ19" s="23">
        <f t="shared" ca="1" si="7"/>
        <v>494.28828176909462</v>
      </c>
      <c r="BA19" s="23">
        <f t="shared" ca="1" si="7"/>
        <v>494.28828176909462</v>
      </c>
      <c r="BB19" s="23">
        <f t="shared" ca="1" si="7"/>
        <v>494.28828176909462</v>
      </c>
      <c r="BC19" s="23">
        <f t="shared" ca="1" si="7"/>
        <v>0</v>
      </c>
      <c r="BD19" s="23">
        <f t="shared" ca="1" si="7"/>
        <v>0</v>
      </c>
      <c r="BE19" s="23">
        <f t="shared" ca="1" si="7"/>
        <v>0</v>
      </c>
      <c r="BF19" s="23">
        <f t="shared" ca="1" si="7"/>
        <v>0</v>
      </c>
      <c r="BG19" s="23">
        <f t="shared" ca="1" si="7"/>
        <v>0</v>
      </c>
      <c r="BH19" s="23">
        <f t="shared" ca="1" si="7"/>
        <v>0</v>
      </c>
      <c r="BI19" s="23">
        <f t="shared" ca="1" si="7"/>
        <v>0</v>
      </c>
      <c r="BJ19" s="23">
        <f t="shared" ca="1" si="7"/>
        <v>0</v>
      </c>
      <c r="BK19" t="s">
        <v>102</v>
      </c>
    </row>
    <row r="20" spans="1:68" s="183" customFormat="1" ht="11.25" customHeight="1" x14ac:dyDescent="0.25">
      <c r="A20" s="12" t="s">
        <v>26</v>
      </c>
      <c r="B20" s="12" t="s">
        <v>415</v>
      </c>
      <c r="C20" s="22" t="s">
        <v>1</v>
      </c>
      <c r="D20" s="12"/>
      <c r="E20" s="389">
        <f t="shared" ca="1" si="5"/>
        <v>107057.28724046511</v>
      </c>
      <c r="F20" s="80" t="s">
        <v>26</v>
      </c>
      <c r="G20" s="1">
        <f t="shared" ref="G20" ca="1" si="8">IF(G16&lt;$D$17,G19*G16,0)</f>
        <v>0</v>
      </c>
      <c r="H20" s="1">
        <f ca="1">IF(H16&lt;$D$17,H19*H16,0)</f>
        <v>0</v>
      </c>
      <c r="I20" s="1">
        <f t="shared" ref="I20:BJ20" ca="1" si="9">IF(I16&lt;$D$17,I19*I16,0)</f>
        <v>0</v>
      </c>
      <c r="J20" s="1">
        <f t="shared" ca="1" si="9"/>
        <v>0</v>
      </c>
      <c r="K20" s="1">
        <f t="shared" ca="1" si="9"/>
        <v>0</v>
      </c>
      <c r="L20" s="1">
        <f t="shared" ca="1" si="9"/>
        <v>0</v>
      </c>
      <c r="M20" s="1">
        <f t="shared" ca="1" si="9"/>
        <v>0</v>
      </c>
      <c r="N20" s="1">
        <f t="shared" ca="1" si="9"/>
        <v>0</v>
      </c>
      <c r="O20" s="1">
        <f t="shared" ca="1" si="9"/>
        <v>0</v>
      </c>
      <c r="P20" s="1">
        <f t="shared" ca="1" si="9"/>
        <v>0</v>
      </c>
      <c r="Q20" s="1">
        <f t="shared" ca="1" si="9"/>
        <v>0</v>
      </c>
      <c r="R20" s="1">
        <f t="shared" ca="1" si="9"/>
        <v>0</v>
      </c>
      <c r="S20" s="1">
        <f t="shared" ca="1" si="9"/>
        <v>0</v>
      </c>
      <c r="T20" s="1">
        <f t="shared" ca="1" si="9"/>
        <v>0</v>
      </c>
      <c r="U20" s="1">
        <f t="shared" ca="1" si="9"/>
        <v>0</v>
      </c>
      <c r="V20" s="1">
        <f t="shared" ca="1" si="9"/>
        <v>0</v>
      </c>
      <c r="W20" s="1">
        <f t="shared" ca="1" si="9"/>
        <v>397.85577856811472</v>
      </c>
      <c r="X20" s="1">
        <f t="shared" ca="1" si="9"/>
        <v>795.71155713622943</v>
      </c>
      <c r="Y20" s="1">
        <f t="shared" ca="1" si="9"/>
        <v>1193.5673357043443</v>
      </c>
      <c r="Z20" s="1">
        <f t="shared" ca="1" si="9"/>
        <v>1591.4231142724589</v>
      </c>
      <c r="AA20" s="1">
        <f t="shared" ca="1" si="9"/>
        <v>1989.2788928405735</v>
      </c>
      <c r="AB20" s="1">
        <f t="shared" ca="1" si="9"/>
        <v>2387.1346714086885</v>
      </c>
      <c r="AC20" s="1">
        <f t="shared" ca="1" si="9"/>
        <v>2784.9904499768031</v>
      </c>
      <c r="AD20" s="1">
        <f t="shared" ca="1" si="9"/>
        <v>3182.8462285449177</v>
      </c>
      <c r="AE20" s="1">
        <f t="shared" ca="1" si="9"/>
        <v>3580.7020071130323</v>
      </c>
      <c r="AF20" s="1">
        <f t="shared" ca="1" si="9"/>
        <v>3978.5577856811469</v>
      </c>
      <c r="AG20" s="1">
        <f t="shared" ca="1" si="9"/>
        <v>4376.413564249262</v>
      </c>
      <c r="AH20" s="1">
        <f t="shared" ca="1" si="9"/>
        <v>4774.269342817377</v>
      </c>
      <c r="AI20" s="1">
        <f t="shared" ca="1" si="9"/>
        <v>5172.1251213854912</v>
      </c>
      <c r="AJ20" s="1">
        <f t="shared" ca="1" si="9"/>
        <v>5569.9808999536062</v>
      </c>
      <c r="AK20" s="1">
        <f t="shared" ca="1" si="9"/>
        <v>5967.8366785217204</v>
      </c>
      <c r="AL20" s="1">
        <f t="shared" si="9"/>
        <v>0</v>
      </c>
      <c r="AM20" s="1">
        <f t="shared" ca="1" si="9"/>
        <v>494.28828176909462</v>
      </c>
      <c r="AN20" s="1">
        <f t="shared" ca="1" si="9"/>
        <v>988.57656353818925</v>
      </c>
      <c r="AO20" s="1">
        <f t="shared" ca="1" si="9"/>
        <v>1482.8648453072838</v>
      </c>
      <c r="AP20" s="1">
        <f t="shared" ca="1" si="9"/>
        <v>1977.1531270763785</v>
      </c>
      <c r="AQ20" s="1">
        <f t="shared" ca="1" si="9"/>
        <v>2471.4414088454732</v>
      </c>
      <c r="AR20" s="1">
        <f t="shared" ca="1" si="9"/>
        <v>2965.7296906145675</v>
      </c>
      <c r="AS20" s="1">
        <f t="shared" ca="1" si="9"/>
        <v>3460.0179723836623</v>
      </c>
      <c r="AT20" s="1">
        <f t="shared" ca="1" si="9"/>
        <v>3954.306254152757</v>
      </c>
      <c r="AU20" s="1">
        <f t="shared" ca="1" si="9"/>
        <v>4448.5945359218513</v>
      </c>
      <c r="AV20" s="1">
        <f t="shared" ca="1" si="9"/>
        <v>4942.8828176909465</v>
      </c>
      <c r="AW20" s="1">
        <f t="shared" ca="1" si="9"/>
        <v>5437.1710994600408</v>
      </c>
      <c r="AX20" s="1">
        <f t="shared" ca="1" si="9"/>
        <v>5931.459381229135</v>
      </c>
      <c r="AY20" s="1">
        <f t="shared" ca="1" si="9"/>
        <v>6425.7476629982302</v>
      </c>
      <c r="AZ20" s="1">
        <f t="shared" ca="1" si="9"/>
        <v>6920.0359447673245</v>
      </c>
      <c r="BA20" s="1">
        <f t="shared" ca="1" si="9"/>
        <v>7414.3242265364197</v>
      </c>
      <c r="BB20" s="1">
        <f t="shared" si="9"/>
        <v>0</v>
      </c>
      <c r="BC20" s="1">
        <f t="shared" ca="1" si="9"/>
        <v>0</v>
      </c>
      <c r="BD20" s="1">
        <f t="shared" ca="1" si="9"/>
        <v>0</v>
      </c>
      <c r="BE20" s="1">
        <f t="shared" ca="1" si="9"/>
        <v>0</v>
      </c>
      <c r="BF20" s="1">
        <f t="shared" ca="1" si="9"/>
        <v>0</v>
      </c>
      <c r="BG20" s="1">
        <f t="shared" ca="1" si="9"/>
        <v>0</v>
      </c>
      <c r="BH20" s="1">
        <f t="shared" ca="1" si="9"/>
        <v>0</v>
      </c>
      <c r="BI20" s="1">
        <f t="shared" ca="1" si="9"/>
        <v>0</v>
      </c>
      <c r="BJ20" s="1">
        <f t="shared" ca="1" si="9"/>
        <v>0</v>
      </c>
      <c r="BK20" t="s">
        <v>102</v>
      </c>
      <c r="BL20" s="185"/>
      <c r="BM20" s="185"/>
      <c r="BN20" s="185"/>
      <c r="BO20" s="185"/>
      <c r="BP20" s="185"/>
    </row>
    <row r="21" spans="1:68" ht="11.25" customHeight="1" x14ac:dyDescent="0.25">
      <c r="A21" s="12"/>
      <c r="B21" s="12"/>
      <c r="C21" s="12"/>
      <c r="D21" s="12"/>
      <c r="E21" s="23"/>
      <c r="F21" s="80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t="s">
        <v>102</v>
      </c>
      <c r="BL21" s="183"/>
      <c r="BM21" s="183"/>
      <c r="BN21" s="183"/>
      <c r="BO21" s="183"/>
      <c r="BP21" s="183"/>
    </row>
    <row r="22" spans="1:68" ht="11.25" customHeight="1" x14ac:dyDescent="0.25">
      <c r="A22" s="12"/>
      <c r="B22" s="12"/>
      <c r="C22" s="12"/>
      <c r="D22" s="12"/>
      <c r="E22" s="12"/>
      <c r="F22" s="80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t="s">
        <v>102</v>
      </c>
    </row>
    <row r="23" spans="1:68" ht="11.25" customHeight="1" x14ac:dyDescent="0.25">
      <c r="A23" s="12"/>
      <c r="B23" s="12"/>
      <c r="C23" s="12"/>
      <c r="D23" s="12"/>
      <c r="E23" s="12"/>
      <c r="F23" s="80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t="s">
        <v>102</v>
      </c>
    </row>
    <row r="24" spans="1:68" ht="11.25" customHeight="1" x14ac:dyDescent="0.25">
      <c r="A24" s="12"/>
      <c r="B24" s="12"/>
      <c r="C24" s="12"/>
      <c r="D24" s="12"/>
      <c r="E24" s="12"/>
      <c r="F24" s="80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t="s">
        <v>102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8" tint="0.79998168889431442"/>
  </sheetPr>
  <dimension ref="A1:BK88"/>
  <sheetViews>
    <sheetView zoomScale="150" zoomScaleNormal="110" workbookViewId="0">
      <selection activeCell="H38" sqref="H38"/>
    </sheetView>
  </sheetViews>
  <sheetFormatPr defaultColWidth="8.7109375" defaultRowHeight="11.25" customHeight="1" x14ac:dyDescent="0.25"/>
  <cols>
    <col min="1" max="1" width="1.7109375" style="12" customWidth="1"/>
    <col min="2" max="2" width="24.7109375" style="12" customWidth="1"/>
    <col min="3" max="3" width="11.7109375" style="22" customWidth="1"/>
    <col min="4" max="4" width="9.140625" style="12" customWidth="1"/>
    <col min="5" max="5" width="10.7109375" style="389" customWidth="1"/>
    <col min="6" max="6" width="1.7109375" style="80" customWidth="1"/>
    <col min="7" max="62" width="9.140625" style="12" customWidth="1"/>
  </cols>
  <sheetData>
    <row r="1" spans="1:63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387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63" ht="11.25" customHeight="1" x14ac:dyDescent="0.25">
      <c r="A2" s="200" t="s">
        <v>72</v>
      </c>
      <c r="B2" s="201"/>
      <c r="C2" s="202"/>
      <c r="D2" s="200"/>
      <c r="E2" s="387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63" ht="11.25" customHeight="1" x14ac:dyDescent="0.25">
      <c r="A3" s="200"/>
      <c r="B3" s="201"/>
      <c r="C3" s="202"/>
      <c r="D3" s="200"/>
      <c r="E3" s="387" t="s">
        <v>403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63" ht="11.25" customHeight="1" x14ac:dyDescent="0.25">
      <c r="A4" s="17"/>
      <c r="B4" s="18"/>
      <c r="C4" s="17" t="s">
        <v>23</v>
      </c>
      <c r="D4" s="17" t="s">
        <v>24</v>
      </c>
      <c r="E4" s="388" t="s">
        <v>25</v>
      </c>
      <c r="BK4" t="s">
        <v>102</v>
      </c>
    </row>
    <row r="5" spans="1:63" ht="11.25" customHeight="1" x14ac:dyDescent="0.25">
      <c r="A5" s="17"/>
      <c r="B5" s="18"/>
      <c r="C5" s="17"/>
      <c r="D5" s="17"/>
      <c r="E5" s="388"/>
      <c r="BK5" t="s">
        <v>102</v>
      </c>
    </row>
    <row r="6" spans="1:63" ht="11.25" customHeight="1" x14ac:dyDescent="0.25">
      <c r="A6" s="12" t="s">
        <v>26</v>
      </c>
      <c r="B6" s="17" t="s">
        <v>73</v>
      </c>
      <c r="BK6" t="s">
        <v>102</v>
      </c>
    </row>
    <row r="7" spans="1:63" ht="11.25" customHeight="1" x14ac:dyDescent="0.25">
      <c r="B7" s="12" t="s">
        <v>360</v>
      </c>
      <c r="C7" s="22" t="s">
        <v>101</v>
      </c>
      <c r="E7" s="389">
        <f t="shared" ref="E7:E8" si="0">SUM(G7:BJ7)</f>
        <v>40</v>
      </c>
      <c r="F7" s="80" t="s">
        <v>26</v>
      </c>
      <c r="G7" s="26">
        <f>'Time &amp; Technical'!G26</f>
        <v>0</v>
      </c>
      <c r="H7" s="26">
        <f>'Time &amp; Technical'!H26</f>
        <v>0</v>
      </c>
      <c r="I7" s="26">
        <f>'Time &amp; Technical'!I26</f>
        <v>0</v>
      </c>
      <c r="J7" s="26">
        <f>'Time &amp; Technical'!J26</f>
        <v>0</v>
      </c>
      <c r="K7" s="26">
        <f>'Time &amp; Technical'!K26</f>
        <v>0</v>
      </c>
      <c r="L7" s="26">
        <f>'Time &amp; Technical'!L26</f>
        <v>0</v>
      </c>
      <c r="M7" s="26">
        <f>'Time &amp; Technical'!M26</f>
        <v>0</v>
      </c>
      <c r="N7" s="26">
        <f>'Time &amp; Technical'!N26</f>
        <v>0</v>
      </c>
      <c r="O7" s="26">
        <f>'Time &amp; Technical'!O26</f>
        <v>0</v>
      </c>
      <c r="P7" s="26">
        <f>'Time &amp; Technical'!P26</f>
        <v>0</v>
      </c>
      <c r="Q7" s="26">
        <f>'Time &amp; Technical'!Q26</f>
        <v>0</v>
      </c>
      <c r="R7" s="26">
        <f>'Time &amp; Technical'!R26</f>
        <v>0</v>
      </c>
      <c r="S7" s="26">
        <f>'Time &amp; Technical'!S26</f>
        <v>0</v>
      </c>
      <c r="T7" s="26">
        <f>'Time &amp; Technical'!T26</f>
        <v>0</v>
      </c>
      <c r="U7" s="26">
        <f>'Time &amp; Technical'!U26</f>
        <v>0</v>
      </c>
      <c r="V7" s="26">
        <f>'Time &amp; Technical'!V26</f>
        <v>0</v>
      </c>
      <c r="W7" s="26">
        <f>'Time &amp; Technical'!W26</f>
        <v>1</v>
      </c>
      <c r="X7" s="26">
        <f>'Time &amp; Technical'!X26</f>
        <v>1</v>
      </c>
      <c r="Y7" s="26">
        <f>'Time &amp; Technical'!Y26</f>
        <v>1</v>
      </c>
      <c r="Z7" s="26">
        <f>'Time &amp; Technical'!Z26</f>
        <v>1</v>
      </c>
      <c r="AA7" s="26">
        <f>'Time &amp; Technical'!AA26</f>
        <v>1</v>
      </c>
      <c r="AB7" s="26">
        <f>'Time &amp; Technical'!AB26</f>
        <v>1</v>
      </c>
      <c r="AC7" s="26">
        <f>'Time &amp; Technical'!AC26</f>
        <v>1</v>
      </c>
      <c r="AD7" s="26">
        <f>'Time &amp; Technical'!AD26</f>
        <v>1</v>
      </c>
      <c r="AE7" s="26">
        <f>'Time &amp; Technical'!AE26</f>
        <v>1</v>
      </c>
      <c r="AF7" s="26">
        <f>'Time &amp; Technical'!AF26</f>
        <v>1</v>
      </c>
      <c r="AG7" s="26">
        <f>'Time &amp; Technical'!AG26</f>
        <v>1</v>
      </c>
      <c r="AH7" s="26">
        <f>'Time &amp; Technical'!AH26</f>
        <v>1</v>
      </c>
      <c r="AI7" s="26">
        <f>'Time &amp; Technical'!AI26</f>
        <v>1</v>
      </c>
      <c r="AJ7" s="26">
        <f>'Time &amp; Technical'!AJ26</f>
        <v>1</v>
      </c>
      <c r="AK7" s="26">
        <f>'Time &amp; Technical'!AK26</f>
        <v>1</v>
      </c>
      <c r="AL7" s="26">
        <f>'Time &amp; Technical'!AL26</f>
        <v>1</v>
      </c>
      <c r="AM7" s="26">
        <f>'Time &amp; Technical'!AM26</f>
        <v>1</v>
      </c>
      <c r="AN7" s="26">
        <f>'Time &amp; Technical'!AN26</f>
        <v>1</v>
      </c>
      <c r="AO7" s="26">
        <f>'Time &amp; Technical'!AO26</f>
        <v>1</v>
      </c>
      <c r="AP7" s="26">
        <f>'Time &amp; Technical'!AP26</f>
        <v>1</v>
      </c>
      <c r="AQ7" s="26">
        <f>'Time &amp; Technical'!AQ26</f>
        <v>1</v>
      </c>
      <c r="AR7" s="26">
        <f>'Time &amp; Technical'!AR26</f>
        <v>1</v>
      </c>
      <c r="AS7" s="26">
        <f>'Time &amp; Technical'!AS26</f>
        <v>1</v>
      </c>
      <c r="AT7" s="26">
        <f>'Time &amp; Technical'!AT26</f>
        <v>1</v>
      </c>
      <c r="AU7" s="26">
        <f>'Time &amp; Technical'!AU26</f>
        <v>1</v>
      </c>
      <c r="AV7" s="26">
        <f>'Time &amp; Technical'!AV26</f>
        <v>1</v>
      </c>
      <c r="AW7" s="26">
        <f>'Time &amp; Technical'!AW26</f>
        <v>1</v>
      </c>
      <c r="AX7" s="26">
        <f>'Time &amp; Technical'!AX26</f>
        <v>1</v>
      </c>
      <c r="AY7" s="26">
        <f>'Time &amp; Technical'!AY26</f>
        <v>1</v>
      </c>
      <c r="AZ7" s="26">
        <f>'Time &amp; Technical'!AZ26</f>
        <v>1</v>
      </c>
      <c r="BA7" s="26">
        <f>'Time &amp; Technical'!BA26</f>
        <v>1</v>
      </c>
      <c r="BB7" s="26">
        <f>'Time &amp; Technical'!BB26</f>
        <v>1</v>
      </c>
      <c r="BC7" s="26">
        <f>'Time &amp; Technical'!BC26</f>
        <v>1</v>
      </c>
      <c r="BD7" s="26">
        <f>'Time &amp; Technical'!BD26</f>
        <v>1</v>
      </c>
      <c r="BE7" s="26">
        <f>'Time &amp; Technical'!BE26</f>
        <v>1</v>
      </c>
      <c r="BF7" s="26">
        <f>'Time &amp; Technical'!BF26</f>
        <v>1</v>
      </c>
      <c r="BG7" s="26">
        <f>'Time &amp; Technical'!BG26</f>
        <v>1</v>
      </c>
      <c r="BH7" s="26">
        <f>'Time &amp; Technical'!BH26</f>
        <v>1</v>
      </c>
      <c r="BI7" s="26">
        <f>'Time &amp; Technical'!BI26</f>
        <v>1</v>
      </c>
      <c r="BJ7" s="26">
        <f>'Time &amp; Technical'!BJ26</f>
        <v>1</v>
      </c>
      <c r="BK7" t="s">
        <v>102</v>
      </c>
    </row>
    <row r="8" spans="1:63" ht="11.25" customHeight="1" x14ac:dyDescent="0.25">
      <c r="B8" s="12" t="s">
        <v>73</v>
      </c>
      <c r="C8" s="22" t="s">
        <v>108</v>
      </c>
      <c r="E8" s="389">
        <f t="shared" si="0"/>
        <v>820</v>
      </c>
      <c r="G8" s="26">
        <f>IF(G7=1,F8+1,0)</f>
        <v>0</v>
      </c>
      <c r="H8" s="26">
        <f t="shared" ref="H8:BJ8" si="1">IF(H7=1,G8+1,0)</f>
        <v>0</v>
      </c>
      <c r="I8" s="26">
        <f t="shared" si="1"/>
        <v>0</v>
      </c>
      <c r="J8" s="26">
        <f t="shared" si="1"/>
        <v>0</v>
      </c>
      <c r="K8" s="26">
        <f t="shared" si="1"/>
        <v>0</v>
      </c>
      <c r="L8" s="26">
        <f t="shared" si="1"/>
        <v>0</v>
      </c>
      <c r="M8" s="26">
        <f t="shared" si="1"/>
        <v>0</v>
      </c>
      <c r="N8" s="26">
        <f t="shared" si="1"/>
        <v>0</v>
      </c>
      <c r="O8" s="26">
        <f t="shared" si="1"/>
        <v>0</v>
      </c>
      <c r="P8" s="26">
        <f t="shared" si="1"/>
        <v>0</v>
      </c>
      <c r="Q8" s="26">
        <f t="shared" si="1"/>
        <v>0</v>
      </c>
      <c r="R8" s="26">
        <f t="shared" si="1"/>
        <v>0</v>
      </c>
      <c r="S8" s="26">
        <f t="shared" si="1"/>
        <v>0</v>
      </c>
      <c r="T8" s="26">
        <f t="shared" si="1"/>
        <v>0</v>
      </c>
      <c r="U8" s="26">
        <f t="shared" si="1"/>
        <v>0</v>
      </c>
      <c r="V8" s="26">
        <f t="shared" si="1"/>
        <v>0</v>
      </c>
      <c r="W8" s="26">
        <f t="shared" si="1"/>
        <v>1</v>
      </c>
      <c r="X8" s="26">
        <f t="shared" si="1"/>
        <v>2</v>
      </c>
      <c r="Y8" s="26">
        <f t="shared" si="1"/>
        <v>3</v>
      </c>
      <c r="Z8" s="26">
        <f t="shared" si="1"/>
        <v>4</v>
      </c>
      <c r="AA8" s="26">
        <f t="shared" si="1"/>
        <v>5</v>
      </c>
      <c r="AB8" s="26">
        <f t="shared" si="1"/>
        <v>6</v>
      </c>
      <c r="AC8" s="26">
        <f t="shared" si="1"/>
        <v>7</v>
      </c>
      <c r="AD8" s="26">
        <f t="shared" si="1"/>
        <v>8</v>
      </c>
      <c r="AE8" s="26">
        <f t="shared" si="1"/>
        <v>9</v>
      </c>
      <c r="AF8" s="26">
        <f t="shared" si="1"/>
        <v>10</v>
      </c>
      <c r="AG8" s="26">
        <f t="shared" si="1"/>
        <v>11</v>
      </c>
      <c r="AH8" s="26">
        <f t="shared" si="1"/>
        <v>12</v>
      </c>
      <c r="AI8" s="26">
        <f t="shared" si="1"/>
        <v>13</v>
      </c>
      <c r="AJ8" s="26">
        <f t="shared" si="1"/>
        <v>14</v>
      </c>
      <c r="AK8" s="26">
        <f t="shared" si="1"/>
        <v>15</v>
      </c>
      <c r="AL8" s="26">
        <f t="shared" si="1"/>
        <v>16</v>
      </c>
      <c r="AM8" s="26">
        <f t="shared" si="1"/>
        <v>17</v>
      </c>
      <c r="AN8" s="26">
        <f t="shared" si="1"/>
        <v>18</v>
      </c>
      <c r="AO8" s="26">
        <f t="shared" si="1"/>
        <v>19</v>
      </c>
      <c r="AP8" s="26">
        <f t="shared" si="1"/>
        <v>20</v>
      </c>
      <c r="AQ8" s="26">
        <f t="shared" si="1"/>
        <v>21</v>
      </c>
      <c r="AR8" s="26">
        <f t="shared" si="1"/>
        <v>22</v>
      </c>
      <c r="AS8" s="26">
        <f t="shared" si="1"/>
        <v>23</v>
      </c>
      <c r="AT8" s="26">
        <f t="shared" si="1"/>
        <v>24</v>
      </c>
      <c r="AU8" s="26">
        <f t="shared" si="1"/>
        <v>25</v>
      </c>
      <c r="AV8" s="26">
        <f t="shared" si="1"/>
        <v>26</v>
      </c>
      <c r="AW8" s="26">
        <f t="shared" si="1"/>
        <v>27</v>
      </c>
      <c r="AX8" s="26">
        <f t="shared" si="1"/>
        <v>28</v>
      </c>
      <c r="AY8" s="26">
        <f t="shared" si="1"/>
        <v>29</v>
      </c>
      <c r="AZ8" s="26">
        <f t="shared" si="1"/>
        <v>30</v>
      </c>
      <c r="BA8" s="26">
        <f t="shared" si="1"/>
        <v>31</v>
      </c>
      <c r="BB8" s="26">
        <f t="shared" si="1"/>
        <v>32</v>
      </c>
      <c r="BC8" s="26">
        <f t="shared" si="1"/>
        <v>33</v>
      </c>
      <c r="BD8" s="26">
        <f t="shared" si="1"/>
        <v>34</v>
      </c>
      <c r="BE8" s="26">
        <f t="shared" si="1"/>
        <v>35</v>
      </c>
      <c r="BF8" s="26">
        <f t="shared" si="1"/>
        <v>36</v>
      </c>
      <c r="BG8" s="26">
        <f t="shared" si="1"/>
        <v>37</v>
      </c>
      <c r="BH8" s="26">
        <f t="shared" si="1"/>
        <v>38</v>
      </c>
      <c r="BI8" s="26">
        <f t="shared" si="1"/>
        <v>39</v>
      </c>
      <c r="BJ8" s="26">
        <f t="shared" si="1"/>
        <v>40</v>
      </c>
      <c r="BK8" t="s">
        <v>102</v>
      </c>
    </row>
    <row r="9" spans="1:63" ht="11.25" customHeight="1" x14ac:dyDescent="0.25">
      <c r="B9" s="12" t="s">
        <v>17</v>
      </c>
      <c r="C9" s="22" t="s">
        <v>1</v>
      </c>
      <c r="D9" s="263">
        <f>'Time &amp; Technical'!D32</f>
        <v>305000</v>
      </c>
      <c r="BK9" t="s">
        <v>102</v>
      </c>
    </row>
    <row r="10" spans="1:63" ht="11.25" customHeight="1" x14ac:dyDescent="0.25">
      <c r="B10" s="12" t="s">
        <v>160</v>
      </c>
      <c r="C10" s="22" t="s">
        <v>1</v>
      </c>
      <c r="D10" s="263">
        <f>Construction!E17</f>
        <v>42346.95158234454</v>
      </c>
      <c r="BK10" t="s">
        <v>102</v>
      </c>
    </row>
    <row r="11" spans="1:63" ht="11.25" customHeight="1" x14ac:dyDescent="0.25">
      <c r="B11" s="12" t="s">
        <v>161</v>
      </c>
      <c r="C11" s="22" t="s">
        <v>1</v>
      </c>
      <c r="D11" s="263">
        <f>Construction!E19</f>
        <v>3962.9533677143586</v>
      </c>
      <c r="BK11" t="s">
        <v>102</v>
      </c>
    </row>
    <row r="12" spans="1:63" ht="11.25" customHeight="1" x14ac:dyDescent="0.25">
      <c r="B12" s="12" t="s">
        <v>58</v>
      </c>
      <c r="C12" s="22" t="s">
        <v>1</v>
      </c>
      <c r="D12" s="263">
        <f>Construction!E21</f>
        <v>2767.4327710880953</v>
      </c>
      <c r="BK12" t="s">
        <v>102</v>
      </c>
    </row>
    <row r="13" spans="1:63" ht="11.25" customHeight="1" x14ac:dyDescent="0.25">
      <c r="B13" s="12" t="s">
        <v>162</v>
      </c>
      <c r="C13" s="22" t="s">
        <v>1</v>
      </c>
      <c r="D13" s="263">
        <f>Construction!E27</f>
        <v>354077.33772114705</v>
      </c>
      <c r="BK13" t="s">
        <v>102</v>
      </c>
    </row>
    <row r="14" spans="1:63" ht="11.25" customHeight="1" x14ac:dyDescent="0.25">
      <c r="B14" s="12" t="s">
        <v>73</v>
      </c>
      <c r="C14" s="22" t="s">
        <v>69</v>
      </c>
      <c r="D14" s="262">
        <f>Assumptions!D140</f>
        <v>20</v>
      </c>
      <c r="BK14" t="s">
        <v>102</v>
      </c>
    </row>
    <row r="15" spans="1:63" ht="11.25" customHeight="1" x14ac:dyDescent="0.25">
      <c r="B15" s="12" t="s">
        <v>73</v>
      </c>
      <c r="C15" s="22" t="s">
        <v>15</v>
      </c>
      <c r="D15" s="262">
        <f>D14*2</f>
        <v>40</v>
      </c>
      <c r="BK15" t="s">
        <v>102</v>
      </c>
    </row>
    <row r="16" spans="1:63" ht="11.25" customHeight="1" x14ac:dyDescent="0.25">
      <c r="B16" s="12" t="s">
        <v>73</v>
      </c>
      <c r="C16" s="22" t="s">
        <v>65</v>
      </c>
      <c r="D16" s="275">
        <f>1/D15</f>
        <v>2.5000000000000001E-2</v>
      </c>
      <c r="BK16" t="s">
        <v>102</v>
      </c>
    </row>
    <row r="17" spans="1:63" ht="11.25" customHeight="1" x14ac:dyDescent="0.25">
      <c r="B17" s="12" t="s">
        <v>163</v>
      </c>
      <c r="C17" s="22" t="s">
        <v>1</v>
      </c>
      <c r="E17" s="389">
        <f t="shared" ref="E17:E19" si="2">SUM(G17:BJ17)</f>
        <v>7258585.4232835192</v>
      </c>
      <c r="F17" s="80" t="s">
        <v>26</v>
      </c>
      <c r="G17" s="1">
        <f>F19</f>
        <v>0</v>
      </c>
      <c r="H17" s="1">
        <f t="shared" ref="H17:BJ17" si="3">G19</f>
        <v>0</v>
      </c>
      <c r="I17" s="1">
        <f t="shared" si="3"/>
        <v>0</v>
      </c>
      <c r="J17" s="1">
        <f t="shared" si="3"/>
        <v>0</v>
      </c>
      <c r="K17" s="1">
        <f t="shared" si="3"/>
        <v>0</v>
      </c>
      <c r="L17" s="1">
        <f t="shared" si="3"/>
        <v>0</v>
      </c>
      <c r="M17" s="1">
        <f t="shared" si="3"/>
        <v>0</v>
      </c>
      <c r="N17" s="1">
        <f t="shared" si="3"/>
        <v>0</v>
      </c>
      <c r="O17" s="1">
        <f t="shared" si="3"/>
        <v>0</v>
      </c>
      <c r="P17" s="1">
        <f t="shared" si="3"/>
        <v>0</v>
      </c>
      <c r="Q17" s="1">
        <f t="shared" si="3"/>
        <v>0</v>
      </c>
      <c r="R17" s="1">
        <f t="shared" si="3"/>
        <v>0</v>
      </c>
      <c r="S17" s="1">
        <f t="shared" si="3"/>
        <v>0</v>
      </c>
      <c r="T17" s="1">
        <f t="shared" si="3"/>
        <v>0</v>
      </c>
      <c r="U17" s="1">
        <f t="shared" si="3"/>
        <v>0</v>
      </c>
      <c r="V17" s="1">
        <f t="shared" si="3"/>
        <v>0</v>
      </c>
      <c r="W17" s="1">
        <f t="shared" si="3"/>
        <v>354077.33772114705</v>
      </c>
      <c r="X17" s="1">
        <f t="shared" si="3"/>
        <v>345225.4042781184</v>
      </c>
      <c r="Y17" s="1">
        <f t="shared" si="3"/>
        <v>336373.47083508974</v>
      </c>
      <c r="Z17" s="1">
        <f t="shared" si="3"/>
        <v>327521.53739206109</v>
      </c>
      <c r="AA17" s="1">
        <f t="shared" si="3"/>
        <v>318669.60394903243</v>
      </c>
      <c r="AB17" s="1">
        <f t="shared" si="3"/>
        <v>309817.67050600378</v>
      </c>
      <c r="AC17" s="1">
        <f t="shared" si="3"/>
        <v>300965.73706297512</v>
      </c>
      <c r="AD17" s="1">
        <f t="shared" si="3"/>
        <v>292113.80361994647</v>
      </c>
      <c r="AE17" s="1">
        <f t="shared" si="3"/>
        <v>283261.87017691782</v>
      </c>
      <c r="AF17" s="1">
        <f t="shared" si="3"/>
        <v>274409.93673388916</v>
      </c>
      <c r="AG17" s="1">
        <f t="shared" si="3"/>
        <v>265558.00329086051</v>
      </c>
      <c r="AH17" s="1">
        <f t="shared" si="3"/>
        <v>256706.06984783182</v>
      </c>
      <c r="AI17" s="1">
        <f t="shared" si="3"/>
        <v>247854.13640480314</v>
      </c>
      <c r="AJ17" s="1">
        <f t="shared" si="3"/>
        <v>239002.20296177446</v>
      </c>
      <c r="AK17" s="1">
        <f t="shared" si="3"/>
        <v>230150.26951874577</v>
      </c>
      <c r="AL17" s="1">
        <f t="shared" si="3"/>
        <v>221298.33607571709</v>
      </c>
      <c r="AM17" s="1">
        <f t="shared" si="3"/>
        <v>212446.4026326884</v>
      </c>
      <c r="AN17" s="1">
        <f t="shared" si="3"/>
        <v>203594.46918965972</v>
      </c>
      <c r="AO17" s="1">
        <f t="shared" si="3"/>
        <v>194742.53574663104</v>
      </c>
      <c r="AP17" s="1">
        <f t="shared" si="3"/>
        <v>185890.60230360235</v>
      </c>
      <c r="AQ17" s="1">
        <f t="shared" si="3"/>
        <v>177038.66886057367</v>
      </c>
      <c r="AR17" s="1">
        <f t="shared" si="3"/>
        <v>168186.73541754499</v>
      </c>
      <c r="AS17" s="1">
        <f t="shared" si="3"/>
        <v>159334.8019745163</v>
      </c>
      <c r="AT17" s="1">
        <f t="shared" si="3"/>
        <v>150482.86853148762</v>
      </c>
      <c r="AU17" s="1">
        <f t="shared" si="3"/>
        <v>141630.93508845894</v>
      </c>
      <c r="AV17" s="1">
        <f t="shared" si="3"/>
        <v>132779.00164543025</v>
      </c>
      <c r="AW17" s="1">
        <f t="shared" si="3"/>
        <v>123927.06820240157</v>
      </c>
      <c r="AX17" s="1">
        <f t="shared" si="3"/>
        <v>115075.13475937289</v>
      </c>
      <c r="AY17" s="1">
        <f t="shared" si="3"/>
        <v>106223.2013163442</v>
      </c>
      <c r="AZ17" s="1">
        <f t="shared" si="3"/>
        <v>97371.267873315519</v>
      </c>
      <c r="BA17" s="1">
        <f t="shared" si="3"/>
        <v>88519.334430286835</v>
      </c>
      <c r="BB17" s="1">
        <f t="shared" si="3"/>
        <v>79667.400987258152</v>
      </c>
      <c r="BC17" s="1">
        <f t="shared" si="3"/>
        <v>70815.467544229468</v>
      </c>
      <c r="BD17" s="1">
        <f t="shared" si="3"/>
        <v>61963.534101200792</v>
      </c>
      <c r="BE17" s="1">
        <f t="shared" si="3"/>
        <v>53111.600658172116</v>
      </c>
      <c r="BF17" s="1">
        <f t="shared" si="3"/>
        <v>44259.66721514344</v>
      </c>
      <c r="BG17" s="1">
        <f t="shared" si="3"/>
        <v>35407.733772114763</v>
      </c>
      <c r="BH17" s="1">
        <f t="shared" si="3"/>
        <v>26555.800329086087</v>
      </c>
      <c r="BI17" s="1">
        <f t="shared" si="3"/>
        <v>17703.866886057411</v>
      </c>
      <c r="BJ17" s="1">
        <f t="shared" si="3"/>
        <v>8851.9334430287345</v>
      </c>
      <c r="BK17" t="s">
        <v>102</v>
      </c>
    </row>
    <row r="18" spans="1:63" ht="11.25" customHeight="1" x14ac:dyDescent="0.25">
      <c r="B18" s="12" t="s">
        <v>73</v>
      </c>
      <c r="C18" s="22" t="s">
        <v>1</v>
      </c>
      <c r="E18" s="389">
        <f t="shared" si="2"/>
        <v>354077.33772114699</v>
      </c>
      <c r="G18" s="1">
        <f>IF(G7=1,$D$16*$D$13,0)</f>
        <v>0</v>
      </c>
      <c r="H18" s="1">
        <f t="shared" ref="H18:BJ18" si="4">IF(H7=1,$D$16*$D$13,0)</f>
        <v>0</v>
      </c>
      <c r="I18" s="1">
        <f t="shared" si="4"/>
        <v>0</v>
      </c>
      <c r="J18" s="1">
        <f t="shared" si="4"/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">
        <f t="shared" si="4"/>
        <v>0</v>
      </c>
      <c r="R18" s="1">
        <f t="shared" si="4"/>
        <v>0</v>
      </c>
      <c r="S18" s="1">
        <f t="shared" si="4"/>
        <v>0</v>
      </c>
      <c r="T18" s="1">
        <f t="shared" si="4"/>
        <v>0</v>
      </c>
      <c r="U18" s="1">
        <f t="shared" si="4"/>
        <v>0</v>
      </c>
      <c r="V18" s="1">
        <f t="shared" si="4"/>
        <v>0</v>
      </c>
      <c r="W18" s="1">
        <f t="shared" si="4"/>
        <v>8851.9334430286763</v>
      </c>
      <c r="X18" s="1">
        <f t="shared" si="4"/>
        <v>8851.9334430286763</v>
      </c>
      <c r="Y18" s="1">
        <f t="shared" si="4"/>
        <v>8851.9334430286763</v>
      </c>
      <c r="Z18" s="1">
        <f t="shared" si="4"/>
        <v>8851.9334430286763</v>
      </c>
      <c r="AA18" s="1">
        <f t="shared" si="4"/>
        <v>8851.9334430286763</v>
      </c>
      <c r="AB18" s="1">
        <f t="shared" si="4"/>
        <v>8851.9334430286763</v>
      </c>
      <c r="AC18" s="1">
        <f t="shared" si="4"/>
        <v>8851.9334430286763</v>
      </c>
      <c r="AD18" s="1">
        <f t="shared" si="4"/>
        <v>8851.9334430286763</v>
      </c>
      <c r="AE18" s="1">
        <f t="shared" si="4"/>
        <v>8851.9334430286763</v>
      </c>
      <c r="AF18" s="1">
        <f t="shared" si="4"/>
        <v>8851.9334430286763</v>
      </c>
      <c r="AG18" s="1">
        <f t="shared" si="4"/>
        <v>8851.9334430286763</v>
      </c>
      <c r="AH18" s="1">
        <f t="shared" si="4"/>
        <v>8851.9334430286763</v>
      </c>
      <c r="AI18" s="1">
        <f t="shared" si="4"/>
        <v>8851.9334430286763</v>
      </c>
      <c r="AJ18" s="1">
        <f t="shared" si="4"/>
        <v>8851.9334430286763</v>
      </c>
      <c r="AK18" s="1">
        <f t="shared" si="4"/>
        <v>8851.9334430286763</v>
      </c>
      <c r="AL18" s="1">
        <f t="shared" si="4"/>
        <v>8851.9334430286763</v>
      </c>
      <c r="AM18" s="1">
        <f t="shared" si="4"/>
        <v>8851.9334430286763</v>
      </c>
      <c r="AN18" s="1">
        <f t="shared" si="4"/>
        <v>8851.9334430286763</v>
      </c>
      <c r="AO18" s="1">
        <f t="shared" si="4"/>
        <v>8851.9334430286763</v>
      </c>
      <c r="AP18" s="1">
        <f t="shared" si="4"/>
        <v>8851.9334430286763</v>
      </c>
      <c r="AQ18" s="1">
        <f t="shared" si="4"/>
        <v>8851.9334430286763</v>
      </c>
      <c r="AR18" s="1">
        <f t="shared" si="4"/>
        <v>8851.9334430286763</v>
      </c>
      <c r="AS18" s="1">
        <f t="shared" si="4"/>
        <v>8851.9334430286763</v>
      </c>
      <c r="AT18" s="1">
        <f t="shared" si="4"/>
        <v>8851.9334430286763</v>
      </c>
      <c r="AU18" s="1">
        <f t="shared" si="4"/>
        <v>8851.9334430286763</v>
      </c>
      <c r="AV18" s="1">
        <f t="shared" si="4"/>
        <v>8851.9334430286763</v>
      </c>
      <c r="AW18" s="1">
        <f t="shared" si="4"/>
        <v>8851.9334430286763</v>
      </c>
      <c r="AX18" s="1">
        <f t="shared" si="4"/>
        <v>8851.9334430286763</v>
      </c>
      <c r="AY18" s="1">
        <f t="shared" si="4"/>
        <v>8851.9334430286763</v>
      </c>
      <c r="AZ18" s="1">
        <f t="shared" si="4"/>
        <v>8851.9334430286763</v>
      </c>
      <c r="BA18" s="1">
        <f t="shared" si="4"/>
        <v>8851.9334430286763</v>
      </c>
      <c r="BB18" s="1">
        <f t="shared" si="4"/>
        <v>8851.9334430286763</v>
      </c>
      <c r="BC18" s="1">
        <f t="shared" si="4"/>
        <v>8851.9334430286763</v>
      </c>
      <c r="BD18" s="1">
        <f t="shared" si="4"/>
        <v>8851.9334430286763</v>
      </c>
      <c r="BE18" s="1">
        <f t="shared" si="4"/>
        <v>8851.9334430286763</v>
      </c>
      <c r="BF18" s="1">
        <f t="shared" si="4"/>
        <v>8851.9334430286763</v>
      </c>
      <c r="BG18" s="1">
        <f t="shared" si="4"/>
        <v>8851.9334430286763</v>
      </c>
      <c r="BH18" s="1">
        <f t="shared" si="4"/>
        <v>8851.9334430286763</v>
      </c>
      <c r="BI18" s="1">
        <f t="shared" si="4"/>
        <v>8851.9334430286763</v>
      </c>
      <c r="BJ18" s="1">
        <f t="shared" si="4"/>
        <v>8851.9334430286763</v>
      </c>
      <c r="BK18" t="s">
        <v>102</v>
      </c>
    </row>
    <row r="19" spans="1:63" ht="11.25" customHeight="1" x14ac:dyDescent="0.25">
      <c r="A19" s="12" t="s">
        <v>26</v>
      </c>
      <c r="B19" s="56" t="s">
        <v>164</v>
      </c>
      <c r="C19" s="57" t="s">
        <v>1</v>
      </c>
      <c r="D19" s="56"/>
      <c r="E19" s="389">
        <f t="shared" si="2"/>
        <v>7258585.4232835192</v>
      </c>
      <c r="F19" s="321"/>
      <c r="G19" s="58">
        <f>IF(AND(G7=0,H7=1),$D$13,G17-G18)</f>
        <v>0</v>
      </c>
      <c r="H19" s="58">
        <f t="shared" ref="H19:BJ19" si="5">IF(AND(H7=0,I7=1),$D$13,H17-H18)</f>
        <v>0</v>
      </c>
      <c r="I19" s="58">
        <f t="shared" si="5"/>
        <v>0</v>
      </c>
      <c r="J19" s="58">
        <f t="shared" si="5"/>
        <v>0</v>
      </c>
      <c r="K19" s="58">
        <f t="shared" si="5"/>
        <v>0</v>
      </c>
      <c r="L19" s="58">
        <f t="shared" si="5"/>
        <v>0</v>
      </c>
      <c r="M19" s="58">
        <f t="shared" si="5"/>
        <v>0</v>
      </c>
      <c r="N19" s="58">
        <f t="shared" si="5"/>
        <v>0</v>
      </c>
      <c r="O19" s="58">
        <f t="shared" si="5"/>
        <v>0</v>
      </c>
      <c r="P19" s="58">
        <f t="shared" si="5"/>
        <v>0</v>
      </c>
      <c r="Q19" s="58">
        <f t="shared" si="5"/>
        <v>0</v>
      </c>
      <c r="R19" s="58">
        <f t="shared" si="5"/>
        <v>0</v>
      </c>
      <c r="S19" s="58">
        <f t="shared" si="5"/>
        <v>0</v>
      </c>
      <c r="T19" s="58">
        <f t="shared" si="5"/>
        <v>0</v>
      </c>
      <c r="U19" s="58">
        <f t="shared" si="5"/>
        <v>0</v>
      </c>
      <c r="V19" s="58">
        <f t="shared" si="5"/>
        <v>354077.33772114705</v>
      </c>
      <c r="W19" s="58">
        <f t="shared" si="5"/>
        <v>345225.4042781184</v>
      </c>
      <c r="X19" s="58">
        <f t="shared" si="5"/>
        <v>336373.47083508974</v>
      </c>
      <c r="Y19" s="58">
        <f t="shared" si="5"/>
        <v>327521.53739206109</v>
      </c>
      <c r="Z19" s="58">
        <f t="shared" si="5"/>
        <v>318669.60394903243</v>
      </c>
      <c r="AA19" s="58">
        <f t="shared" si="5"/>
        <v>309817.67050600378</v>
      </c>
      <c r="AB19" s="58">
        <f t="shared" si="5"/>
        <v>300965.73706297512</v>
      </c>
      <c r="AC19" s="58">
        <f t="shared" si="5"/>
        <v>292113.80361994647</v>
      </c>
      <c r="AD19" s="58">
        <f t="shared" si="5"/>
        <v>283261.87017691782</v>
      </c>
      <c r="AE19" s="58">
        <f t="shared" si="5"/>
        <v>274409.93673388916</v>
      </c>
      <c r="AF19" s="58">
        <f t="shared" si="5"/>
        <v>265558.00329086051</v>
      </c>
      <c r="AG19" s="58">
        <f t="shared" si="5"/>
        <v>256706.06984783182</v>
      </c>
      <c r="AH19" s="58">
        <f t="shared" si="5"/>
        <v>247854.13640480314</v>
      </c>
      <c r="AI19" s="58">
        <f t="shared" si="5"/>
        <v>239002.20296177446</v>
      </c>
      <c r="AJ19" s="58">
        <f t="shared" si="5"/>
        <v>230150.26951874577</v>
      </c>
      <c r="AK19" s="58">
        <f t="shared" si="5"/>
        <v>221298.33607571709</v>
      </c>
      <c r="AL19" s="58">
        <f t="shared" si="5"/>
        <v>212446.4026326884</v>
      </c>
      <c r="AM19" s="58">
        <f t="shared" si="5"/>
        <v>203594.46918965972</v>
      </c>
      <c r="AN19" s="58">
        <f t="shared" si="5"/>
        <v>194742.53574663104</v>
      </c>
      <c r="AO19" s="58">
        <f t="shared" si="5"/>
        <v>185890.60230360235</v>
      </c>
      <c r="AP19" s="58">
        <f t="shared" si="5"/>
        <v>177038.66886057367</v>
      </c>
      <c r="AQ19" s="58">
        <f t="shared" si="5"/>
        <v>168186.73541754499</v>
      </c>
      <c r="AR19" s="58">
        <f t="shared" si="5"/>
        <v>159334.8019745163</v>
      </c>
      <c r="AS19" s="58">
        <f t="shared" si="5"/>
        <v>150482.86853148762</v>
      </c>
      <c r="AT19" s="58">
        <f t="shared" si="5"/>
        <v>141630.93508845894</v>
      </c>
      <c r="AU19" s="58">
        <f t="shared" si="5"/>
        <v>132779.00164543025</v>
      </c>
      <c r="AV19" s="58">
        <f t="shared" si="5"/>
        <v>123927.06820240157</v>
      </c>
      <c r="AW19" s="58">
        <f t="shared" si="5"/>
        <v>115075.13475937289</v>
      </c>
      <c r="AX19" s="58">
        <f t="shared" si="5"/>
        <v>106223.2013163442</v>
      </c>
      <c r="AY19" s="58">
        <f t="shared" si="5"/>
        <v>97371.267873315519</v>
      </c>
      <c r="AZ19" s="58">
        <f t="shared" si="5"/>
        <v>88519.334430286835</v>
      </c>
      <c r="BA19" s="58">
        <f t="shared" si="5"/>
        <v>79667.400987258152</v>
      </c>
      <c r="BB19" s="58">
        <f t="shared" si="5"/>
        <v>70815.467544229468</v>
      </c>
      <c r="BC19" s="58">
        <f t="shared" si="5"/>
        <v>61963.534101200792</v>
      </c>
      <c r="BD19" s="58">
        <f t="shared" si="5"/>
        <v>53111.600658172116</v>
      </c>
      <c r="BE19" s="58">
        <f t="shared" si="5"/>
        <v>44259.66721514344</v>
      </c>
      <c r="BF19" s="58">
        <f t="shared" si="5"/>
        <v>35407.733772114763</v>
      </c>
      <c r="BG19" s="58">
        <f t="shared" si="5"/>
        <v>26555.800329086087</v>
      </c>
      <c r="BH19" s="58">
        <f t="shared" si="5"/>
        <v>17703.866886057411</v>
      </c>
      <c r="BI19" s="58">
        <f t="shared" si="5"/>
        <v>8851.9334430287345</v>
      </c>
      <c r="BJ19" s="58">
        <f t="shared" si="5"/>
        <v>5.8207660913467407E-11</v>
      </c>
      <c r="BK19" t="s">
        <v>102</v>
      </c>
    </row>
    <row r="20" spans="1:63" ht="11.25" customHeight="1" x14ac:dyDescent="0.25">
      <c r="BK20" t="s">
        <v>102</v>
      </c>
    </row>
    <row r="21" spans="1:63" ht="11.25" customHeight="1" x14ac:dyDescent="0.25">
      <c r="A21" s="12">
        <v>1</v>
      </c>
      <c r="B21" s="12" t="s">
        <v>165</v>
      </c>
      <c r="C21" s="22" t="s">
        <v>108</v>
      </c>
      <c r="E21" s="389">
        <f t="shared" ref="E21:E23" si="6">SUM(G21:BJ21)</f>
        <v>3</v>
      </c>
      <c r="F21" s="80" t="s">
        <v>26</v>
      </c>
      <c r="G21" s="26">
        <f>CapEx!G10</f>
        <v>0</v>
      </c>
      <c r="H21" s="26">
        <f>CapEx!H10</f>
        <v>0</v>
      </c>
      <c r="I21" s="26">
        <f>CapEx!I10</f>
        <v>0</v>
      </c>
      <c r="J21" s="26">
        <f>CapEx!J10</f>
        <v>0</v>
      </c>
      <c r="K21" s="26">
        <f>CapEx!K10</f>
        <v>0</v>
      </c>
      <c r="L21" s="26">
        <f>CapEx!L10</f>
        <v>0</v>
      </c>
      <c r="M21" s="26">
        <f>CapEx!M10</f>
        <v>0</v>
      </c>
      <c r="N21" s="26">
        <f>CapEx!N10</f>
        <v>0</v>
      </c>
      <c r="O21" s="26">
        <f>CapEx!O10</f>
        <v>0</v>
      </c>
      <c r="P21" s="26">
        <f>CapEx!P10</f>
        <v>0</v>
      </c>
      <c r="Q21" s="26">
        <f>CapEx!Q10</f>
        <v>0</v>
      </c>
      <c r="R21" s="26">
        <f>CapEx!R10</f>
        <v>0</v>
      </c>
      <c r="S21" s="26">
        <f>CapEx!S10</f>
        <v>0</v>
      </c>
      <c r="T21" s="26">
        <f>CapEx!T10</f>
        <v>0</v>
      </c>
      <c r="U21" s="26">
        <f>CapEx!U10</f>
        <v>0</v>
      </c>
      <c r="V21" s="26">
        <f>CapEx!V10</f>
        <v>0</v>
      </c>
      <c r="W21" s="26">
        <f>CapEx!W10</f>
        <v>0</v>
      </c>
      <c r="X21" s="26">
        <f>CapEx!X10</f>
        <v>0</v>
      </c>
      <c r="Y21" s="26">
        <f>CapEx!Y10</f>
        <v>0</v>
      </c>
      <c r="Z21" s="26">
        <f>CapEx!Z10</f>
        <v>0</v>
      </c>
      <c r="AA21" s="26">
        <f>CapEx!AA10</f>
        <v>0</v>
      </c>
      <c r="AB21" s="26">
        <f>CapEx!AB10</f>
        <v>0</v>
      </c>
      <c r="AC21" s="26">
        <f>CapEx!AC10</f>
        <v>0</v>
      </c>
      <c r="AD21" s="26">
        <f>CapEx!AD10</f>
        <v>0</v>
      </c>
      <c r="AE21" s="26">
        <f>CapEx!AE10</f>
        <v>0</v>
      </c>
      <c r="AF21" s="26">
        <f>CapEx!AF10</f>
        <v>0</v>
      </c>
      <c r="AG21" s="26">
        <f>CapEx!AG10</f>
        <v>0</v>
      </c>
      <c r="AH21" s="26">
        <f>CapEx!AH10</f>
        <v>0</v>
      </c>
      <c r="AI21" s="26">
        <f>CapEx!AI10</f>
        <v>0</v>
      </c>
      <c r="AJ21" s="26">
        <f>CapEx!AJ10</f>
        <v>0</v>
      </c>
      <c r="AK21" s="26">
        <f>CapEx!AK10</f>
        <v>0</v>
      </c>
      <c r="AL21" s="26">
        <f>CapEx!AL10</f>
        <v>1</v>
      </c>
      <c r="AM21" s="26">
        <f>CapEx!AM10</f>
        <v>0</v>
      </c>
      <c r="AN21" s="26">
        <f>CapEx!AN10</f>
        <v>0</v>
      </c>
      <c r="AO21" s="26">
        <f>CapEx!AO10</f>
        <v>0</v>
      </c>
      <c r="AP21" s="26">
        <f>CapEx!AP10</f>
        <v>0</v>
      </c>
      <c r="AQ21" s="26">
        <f>CapEx!AQ10</f>
        <v>0</v>
      </c>
      <c r="AR21" s="26">
        <f>CapEx!AR10</f>
        <v>0</v>
      </c>
      <c r="AS21" s="26">
        <f>CapEx!AS10</f>
        <v>0</v>
      </c>
      <c r="AT21" s="26">
        <f>CapEx!AT10</f>
        <v>0</v>
      </c>
      <c r="AU21" s="26">
        <f>CapEx!AU10</f>
        <v>0</v>
      </c>
      <c r="AV21" s="26">
        <f>CapEx!AV10</f>
        <v>0</v>
      </c>
      <c r="AW21" s="26">
        <f>CapEx!AW10</f>
        <v>0</v>
      </c>
      <c r="AX21" s="26">
        <f>CapEx!AX10</f>
        <v>0</v>
      </c>
      <c r="AY21" s="26">
        <f>CapEx!AY10</f>
        <v>0</v>
      </c>
      <c r="AZ21" s="26">
        <f>CapEx!AZ10</f>
        <v>0</v>
      </c>
      <c r="BA21" s="26">
        <f>CapEx!BA10</f>
        <v>0</v>
      </c>
      <c r="BB21" s="26">
        <f>CapEx!BB10</f>
        <v>2</v>
      </c>
      <c r="BC21" s="26">
        <f>CapEx!BC10</f>
        <v>0</v>
      </c>
      <c r="BD21" s="26">
        <f>CapEx!BD10</f>
        <v>0</v>
      </c>
      <c r="BE21" s="26">
        <f>CapEx!BE10</f>
        <v>0</v>
      </c>
      <c r="BF21" s="26">
        <f>CapEx!BF10</f>
        <v>0</v>
      </c>
      <c r="BG21" s="26">
        <f>CapEx!BG10</f>
        <v>0</v>
      </c>
      <c r="BH21" s="26">
        <f>CapEx!BH10</f>
        <v>0</v>
      </c>
      <c r="BI21" s="26">
        <f>CapEx!BI10</f>
        <v>0</v>
      </c>
      <c r="BJ21" s="26">
        <f>CapEx!BJ10</f>
        <v>0</v>
      </c>
      <c r="BK21" t="s">
        <v>102</v>
      </c>
    </row>
    <row r="22" spans="1:63" ht="11.25" customHeight="1" x14ac:dyDescent="0.25">
      <c r="B22" s="12" t="s">
        <v>70</v>
      </c>
      <c r="C22" s="22" t="s">
        <v>156</v>
      </c>
      <c r="E22" s="389">
        <f t="shared" si="6"/>
        <v>34</v>
      </c>
      <c r="G22" s="26">
        <f>CapEx!G9</f>
        <v>0</v>
      </c>
      <c r="H22" s="26">
        <f>CapEx!H9</f>
        <v>0</v>
      </c>
      <c r="I22" s="26">
        <f>CapEx!I9</f>
        <v>0</v>
      </c>
      <c r="J22" s="26">
        <f>CapEx!J9</f>
        <v>0</v>
      </c>
      <c r="K22" s="26">
        <f>CapEx!K9</f>
        <v>0</v>
      </c>
      <c r="L22" s="26">
        <f>CapEx!L9</f>
        <v>0</v>
      </c>
      <c r="M22" s="26">
        <f>CapEx!M9</f>
        <v>0</v>
      </c>
      <c r="N22" s="26">
        <f>CapEx!N9</f>
        <v>0</v>
      </c>
      <c r="O22" s="26">
        <f>CapEx!O9</f>
        <v>0</v>
      </c>
      <c r="P22" s="26">
        <f>CapEx!P9</f>
        <v>0</v>
      </c>
      <c r="Q22" s="26">
        <f>CapEx!Q9</f>
        <v>0</v>
      </c>
      <c r="R22" s="26">
        <f>CapEx!R9</f>
        <v>0</v>
      </c>
      <c r="S22" s="26">
        <f>CapEx!S9</f>
        <v>0</v>
      </c>
      <c r="T22" s="26">
        <f>CapEx!T9</f>
        <v>0</v>
      </c>
      <c r="U22" s="26">
        <f>CapEx!U9</f>
        <v>0</v>
      </c>
      <c r="V22" s="26">
        <f>CapEx!V9</f>
        <v>0</v>
      </c>
      <c r="W22" s="26">
        <f>CapEx!W9</f>
        <v>0</v>
      </c>
      <c r="X22" s="26">
        <f>CapEx!X9</f>
        <v>0</v>
      </c>
      <c r="Y22" s="26">
        <f>CapEx!Y9</f>
        <v>0</v>
      </c>
      <c r="Z22" s="26">
        <f>CapEx!Z9</f>
        <v>0</v>
      </c>
      <c r="AA22" s="26">
        <f>CapEx!AA9</f>
        <v>0</v>
      </c>
      <c r="AB22" s="26">
        <f>CapEx!AB9</f>
        <v>0</v>
      </c>
      <c r="AC22" s="26">
        <f>CapEx!AC9</f>
        <v>0</v>
      </c>
      <c r="AD22" s="26">
        <f>CapEx!AD9</f>
        <v>0</v>
      </c>
      <c r="AE22" s="26">
        <f>CapEx!AE9</f>
        <v>0</v>
      </c>
      <c r="AF22" s="26">
        <f>CapEx!AF9</f>
        <v>0</v>
      </c>
      <c r="AG22" s="26">
        <f>CapEx!AG9</f>
        <v>0</v>
      </c>
      <c r="AH22" s="26">
        <f>CapEx!AH9</f>
        <v>0</v>
      </c>
      <c r="AI22" s="26">
        <f>CapEx!AI9</f>
        <v>0</v>
      </c>
      <c r="AJ22" s="26">
        <f>CapEx!AJ9</f>
        <v>0</v>
      </c>
      <c r="AK22" s="26">
        <f>CapEx!AK9</f>
        <v>0</v>
      </c>
      <c r="AL22" s="26">
        <f>CapEx!AL9</f>
        <v>1</v>
      </c>
      <c r="AM22" s="26">
        <f>CapEx!AM9</f>
        <v>1</v>
      </c>
      <c r="AN22" s="26">
        <f>CapEx!AN9</f>
        <v>1</v>
      </c>
      <c r="AO22" s="26">
        <f>CapEx!AO9</f>
        <v>1</v>
      </c>
      <c r="AP22" s="26">
        <f>CapEx!AP9</f>
        <v>1</v>
      </c>
      <c r="AQ22" s="26">
        <f>CapEx!AQ9</f>
        <v>1</v>
      </c>
      <c r="AR22" s="26">
        <f>CapEx!AR9</f>
        <v>1</v>
      </c>
      <c r="AS22" s="26">
        <f>CapEx!AS9</f>
        <v>1</v>
      </c>
      <c r="AT22" s="26">
        <f>CapEx!AT9</f>
        <v>1</v>
      </c>
      <c r="AU22" s="26">
        <f>CapEx!AU9</f>
        <v>1</v>
      </c>
      <c r="AV22" s="26">
        <f>CapEx!AV9</f>
        <v>1</v>
      </c>
      <c r="AW22" s="26">
        <f>CapEx!AW9</f>
        <v>1</v>
      </c>
      <c r="AX22" s="26">
        <f>CapEx!AX9</f>
        <v>1</v>
      </c>
      <c r="AY22" s="26">
        <f>CapEx!AY9</f>
        <v>1</v>
      </c>
      <c r="AZ22" s="26">
        <f>CapEx!AZ9</f>
        <v>1</v>
      </c>
      <c r="BA22" s="26">
        <f>CapEx!BA9</f>
        <v>1</v>
      </c>
      <c r="BB22" s="26">
        <f>CapEx!BB9</f>
        <v>2</v>
      </c>
      <c r="BC22" s="26">
        <f>CapEx!BC9</f>
        <v>2</v>
      </c>
      <c r="BD22" s="26">
        <f>CapEx!BD9</f>
        <v>2</v>
      </c>
      <c r="BE22" s="26">
        <f>CapEx!BE9</f>
        <v>2</v>
      </c>
      <c r="BF22" s="26">
        <f>CapEx!BF9</f>
        <v>2</v>
      </c>
      <c r="BG22" s="26">
        <f>CapEx!BG9</f>
        <v>2</v>
      </c>
      <c r="BH22" s="26">
        <f>CapEx!BH9</f>
        <v>2</v>
      </c>
      <c r="BI22" s="26">
        <f>CapEx!BI9</f>
        <v>2</v>
      </c>
      <c r="BJ22" s="26">
        <f>CapEx!BJ9</f>
        <v>2</v>
      </c>
      <c r="BK22" t="s">
        <v>102</v>
      </c>
    </row>
    <row r="23" spans="1:63" ht="11.25" customHeight="1" x14ac:dyDescent="0.25">
      <c r="B23" s="12" t="s">
        <v>416</v>
      </c>
      <c r="C23" s="22" t="s">
        <v>108</v>
      </c>
      <c r="E23" s="389">
        <f t="shared" si="6"/>
        <v>55</v>
      </c>
      <c r="F23" s="80" t="s">
        <v>26</v>
      </c>
      <c r="G23" s="26">
        <f>IF(SUM($G$22:G22)&lt;=$D$26,SUM($G$22:G22),0)</f>
        <v>0</v>
      </c>
      <c r="H23" s="26">
        <f>IF(SUM($G$22:H22)&lt;=$D$26,SUM($G$22:H22),0)</f>
        <v>0</v>
      </c>
      <c r="I23" s="26">
        <f>IF(SUM($G$22:I22)&lt;=$D$26,SUM($G$22:I22),0)</f>
        <v>0</v>
      </c>
      <c r="J23" s="26">
        <f>IF(SUM($G$22:J22)&lt;=$D$26,SUM($G$22:J22),0)</f>
        <v>0</v>
      </c>
      <c r="K23" s="26">
        <f>IF(SUM($G$22:K22)&lt;=$D$26,SUM($G$22:K22),0)</f>
        <v>0</v>
      </c>
      <c r="L23" s="26">
        <f>IF(SUM($G$22:L22)&lt;=$D$26,SUM($G$22:L22),0)</f>
        <v>0</v>
      </c>
      <c r="M23" s="26">
        <f>IF(SUM($G$22:M22)&lt;=$D$26,SUM($G$22:M22),0)</f>
        <v>0</v>
      </c>
      <c r="N23" s="26">
        <f>IF(SUM($G$22:N22)&lt;=$D$26,SUM($G$22:N22),0)</f>
        <v>0</v>
      </c>
      <c r="O23" s="26">
        <f>IF(SUM($G$22:O22)&lt;=$D$26,SUM($G$22:O22),0)</f>
        <v>0</v>
      </c>
      <c r="P23" s="26">
        <f>IF(SUM($G$22:P22)&lt;=$D$26,SUM($G$22:P22),0)</f>
        <v>0</v>
      </c>
      <c r="Q23" s="26">
        <f>IF(SUM($G$22:Q22)&lt;=$D$26,SUM($G$22:Q22),0)</f>
        <v>0</v>
      </c>
      <c r="R23" s="26">
        <f>IF(SUM($G$22:R22)&lt;=$D$26,SUM($G$22:R22),0)</f>
        <v>0</v>
      </c>
      <c r="S23" s="26">
        <f>IF(SUM($G$22:S22)&lt;=$D$26,SUM($G$22:S22),0)</f>
        <v>0</v>
      </c>
      <c r="T23" s="26">
        <f>IF(SUM($G$22:T22)&lt;=$D$26,SUM($G$22:T22),0)</f>
        <v>0</v>
      </c>
      <c r="U23" s="26">
        <f>IF(SUM($G$22:U22)&lt;=$D$26,SUM($G$22:U22),0)</f>
        <v>0</v>
      </c>
      <c r="V23" s="26">
        <f>IF(SUM($G$22:V22)&lt;=$D$26,SUM($G$22:V22),0)</f>
        <v>0</v>
      </c>
      <c r="W23" s="26">
        <f>IF(SUM($G$22:W22)&lt;=$D$26,SUM($G$22:W22),0)</f>
        <v>0</v>
      </c>
      <c r="X23" s="26">
        <f>IF(SUM($G$22:X22)&lt;=$D$26,SUM($G$22:X22),0)</f>
        <v>0</v>
      </c>
      <c r="Y23" s="26">
        <f>IF(SUM($G$22:Y22)&lt;=$D$26,SUM($G$22:Y22),0)</f>
        <v>0</v>
      </c>
      <c r="Z23" s="26">
        <f>IF(SUM($G$22:Z22)&lt;=$D$26,SUM($G$22:Z22),0)</f>
        <v>0</v>
      </c>
      <c r="AA23" s="26">
        <f>IF(SUM($G$22:AA22)&lt;=$D$26,SUM($G$22:AA22),0)</f>
        <v>0</v>
      </c>
      <c r="AB23" s="26">
        <f>IF(SUM($G$22:AB22)&lt;=$D$26,SUM($G$22:AB22),0)</f>
        <v>0</v>
      </c>
      <c r="AC23" s="26">
        <f>IF(SUM($G$22:AC22)&lt;=$D$26,SUM($G$22:AC22),0)</f>
        <v>0</v>
      </c>
      <c r="AD23" s="26">
        <f>IF(SUM($G$22:AD22)&lt;=$D$26,SUM($G$22:AD22),0)</f>
        <v>0</v>
      </c>
      <c r="AE23" s="26">
        <f>IF(SUM($G$22:AE22)&lt;=$D$26,SUM($G$22:AE22),0)</f>
        <v>0</v>
      </c>
      <c r="AF23" s="26">
        <f>IF(SUM($G$22:AF22)&lt;=$D$26,SUM($G$22:AF22),0)</f>
        <v>0</v>
      </c>
      <c r="AG23" s="26">
        <f>IF(SUM($G$22:AG22)&lt;=$D$26,SUM($G$22:AG22),0)</f>
        <v>0</v>
      </c>
      <c r="AH23" s="26">
        <f>IF(SUM($G$22:AH22)&lt;=$D$26,SUM($G$22:AH22),0)</f>
        <v>0</v>
      </c>
      <c r="AI23" s="26">
        <f>IF(SUM($G$22:AI22)&lt;=$D$26,SUM($G$22:AI22),0)</f>
        <v>0</v>
      </c>
      <c r="AJ23" s="26">
        <f>IF(SUM($G$22:AJ22)&lt;=$D$26,SUM($G$22:AJ22),0)</f>
        <v>0</v>
      </c>
      <c r="AK23" s="26">
        <f>IF(SUM($G$22:AK22)&lt;=$D$26,SUM($G$22:AK22),0)</f>
        <v>0</v>
      </c>
      <c r="AL23" s="26">
        <f>IF(SUM($G$22:AL22)&lt;=$D$26,SUM($G$22:AL22),0)</f>
        <v>1</v>
      </c>
      <c r="AM23" s="26">
        <f>IF(SUM($G$22:AM22)&lt;=$D$26,SUM($G$22:AM22),0)</f>
        <v>2</v>
      </c>
      <c r="AN23" s="26">
        <f>IF(SUM($G$22:AN22)&lt;=$D$26,SUM($G$22:AN22),0)</f>
        <v>3</v>
      </c>
      <c r="AO23" s="26">
        <f>IF(SUM($G$22:AO22)&lt;=$D$26,SUM($G$22:AO22),0)</f>
        <v>4</v>
      </c>
      <c r="AP23" s="26">
        <f>IF(SUM($G$22:AP22)&lt;=$D$26,SUM($G$22:AP22),0)</f>
        <v>5</v>
      </c>
      <c r="AQ23" s="26">
        <f>IF(SUM($G$22:AQ22)&lt;=$D$26,SUM($G$22:AQ22),0)</f>
        <v>6</v>
      </c>
      <c r="AR23" s="26">
        <f>IF(SUM($G$22:AR22)&lt;=$D$26,SUM($G$22:AR22),0)</f>
        <v>7</v>
      </c>
      <c r="AS23" s="26">
        <f>IF(SUM($G$22:AS22)&lt;=$D$26,SUM($G$22:AS22),0)</f>
        <v>8</v>
      </c>
      <c r="AT23" s="26">
        <f>IF(SUM($G$22:AT22)&lt;=$D$26,SUM($G$22:AT22),0)</f>
        <v>9</v>
      </c>
      <c r="AU23" s="26">
        <f>IF(SUM($G$22:AU22)&lt;=$D$26,SUM($G$22:AU22),0)</f>
        <v>10</v>
      </c>
      <c r="AV23" s="26">
        <f>IF(SUM($G$22:AV22)&lt;=$D$26,SUM($G$22:AV22),0)</f>
        <v>0</v>
      </c>
      <c r="AW23" s="26">
        <f>IF(SUM($G$22:AW22)&lt;=$D$26,SUM($G$22:AW22),0)</f>
        <v>0</v>
      </c>
      <c r="AX23" s="26">
        <f>IF(SUM($G$22:AX22)&lt;=$D$26,SUM($G$22:AX22),0)</f>
        <v>0</v>
      </c>
      <c r="AY23" s="26">
        <f>IF(SUM($G$22:AY22)&lt;=$D$26,SUM($G$22:AY22),0)</f>
        <v>0</v>
      </c>
      <c r="AZ23" s="26">
        <f>IF(SUM($G$22:AZ22)&lt;=$D$26,SUM($G$22:AZ22),0)</f>
        <v>0</v>
      </c>
      <c r="BA23" s="26">
        <f>IF(SUM($G$22:BA22)&lt;=$D$26,SUM($G$22:BA22),0)</f>
        <v>0</v>
      </c>
      <c r="BB23" s="26">
        <f>IF(SUM($G$22:BB22)&lt;=$D$26,SUM($G$22:BB22),0)</f>
        <v>0</v>
      </c>
      <c r="BC23" s="26">
        <f>IF(SUM($G$22:BC22)&lt;=$D$26,SUM($G$22:BC22),0)</f>
        <v>0</v>
      </c>
      <c r="BD23" s="26">
        <f>IF(SUM($G$22:BD22)&lt;=$D$26,SUM($G$22:BD22),0)</f>
        <v>0</v>
      </c>
      <c r="BE23" s="26">
        <f>IF(SUM($G$22:BE22)&lt;=$D$26,SUM($G$22:BE22),0)</f>
        <v>0</v>
      </c>
      <c r="BF23" s="26">
        <f>IF(SUM($G$22:BF22)&lt;=$D$26,SUM($G$22:BF22),0)</f>
        <v>0</v>
      </c>
      <c r="BG23" s="26">
        <f>IF(SUM($G$22:BG22)&lt;=$D$26,SUM($G$22:BG22),0)</f>
        <v>0</v>
      </c>
      <c r="BH23" s="26">
        <f>IF(SUM($G$22:BH22)&lt;=$D$26,SUM($G$22:BH22),0)</f>
        <v>0</v>
      </c>
      <c r="BI23" s="26">
        <f>IF(SUM($G$22:BI22)&lt;=$D$26,SUM($G$22:BI22),0)</f>
        <v>0</v>
      </c>
      <c r="BJ23" s="26">
        <f>IF(SUM($G$22:BJ22)&lt;=$D$26,SUM($G$22:BJ22),0)</f>
        <v>0</v>
      </c>
      <c r="BK23" t="s">
        <v>102</v>
      </c>
    </row>
    <row r="24" spans="1:63" ht="11.25" customHeight="1" x14ac:dyDescent="0.25">
      <c r="B24" s="12" t="s">
        <v>168</v>
      </c>
      <c r="C24" s="22" t="s">
        <v>1</v>
      </c>
      <c r="E24" s="390">
        <f>SUM(G24:BJ24)</f>
        <v>6365.6924570898354</v>
      </c>
      <c r="F24" s="80" t="s">
        <v>26</v>
      </c>
      <c r="G24" s="1">
        <f>IF(G23=0,0,Costs!G56)</f>
        <v>0</v>
      </c>
      <c r="H24" s="1">
        <f>IF(H23=0,0,Costs!H56)</f>
        <v>0</v>
      </c>
      <c r="I24" s="1">
        <f>IF(I23=0,0,Costs!I56)</f>
        <v>0</v>
      </c>
      <c r="J24" s="1">
        <f>IF(J23=0,0,Costs!J56)</f>
        <v>0</v>
      </c>
      <c r="K24" s="1">
        <f>IF(K23=0,0,Costs!K56)</f>
        <v>0</v>
      </c>
      <c r="L24" s="1">
        <f>IF(L23=0,0,Costs!L56)</f>
        <v>0</v>
      </c>
      <c r="M24" s="1">
        <f>IF(M23=0,0,Costs!M56)</f>
        <v>0</v>
      </c>
      <c r="N24" s="1">
        <f>IF(N23=0,0,Costs!N56)</f>
        <v>0</v>
      </c>
      <c r="O24" s="1">
        <f>IF(O23=0,0,Costs!O56)</f>
        <v>0</v>
      </c>
      <c r="P24" s="1">
        <f>IF(P23=0,0,Costs!P56)</f>
        <v>0</v>
      </c>
      <c r="Q24" s="1">
        <f>IF(Q23=0,0,Costs!Q56)</f>
        <v>0</v>
      </c>
      <c r="R24" s="1">
        <f>IF(R23=0,0,Costs!R56)</f>
        <v>0</v>
      </c>
      <c r="S24" s="1">
        <f>IF(S23=0,0,Costs!S56)</f>
        <v>0</v>
      </c>
      <c r="T24" s="1">
        <f>IF(T23=0,0,Costs!T56)</f>
        <v>0</v>
      </c>
      <c r="U24" s="1">
        <f>IF(U23=0,0,Costs!U56)</f>
        <v>0</v>
      </c>
      <c r="V24" s="1">
        <f>IF(V23=0,0,Costs!V56)</f>
        <v>0</v>
      </c>
      <c r="W24" s="1">
        <f>IF(W23=0,0,Costs!W56)</f>
        <v>0</v>
      </c>
      <c r="X24" s="1">
        <f>IF(X23=0,0,Costs!X56)</f>
        <v>0</v>
      </c>
      <c r="Y24" s="1">
        <f>IF(Y23=0,0,Costs!Y56)</f>
        <v>0</v>
      </c>
      <c r="Z24" s="1">
        <f>IF(Z23=0,0,Costs!Z56)</f>
        <v>0</v>
      </c>
      <c r="AA24" s="1">
        <f>IF(AA23=0,0,Costs!AA56)</f>
        <v>0</v>
      </c>
      <c r="AB24" s="1">
        <f>IF(AB23=0,0,Costs!AB56)</f>
        <v>0</v>
      </c>
      <c r="AC24" s="1">
        <f>IF(AC23=0,0,Costs!AC56)</f>
        <v>0</v>
      </c>
      <c r="AD24" s="1">
        <f>IF(AD23=0,0,Costs!AD56)</f>
        <v>0</v>
      </c>
      <c r="AE24" s="1">
        <f>IF(AE23=0,0,Costs!AE56)</f>
        <v>0</v>
      </c>
      <c r="AF24" s="1">
        <f>IF(AF23=0,0,Costs!AF56)</f>
        <v>0</v>
      </c>
      <c r="AG24" s="1">
        <f>IF(AG23=0,0,Costs!AG56)</f>
        <v>0</v>
      </c>
      <c r="AH24" s="1">
        <f>IF(AH23=0,0,Costs!AH56)</f>
        <v>0</v>
      </c>
      <c r="AI24" s="1">
        <f>IF(AI23=0,0,Costs!AI56)</f>
        <v>0</v>
      </c>
      <c r="AJ24" s="1">
        <f>IF(AJ23=0,0,Costs!AJ56)</f>
        <v>0</v>
      </c>
      <c r="AK24" s="1">
        <f>IF(AK23=0,0,Costs!AK56)</f>
        <v>0</v>
      </c>
      <c r="AL24" s="1">
        <f>IF(AL23=0,0,Costs!AL56)</f>
        <v>6365.6924570898354</v>
      </c>
      <c r="AM24" s="1">
        <f>IF(AM23=0,0,Costs!AM56)</f>
        <v>0</v>
      </c>
      <c r="AN24" s="1">
        <f>IF(AN23=0,0,Costs!AN56)</f>
        <v>0</v>
      </c>
      <c r="AO24" s="1">
        <f>IF(AO23=0,0,Costs!AO56)</f>
        <v>0</v>
      </c>
      <c r="AP24" s="1">
        <f>IF(AP23=0,0,Costs!AP56)</f>
        <v>0</v>
      </c>
      <c r="AQ24" s="1">
        <f>IF(AQ23=0,0,Costs!AQ56)</f>
        <v>0</v>
      </c>
      <c r="AR24" s="1">
        <f>IF(AR23=0,0,Costs!AR56)</f>
        <v>0</v>
      </c>
      <c r="AS24" s="1">
        <f>IF(AS23=0,0,Costs!AS56)</f>
        <v>0</v>
      </c>
      <c r="AT24" s="1">
        <f>IF(AT23=0,0,Costs!AT56)</f>
        <v>0</v>
      </c>
      <c r="AU24" s="1">
        <f>IF(AU23=0,0,Costs!AU56)</f>
        <v>0</v>
      </c>
      <c r="AV24" s="1">
        <f>IF(AV23=0,0,Costs!AV56)</f>
        <v>0</v>
      </c>
      <c r="AW24" s="1">
        <f>IF(AW23=0,0,Costs!AW56)</f>
        <v>0</v>
      </c>
      <c r="AX24" s="1">
        <f>IF(AX23=0,0,Costs!AX56)</f>
        <v>0</v>
      </c>
      <c r="AY24" s="1">
        <f>IF(AY23=0,0,Costs!AY56)</f>
        <v>0</v>
      </c>
      <c r="AZ24" s="1">
        <f>IF(AZ23=0,0,Costs!AZ56)</f>
        <v>0</v>
      </c>
      <c r="BA24" s="1">
        <f>IF(BA23=0,0,Costs!BA56)</f>
        <v>0</v>
      </c>
      <c r="BB24" s="1">
        <f>IF(BB23=0,0,Costs!BB56)</f>
        <v>0</v>
      </c>
      <c r="BC24" s="1">
        <f>IF(BC23=0,0,Costs!BC56)</f>
        <v>0</v>
      </c>
      <c r="BD24" s="1">
        <f>IF(BD23=0,0,Costs!BD56)</f>
        <v>0</v>
      </c>
      <c r="BE24" s="1">
        <f>IF(BE23=0,0,Costs!BE56)</f>
        <v>0</v>
      </c>
      <c r="BF24" s="1">
        <f>IF(BF23=0,0,Costs!BF56)</f>
        <v>0</v>
      </c>
      <c r="BG24" s="1">
        <f>IF(BG23=0,0,Costs!BG56)</f>
        <v>0</v>
      </c>
      <c r="BH24" s="1">
        <f>IF(BH23=0,0,Costs!BH56)</f>
        <v>0</v>
      </c>
      <c r="BI24" s="1">
        <f>IF(BI23=0,0,Costs!BI56)</f>
        <v>0</v>
      </c>
      <c r="BJ24" s="1">
        <f>IF(BJ23=0,0,Costs!BJ56)</f>
        <v>0</v>
      </c>
      <c r="BK24" t="s">
        <v>102</v>
      </c>
    </row>
    <row r="25" spans="1:63" ht="11.25" customHeight="1" x14ac:dyDescent="0.25">
      <c r="B25" s="12" t="s">
        <v>74</v>
      </c>
      <c r="C25" s="22" t="s">
        <v>69</v>
      </c>
      <c r="D25" s="262">
        <f>Assumptions!D141</f>
        <v>5</v>
      </c>
      <c r="BK25" t="s">
        <v>102</v>
      </c>
    </row>
    <row r="26" spans="1:63" ht="11.25" customHeight="1" x14ac:dyDescent="0.25">
      <c r="B26" s="12" t="s">
        <v>74</v>
      </c>
      <c r="C26" s="22" t="s">
        <v>15</v>
      </c>
      <c r="D26" s="262">
        <f>D25*2</f>
        <v>10</v>
      </c>
      <c r="BK26" t="s">
        <v>102</v>
      </c>
    </row>
    <row r="27" spans="1:63" ht="11.25" customHeight="1" x14ac:dyDescent="0.25">
      <c r="B27" s="12" t="s">
        <v>74</v>
      </c>
      <c r="C27" s="22" t="s">
        <v>65</v>
      </c>
      <c r="D27" s="276">
        <f>1/D26</f>
        <v>0.1</v>
      </c>
      <c r="BK27" t="s">
        <v>102</v>
      </c>
    </row>
    <row r="28" spans="1:63" ht="11.25" customHeight="1" x14ac:dyDescent="0.25">
      <c r="B28" s="12" t="s">
        <v>169</v>
      </c>
      <c r="C28" s="22" t="s">
        <v>1</v>
      </c>
      <c r="E28" s="390">
        <f>SUM(G28:BJ28)</f>
        <v>35011.308513994089</v>
      </c>
      <c r="F28" s="80" t="s">
        <v>26</v>
      </c>
      <c r="G28" s="1">
        <f t="shared" ref="G28" si="7">IF(G23=1,G24,IF(G23&gt;0,F28-G29,0))</f>
        <v>0</v>
      </c>
      <c r="H28" s="1">
        <f>IF(H23=1,H24,IF(H23&gt;0,G28-H29,0))</f>
        <v>0</v>
      </c>
      <c r="I28" s="1">
        <f t="shared" ref="I28:BJ28" si="8">IF(I23=1,I24,IF(I23&gt;0,H28-I29,0))</f>
        <v>0</v>
      </c>
      <c r="J28" s="1">
        <f t="shared" si="8"/>
        <v>0</v>
      </c>
      <c r="K28" s="1">
        <f t="shared" si="8"/>
        <v>0</v>
      </c>
      <c r="L28" s="1">
        <f t="shared" si="8"/>
        <v>0</v>
      </c>
      <c r="M28" s="1">
        <f t="shared" si="8"/>
        <v>0</v>
      </c>
      <c r="N28" s="1">
        <f t="shared" si="8"/>
        <v>0</v>
      </c>
      <c r="O28" s="1">
        <f t="shared" si="8"/>
        <v>0</v>
      </c>
      <c r="P28" s="1">
        <f t="shared" si="8"/>
        <v>0</v>
      </c>
      <c r="Q28" s="1">
        <f t="shared" si="8"/>
        <v>0</v>
      </c>
      <c r="R28" s="1">
        <f t="shared" si="8"/>
        <v>0</v>
      </c>
      <c r="S28" s="1">
        <f t="shared" si="8"/>
        <v>0</v>
      </c>
      <c r="T28" s="1">
        <f t="shared" si="8"/>
        <v>0</v>
      </c>
      <c r="U28" s="1">
        <f t="shared" si="8"/>
        <v>0</v>
      </c>
      <c r="V28" s="1">
        <f t="shared" si="8"/>
        <v>0</v>
      </c>
      <c r="W28" s="1">
        <f t="shared" si="8"/>
        <v>0</v>
      </c>
      <c r="X28" s="1">
        <f t="shared" si="8"/>
        <v>0</v>
      </c>
      <c r="Y28" s="1">
        <f t="shared" si="8"/>
        <v>0</v>
      </c>
      <c r="Z28" s="1">
        <f t="shared" si="8"/>
        <v>0</v>
      </c>
      <c r="AA28" s="1">
        <f t="shared" si="8"/>
        <v>0</v>
      </c>
      <c r="AB28" s="1">
        <f t="shared" si="8"/>
        <v>0</v>
      </c>
      <c r="AC28" s="1">
        <f t="shared" si="8"/>
        <v>0</v>
      </c>
      <c r="AD28" s="1">
        <f t="shared" si="8"/>
        <v>0</v>
      </c>
      <c r="AE28" s="1">
        <f t="shared" si="8"/>
        <v>0</v>
      </c>
      <c r="AF28" s="1">
        <f t="shared" si="8"/>
        <v>0</v>
      </c>
      <c r="AG28" s="1">
        <f t="shared" si="8"/>
        <v>0</v>
      </c>
      <c r="AH28" s="1">
        <f t="shared" si="8"/>
        <v>0</v>
      </c>
      <c r="AI28" s="1">
        <f t="shared" si="8"/>
        <v>0</v>
      </c>
      <c r="AJ28" s="1">
        <f t="shared" si="8"/>
        <v>0</v>
      </c>
      <c r="AK28" s="1">
        <f t="shared" si="8"/>
        <v>0</v>
      </c>
      <c r="AL28" s="1">
        <f t="shared" si="8"/>
        <v>6365.6924570898354</v>
      </c>
      <c r="AM28" s="1">
        <f t="shared" si="8"/>
        <v>5729.1232113808519</v>
      </c>
      <c r="AN28" s="1">
        <f t="shared" si="8"/>
        <v>5092.5539656718684</v>
      </c>
      <c r="AO28" s="1">
        <f t="shared" si="8"/>
        <v>4455.9847199628848</v>
      </c>
      <c r="AP28" s="1">
        <f t="shared" si="8"/>
        <v>3819.4154742539013</v>
      </c>
      <c r="AQ28" s="1">
        <f t="shared" si="8"/>
        <v>3182.8462285449177</v>
      </c>
      <c r="AR28" s="1">
        <f t="shared" si="8"/>
        <v>2546.2769828359342</v>
      </c>
      <c r="AS28" s="1">
        <f t="shared" si="8"/>
        <v>1909.7077371269506</v>
      </c>
      <c r="AT28" s="1">
        <f t="shared" si="8"/>
        <v>1273.1384914179671</v>
      </c>
      <c r="AU28" s="1">
        <f t="shared" si="8"/>
        <v>636.56924570898354</v>
      </c>
      <c r="AV28" s="1">
        <f t="shared" si="8"/>
        <v>0</v>
      </c>
      <c r="AW28" s="1">
        <f t="shared" si="8"/>
        <v>0</v>
      </c>
      <c r="AX28" s="1">
        <f t="shared" si="8"/>
        <v>0</v>
      </c>
      <c r="AY28" s="1">
        <f t="shared" si="8"/>
        <v>0</v>
      </c>
      <c r="AZ28" s="1">
        <f t="shared" si="8"/>
        <v>0</v>
      </c>
      <c r="BA28" s="1">
        <f t="shared" si="8"/>
        <v>0</v>
      </c>
      <c r="BB28" s="1">
        <f t="shared" si="8"/>
        <v>0</v>
      </c>
      <c r="BC28" s="1">
        <f t="shared" si="8"/>
        <v>0</v>
      </c>
      <c r="BD28" s="1">
        <f t="shared" si="8"/>
        <v>0</v>
      </c>
      <c r="BE28" s="1">
        <f t="shared" si="8"/>
        <v>0</v>
      </c>
      <c r="BF28" s="1">
        <f t="shared" si="8"/>
        <v>0</v>
      </c>
      <c r="BG28" s="1">
        <f t="shared" si="8"/>
        <v>0</v>
      </c>
      <c r="BH28" s="1">
        <f t="shared" si="8"/>
        <v>0</v>
      </c>
      <c r="BI28" s="1">
        <f t="shared" si="8"/>
        <v>0</v>
      </c>
      <c r="BJ28" s="1">
        <f t="shared" si="8"/>
        <v>0</v>
      </c>
      <c r="BK28" t="s">
        <v>102</v>
      </c>
    </row>
    <row r="29" spans="1:63" ht="11.25" customHeight="1" x14ac:dyDescent="0.25">
      <c r="B29" s="12" t="s">
        <v>170</v>
      </c>
      <c r="C29" s="22" t="s">
        <v>1</v>
      </c>
      <c r="E29" s="390">
        <f>SUM(G29:BJ29)</f>
        <v>6365.6924570898354</v>
      </c>
      <c r="F29" s="80" t="s">
        <v>26</v>
      </c>
      <c r="G29" s="1">
        <f>IF(G23&gt;0,$E$24*$D$27,0)</f>
        <v>0</v>
      </c>
      <c r="H29" s="1">
        <f t="shared" ref="H29:BJ29" si="9">IF(H23&gt;0,$E$24*$D$27,0)</f>
        <v>0</v>
      </c>
      <c r="I29" s="1">
        <f t="shared" si="9"/>
        <v>0</v>
      </c>
      <c r="J29" s="1">
        <f t="shared" si="9"/>
        <v>0</v>
      </c>
      <c r="K29" s="1">
        <f t="shared" si="9"/>
        <v>0</v>
      </c>
      <c r="L29" s="1">
        <f t="shared" si="9"/>
        <v>0</v>
      </c>
      <c r="M29" s="1">
        <f t="shared" si="9"/>
        <v>0</v>
      </c>
      <c r="N29" s="1">
        <f t="shared" si="9"/>
        <v>0</v>
      </c>
      <c r="O29" s="1">
        <f t="shared" si="9"/>
        <v>0</v>
      </c>
      <c r="P29" s="1">
        <f t="shared" si="9"/>
        <v>0</v>
      </c>
      <c r="Q29" s="1">
        <f t="shared" si="9"/>
        <v>0</v>
      </c>
      <c r="R29" s="1">
        <f t="shared" si="9"/>
        <v>0</v>
      </c>
      <c r="S29" s="1">
        <f t="shared" si="9"/>
        <v>0</v>
      </c>
      <c r="T29" s="1">
        <f t="shared" si="9"/>
        <v>0</v>
      </c>
      <c r="U29" s="1">
        <f t="shared" si="9"/>
        <v>0</v>
      </c>
      <c r="V29" s="1">
        <f t="shared" si="9"/>
        <v>0</v>
      </c>
      <c r="W29" s="1">
        <f t="shared" si="9"/>
        <v>0</v>
      </c>
      <c r="X29" s="1">
        <f t="shared" si="9"/>
        <v>0</v>
      </c>
      <c r="Y29" s="1">
        <f t="shared" si="9"/>
        <v>0</v>
      </c>
      <c r="Z29" s="1">
        <f t="shared" si="9"/>
        <v>0</v>
      </c>
      <c r="AA29" s="1">
        <f t="shared" si="9"/>
        <v>0</v>
      </c>
      <c r="AB29" s="1">
        <f t="shared" si="9"/>
        <v>0</v>
      </c>
      <c r="AC29" s="1">
        <f t="shared" si="9"/>
        <v>0</v>
      </c>
      <c r="AD29" s="1">
        <f t="shared" si="9"/>
        <v>0</v>
      </c>
      <c r="AE29" s="1">
        <f t="shared" si="9"/>
        <v>0</v>
      </c>
      <c r="AF29" s="1">
        <f t="shared" si="9"/>
        <v>0</v>
      </c>
      <c r="AG29" s="1">
        <f t="shared" si="9"/>
        <v>0</v>
      </c>
      <c r="AH29" s="1">
        <f t="shared" si="9"/>
        <v>0</v>
      </c>
      <c r="AI29" s="1">
        <f t="shared" si="9"/>
        <v>0</v>
      </c>
      <c r="AJ29" s="1">
        <f t="shared" si="9"/>
        <v>0</v>
      </c>
      <c r="AK29" s="1">
        <f t="shared" si="9"/>
        <v>0</v>
      </c>
      <c r="AL29" s="1">
        <f t="shared" si="9"/>
        <v>636.56924570898354</v>
      </c>
      <c r="AM29" s="1">
        <f t="shared" si="9"/>
        <v>636.56924570898354</v>
      </c>
      <c r="AN29" s="1">
        <f t="shared" si="9"/>
        <v>636.56924570898354</v>
      </c>
      <c r="AO29" s="1">
        <f t="shared" si="9"/>
        <v>636.56924570898354</v>
      </c>
      <c r="AP29" s="1">
        <f t="shared" si="9"/>
        <v>636.56924570898354</v>
      </c>
      <c r="AQ29" s="1">
        <f t="shared" si="9"/>
        <v>636.56924570898354</v>
      </c>
      <c r="AR29" s="1">
        <f t="shared" si="9"/>
        <v>636.56924570898354</v>
      </c>
      <c r="AS29" s="1">
        <f t="shared" si="9"/>
        <v>636.56924570898354</v>
      </c>
      <c r="AT29" s="1">
        <f t="shared" si="9"/>
        <v>636.56924570898354</v>
      </c>
      <c r="AU29" s="1">
        <f t="shared" si="9"/>
        <v>636.56924570898354</v>
      </c>
      <c r="AV29" s="1">
        <f t="shared" si="9"/>
        <v>0</v>
      </c>
      <c r="AW29" s="1">
        <f t="shared" si="9"/>
        <v>0</v>
      </c>
      <c r="AX29" s="1">
        <f t="shared" si="9"/>
        <v>0</v>
      </c>
      <c r="AY29" s="1">
        <f t="shared" si="9"/>
        <v>0</v>
      </c>
      <c r="AZ29" s="1">
        <f t="shared" si="9"/>
        <v>0</v>
      </c>
      <c r="BA29" s="1">
        <f t="shared" si="9"/>
        <v>0</v>
      </c>
      <c r="BB29" s="1">
        <f t="shared" si="9"/>
        <v>0</v>
      </c>
      <c r="BC29" s="1">
        <f t="shared" si="9"/>
        <v>0</v>
      </c>
      <c r="BD29" s="1">
        <f t="shared" si="9"/>
        <v>0</v>
      </c>
      <c r="BE29" s="1">
        <f t="shared" si="9"/>
        <v>0</v>
      </c>
      <c r="BF29" s="1">
        <f t="shared" si="9"/>
        <v>0</v>
      </c>
      <c r="BG29" s="1">
        <f t="shared" si="9"/>
        <v>0</v>
      </c>
      <c r="BH29" s="1">
        <f t="shared" si="9"/>
        <v>0</v>
      </c>
      <c r="BI29" s="1">
        <f t="shared" si="9"/>
        <v>0</v>
      </c>
      <c r="BJ29" s="1">
        <f t="shared" si="9"/>
        <v>0</v>
      </c>
      <c r="BK29" t="s">
        <v>102</v>
      </c>
    </row>
    <row r="30" spans="1:63" ht="11.25" customHeight="1" x14ac:dyDescent="0.25">
      <c r="A30" s="12" t="s">
        <v>26</v>
      </c>
      <c r="B30" s="56" t="s">
        <v>171</v>
      </c>
      <c r="C30" s="57" t="s">
        <v>1</v>
      </c>
      <c r="D30" s="56"/>
      <c r="E30" s="389">
        <f t="shared" ref="E30" si="10">SUM(G30:BJ30)</f>
        <v>28645.616056904262</v>
      </c>
      <c r="F30" s="321" t="s">
        <v>26</v>
      </c>
      <c r="G30" s="58">
        <f t="shared" ref="G30" si="11">IF(H23=1,0,IF(G28-G29=0,0,G28-G29))</f>
        <v>0</v>
      </c>
      <c r="H30" s="58">
        <f>IF(I23=1,0,IF(H28-H29=0,0,H28-H29))</f>
        <v>0</v>
      </c>
      <c r="I30" s="58">
        <f t="shared" ref="I30:BJ30" si="12">IF(J23=1,0,IF(I28-I29=0,0,I28-I29))</f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  <c r="AC30" s="58">
        <f t="shared" si="12"/>
        <v>0</v>
      </c>
      <c r="AD30" s="58">
        <f t="shared" si="12"/>
        <v>0</v>
      </c>
      <c r="AE30" s="58">
        <f t="shared" si="12"/>
        <v>0</v>
      </c>
      <c r="AF30" s="58">
        <f t="shared" si="12"/>
        <v>0</v>
      </c>
      <c r="AG30" s="58">
        <f t="shared" si="12"/>
        <v>0</v>
      </c>
      <c r="AH30" s="58">
        <f t="shared" si="12"/>
        <v>0</v>
      </c>
      <c r="AI30" s="58">
        <f t="shared" si="12"/>
        <v>0</v>
      </c>
      <c r="AJ30" s="58">
        <f t="shared" si="12"/>
        <v>0</v>
      </c>
      <c r="AK30" s="58">
        <f t="shared" si="12"/>
        <v>0</v>
      </c>
      <c r="AL30" s="58">
        <f t="shared" si="12"/>
        <v>5729.1232113808519</v>
      </c>
      <c r="AM30" s="58">
        <f t="shared" si="12"/>
        <v>5092.5539656718684</v>
      </c>
      <c r="AN30" s="58">
        <f t="shared" si="12"/>
        <v>4455.9847199628848</v>
      </c>
      <c r="AO30" s="58">
        <f t="shared" si="12"/>
        <v>3819.4154742539013</v>
      </c>
      <c r="AP30" s="58">
        <f t="shared" si="12"/>
        <v>3182.8462285449177</v>
      </c>
      <c r="AQ30" s="58">
        <f t="shared" si="12"/>
        <v>2546.2769828359342</v>
      </c>
      <c r="AR30" s="58">
        <f t="shared" si="12"/>
        <v>1909.7077371269506</v>
      </c>
      <c r="AS30" s="58">
        <f t="shared" si="12"/>
        <v>1273.1384914179671</v>
      </c>
      <c r="AT30" s="58">
        <f t="shared" si="12"/>
        <v>636.56924570898354</v>
      </c>
      <c r="AU30" s="58">
        <f t="shared" si="12"/>
        <v>0</v>
      </c>
      <c r="AV30" s="58">
        <f t="shared" si="12"/>
        <v>0</v>
      </c>
      <c r="AW30" s="58">
        <f t="shared" si="12"/>
        <v>0</v>
      </c>
      <c r="AX30" s="58">
        <f t="shared" si="12"/>
        <v>0</v>
      </c>
      <c r="AY30" s="58">
        <f t="shared" si="12"/>
        <v>0</v>
      </c>
      <c r="AZ30" s="58">
        <f t="shared" si="12"/>
        <v>0</v>
      </c>
      <c r="BA30" s="58">
        <f t="shared" si="12"/>
        <v>0</v>
      </c>
      <c r="BB30" s="58">
        <f t="shared" si="12"/>
        <v>0</v>
      </c>
      <c r="BC30" s="58">
        <f t="shared" si="12"/>
        <v>0</v>
      </c>
      <c r="BD30" s="58">
        <f t="shared" si="12"/>
        <v>0</v>
      </c>
      <c r="BE30" s="58">
        <f t="shared" si="12"/>
        <v>0</v>
      </c>
      <c r="BF30" s="58">
        <f t="shared" si="12"/>
        <v>0</v>
      </c>
      <c r="BG30" s="58">
        <f t="shared" si="12"/>
        <v>0</v>
      </c>
      <c r="BH30" s="58">
        <f t="shared" si="12"/>
        <v>0</v>
      </c>
      <c r="BI30" s="58">
        <f t="shared" si="12"/>
        <v>0</v>
      </c>
      <c r="BJ30" s="58">
        <f t="shared" si="12"/>
        <v>0</v>
      </c>
      <c r="BK30" t="s">
        <v>102</v>
      </c>
    </row>
    <row r="31" spans="1:63" ht="11.25" customHeight="1" x14ac:dyDescent="0.25">
      <c r="BK31" t="s">
        <v>102</v>
      </c>
    </row>
    <row r="32" spans="1:63" ht="11.25" customHeight="1" x14ac:dyDescent="0.25">
      <c r="A32" s="12">
        <v>2</v>
      </c>
      <c r="B32" s="12" t="s">
        <v>165</v>
      </c>
      <c r="C32" s="22" t="s">
        <v>166</v>
      </c>
      <c r="E32" s="389">
        <f t="shared" ref="E32:E33" si="13">SUM(G32:BJ32)</f>
        <v>3</v>
      </c>
      <c r="F32" s="80" t="s">
        <v>26</v>
      </c>
      <c r="G32" s="26">
        <f>CapEx!G10</f>
        <v>0</v>
      </c>
      <c r="H32" s="26">
        <f>CapEx!H10</f>
        <v>0</v>
      </c>
      <c r="I32" s="26">
        <f>CapEx!I10</f>
        <v>0</v>
      </c>
      <c r="J32" s="26">
        <f>CapEx!J10</f>
        <v>0</v>
      </c>
      <c r="K32" s="26">
        <f>CapEx!K10</f>
        <v>0</v>
      </c>
      <c r="L32" s="26">
        <f>CapEx!L10</f>
        <v>0</v>
      </c>
      <c r="M32" s="26">
        <f>CapEx!M10</f>
        <v>0</v>
      </c>
      <c r="N32" s="26">
        <f>CapEx!N10</f>
        <v>0</v>
      </c>
      <c r="O32" s="26">
        <f>CapEx!O10</f>
        <v>0</v>
      </c>
      <c r="P32" s="26">
        <f>CapEx!P10</f>
        <v>0</v>
      </c>
      <c r="Q32" s="26">
        <f>CapEx!Q10</f>
        <v>0</v>
      </c>
      <c r="R32" s="26">
        <f>CapEx!R10</f>
        <v>0</v>
      </c>
      <c r="S32" s="26">
        <f>CapEx!S10</f>
        <v>0</v>
      </c>
      <c r="T32" s="26">
        <f>CapEx!T10</f>
        <v>0</v>
      </c>
      <c r="U32" s="26">
        <f>CapEx!U10</f>
        <v>0</v>
      </c>
      <c r="V32" s="26">
        <f>CapEx!V10</f>
        <v>0</v>
      </c>
      <c r="W32" s="26">
        <f>CapEx!W10</f>
        <v>0</v>
      </c>
      <c r="X32" s="26">
        <f>CapEx!X10</f>
        <v>0</v>
      </c>
      <c r="Y32" s="26">
        <f>CapEx!Y10</f>
        <v>0</v>
      </c>
      <c r="Z32" s="26">
        <f>CapEx!Z10</f>
        <v>0</v>
      </c>
      <c r="AA32" s="26">
        <f>CapEx!AA10</f>
        <v>0</v>
      </c>
      <c r="AB32" s="26">
        <f>CapEx!AB10</f>
        <v>0</v>
      </c>
      <c r="AC32" s="26">
        <f>CapEx!AC10</f>
        <v>0</v>
      </c>
      <c r="AD32" s="26">
        <f>CapEx!AD10</f>
        <v>0</v>
      </c>
      <c r="AE32" s="26">
        <f>CapEx!AE10</f>
        <v>0</v>
      </c>
      <c r="AF32" s="26">
        <f>CapEx!AF10</f>
        <v>0</v>
      </c>
      <c r="AG32" s="26">
        <f>CapEx!AG10</f>
        <v>0</v>
      </c>
      <c r="AH32" s="26">
        <f>CapEx!AH10</f>
        <v>0</v>
      </c>
      <c r="AI32" s="26">
        <f>CapEx!AI10</f>
        <v>0</v>
      </c>
      <c r="AJ32" s="26">
        <f>CapEx!AJ10</f>
        <v>0</v>
      </c>
      <c r="AK32" s="26">
        <f>CapEx!AK10</f>
        <v>0</v>
      </c>
      <c r="AL32" s="26">
        <f>CapEx!AL10</f>
        <v>1</v>
      </c>
      <c r="AM32" s="26">
        <f>CapEx!AM10</f>
        <v>0</v>
      </c>
      <c r="AN32" s="26">
        <f>CapEx!AN10</f>
        <v>0</v>
      </c>
      <c r="AO32" s="26">
        <f>CapEx!AO10</f>
        <v>0</v>
      </c>
      <c r="AP32" s="26">
        <f>CapEx!AP10</f>
        <v>0</v>
      </c>
      <c r="AQ32" s="26">
        <f>CapEx!AQ10</f>
        <v>0</v>
      </c>
      <c r="AR32" s="26">
        <f>CapEx!AR10</f>
        <v>0</v>
      </c>
      <c r="AS32" s="26">
        <f>CapEx!AS10</f>
        <v>0</v>
      </c>
      <c r="AT32" s="26">
        <f>CapEx!AT10</f>
        <v>0</v>
      </c>
      <c r="AU32" s="26">
        <f>CapEx!AU10</f>
        <v>0</v>
      </c>
      <c r="AV32" s="26">
        <f>CapEx!AV10</f>
        <v>0</v>
      </c>
      <c r="AW32" s="26">
        <f>CapEx!AW10</f>
        <v>0</v>
      </c>
      <c r="AX32" s="26">
        <f>CapEx!AX10</f>
        <v>0</v>
      </c>
      <c r="AY32" s="26">
        <f>CapEx!AY10</f>
        <v>0</v>
      </c>
      <c r="AZ32" s="26">
        <f>CapEx!AZ10</f>
        <v>0</v>
      </c>
      <c r="BA32" s="26">
        <f>CapEx!BA10</f>
        <v>0</v>
      </c>
      <c r="BB32" s="26">
        <f>CapEx!BB10</f>
        <v>2</v>
      </c>
      <c r="BC32" s="26">
        <f>CapEx!BC10</f>
        <v>0</v>
      </c>
      <c r="BD32" s="26">
        <f>CapEx!BD10</f>
        <v>0</v>
      </c>
      <c r="BE32" s="26">
        <f>CapEx!BE10</f>
        <v>0</v>
      </c>
      <c r="BF32" s="26">
        <f>CapEx!BF10</f>
        <v>0</v>
      </c>
      <c r="BG32" s="26">
        <f>CapEx!BG10</f>
        <v>0</v>
      </c>
      <c r="BH32" s="26">
        <f>CapEx!BH10</f>
        <v>0</v>
      </c>
      <c r="BI32" s="26">
        <f>CapEx!BI10</f>
        <v>0</v>
      </c>
      <c r="BJ32" s="26">
        <f>CapEx!BJ10</f>
        <v>0</v>
      </c>
      <c r="BK32" t="s">
        <v>102</v>
      </c>
    </row>
    <row r="33" spans="1:63" ht="11.25" customHeight="1" x14ac:dyDescent="0.25">
      <c r="B33" s="12" t="s">
        <v>70</v>
      </c>
      <c r="C33" s="22" t="s">
        <v>167</v>
      </c>
      <c r="E33" s="389">
        <f t="shared" si="13"/>
        <v>45</v>
      </c>
      <c r="F33" s="80" t="s">
        <v>26</v>
      </c>
      <c r="G33" s="26">
        <f>IF(SUM($G$32:G32)=3,F33+1,0)</f>
        <v>0</v>
      </c>
      <c r="H33" s="26">
        <f>IF(SUM($G$32:H32)=3,G33+1,0)</f>
        <v>0</v>
      </c>
      <c r="I33" s="26">
        <f>IF(SUM($G$32:I32)=3,H33+1,0)</f>
        <v>0</v>
      </c>
      <c r="J33" s="26">
        <f>IF(SUM($G$32:J32)=3,I33+1,0)</f>
        <v>0</v>
      </c>
      <c r="K33" s="26">
        <f>IF(SUM($G$32:K32)=3,J33+1,0)</f>
        <v>0</v>
      </c>
      <c r="L33" s="26">
        <f>IF(SUM($G$32:L32)=3,K33+1,0)</f>
        <v>0</v>
      </c>
      <c r="M33" s="26">
        <f>IF(SUM($G$32:M32)=3,L33+1,0)</f>
        <v>0</v>
      </c>
      <c r="N33" s="26">
        <f>IF(SUM($G$32:N32)=3,M33+1,0)</f>
        <v>0</v>
      </c>
      <c r="O33" s="26">
        <f>IF(SUM($G$32:O32)=3,N33+1,0)</f>
        <v>0</v>
      </c>
      <c r="P33" s="26">
        <f>IF(SUM($G$32:P32)=3,O33+1,0)</f>
        <v>0</v>
      </c>
      <c r="Q33" s="26">
        <f>IF(SUM($G$32:Q32)=3,P33+1,0)</f>
        <v>0</v>
      </c>
      <c r="R33" s="26">
        <f>IF(SUM($G$32:R32)=3,Q33+1,0)</f>
        <v>0</v>
      </c>
      <c r="S33" s="26">
        <f>IF(SUM($G$32:S32)=3,R33+1,0)</f>
        <v>0</v>
      </c>
      <c r="T33" s="26">
        <f>IF(SUM($G$32:T32)=3,S33+1,0)</f>
        <v>0</v>
      </c>
      <c r="U33" s="26">
        <f>IF(SUM($G$32:U32)=3,T33+1,0)</f>
        <v>0</v>
      </c>
      <c r="V33" s="26">
        <f>IF(SUM($G$32:V32)=3,U33+1,0)</f>
        <v>0</v>
      </c>
      <c r="W33" s="26">
        <f>IF(SUM($G$32:W32)=3,V33+1,0)</f>
        <v>0</v>
      </c>
      <c r="X33" s="26">
        <f>IF(SUM($G$32:X32)=3,W33+1,0)</f>
        <v>0</v>
      </c>
      <c r="Y33" s="26">
        <f>IF(SUM($G$32:Y32)=3,X33+1,0)</f>
        <v>0</v>
      </c>
      <c r="Z33" s="26">
        <f>IF(SUM($G$32:Z32)=3,Y33+1,0)</f>
        <v>0</v>
      </c>
      <c r="AA33" s="26">
        <f>IF(SUM($G$32:AA32)=3,Z33+1,0)</f>
        <v>0</v>
      </c>
      <c r="AB33" s="26">
        <f>IF(SUM($G$32:AB32)=3,AA33+1,0)</f>
        <v>0</v>
      </c>
      <c r="AC33" s="26">
        <f>IF(SUM($G$32:AC32)=3,AB33+1,0)</f>
        <v>0</v>
      </c>
      <c r="AD33" s="26">
        <f>IF(SUM($G$32:AD32)=3,AC33+1,0)</f>
        <v>0</v>
      </c>
      <c r="AE33" s="26">
        <f>IF(SUM($G$32:AE32)=3,AD33+1,0)</f>
        <v>0</v>
      </c>
      <c r="AF33" s="26">
        <f>IF(SUM($G$32:AF32)=3,AE33+1,0)</f>
        <v>0</v>
      </c>
      <c r="AG33" s="26">
        <f>IF(SUM($G$32:AG32)=3,AF33+1,0)</f>
        <v>0</v>
      </c>
      <c r="AH33" s="26">
        <f>IF(SUM($G$32:AH32)=3,AG33+1,0)</f>
        <v>0</v>
      </c>
      <c r="AI33" s="26">
        <f>IF(SUM($G$32:AI32)=3,AH33+1,0)</f>
        <v>0</v>
      </c>
      <c r="AJ33" s="26">
        <f>IF(SUM($G$32:AJ32)=3,AI33+1,0)</f>
        <v>0</v>
      </c>
      <c r="AK33" s="26">
        <f>IF(SUM($G$32:AK32)=3,AJ33+1,0)</f>
        <v>0</v>
      </c>
      <c r="AL33" s="26">
        <f>IF(SUM($G$32:AL32)=3,AK33+1,0)</f>
        <v>0</v>
      </c>
      <c r="AM33" s="26">
        <f>IF(SUM($G$32:AM32)=3,AL33+1,0)</f>
        <v>0</v>
      </c>
      <c r="AN33" s="26">
        <f>IF(SUM($G$32:AN32)=3,AM33+1,0)</f>
        <v>0</v>
      </c>
      <c r="AO33" s="26">
        <f>IF(SUM($G$32:AO32)=3,AN33+1,0)</f>
        <v>0</v>
      </c>
      <c r="AP33" s="26">
        <f>IF(SUM($G$32:AP32)=3,AO33+1,0)</f>
        <v>0</v>
      </c>
      <c r="AQ33" s="26">
        <f>IF(SUM($G$32:AQ32)=3,AP33+1,0)</f>
        <v>0</v>
      </c>
      <c r="AR33" s="26">
        <f>IF(SUM($G$32:AR32)=3,AQ33+1,0)</f>
        <v>0</v>
      </c>
      <c r="AS33" s="26">
        <f>IF(SUM($G$32:AS32)=3,AR33+1,0)</f>
        <v>0</v>
      </c>
      <c r="AT33" s="26">
        <f>IF(SUM($G$32:AT32)=3,AS33+1,0)</f>
        <v>0</v>
      </c>
      <c r="AU33" s="26">
        <f>IF(SUM($G$32:AU32)=3,AT33+1,0)</f>
        <v>0</v>
      </c>
      <c r="AV33" s="26">
        <f>IF(SUM($G$32:AV32)=3,AU33+1,0)</f>
        <v>0</v>
      </c>
      <c r="AW33" s="26">
        <f>IF(SUM($G$32:AW32)=3,AV33+1,0)</f>
        <v>0</v>
      </c>
      <c r="AX33" s="26">
        <f>IF(SUM($G$32:AX32)=3,AW33+1,0)</f>
        <v>0</v>
      </c>
      <c r="AY33" s="26">
        <f>IF(SUM($G$32:AY32)=3,AX33+1,0)</f>
        <v>0</v>
      </c>
      <c r="AZ33" s="26">
        <f>IF(SUM($G$32:AZ32)=3,AY33+1,0)</f>
        <v>0</v>
      </c>
      <c r="BA33" s="26">
        <f>IF(SUM($G$32:BA32)=3,AZ33+1,0)</f>
        <v>0</v>
      </c>
      <c r="BB33" s="26">
        <f>IF(SUM($G$32:BB32)=3,BA33+1,0)</f>
        <v>1</v>
      </c>
      <c r="BC33" s="26">
        <f>IF(SUM($G$32:BC32)=3,BB33+1,0)</f>
        <v>2</v>
      </c>
      <c r="BD33" s="26">
        <f>IF(SUM($G$32:BD32)=3,BC33+1,0)</f>
        <v>3</v>
      </c>
      <c r="BE33" s="26">
        <f>IF(SUM($G$32:BE32)=3,BD33+1,0)</f>
        <v>4</v>
      </c>
      <c r="BF33" s="26">
        <f>IF(SUM($G$32:BF32)=3,BE33+1,0)</f>
        <v>5</v>
      </c>
      <c r="BG33" s="26">
        <f>IF(SUM($G$32:BG32)=3,BF33+1,0)</f>
        <v>6</v>
      </c>
      <c r="BH33" s="26">
        <f>IF(SUM($G$32:BH32)=3,BG33+1,0)</f>
        <v>7</v>
      </c>
      <c r="BI33" s="26">
        <f>IF(SUM($G$32:BI32)=3,BH33+1,0)</f>
        <v>8</v>
      </c>
      <c r="BJ33" s="26">
        <f>IF(SUM($G$32:BJ32)=3,BI33+1,0)</f>
        <v>9</v>
      </c>
      <c r="BK33" t="s">
        <v>102</v>
      </c>
    </row>
    <row r="34" spans="1:63" ht="11.25" customHeight="1" x14ac:dyDescent="0.25">
      <c r="B34" s="12" t="s">
        <v>172</v>
      </c>
      <c r="C34" s="22" t="s">
        <v>1</v>
      </c>
      <c r="E34" s="390">
        <f>SUM(G34:BJ34)</f>
        <v>7908.612508305514</v>
      </c>
      <c r="F34" s="80" t="s">
        <v>26</v>
      </c>
      <c r="G34" s="1">
        <f>IF(G33&gt;0,Costs!G56,0)</f>
        <v>0</v>
      </c>
      <c r="H34" s="1">
        <f>IF(H33&gt;0,Costs!H56,0)</f>
        <v>0</v>
      </c>
      <c r="I34" s="1">
        <f>IF(I33&gt;0,Costs!I56,0)</f>
        <v>0</v>
      </c>
      <c r="J34" s="1">
        <f>IF(J33&gt;0,Costs!J56,0)</f>
        <v>0</v>
      </c>
      <c r="K34" s="1">
        <f>IF(K33&gt;0,Costs!K56,0)</f>
        <v>0</v>
      </c>
      <c r="L34" s="1">
        <f>IF(L33&gt;0,Costs!L56,0)</f>
        <v>0</v>
      </c>
      <c r="M34" s="1">
        <f>IF(M33&gt;0,Costs!M56,0)</f>
        <v>0</v>
      </c>
      <c r="N34" s="1">
        <f>IF(N33&gt;0,Costs!N56,0)</f>
        <v>0</v>
      </c>
      <c r="O34" s="1">
        <f>IF(O33&gt;0,Costs!O56,0)</f>
        <v>0</v>
      </c>
      <c r="P34" s="1">
        <f>IF(P33&gt;0,Costs!P56,0)</f>
        <v>0</v>
      </c>
      <c r="Q34" s="1">
        <f>IF(Q33&gt;0,Costs!Q56,0)</f>
        <v>0</v>
      </c>
      <c r="R34" s="1">
        <f>IF(R33&gt;0,Costs!R56,0)</f>
        <v>0</v>
      </c>
      <c r="S34" s="1">
        <f>IF(S33&gt;0,Costs!S56,0)</f>
        <v>0</v>
      </c>
      <c r="T34" s="1">
        <f>IF(T33&gt;0,Costs!T56,0)</f>
        <v>0</v>
      </c>
      <c r="U34" s="1">
        <f>IF(U33&gt;0,Costs!U56,0)</f>
        <v>0</v>
      </c>
      <c r="V34" s="1">
        <f>IF(V33&gt;0,Costs!V56,0)</f>
        <v>0</v>
      </c>
      <c r="W34" s="1">
        <f>IF(W33&gt;0,Costs!W56,0)</f>
        <v>0</v>
      </c>
      <c r="X34" s="1">
        <f>IF(X33&gt;0,Costs!X56,0)</f>
        <v>0</v>
      </c>
      <c r="Y34" s="1">
        <f>IF(Y33&gt;0,Costs!Y56,0)</f>
        <v>0</v>
      </c>
      <c r="Z34" s="1">
        <f>IF(Z33&gt;0,Costs!Z56,0)</f>
        <v>0</v>
      </c>
      <c r="AA34" s="1">
        <f>IF(AA33&gt;0,Costs!AA56,0)</f>
        <v>0</v>
      </c>
      <c r="AB34" s="1">
        <f>IF(AB33&gt;0,Costs!AB56,0)</f>
        <v>0</v>
      </c>
      <c r="AC34" s="1">
        <f>IF(AC33&gt;0,Costs!AC56,0)</f>
        <v>0</v>
      </c>
      <c r="AD34" s="1">
        <f>IF(AD33&gt;0,Costs!AD56,0)</f>
        <v>0</v>
      </c>
      <c r="AE34" s="1">
        <f>IF(AE33&gt;0,Costs!AE56,0)</f>
        <v>0</v>
      </c>
      <c r="AF34" s="1">
        <f>IF(AF33&gt;0,Costs!AF56,0)</f>
        <v>0</v>
      </c>
      <c r="AG34" s="1">
        <f>IF(AG33&gt;0,Costs!AG56,0)</f>
        <v>0</v>
      </c>
      <c r="AH34" s="1">
        <f>IF(AH33&gt;0,Costs!AH56,0)</f>
        <v>0</v>
      </c>
      <c r="AI34" s="1">
        <f>IF(AI33&gt;0,Costs!AI56,0)</f>
        <v>0</v>
      </c>
      <c r="AJ34" s="1">
        <f>IF(AJ33&gt;0,Costs!AJ56,0)</f>
        <v>0</v>
      </c>
      <c r="AK34" s="1">
        <f>IF(AK33&gt;0,Costs!AK56,0)</f>
        <v>0</v>
      </c>
      <c r="AL34" s="1">
        <f>IF(AL33&gt;0,Costs!AL56,0)</f>
        <v>0</v>
      </c>
      <c r="AM34" s="1">
        <f>IF(AM33&gt;0,Costs!AM56,0)</f>
        <v>0</v>
      </c>
      <c r="AN34" s="1">
        <f>IF(AN33&gt;0,Costs!AN56,0)</f>
        <v>0</v>
      </c>
      <c r="AO34" s="1">
        <f>IF(AO33&gt;0,Costs!AO56,0)</f>
        <v>0</v>
      </c>
      <c r="AP34" s="1">
        <f>IF(AP33&gt;0,Costs!AP56,0)</f>
        <v>0</v>
      </c>
      <c r="AQ34" s="1">
        <f>IF(AQ33&gt;0,Costs!AQ56,0)</f>
        <v>0</v>
      </c>
      <c r="AR34" s="1">
        <f>IF(AR33&gt;0,Costs!AR56,0)</f>
        <v>0</v>
      </c>
      <c r="AS34" s="1">
        <f>IF(AS33&gt;0,Costs!AS56,0)</f>
        <v>0</v>
      </c>
      <c r="AT34" s="1">
        <f>IF(AT33&gt;0,Costs!AT56,0)</f>
        <v>0</v>
      </c>
      <c r="AU34" s="1">
        <f>IF(AU33&gt;0,Costs!AU56,0)</f>
        <v>0</v>
      </c>
      <c r="AV34" s="1">
        <f>IF(AV33&gt;0,Costs!AV56,0)</f>
        <v>0</v>
      </c>
      <c r="AW34" s="1">
        <f>IF(AW33&gt;0,Costs!AW56,0)</f>
        <v>0</v>
      </c>
      <c r="AX34" s="1">
        <f>IF(AX33&gt;0,Costs!AX56,0)</f>
        <v>0</v>
      </c>
      <c r="AY34" s="1">
        <f>IF(AY33&gt;0,Costs!AY56,0)</f>
        <v>0</v>
      </c>
      <c r="AZ34" s="1">
        <f>IF(AZ33&gt;0,Costs!AZ56,0)</f>
        <v>0</v>
      </c>
      <c r="BA34" s="1">
        <f>IF(BA33&gt;0,Costs!BA56,0)</f>
        <v>0</v>
      </c>
      <c r="BB34" s="1">
        <f>IF(BB33&gt;0,Costs!BB56,0)</f>
        <v>7908.612508305514</v>
      </c>
      <c r="BC34" s="1">
        <f>IF(BC33&gt;0,Costs!BC56,0)</f>
        <v>0</v>
      </c>
      <c r="BD34" s="1">
        <f>IF(BD33&gt;0,Costs!BD56,0)</f>
        <v>0</v>
      </c>
      <c r="BE34" s="1">
        <f>IF(BE33&gt;0,Costs!BE56,0)</f>
        <v>0</v>
      </c>
      <c r="BF34" s="1">
        <f>IF(BF33&gt;0,Costs!BF56,0)</f>
        <v>0</v>
      </c>
      <c r="BG34" s="1">
        <f>IF(BG33&gt;0,Costs!BG56,0)</f>
        <v>0</v>
      </c>
      <c r="BH34" s="1">
        <f>IF(BH33&gt;0,Costs!BH56,0)</f>
        <v>0</v>
      </c>
      <c r="BI34" s="1">
        <f>IF(BI33&gt;0,Costs!BI56,0)</f>
        <v>0</v>
      </c>
      <c r="BJ34" s="1">
        <f>IF(BJ33&gt;0,Costs!BJ56,0)</f>
        <v>0</v>
      </c>
      <c r="BK34" t="s">
        <v>102</v>
      </c>
    </row>
    <row r="35" spans="1:63" ht="11.25" customHeight="1" x14ac:dyDescent="0.25">
      <c r="B35" s="12" t="s">
        <v>74</v>
      </c>
      <c r="C35" s="22" t="s">
        <v>69</v>
      </c>
      <c r="D35" s="262">
        <f>Assumptions!D141</f>
        <v>5</v>
      </c>
      <c r="BK35" t="s">
        <v>102</v>
      </c>
    </row>
    <row r="36" spans="1:63" ht="11.25" customHeight="1" x14ac:dyDescent="0.25">
      <c r="B36" s="12" t="s">
        <v>74</v>
      </c>
      <c r="C36" s="22" t="s">
        <v>15</v>
      </c>
      <c r="D36" s="262">
        <f>D35*2</f>
        <v>10</v>
      </c>
      <c r="BK36" t="s">
        <v>102</v>
      </c>
    </row>
    <row r="37" spans="1:63" ht="11.25" customHeight="1" x14ac:dyDescent="0.25">
      <c r="B37" s="12" t="s">
        <v>74</v>
      </c>
      <c r="C37" s="22" t="s">
        <v>65</v>
      </c>
      <c r="D37" s="276">
        <f>1/D36</f>
        <v>0.1</v>
      </c>
      <c r="BK37" t="s">
        <v>102</v>
      </c>
    </row>
    <row r="38" spans="1:63" ht="11.25" customHeight="1" x14ac:dyDescent="0.25">
      <c r="B38" s="12" t="s">
        <v>173</v>
      </c>
      <c r="C38" s="22" t="s">
        <v>1</v>
      </c>
      <c r="E38" s="389">
        <f t="shared" ref="E38:E40" si="14">SUM(G38:BJ38)</f>
        <v>42706.507544849781</v>
      </c>
      <c r="F38" s="80" t="s">
        <v>26</v>
      </c>
      <c r="G38" s="1">
        <f>IF(G21&gt;0,G34,IF(G33&gt;0,F38-G39,0))</f>
        <v>0</v>
      </c>
      <c r="H38" s="1">
        <f t="shared" ref="H38:BJ38" si="15">IF(H21&gt;0,H34,IF(H33&gt;0,G38-H39,0))</f>
        <v>0</v>
      </c>
      <c r="I38" s="1">
        <f t="shared" si="15"/>
        <v>0</v>
      </c>
      <c r="J38" s="1">
        <f t="shared" si="15"/>
        <v>0</v>
      </c>
      <c r="K38" s="1">
        <f t="shared" si="15"/>
        <v>0</v>
      </c>
      <c r="L38" s="1">
        <f t="shared" si="15"/>
        <v>0</v>
      </c>
      <c r="M38" s="1">
        <f t="shared" si="15"/>
        <v>0</v>
      </c>
      <c r="N38" s="1">
        <f t="shared" si="15"/>
        <v>0</v>
      </c>
      <c r="O38" s="1">
        <f t="shared" si="15"/>
        <v>0</v>
      </c>
      <c r="P38" s="1">
        <f t="shared" si="15"/>
        <v>0</v>
      </c>
      <c r="Q38" s="1">
        <f t="shared" si="15"/>
        <v>0</v>
      </c>
      <c r="R38" s="1">
        <f t="shared" si="15"/>
        <v>0</v>
      </c>
      <c r="S38" s="1">
        <f t="shared" si="15"/>
        <v>0</v>
      </c>
      <c r="T38" s="1">
        <f t="shared" si="15"/>
        <v>0</v>
      </c>
      <c r="U38" s="1">
        <f t="shared" si="15"/>
        <v>0</v>
      </c>
      <c r="V38" s="1">
        <f t="shared" si="15"/>
        <v>0</v>
      </c>
      <c r="W38" s="1">
        <f t="shared" si="15"/>
        <v>0</v>
      </c>
      <c r="X38" s="1">
        <f t="shared" si="15"/>
        <v>0</v>
      </c>
      <c r="Y38" s="1">
        <f t="shared" si="15"/>
        <v>0</v>
      </c>
      <c r="Z38" s="1">
        <f t="shared" si="15"/>
        <v>0</v>
      </c>
      <c r="AA38" s="1">
        <f t="shared" si="15"/>
        <v>0</v>
      </c>
      <c r="AB38" s="1">
        <f t="shared" si="15"/>
        <v>0</v>
      </c>
      <c r="AC38" s="1">
        <f t="shared" si="15"/>
        <v>0</v>
      </c>
      <c r="AD38" s="1">
        <f t="shared" si="15"/>
        <v>0</v>
      </c>
      <c r="AE38" s="1">
        <f t="shared" si="15"/>
        <v>0</v>
      </c>
      <c r="AF38" s="1">
        <f t="shared" si="15"/>
        <v>0</v>
      </c>
      <c r="AG38" s="1">
        <f t="shared" si="15"/>
        <v>0</v>
      </c>
      <c r="AH38" s="1">
        <f t="shared" si="15"/>
        <v>0</v>
      </c>
      <c r="AI38" s="1">
        <f t="shared" si="15"/>
        <v>0</v>
      </c>
      <c r="AJ38" s="1">
        <f t="shared" si="15"/>
        <v>0</v>
      </c>
      <c r="AK38" s="1">
        <f t="shared" si="15"/>
        <v>0</v>
      </c>
      <c r="AL38" s="1">
        <f t="shared" si="15"/>
        <v>0</v>
      </c>
      <c r="AM38" s="1">
        <f t="shared" si="15"/>
        <v>0</v>
      </c>
      <c r="AN38" s="1">
        <f t="shared" si="15"/>
        <v>0</v>
      </c>
      <c r="AO38" s="1">
        <f t="shared" si="15"/>
        <v>0</v>
      </c>
      <c r="AP38" s="1">
        <f t="shared" si="15"/>
        <v>0</v>
      </c>
      <c r="AQ38" s="1">
        <f t="shared" si="15"/>
        <v>0</v>
      </c>
      <c r="AR38" s="1">
        <f t="shared" si="15"/>
        <v>0</v>
      </c>
      <c r="AS38" s="1">
        <f t="shared" si="15"/>
        <v>0</v>
      </c>
      <c r="AT38" s="1">
        <f t="shared" si="15"/>
        <v>0</v>
      </c>
      <c r="AU38" s="1">
        <f t="shared" si="15"/>
        <v>0</v>
      </c>
      <c r="AV38" s="1">
        <f t="shared" si="15"/>
        <v>0</v>
      </c>
      <c r="AW38" s="1">
        <f t="shared" si="15"/>
        <v>0</v>
      </c>
      <c r="AX38" s="1">
        <f t="shared" si="15"/>
        <v>0</v>
      </c>
      <c r="AY38" s="1">
        <f t="shared" si="15"/>
        <v>0</v>
      </c>
      <c r="AZ38" s="1">
        <f t="shared" si="15"/>
        <v>0</v>
      </c>
      <c r="BA38" s="1">
        <f t="shared" si="15"/>
        <v>0</v>
      </c>
      <c r="BB38" s="1">
        <f t="shared" si="15"/>
        <v>7908.612508305514</v>
      </c>
      <c r="BC38" s="1">
        <f t="shared" si="15"/>
        <v>7117.7512574749626</v>
      </c>
      <c r="BD38" s="1">
        <f t="shared" si="15"/>
        <v>6326.8900066444112</v>
      </c>
      <c r="BE38" s="1">
        <f t="shared" si="15"/>
        <v>5536.0287558138598</v>
      </c>
      <c r="BF38" s="1">
        <f t="shared" si="15"/>
        <v>4745.1675049833084</v>
      </c>
      <c r="BG38" s="1">
        <f t="shared" si="15"/>
        <v>3954.306254152757</v>
      </c>
      <c r="BH38" s="1">
        <f t="shared" si="15"/>
        <v>3163.4450033222056</v>
      </c>
      <c r="BI38" s="1">
        <f t="shared" si="15"/>
        <v>2372.5837524916542</v>
      </c>
      <c r="BJ38" s="1">
        <f t="shared" si="15"/>
        <v>1581.7225016611028</v>
      </c>
      <c r="BK38" t="s">
        <v>102</v>
      </c>
    </row>
    <row r="39" spans="1:63" ht="11.25" customHeight="1" x14ac:dyDescent="0.25">
      <c r="B39" s="12" t="s">
        <v>174</v>
      </c>
      <c r="C39" s="22" t="s">
        <v>1</v>
      </c>
      <c r="E39" s="389">
        <f t="shared" si="14"/>
        <v>7117.7512574749626</v>
      </c>
      <c r="F39" s="80" t="s">
        <v>26</v>
      </c>
      <c r="G39" s="1">
        <f>IF(G33&gt;0,$D$37*$E$34,0)</f>
        <v>0</v>
      </c>
      <c r="H39" s="1">
        <f t="shared" ref="H39:BJ39" si="16">IF(H33&gt;0,$D$37*$E$34,0)</f>
        <v>0</v>
      </c>
      <c r="I39" s="1">
        <f t="shared" si="16"/>
        <v>0</v>
      </c>
      <c r="J39" s="1">
        <f t="shared" si="16"/>
        <v>0</v>
      </c>
      <c r="K39" s="1">
        <f t="shared" si="16"/>
        <v>0</v>
      </c>
      <c r="L39" s="1">
        <f t="shared" si="16"/>
        <v>0</v>
      </c>
      <c r="M39" s="1">
        <f t="shared" si="16"/>
        <v>0</v>
      </c>
      <c r="N39" s="1">
        <f t="shared" si="16"/>
        <v>0</v>
      </c>
      <c r="O39" s="1">
        <f t="shared" si="16"/>
        <v>0</v>
      </c>
      <c r="P39" s="1">
        <f t="shared" si="16"/>
        <v>0</v>
      </c>
      <c r="Q39" s="1">
        <f t="shared" si="16"/>
        <v>0</v>
      </c>
      <c r="R39" s="1">
        <f t="shared" si="16"/>
        <v>0</v>
      </c>
      <c r="S39" s="1">
        <f t="shared" si="16"/>
        <v>0</v>
      </c>
      <c r="T39" s="1">
        <f t="shared" si="16"/>
        <v>0</v>
      </c>
      <c r="U39" s="1">
        <f t="shared" si="16"/>
        <v>0</v>
      </c>
      <c r="V39" s="1">
        <f t="shared" si="16"/>
        <v>0</v>
      </c>
      <c r="W39" s="1">
        <f t="shared" si="16"/>
        <v>0</v>
      </c>
      <c r="X39" s="1">
        <f t="shared" si="16"/>
        <v>0</v>
      </c>
      <c r="Y39" s="1">
        <f t="shared" si="16"/>
        <v>0</v>
      </c>
      <c r="Z39" s="1">
        <f t="shared" si="16"/>
        <v>0</v>
      </c>
      <c r="AA39" s="1">
        <f t="shared" si="16"/>
        <v>0</v>
      </c>
      <c r="AB39" s="1">
        <f t="shared" si="16"/>
        <v>0</v>
      </c>
      <c r="AC39" s="1">
        <f t="shared" si="16"/>
        <v>0</v>
      </c>
      <c r="AD39" s="1">
        <f t="shared" si="16"/>
        <v>0</v>
      </c>
      <c r="AE39" s="1">
        <f t="shared" si="16"/>
        <v>0</v>
      </c>
      <c r="AF39" s="1">
        <f t="shared" si="16"/>
        <v>0</v>
      </c>
      <c r="AG39" s="1">
        <f t="shared" si="16"/>
        <v>0</v>
      </c>
      <c r="AH39" s="1">
        <f t="shared" si="16"/>
        <v>0</v>
      </c>
      <c r="AI39" s="1">
        <f t="shared" si="16"/>
        <v>0</v>
      </c>
      <c r="AJ39" s="1">
        <f t="shared" si="16"/>
        <v>0</v>
      </c>
      <c r="AK39" s="1">
        <f t="shared" si="16"/>
        <v>0</v>
      </c>
      <c r="AL39" s="1">
        <f t="shared" si="16"/>
        <v>0</v>
      </c>
      <c r="AM39" s="1">
        <f t="shared" si="16"/>
        <v>0</v>
      </c>
      <c r="AN39" s="1">
        <f t="shared" si="16"/>
        <v>0</v>
      </c>
      <c r="AO39" s="1">
        <f t="shared" si="16"/>
        <v>0</v>
      </c>
      <c r="AP39" s="1">
        <f t="shared" si="16"/>
        <v>0</v>
      </c>
      <c r="AQ39" s="1">
        <f t="shared" si="16"/>
        <v>0</v>
      </c>
      <c r="AR39" s="1">
        <f t="shared" si="16"/>
        <v>0</v>
      </c>
      <c r="AS39" s="1">
        <f t="shared" si="16"/>
        <v>0</v>
      </c>
      <c r="AT39" s="1">
        <f t="shared" si="16"/>
        <v>0</v>
      </c>
      <c r="AU39" s="1">
        <f t="shared" si="16"/>
        <v>0</v>
      </c>
      <c r="AV39" s="1">
        <f t="shared" si="16"/>
        <v>0</v>
      </c>
      <c r="AW39" s="1">
        <f t="shared" si="16"/>
        <v>0</v>
      </c>
      <c r="AX39" s="1">
        <f t="shared" si="16"/>
        <v>0</v>
      </c>
      <c r="AY39" s="1">
        <f t="shared" si="16"/>
        <v>0</v>
      </c>
      <c r="AZ39" s="1">
        <f t="shared" si="16"/>
        <v>0</v>
      </c>
      <c r="BA39" s="1">
        <f t="shared" si="16"/>
        <v>0</v>
      </c>
      <c r="BB39" s="1">
        <f t="shared" si="16"/>
        <v>790.8612508305514</v>
      </c>
      <c r="BC39" s="1">
        <f t="shared" si="16"/>
        <v>790.8612508305514</v>
      </c>
      <c r="BD39" s="1">
        <f t="shared" si="16"/>
        <v>790.8612508305514</v>
      </c>
      <c r="BE39" s="1">
        <f t="shared" si="16"/>
        <v>790.8612508305514</v>
      </c>
      <c r="BF39" s="1">
        <f t="shared" si="16"/>
        <v>790.8612508305514</v>
      </c>
      <c r="BG39" s="1">
        <f t="shared" si="16"/>
        <v>790.8612508305514</v>
      </c>
      <c r="BH39" s="1">
        <f t="shared" si="16"/>
        <v>790.8612508305514</v>
      </c>
      <c r="BI39" s="1">
        <f t="shared" si="16"/>
        <v>790.8612508305514</v>
      </c>
      <c r="BJ39" s="1">
        <f t="shared" si="16"/>
        <v>790.8612508305514</v>
      </c>
      <c r="BK39" t="s">
        <v>102</v>
      </c>
    </row>
    <row r="40" spans="1:63" ht="11.25" customHeight="1" x14ac:dyDescent="0.25">
      <c r="A40" s="12" t="s">
        <v>26</v>
      </c>
      <c r="B40" s="56" t="s">
        <v>175</v>
      </c>
      <c r="C40" s="57" t="s">
        <v>1</v>
      </c>
      <c r="D40" s="56"/>
      <c r="E40" s="389">
        <f t="shared" si="14"/>
        <v>35588.756287374817</v>
      </c>
      <c r="F40" s="321" t="s">
        <v>26</v>
      </c>
      <c r="G40" s="58">
        <f t="shared" ref="G40" si="17">IF(AND(G33=0,H33=1),0,G38-G39)</f>
        <v>0</v>
      </c>
      <c r="H40" s="58">
        <f>IF(AND(H33=0,I33=1),0,H38-H39)</f>
        <v>0</v>
      </c>
      <c r="I40" s="58">
        <f t="shared" ref="I40:BJ40" si="18">IF(AND(I33=0,J33=1),0,I38-I39)</f>
        <v>0</v>
      </c>
      <c r="J40" s="58">
        <f t="shared" si="18"/>
        <v>0</v>
      </c>
      <c r="K40" s="58">
        <f t="shared" si="18"/>
        <v>0</v>
      </c>
      <c r="L40" s="58">
        <f t="shared" si="18"/>
        <v>0</v>
      </c>
      <c r="M40" s="58">
        <f t="shared" si="18"/>
        <v>0</v>
      </c>
      <c r="N40" s="58">
        <f t="shared" si="18"/>
        <v>0</v>
      </c>
      <c r="O40" s="58">
        <f t="shared" si="18"/>
        <v>0</v>
      </c>
      <c r="P40" s="58">
        <f t="shared" si="18"/>
        <v>0</v>
      </c>
      <c r="Q40" s="58">
        <f t="shared" si="18"/>
        <v>0</v>
      </c>
      <c r="R40" s="58">
        <f t="shared" si="18"/>
        <v>0</v>
      </c>
      <c r="S40" s="58">
        <f t="shared" si="18"/>
        <v>0</v>
      </c>
      <c r="T40" s="58">
        <f t="shared" si="18"/>
        <v>0</v>
      </c>
      <c r="U40" s="58">
        <f t="shared" si="18"/>
        <v>0</v>
      </c>
      <c r="V40" s="58">
        <f t="shared" si="18"/>
        <v>0</v>
      </c>
      <c r="W40" s="58">
        <f t="shared" si="18"/>
        <v>0</v>
      </c>
      <c r="X40" s="58">
        <f t="shared" si="18"/>
        <v>0</v>
      </c>
      <c r="Y40" s="58">
        <f t="shared" si="18"/>
        <v>0</v>
      </c>
      <c r="Z40" s="58">
        <f t="shared" si="18"/>
        <v>0</v>
      </c>
      <c r="AA40" s="58">
        <f t="shared" si="18"/>
        <v>0</v>
      </c>
      <c r="AB40" s="58">
        <f t="shared" si="18"/>
        <v>0</v>
      </c>
      <c r="AC40" s="58">
        <f t="shared" si="18"/>
        <v>0</v>
      </c>
      <c r="AD40" s="58">
        <f t="shared" si="18"/>
        <v>0</v>
      </c>
      <c r="AE40" s="58">
        <f t="shared" si="18"/>
        <v>0</v>
      </c>
      <c r="AF40" s="58">
        <f t="shared" si="18"/>
        <v>0</v>
      </c>
      <c r="AG40" s="58">
        <f t="shared" si="18"/>
        <v>0</v>
      </c>
      <c r="AH40" s="58">
        <f t="shared" si="18"/>
        <v>0</v>
      </c>
      <c r="AI40" s="58">
        <f t="shared" si="18"/>
        <v>0</v>
      </c>
      <c r="AJ40" s="58">
        <f t="shared" si="18"/>
        <v>0</v>
      </c>
      <c r="AK40" s="58">
        <f t="shared" si="18"/>
        <v>0</v>
      </c>
      <c r="AL40" s="58">
        <f t="shared" si="18"/>
        <v>0</v>
      </c>
      <c r="AM40" s="58">
        <f t="shared" si="18"/>
        <v>0</v>
      </c>
      <c r="AN40" s="58">
        <f t="shared" si="18"/>
        <v>0</v>
      </c>
      <c r="AO40" s="58">
        <f t="shared" si="18"/>
        <v>0</v>
      </c>
      <c r="AP40" s="58">
        <f t="shared" si="18"/>
        <v>0</v>
      </c>
      <c r="AQ40" s="58">
        <f t="shared" si="18"/>
        <v>0</v>
      </c>
      <c r="AR40" s="58">
        <f t="shared" si="18"/>
        <v>0</v>
      </c>
      <c r="AS40" s="58">
        <f t="shared" si="18"/>
        <v>0</v>
      </c>
      <c r="AT40" s="58">
        <f t="shared" si="18"/>
        <v>0</v>
      </c>
      <c r="AU40" s="58">
        <f t="shared" si="18"/>
        <v>0</v>
      </c>
      <c r="AV40" s="58">
        <f t="shared" si="18"/>
        <v>0</v>
      </c>
      <c r="AW40" s="58">
        <f t="shared" si="18"/>
        <v>0</v>
      </c>
      <c r="AX40" s="58">
        <f t="shared" si="18"/>
        <v>0</v>
      </c>
      <c r="AY40" s="58">
        <f t="shared" si="18"/>
        <v>0</v>
      </c>
      <c r="AZ40" s="58">
        <f t="shared" si="18"/>
        <v>0</v>
      </c>
      <c r="BA40" s="58">
        <f t="shared" si="18"/>
        <v>0</v>
      </c>
      <c r="BB40" s="58">
        <f t="shared" si="18"/>
        <v>7117.7512574749626</v>
      </c>
      <c r="BC40" s="58">
        <f t="shared" si="18"/>
        <v>6326.8900066444112</v>
      </c>
      <c r="BD40" s="58">
        <f t="shared" si="18"/>
        <v>5536.0287558138598</v>
      </c>
      <c r="BE40" s="58">
        <f t="shared" si="18"/>
        <v>4745.1675049833084</v>
      </c>
      <c r="BF40" s="58">
        <f t="shared" si="18"/>
        <v>3954.306254152757</v>
      </c>
      <c r="BG40" s="58">
        <f t="shared" si="18"/>
        <v>3163.4450033222056</v>
      </c>
      <c r="BH40" s="58">
        <f t="shared" si="18"/>
        <v>2372.5837524916542</v>
      </c>
      <c r="BI40" s="58">
        <f t="shared" si="18"/>
        <v>1581.7225016611028</v>
      </c>
      <c r="BJ40" s="58">
        <f t="shared" si="18"/>
        <v>790.8612508305514</v>
      </c>
      <c r="BK40" t="s">
        <v>102</v>
      </c>
    </row>
    <row r="41" spans="1:63" ht="11.25" customHeight="1" x14ac:dyDescent="0.25">
      <c r="B41" s="17"/>
      <c r="C41" s="29"/>
      <c r="D41" s="17"/>
      <c r="E41" s="388"/>
      <c r="F41" s="313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t="s">
        <v>102</v>
      </c>
    </row>
    <row r="42" spans="1:63" ht="11.25" customHeight="1" x14ac:dyDescent="0.25">
      <c r="B42" s="25" t="s">
        <v>176</v>
      </c>
      <c r="C42" s="22" t="s">
        <v>1</v>
      </c>
      <c r="E42" s="389">
        <f t="shared" ref="E42:E44" si="19">SUM(G42:BJ42)</f>
        <v>7336303.2393423626</v>
      </c>
      <c r="F42" s="80" t="s">
        <v>26</v>
      </c>
      <c r="G42" s="1">
        <f>SUM(G17,G28,G38)</f>
        <v>0</v>
      </c>
      <c r="H42" s="1">
        <f t="shared" ref="H42:BJ42" si="20">SUM(H17,H28,H38)</f>
        <v>0</v>
      </c>
      <c r="I42" s="1">
        <f t="shared" si="20"/>
        <v>0</v>
      </c>
      <c r="J42" s="1">
        <f t="shared" si="20"/>
        <v>0</v>
      </c>
      <c r="K42" s="1">
        <f t="shared" si="20"/>
        <v>0</v>
      </c>
      <c r="L42" s="1">
        <f t="shared" si="20"/>
        <v>0</v>
      </c>
      <c r="M42" s="1">
        <f t="shared" si="20"/>
        <v>0</v>
      </c>
      <c r="N42" s="1">
        <f t="shared" si="20"/>
        <v>0</v>
      </c>
      <c r="O42" s="1">
        <f t="shared" si="20"/>
        <v>0</v>
      </c>
      <c r="P42" s="1">
        <f t="shared" si="20"/>
        <v>0</v>
      </c>
      <c r="Q42" s="1">
        <f t="shared" si="20"/>
        <v>0</v>
      </c>
      <c r="R42" s="1">
        <f t="shared" si="20"/>
        <v>0</v>
      </c>
      <c r="S42" s="1">
        <f t="shared" si="20"/>
        <v>0</v>
      </c>
      <c r="T42" s="1">
        <f t="shared" si="20"/>
        <v>0</v>
      </c>
      <c r="U42" s="1">
        <f t="shared" si="20"/>
        <v>0</v>
      </c>
      <c r="V42" s="1">
        <f t="shared" si="20"/>
        <v>0</v>
      </c>
      <c r="W42" s="1">
        <f t="shared" si="20"/>
        <v>354077.33772114705</v>
      </c>
      <c r="X42" s="1">
        <f t="shared" si="20"/>
        <v>345225.4042781184</v>
      </c>
      <c r="Y42" s="1">
        <f t="shared" si="20"/>
        <v>336373.47083508974</v>
      </c>
      <c r="Z42" s="1">
        <f t="shared" si="20"/>
        <v>327521.53739206109</v>
      </c>
      <c r="AA42" s="1">
        <f t="shared" si="20"/>
        <v>318669.60394903243</v>
      </c>
      <c r="AB42" s="1">
        <f t="shared" si="20"/>
        <v>309817.67050600378</v>
      </c>
      <c r="AC42" s="1">
        <f t="shared" si="20"/>
        <v>300965.73706297512</v>
      </c>
      <c r="AD42" s="1">
        <f t="shared" si="20"/>
        <v>292113.80361994647</v>
      </c>
      <c r="AE42" s="1">
        <f t="shared" si="20"/>
        <v>283261.87017691782</v>
      </c>
      <c r="AF42" s="1">
        <f t="shared" si="20"/>
        <v>274409.93673388916</v>
      </c>
      <c r="AG42" s="1">
        <f t="shared" si="20"/>
        <v>265558.00329086051</v>
      </c>
      <c r="AH42" s="1">
        <f t="shared" si="20"/>
        <v>256706.06984783182</v>
      </c>
      <c r="AI42" s="1">
        <f t="shared" si="20"/>
        <v>247854.13640480314</v>
      </c>
      <c r="AJ42" s="1">
        <f t="shared" si="20"/>
        <v>239002.20296177446</v>
      </c>
      <c r="AK42" s="1">
        <f t="shared" si="20"/>
        <v>230150.26951874577</v>
      </c>
      <c r="AL42" s="1">
        <f t="shared" si="20"/>
        <v>227664.02853280693</v>
      </c>
      <c r="AM42" s="1">
        <f t="shared" si="20"/>
        <v>218175.52584406926</v>
      </c>
      <c r="AN42" s="1">
        <f t="shared" si="20"/>
        <v>208687.02315533158</v>
      </c>
      <c r="AO42" s="1">
        <f t="shared" si="20"/>
        <v>199198.52046659391</v>
      </c>
      <c r="AP42" s="1">
        <f t="shared" si="20"/>
        <v>189710.01777785626</v>
      </c>
      <c r="AQ42" s="1">
        <f t="shared" si="20"/>
        <v>180221.51508911859</v>
      </c>
      <c r="AR42" s="1">
        <f t="shared" si="20"/>
        <v>170733.01240038092</v>
      </c>
      <c r="AS42" s="1">
        <f t="shared" si="20"/>
        <v>161244.50971164324</v>
      </c>
      <c r="AT42" s="1">
        <f t="shared" si="20"/>
        <v>151756.0070229056</v>
      </c>
      <c r="AU42" s="1">
        <f t="shared" si="20"/>
        <v>142267.50433416793</v>
      </c>
      <c r="AV42" s="1">
        <f t="shared" si="20"/>
        <v>132779.00164543025</v>
      </c>
      <c r="AW42" s="1">
        <f t="shared" si="20"/>
        <v>123927.06820240157</v>
      </c>
      <c r="AX42" s="1">
        <f t="shared" si="20"/>
        <v>115075.13475937289</v>
      </c>
      <c r="AY42" s="1">
        <f t="shared" si="20"/>
        <v>106223.2013163442</v>
      </c>
      <c r="AZ42" s="1">
        <f t="shared" si="20"/>
        <v>97371.267873315519</v>
      </c>
      <c r="BA42" s="1">
        <f t="shared" si="20"/>
        <v>88519.334430286835</v>
      </c>
      <c r="BB42" s="1">
        <f t="shared" si="20"/>
        <v>87576.01349556366</v>
      </c>
      <c r="BC42" s="1">
        <f t="shared" si="20"/>
        <v>77933.218801704425</v>
      </c>
      <c r="BD42" s="1">
        <f t="shared" si="20"/>
        <v>68290.424107845203</v>
      </c>
      <c r="BE42" s="1">
        <f t="shared" si="20"/>
        <v>58647.629413985975</v>
      </c>
      <c r="BF42" s="1">
        <f t="shared" si="20"/>
        <v>49004.834720126746</v>
      </c>
      <c r="BG42" s="1">
        <f t="shared" si="20"/>
        <v>39362.040026267518</v>
      </c>
      <c r="BH42" s="1">
        <f t="shared" si="20"/>
        <v>29719.245332408293</v>
      </c>
      <c r="BI42" s="1">
        <f t="shared" si="20"/>
        <v>20076.450638549064</v>
      </c>
      <c r="BJ42" s="1">
        <f t="shared" si="20"/>
        <v>10433.655944689837</v>
      </c>
      <c r="BK42" t="s">
        <v>102</v>
      </c>
    </row>
    <row r="43" spans="1:63" ht="11.25" customHeight="1" x14ac:dyDescent="0.25">
      <c r="A43" s="12" t="s">
        <v>26</v>
      </c>
      <c r="B43" s="18" t="s">
        <v>177</v>
      </c>
      <c r="C43" s="29" t="s">
        <v>1</v>
      </c>
      <c r="D43" s="17"/>
      <c r="E43" s="389">
        <f t="shared" si="19"/>
        <v>367560.78143571183</v>
      </c>
      <c r="F43" s="80" t="s">
        <v>26</v>
      </c>
      <c r="G43" s="1">
        <f>SUM(G18,G29,G39)</f>
        <v>0</v>
      </c>
      <c r="H43" s="1">
        <f t="shared" ref="H43:BJ43" si="21">SUM(H18,H29,H39)</f>
        <v>0</v>
      </c>
      <c r="I43" s="1">
        <f t="shared" si="21"/>
        <v>0</v>
      </c>
      <c r="J43" s="1">
        <f t="shared" si="21"/>
        <v>0</v>
      </c>
      <c r="K43" s="1">
        <f t="shared" si="21"/>
        <v>0</v>
      </c>
      <c r="L43" s="1">
        <f t="shared" si="21"/>
        <v>0</v>
      </c>
      <c r="M43" s="1">
        <f t="shared" si="21"/>
        <v>0</v>
      </c>
      <c r="N43" s="1">
        <f t="shared" si="21"/>
        <v>0</v>
      </c>
      <c r="O43" s="1">
        <f t="shared" si="21"/>
        <v>0</v>
      </c>
      <c r="P43" s="1">
        <f t="shared" si="21"/>
        <v>0</v>
      </c>
      <c r="Q43" s="1">
        <f t="shared" si="21"/>
        <v>0</v>
      </c>
      <c r="R43" s="1">
        <f t="shared" si="21"/>
        <v>0</v>
      </c>
      <c r="S43" s="1">
        <f t="shared" si="21"/>
        <v>0</v>
      </c>
      <c r="T43" s="1">
        <f t="shared" si="21"/>
        <v>0</v>
      </c>
      <c r="U43" s="1">
        <f t="shared" si="21"/>
        <v>0</v>
      </c>
      <c r="V43" s="1">
        <f t="shared" si="21"/>
        <v>0</v>
      </c>
      <c r="W43" s="1">
        <f t="shared" si="21"/>
        <v>8851.9334430286763</v>
      </c>
      <c r="X43" s="1">
        <f t="shared" si="21"/>
        <v>8851.9334430286763</v>
      </c>
      <c r="Y43" s="1">
        <f t="shared" si="21"/>
        <v>8851.9334430286763</v>
      </c>
      <c r="Z43" s="1">
        <f t="shared" si="21"/>
        <v>8851.9334430286763</v>
      </c>
      <c r="AA43" s="1">
        <f t="shared" si="21"/>
        <v>8851.9334430286763</v>
      </c>
      <c r="AB43" s="1">
        <f t="shared" si="21"/>
        <v>8851.9334430286763</v>
      </c>
      <c r="AC43" s="1">
        <f t="shared" si="21"/>
        <v>8851.9334430286763</v>
      </c>
      <c r="AD43" s="1">
        <f t="shared" si="21"/>
        <v>8851.9334430286763</v>
      </c>
      <c r="AE43" s="1">
        <f t="shared" si="21"/>
        <v>8851.9334430286763</v>
      </c>
      <c r="AF43" s="1">
        <f t="shared" si="21"/>
        <v>8851.9334430286763</v>
      </c>
      <c r="AG43" s="1">
        <f t="shared" si="21"/>
        <v>8851.9334430286763</v>
      </c>
      <c r="AH43" s="1">
        <f t="shared" si="21"/>
        <v>8851.9334430286763</v>
      </c>
      <c r="AI43" s="1">
        <f t="shared" si="21"/>
        <v>8851.9334430286763</v>
      </c>
      <c r="AJ43" s="1">
        <f t="shared" si="21"/>
        <v>8851.9334430286763</v>
      </c>
      <c r="AK43" s="1">
        <f t="shared" si="21"/>
        <v>8851.9334430286763</v>
      </c>
      <c r="AL43" s="1">
        <f t="shared" si="21"/>
        <v>9488.5026887376589</v>
      </c>
      <c r="AM43" s="1">
        <f t="shared" si="21"/>
        <v>9488.5026887376589</v>
      </c>
      <c r="AN43" s="1">
        <f t="shared" si="21"/>
        <v>9488.5026887376589</v>
      </c>
      <c r="AO43" s="1">
        <f t="shared" si="21"/>
        <v>9488.5026887376589</v>
      </c>
      <c r="AP43" s="1">
        <f t="shared" si="21"/>
        <v>9488.5026887376589</v>
      </c>
      <c r="AQ43" s="1">
        <f t="shared" si="21"/>
        <v>9488.5026887376589</v>
      </c>
      <c r="AR43" s="1">
        <f t="shared" si="21"/>
        <v>9488.5026887376589</v>
      </c>
      <c r="AS43" s="1">
        <f t="shared" si="21"/>
        <v>9488.5026887376589</v>
      </c>
      <c r="AT43" s="1">
        <f t="shared" si="21"/>
        <v>9488.5026887376589</v>
      </c>
      <c r="AU43" s="1">
        <f t="shared" si="21"/>
        <v>9488.5026887376589</v>
      </c>
      <c r="AV43" s="1">
        <f t="shared" si="21"/>
        <v>8851.9334430286763</v>
      </c>
      <c r="AW43" s="1">
        <f t="shared" si="21"/>
        <v>8851.9334430286763</v>
      </c>
      <c r="AX43" s="1">
        <f t="shared" si="21"/>
        <v>8851.9334430286763</v>
      </c>
      <c r="AY43" s="1">
        <f t="shared" si="21"/>
        <v>8851.9334430286763</v>
      </c>
      <c r="AZ43" s="1">
        <f t="shared" si="21"/>
        <v>8851.9334430286763</v>
      </c>
      <c r="BA43" s="1">
        <f t="shared" si="21"/>
        <v>8851.9334430286763</v>
      </c>
      <c r="BB43" s="1">
        <f t="shared" si="21"/>
        <v>9642.7946938592286</v>
      </c>
      <c r="BC43" s="1">
        <f t="shared" si="21"/>
        <v>9642.7946938592286</v>
      </c>
      <c r="BD43" s="1">
        <f t="shared" si="21"/>
        <v>9642.7946938592286</v>
      </c>
      <c r="BE43" s="1">
        <f t="shared" si="21"/>
        <v>9642.7946938592286</v>
      </c>
      <c r="BF43" s="1">
        <f t="shared" si="21"/>
        <v>9642.7946938592286</v>
      </c>
      <c r="BG43" s="1">
        <f t="shared" si="21"/>
        <v>9642.7946938592286</v>
      </c>
      <c r="BH43" s="1">
        <f t="shared" si="21"/>
        <v>9642.7946938592286</v>
      </c>
      <c r="BI43" s="1">
        <f t="shared" si="21"/>
        <v>9642.7946938592286</v>
      </c>
      <c r="BJ43" s="1">
        <f t="shared" si="21"/>
        <v>9642.7946938592286</v>
      </c>
      <c r="BK43" t="s">
        <v>102</v>
      </c>
    </row>
    <row r="44" spans="1:63" ht="11.25" customHeight="1" x14ac:dyDescent="0.25">
      <c r="A44" s="17" t="s">
        <v>26</v>
      </c>
      <c r="B44" s="226" t="s">
        <v>178</v>
      </c>
      <c r="C44" s="223"/>
      <c r="D44" s="222"/>
      <c r="E44" s="391">
        <f t="shared" si="19"/>
        <v>7322819.795627798</v>
      </c>
      <c r="F44" s="323" t="s">
        <v>26</v>
      </c>
      <c r="G44" s="224">
        <f>SUM(G19,G30,G40)</f>
        <v>0</v>
      </c>
      <c r="H44" s="224">
        <f t="shared" ref="H44:BJ44" si="22">SUM(H19,H30,H40)</f>
        <v>0</v>
      </c>
      <c r="I44" s="224">
        <f t="shared" si="22"/>
        <v>0</v>
      </c>
      <c r="J44" s="224">
        <f t="shared" si="22"/>
        <v>0</v>
      </c>
      <c r="K44" s="224">
        <f t="shared" si="22"/>
        <v>0</v>
      </c>
      <c r="L44" s="224">
        <f t="shared" si="22"/>
        <v>0</v>
      </c>
      <c r="M44" s="224">
        <f t="shared" si="22"/>
        <v>0</v>
      </c>
      <c r="N44" s="224">
        <f t="shared" si="22"/>
        <v>0</v>
      </c>
      <c r="O44" s="224">
        <f t="shared" si="22"/>
        <v>0</v>
      </c>
      <c r="P44" s="224">
        <f t="shared" si="22"/>
        <v>0</v>
      </c>
      <c r="Q44" s="224">
        <f t="shared" si="22"/>
        <v>0</v>
      </c>
      <c r="R44" s="224">
        <f t="shared" si="22"/>
        <v>0</v>
      </c>
      <c r="S44" s="224">
        <f t="shared" si="22"/>
        <v>0</v>
      </c>
      <c r="T44" s="224">
        <f t="shared" si="22"/>
        <v>0</v>
      </c>
      <c r="U44" s="224">
        <f t="shared" si="22"/>
        <v>0</v>
      </c>
      <c r="V44" s="224">
        <f t="shared" si="22"/>
        <v>354077.33772114705</v>
      </c>
      <c r="W44" s="224">
        <f t="shared" si="22"/>
        <v>345225.4042781184</v>
      </c>
      <c r="X44" s="224">
        <f t="shared" si="22"/>
        <v>336373.47083508974</v>
      </c>
      <c r="Y44" s="224">
        <f t="shared" si="22"/>
        <v>327521.53739206109</v>
      </c>
      <c r="Z44" s="224">
        <f t="shared" si="22"/>
        <v>318669.60394903243</v>
      </c>
      <c r="AA44" s="224">
        <f t="shared" si="22"/>
        <v>309817.67050600378</v>
      </c>
      <c r="AB44" s="224">
        <f t="shared" si="22"/>
        <v>300965.73706297512</v>
      </c>
      <c r="AC44" s="224">
        <f t="shared" si="22"/>
        <v>292113.80361994647</v>
      </c>
      <c r="AD44" s="224">
        <f t="shared" si="22"/>
        <v>283261.87017691782</v>
      </c>
      <c r="AE44" s="224">
        <f t="shared" si="22"/>
        <v>274409.93673388916</v>
      </c>
      <c r="AF44" s="224">
        <f t="shared" si="22"/>
        <v>265558.00329086051</v>
      </c>
      <c r="AG44" s="224">
        <f t="shared" si="22"/>
        <v>256706.06984783182</v>
      </c>
      <c r="AH44" s="224">
        <f t="shared" si="22"/>
        <v>247854.13640480314</v>
      </c>
      <c r="AI44" s="224">
        <f t="shared" si="22"/>
        <v>239002.20296177446</v>
      </c>
      <c r="AJ44" s="224">
        <f t="shared" si="22"/>
        <v>230150.26951874577</v>
      </c>
      <c r="AK44" s="224">
        <f t="shared" si="22"/>
        <v>221298.33607571709</v>
      </c>
      <c r="AL44" s="224">
        <f t="shared" si="22"/>
        <v>218175.52584406926</v>
      </c>
      <c r="AM44" s="224">
        <f t="shared" si="22"/>
        <v>208687.02315533158</v>
      </c>
      <c r="AN44" s="224">
        <f t="shared" si="22"/>
        <v>199198.52046659391</v>
      </c>
      <c r="AO44" s="224">
        <f t="shared" si="22"/>
        <v>189710.01777785626</v>
      </c>
      <c r="AP44" s="224">
        <f t="shared" si="22"/>
        <v>180221.51508911859</v>
      </c>
      <c r="AQ44" s="224">
        <f t="shared" si="22"/>
        <v>170733.01240038092</v>
      </c>
      <c r="AR44" s="224">
        <f t="shared" si="22"/>
        <v>161244.50971164324</v>
      </c>
      <c r="AS44" s="224">
        <f t="shared" si="22"/>
        <v>151756.0070229056</v>
      </c>
      <c r="AT44" s="224">
        <f t="shared" si="22"/>
        <v>142267.50433416793</v>
      </c>
      <c r="AU44" s="224">
        <f t="shared" si="22"/>
        <v>132779.00164543025</v>
      </c>
      <c r="AV44" s="224">
        <f t="shared" si="22"/>
        <v>123927.06820240157</v>
      </c>
      <c r="AW44" s="224">
        <f t="shared" si="22"/>
        <v>115075.13475937289</v>
      </c>
      <c r="AX44" s="224">
        <f t="shared" si="22"/>
        <v>106223.2013163442</v>
      </c>
      <c r="AY44" s="224">
        <f t="shared" si="22"/>
        <v>97371.267873315519</v>
      </c>
      <c r="AZ44" s="224">
        <f t="shared" si="22"/>
        <v>88519.334430286835</v>
      </c>
      <c r="BA44" s="224">
        <f t="shared" si="22"/>
        <v>79667.400987258152</v>
      </c>
      <c r="BB44" s="224">
        <f t="shared" si="22"/>
        <v>77933.218801704425</v>
      </c>
      <c r="BC44" s="224">
        <f t="shared" si="22"/>
        <v>68290.424107845203</v>
      </c>
      <c r="BD44" s="224">
        <f t="shared" si="22"/>
        <v>58647.629413985975</v>
      </c>
      <c r="BE44" s="224">
        <f t="shared" si="22"/>
        <v>49004.834720126746</v>
      </c>
      <c r="BF44" s="224">
        <f t="shared" si="22"/>
        <v>39362.040026267518</v>
      </c>
      <c r="BG44" s="224">
        <f t="shared" si="22"/>
        <v>29719.245332408293</v>
      </c>
      <c r="BH44" s="224">
        <f t="shared" si="22"/>
        <v>20076.450638549064</v>
      </c>
      <c r="BI44" s="224">
        <f t="shared" si="22"/>
        <v>10433.655944689837</v>
      </c>
      <c r="BJ44" s="224">
        <f t="shared" si="22"/>
        <v>790.86125083060961</v>
      </c>
      <c r="BK44" t="s">
        <v>102</v>
      </c>
    </row>
    <row r="45" spans="1:63" ht="11.25" customHeight="1" x14ac:dyDescent="0.25">
      <c r="B45" s="25"/>
      <c r="E45" s="392"/>
      <c r="W45" s="23"/>
      <c r="BK45" t="s">
        <v>102</v>
      </c>
    </row>
    <row r="46" spans="1:63" ht="11.25" customHeight="1" x14ac:dyDescent="0.25">
      <c r="A46" s="12" t="s">
        <v>26</v>
      </c>
      <c r="B46" s="18" t="s">
        <v>75</v>
      </c>
      <c r="E46" s="392"/>
      <c r="BK46" t="s">
        <v>102</v>
      </c>
    </row>
    <row r="47" spans="1:63" ht="11.25" customHeight="1" x14ac:dyDescent="0.25">
      <c r="B47" s="12" t="s">
        <v>360</v>
      </c>
      <c r="C47" s="22" t="s">
        <v>101</v>
      </c>
      <c r="E47" s="389">
        <f t="shared" ref="E47:E48" si="23">SUM(G47:BJ47)</f>
        <v>40</v>
      </c>
      <c r="F47" s="80" t="s">
        <v>26</v>
      </c>
      <c r="G47" s="26">
        <f>'Time &amp; Technical'!G26</f>
        <v>0</v>
      </c>
      <c r="H47" s="26">
        <f>'Time &amp; Technical'!H26</f>
        <v>0</v>
      </c>
      <c r="I47" s="26">
        <f>'Time &amp; Technical'!I26</f>
        <v>0</v>
      </c>
      <c r="J47" s="26">
        <f>'Time &amp; Technical'!J26</f>
        <v>0</v>
      </c>
      <c r="K47" s="26">
        <f>'Time &amp; Technical'!K26</f>
        <v>0</v>
      </c>
      <c r="L47" s="26">
        <f>'Time &amp; Technical'!L26</f>
        <v>0</v>
      </c>
      <c r="M47" s="26">
        <f>'Time &amp; Technical'!M26</f>
        <v>0</v>
      </c>
      <c r="N47" s="26">
        <f>'Time &amp; Technical'!N26</f>
        <v>0</v>
      </c>
      <c r="O47" s="26">
        <f>'Time &amp; Technical'!O26</f>
        <v>0</v>
      </c>
      <c r="P47" s="26">
        <f>'Time &amp; Technical'!P26</f>
        <v>0</v>
      </c>
      <c r="Q47" s="26">
        <f>'Time &amp; Technical'!Q26</f>
        <v>0</v>
      </c>
      <c r="R47" s="26">
        <f>'Time &amp; Technical'!R26</f>
        <v>0</v>
      </c>
      <c r="S47" s="26">
        <f>'Time &amp; Technical'!S26</f>
        <v>0</v>
      </c>
      <c r="T47" s="26">
        <f>'Time &amp; Technical'!T26</f>
        <v>0</v>
      </c>
      <c r="U47" s="26">
        <f>'Time &amp; Technical'!U26</f>
        <v>0</v>
      </c>
      <c r="V47" s="26">
        <f>'Time &amp; Technical'!V26</f>
        <v>0</v>
      </c>
      <c r="W47" s="26">
        <f>'Time &amp; Technical'!W26</f>
        <v>1</v>
      </c>
      <c r="X47" s="26">
        <f>'Time &amp; Technical'!X26</f>
        <v>1</v>
      </c>
      <c r="Y47" s="26">
        <f>'Time &amp; Technical'!Y26</f>
        <v>1</v>
      </c>
      <c r="Z47" s="26">
        <f>'Time &amp; Technical'!Z26</f>
        <v>1</v>
      </c>
      <c r="AA47" s="26">
        <f>'Time &amp; Technical'!AA26</f>
        <v>1</v>
      </c>
      <c r="AB47" s="26">
        <f>'Time &amp; Technical'!AB26</f>
        <v>1</v>
      </c>
      <c r="AC47" s="26">
        <f>'Time &amp; Technical'!AC26</f>
        <v>1</v>
      </c>
      <c r="AD47" s="26">
        <f>'Time &amp; Technical'!AD26</f>
        <v>1</v>
      </c>
      <c r="AE47" s="26">
        <f>'Time &amp; Technical'!AE26</f>
        <v>1</v>
      </c>
      <c r="AF47" s="26">
        <f>'Time &amp; Technical'!AF26</f>
        <v>1</v>
      </c>
      <c r="AG47" s="26">
        <f>'Time &amp; Technical'!AG26</f>
        <v>1</v>
      </c>
      <c r="AH47" s="26">
        <f>'Time &amp; Technical'!AH26</f>
        <v>1</v>
      </c>
      <c r="AI47" s="26">
        <f>'Time &amp; Technical'!AI26</f>
        <v>1</v>
      </c>
      <c r="AJ47" s="26">
        <f>'Time &amp; Technical'!AJ26</f>
        <v>1</v>
      </c>
      <c r="AK47" s="26">
        <f>'Time &amp; Technical'!AK26</f>
        <v>1</v>
      </c>
      <c r="AL47" s="26">
        <f>'Time &amp; Technical'!AL26</f>
        <v>1</v>
      </c>
      <c r="AM47" s="26">
        <f>'Time &amp; Technical'!AM26</f>
        <v>1</v>
      </c>
      <c r="AN47" s="26">
        <f>'Time &amp; Technical'!AN26</f>
        <v>1</v>
      </c>
      <c r="AO47" s="26">
        <f>'Time &amp; Technical'!AO26</f>
        <v>1</v>
      </c>
      <c r="AP47" s="26">
        <f>'Time &amp; Technical'!AP26</f>
        <v>1</v>
      </c>
      <c r="AQ47" s="26">
        <f>'Time &amp; Technical'!AQ26</f>
        <v>1</v>
      </c>
      <c r="AR47" s="26">
        <f>'Time &amp; Technical'!AR26</f>
        <v>1</v>
      </c>
      <c r="AS47" s="26">
        <f>'Time &amp; Technical'!AS26</f>
        <v>1</v>
      </c>
      <c r="AT47" s="26">
        <f>'Time &amp; Technical'!AT26</f>
        <v>1</v>
      </c>
      <c r="AU47" s="26">
        <f>'Time &amp; Technical'!AU26</f>
        <v>1</v>
      </c>
      <c r="AV47" s="26">
        <f>'Time &amp; Technical'!AV26</f>
        <v>1</v>
      </c>
      <c r="AW47" s="26">
        <f>'Time &amp; Technical'!AW26</f>
        <v>1</v>
      </c>
      <c r="AX47" s="26">
        <f>'Time &amp; Technical'!AX26</f>
        <v>1</v>
      </c>
      <c r="AY47" s="26">
        <f>'Time &amp; Technical'!AY26</f>
        <v>1</v>
      </c>
      <c r="AZ47" s="26">
        <f>'Time &amp; Technical'!AZ26</f>
        <v>1</v>
      </c>
      <c r="BA47" s="26">
        <f>'Time &amp; Technical'!BA26</f>
        <v>1</v>
      </c>
      <c r="BB47" s="26">
        <f>'Time &amp; Technical'!BB26</f>
        <v>1</v>
      </c>
      <c r="BC47" s="26">
        <f>'Time &amp; Technical'!BC26</f>
        <v>1</v>
      </c>
      <c r="BD47" s="26">
        <f>'Time &amp; Technical'!BD26</f>
        <v>1</v>
      </c>
      <c r="BE47" s="26">
        <f>'Time &amp; Technical'!BE26</f>
        <v>1</v>
      </c>
      <c r="BF47" s="26">
        <f>'Time &amp; Technical'!BF26</f>
        <v>1</v>
      </c>
      <c r="BG47" s="26">
        <f>'Time &amp; Technical'!BG26</f>
        <v>1</v>
      </c>
      <c r="BH47" s="26">
        <f>'Time &amp; Technical'!BH26</f>
        <v>1</v>
      </c>
      <c r="BI47" s="26">
        <f>'Time &amp; Technical'!BI26</f>
        <v>1</v>
      </c>
      <c r="BJ47" s="26">
        <f>'Time &amp; Technical'!BJ26</f>
        <v>1</v>
      </c>
      <c r="BK47" t="s">
        <v>102</v>
      </c>
    </row>
    <row r="48" spans="1:63" ht="11.25" customHeight="1" x14ac:dyDescent="0.25">
      <c r="B48" s="12" t="s">
        <v>75</v>
      </c>
      <c r="C48" s="22" t="s">
        <v>108</v>
      </c>
      <c r="E48" s="389">
        <f t="shared" si="23"/>
        <v>820</v>
      </c>
      <c r="F48" s="80" t="s">
        <v>26</v>
      </c>
      <c r="G48" s="26">
        <f>IF(G47=1,F48+1,0)</f>
        <v>0</v>
      </c>
      <c r="H48" s="26">
        <f t="shared" ref="H48:BJ48" si="24">IF(H47=1,G48+1,0)</f>
        <v>0</v>
      </c>
      <c r="I48" s="26">
        <f t="shared" si="24"/>
        <v>0</v>
      </c>
      <c r="J48" s="26">
        <f t="shared" si="24"/>
        <v>0</v>
      </c>
      <c r="K48" s="26">
        <f t="shared" si="24"/>
        <v>0</v>
      </c>
      <c r="L48" s="26">
        <f t="shared" si="24"/>
        <v>0</v>
      </c>
      <c r="M48" s="26">
        <f t="shared" si="24"/>
        <v>0</v>
      </c>
      <c r="N48" s="26">
        <f t="shared" si="24"/>
        <v>0</v>
      </c>
      <c r="O48" s="26">
        <f t="shared" si="24"/>
        <v>0</v>
      </c>
      <c r="P48" s="26">
        <f t="shared" si="24"/>
        <v>0</v>
      </c>
      <c r="Q48" s="26">
        <f t="shared" si="24"/>
        <v>0</v>
      </c>
      <c r="R48" s="26">
        <f t="shared" si="24"/>
        <v>0</v>
      </c>
      <c r="S48" s="26">
        <f t="shared" si="24"/>
        <v>0</v>
      </c>
      <c r="T48" s="26">
        <f t="shared" si="24"/>
        <v>0</v>
      </c>
      <c r="U48" s="26">
        <f t="shared" si="24"/>
        <v>0</v>
      </c>
      <c r="V48" s="26">
        <f t="shared" si="24"/>
        <v>0</v>
      </c>
      <c r="W48" s="26">
        <f t="shared" si="24"/>
        <v>1</v>
      </c>
      <c r="X48" s="26">
        <f t="shared" si="24"/>
        <v>2</v>
      </c>
      <c r="Y48" s="26">
        <f t="shared" si="24"/>
        <v>3</v>
      </c>
      <c r="Z48" s="26">
        <f t="shared" si="24"/>
        <v>4</v>
      </c>
      <c r="AA48" s="26">
        <f t="shared" si="24"/>
        <v>5</v>
      </c>
      <c r="AB48" s="26">
        <f t="shared" si="24"/>
        <v>6</v>
      </c>
      <c r="AC48" s="26">
        <f t="shared" si="24"/>
        <v>7</v>
      </c>
      <c r="AD48" s="26">
        <f t="shared" si="24"/>
        <v>8</v>
      </c>
      <c r="AE48" s="26">
        <f t="shared" si="24"/>
        <v>9</v>
      </c>
      <c r="AF48" s="26">
        <f t="shared" si="24"/>
        <v>10</v>
      </c>
      <c r="AG48" s="26">
        <f t="shared" si="24"/>
        <v>11</v>
      </c>
      <c r="AH48" s="26">
        <f t="shared" si="24"/>
        <v>12</v>
      </c>
      <c r="AI48" s="26">
        <f t="shared" si="24"/>
        <v>13</v>
      </c>
      <c r="AJ48" s="26">
        <f t="shared" si="24"/>
        <v>14</v>
      </c>
      <c r="AK48" s="26">
        <f t="shared" si="24"/>
        <v>15</v>
      </c>
      <c r="AL48" s="26">
        <f t="shared" si="24"/>
        <v>16</v>
      </c>
      <c r="AM48" s="26">
        <f t="shared" si="24"/>
        <v>17</v>
      </c>
      <c r="AN48" s="26">
        <f t="shared" si="24"/>
        <v>18</v>
      </c>
      <c r="AO48" s="26">
        <f t="shared" si="24"/>
        <v>19</v>
      </c>
      <c r="AP48" s="26">
        <f t="shared" si="24"/>
        <v>20</v>
      </c>
      <c r="AQ48" s="26">
        <f t="shared" si="24"/>
        <v>21</v>
      </c>
      <c r="AR48" s="26">
        <f t="shared" si="24"/>
        <v>22</v>
      </c>
      <c r="AS48" s="26">
        <f t="shared" si="24"/>
        <v>23</v>
      </c>
      <c r="AT48" s="26">
        <f t="shared" si="24"/>
        <v>24</v>
      </c>
      <c r="AU48" s="26">
        <f t="shared" si="24"/>
        <v>25</v>
      </c>
      <c r="AV48" s="26">
        <f t="shared" si="24"/>
        <v>26</v>
      </c>
      <c r="AW48" s="26">
        <f t="shared" si="24"/>
        <v>27</v>
      </c>
      <c r="AX48" s="26">
        <f t="shared" si="24"/>
        <v>28</v>
      </c>
      <c r="AY48" s="26">
        <f t="shared" si="24"/>
        <v>29</v>
      </c>
      <c r="AZ48" s="26">
        <f t="shared" si="24"/>
        <v>30</v>
      </c>
      <c r="BA48" s="26">
        <f t="shared" si="24"/>
        <v>31</v>
      </c>
      <c r="BB48" s="26">
        <f t="shared" si="24"/>
        <v>32</v>
      </c>
      <c r="BC48" s="26">
        <f t="shared" si="24"/>
        <v>33</v>
      </c>
      <c r="BD48" s="26">
        <f t="shared" si="24"/>
        <v>34</v>
      </c>
      <c r="BE48" s="26">
        <f t="shared" si="24"/>
        <v>35</v>
      </c>
      <c r="BF48" s="26">
        <f t="shared" si="24"/>
        <v>36</v>
      </c>
      <c r="BG48" s="26">
        <f t="shared" si="24"/>
        <v>37</v>
      </c>
      <c r="BH48" s="26">
        <f t="shared" si="24"/>
        <v>38</v>
      </c>
      <c r="BI48" s="26">
        <f t="shared" si="24"/>
        <v>39</v>
      </c>
      <c r="BJ48" s="26">
        <f t="shared" si="24"/>
        <v>40</v>
      </c>
      <c r="BK48" t="s">
        <v>102</v>
      </c>
    </row>
    <row r="49" spans="1:63" ht="11.25" customHeight="1" x14ac:dyDescent="0.25">
      <c r="B49" s="12" t="s">
        <v>179</v>
      </c>
      <c r="C49" s="22" t="s">
        <v>1</v>
      </c>
      <c r="D49" s="263">
        <f>'Time &amp; Technical'!D32</f>
        <v>305000</v>
      </c>
      <c r="BK49" t="s">
        <v>102</v>
      </c>
    </row>
    <row r="50" spans="1:63" ht="11.25" customHeight="1" x14ac:dyDescent="0.25">
      <c r="B50" s="12" t="s">
        <v>160</v>
      </c>
      <c r="C50" s="22" t="s">
        <v>1</v>
      </c>
      <c r="D50" s="263">
        <f>Construction!E17</f>
        <v>42346.95158234454</v>
      </c>
      <c r="BK50" t="s">
        <v>102</v>
      </c>
    </row>
    <row r="51" spans="1:63" ht="11.25" customHeight="1" x14ac:dyDescent="0.25">
      <c r="B51" s="12" t="s">
        <v>161</v>
      </c>
      <c r="C51" s="22" t="s">
        <v>1</v>
      </c>
      <c r="D51" s="263">
        <f>Construction!E19</f>
        <v>3962.9533677143586</v>
      </c>
      <c r="BK51" t="s">
        <v>102</v>
      </c>
    </row>
    <row r="52" spans="1:63" ht="11.25" customHeight="1" x14ac:dyDescent="0.25">
      <c r="B52" s="12" t="s">
        <v>58</v>
      </c>
      <c r="C52" s="22" t="s">
        <v>1</v>
      </c>
      <c r="D52" s="263">
        <f>Construction!E21</f>
        <v>2767.4327710880953</v>
      </c>
      <c r="BK52" t="s">
        <v>102</v>
      </c>
    </row>
    <row r="53" spans="1:63" ht="11.25" customHeight="1" x14ac:dyDescent="0.25">
      <c r="B53" s="12" t="s">
        <v>162</v>
      </c>
      <c r="C53" s="22" t="s">
        <v>1</v>
      </c>
      <c r="D53" s="263">
        <f>Construction!E27</f>
        <v>354077.33772114705</v>
      </c>
      <c r="BK53" t="s">
        <v>102</v>
      </c>
    </row>
    <row r="54" spans="1:63" ht="11.25" customHeight="1" x14ac:dyDescent="0.25">
      <c r="B54" s="12" t="s">
        <v>75</v>
      </c>
      <c r="C54" s="22" t="s">
        <v>69</v>
      </c>
      <c r="D54" s="262">
        <f>Assumptions!D142</f>
        <v>35</v>
      </c>
      <c r="BK54" t="s">
        <v>102</v>
      </c>
    </row>
    <row r="55" spans="1:63" ht="11.25" customHeight="1" x14ac:dyDescent="0.25">
      <c r="B55" s="12" t="s">
        <v>75</v>
      </c>
      <c r="C55" s="22" t="s">
        <v>15</v>
      </c>
      <c r="D55" s="262">
        <f>D54*2</f>
        <v>70</v>
      </c>
      <c r="BK55" t="s">
        <v>102</v>
      </c>
    </row>
    <row r="56" spans="1:63" ht="11.25" customHeight="1" x14ac:dyDescent="0.25">
      <c r="B56" s="12" t="s">
        <v>75</v>
      </c>
      <c r="C56" s="22" t="s">
        <v>65</v>
      </c>
      <c r="D56" s="275">
        <f>1/D55</f>
        <v>1.4285714285714285E-2</v>
      </c>
      <c r="BK56" t="s">
        <v>102</v>
      </c>
    </row>
    <row r="57" spans="1:63" ht="11.25" customHeight="1" x14ac:dyDescent="0.25">
      <c r="B57" s="12" t="s">
        <v>180</v>
      </c>
      <c r="C57" s="22" t="s">
        <v>1</v>
      </c>
      <c r="E57" s="389">
        <f t="shared" ref="E57:E59" si="25">SUM(G57:BJ57)</f>
        <v>10217660.317095965</v>
      </c>
      <c r="F57" s="80" t="s">
        <v>26</v>
      </c>
      <c r="G57" s="1">
        <f>F59</f>
        <v>0</v>
      </c>
      <c r="H57" s="1">
        <f t="shared" ref="H57:BJ57" si="26">G59</f>
        <v>0</v>
      </c>
      <c r="I57" s="1">
        <f t="shared" si="26"/>
        <v>0</v>
      </c>
      <c r="J57" s="1">
        <f t="shared" si="26"/>
        <v>0</v>
      </c>
      <c r="K57" s="1">
        <f t="shared" si="26"/>
        <v>0</v>
      </c>
      <c r="L57" s="1">
        <f t="shared" si="26"/>
        <v>0</v>
      </c>
      <c r="M57" s="1">
        <f t="shared" si="26"/>
        <v>0</v>
      </c>
      <c r="N57" s="1">
        <f t="shared" si="26"/>
        <v>0</v>
      </c>
      <c r="O57" s="1">
        <f t="shared" si="26"/>
        <v>0</v>
      </c>
      <c r="P57" s="1">
        <f t="shared" si="26"/>
        <v>0</v>
      </c>
      <c r="Q57" s="1">
        <f t="shared" si="26"/>
        <v>0</v>
      </c>
      <c r="R57" s="1">
        <f t="shared" si="26"/>
        <v>0</v>
      </c>
      <c r="S57" s="1">
        <f t="shared" si="26"/>
        <v>0</v>
      </c>
      <c r="T57" s="1">
        <f t="shared" si="26"/>
        <v>0</v>
      </c>
      <c r="U57" s="1">
        <f t="shared" si="26"/>
        <v>0</v>
      </c>
      <c r="V57" s="1">
        <f t="shared" si="26"/>
        <v>0</v>
      </c>
      <c r="W57" s="1">
        <f t="shared" si="26"/>
        <v>354077.33772114705</v>
      </c>
      <c r="X57" s="1">
        <f t="shared" si="26"/>
        <v>349019.09003941639</v>
      </c>
      <c r="Y57" s="1">
        <f t="shared" si="26"/>
        <v>343960.84235768573</v>
      </c>
      <c r="Z57" s="1">
        <f t="shared" si="26"/>
        <v>338902.59467595507</v>
      </c>
      <c r="AA57" s="1">
        <f t="shared" si="26"/>
        <v>333844.34699422441</v>
      </c>
      <c r="AB57" s="1">
        <f t="shared" si="26"/>
        <v>328786.09931249375</v>
      </c>
      <c r="AC57" s="1">
        <f t="shared" si="26"/>
        <v>323727.85163076309</v>
      </c>
      <c r="AD57" s="1">
        <f t="shared" si="26"/>
        <v>318669.60394903243</v>
      </c>
      <c r="AE57" s="1">
        <f t="shared" si="26"/>
        <v>313611.35626730177</v>
      </c>
      <c r="AF57" s="1">
        <f t="shared" si="26"/>
        <v>308553.10858557111</v>
      </c>
      <c r="AG57" s="1">
        <f t="shared" si="26"/>
        <v>303494.86090384045</v>
      </c>
      <c r="AH57" s="1">
        <f t="shared" si="26"/>
        <v>298436.61322210979</v>
      </c>
      <c r="AI57" s="1">
        <f t="shared" si="26"/>
        <v>293378.36554037913</v>
      </c>
      <c r="AJ57" s="1">
        <f t="shared" si="26"/>
        <v>288320.11785864847</v>
      </c>
      <c r="AK57" s="1">
        <f t="shared" si="26"/>
        <v>283261.87017691782</v>
      </c>
      <c r="AL57" s="1">
        <f t="shared" si="26"/>
        <v>278203.62249518716</v>
      </c>
      <c r="AM57" s="1">
        <f t="shared" si="26"/>
        <v>273145.3748134565</v>
      </c>
      <c r="AN57" s="1">
        <f t="shared" si="26"/>
        <v>268087.12713172584</v>
      </c>
      <c r="AO57" s="1">
        <f t="shared" si="26"/>
        <v>263028.87944999518</v>
      </c>
      <c r="AP57" s="1">
        <f t="shared" si="26"/>
        <v>257970.63176826452</v>
      </c>
      <c r="AQ57" s="1">
        <f t="shared" si="26"/>
        <v>252912.38408653386</v>
      </c>
      <c r="AR57" s="1">
        <f t="shared" si="26"/>
        <v>247854.1364048032</v>
      </c>
      <c r="AS57" s="1">
        <f t="shared" si="26"/>
        <v>242795.88872307254</v>
      </c>
      <c r="AT57" s="1">
        <f t="shared" si="26"/>
        <v>237737.64104134188</v>
      </c>
      <c r="AU57" s="1">
        <f t="shared" si="26"/>
        <v>232679.39335961122</v>
      </c>
      <c r="AV57" s="1">
        <f t="shared" si="26"/>
        <v>227621.14567788056</v>
      </c>
      <c r="AW57" s="1">
        <f t="shared" si="26"/>
        <v>222562.8979961499</v>
      </c>
      <c r="AX57" s="1">
        <f t="shared" si="26"/>
        <v>217504.65031441924</v>
      </c>
      <c r="AY57" s="1">
        <f t="shared" si="26"/>
        <v>212446.40263268858</v>
      </c>
      <c r="AZ57" s="1">
        <f t="shared" si="26"/>
        <v>207388.15495095792</v>
      </c>
      <c r="BA57" s="1">
        <f t="shared" si="26"/>
        <v>202329.90726922726</v>
      </c>
      <c r="BB57" s="1">
        <f t="shared" si="26"/>
        <v>197271.6595874966</v>
      </c>
      <c r="BC57" s="1">
        <f t="shared" si="26"/>
        <v>192213.41190576594</v>
      </c>
      <c r="BD57" s="1">
        <f t="shared" si="26"/>
        <v>187155.16422403528</v>
      </c>
      <c r="BE57" s="1">
        <f t="shared" si="26"/>
        <v>182096.91654230462</v>
      </c>
      <c r="BF57" s="1">
        <f t="shared" si="26"/>
        <v>177038.66886057396</v>
      </c>
      <c r="BG57" s="1">
        <f t="shared" si="26"/>
        <v>171980.4211788433</v>
      </c>
      <c r="BH57" s="1">
        <f t="shared" si="26"/>
        <v>166922.17349711264</v>
      </c>
      <c r="BI57" s="1">
        <f t="shared" si="26"/>
        <v>161863.92581538198</v>
      </c>
      <c r="BJ57" s="1">
        <f t="shared" si="26"/>
        <v>156805.67813365132</v>
      </c>
      <c r="BK57" t="s">
        <v>102</v>
      </c>
    </row>
    <row r="58" spans="1:63" ht="11.25" customHeight="1" x14ac:dyDescent="0.25">
      <c r="B58" s="12" t="s">
        <v>75</v>
      </c>
      <c r="C58" s="22" t="s">
        <v>1</v>
      </c>
      <c r="E58" s="389">
        <f t="shared" si="25"/>
        <v>202329.90726922674</v>
      </c>
      <c r="F58" s="80" t="s">
        <v>26</v>
      </c>
      <c r="G58" s="1">
        <f>IF(G47=1,$D$56*$D$53,0)</f>
        <v>0</v>
      </c>
      <c r="H58" s="1">
        <f t="shared" ref="H58:BJ58" si="27">IF(H47=1,$D$56*$D$53,0)</f>
        <v>0</v>
      </c>
      <c r="I58" s="1">
        <f t="shared" si="27"/>
        <v>0</v>
      </c>
      <c r="J58" s="1">
        <f t="shared" si="27"/>
        <v>0</v>
      </c>
      <c r="K58" s="1">
        <f t="shared" si="27"/>
        <v>0</v>
      </c>
      <c r="L58" s="1">
        <f t="shared" si="27"/>
        <v>0</v>
      </c>
      <c r="M58" s="1">
        <f t="shared" si="27"/>
        <v>0</v>
      </c>
      <c r="N58" s="1">
        <f t="shared" si="27"/>
        <v>0</v>
      </c>
      <c r="O58" s="1">
        <f t="shared" si="27"/>
        <v>0</v>
      </c>
      <c r="P58" s="1">
        <f t="shared" si="27"/>
        <v>0</v>
      </c>
      <c r="Q58" s="1">
        <f t="shared" si="27"/>
        <v>0</v>
      </c>
      <c r="R58" s="1">
        <f t="shared" si="27"/>
        <v>0</v>
      </c>
      <c r="S58" s="1">
        <f t="shared" si="27"/>
        <v>0</v>
      </c>
      <c r="T58" s="1">
        <f t="shared" si="27"/>
        <v>0</v>
      </c>
      <c r="U58" s="1">
        <f t="shared" si="27"/>
        <v>0</v>
      </c>
      <c r="V58" s="1">
        <f t="shared" si="27"/>
        <v>0</v>
      </c>
      <c r="W58" s="1">
        <f t="shared" si="27"/>
        <v>5058.2476817306724</v>
      </c>
      <c r="X58" s="1">
        <f t="shared" si="27"/>
        <v>5058.2476817306724</v>
      </c>
      <c r="Y58" s="1">
        <f t="shared" si="27"/>
        <v>5058.2476817306724</v>
      </c>
      <c r="Z58" s="1">
        <f t="shared" si="27"/>
        <v>5058.2476817306724</v>
      </c>
      <c r="AA58" s="1">
        <f t="shared" si="27"/>
        <v>5058.2476817306724</v>
      </c>
      <c r="AB58" s="1">
        <f t="shared" si="27"/>
        <v>5058.2476817306724</v>
      </c>
      <c r="AC58" s="1">
        <f t="shared" si="27"/>
        <v>5058.2476817306724</v>
      </c>
      <c r="AD58" s="1">
        <f t="shared" si="27"/>
        <v>5058.2476817306724</v>
      </c>
      <c r="AE58" s="1">
        <f t="shared" si="27"/>
        <v>5058.2476817306724</v>
      </c>
      <c r="AF58" s="1">
        <f t="shared" si="27"/>
        <v>5058.2476817306724</v>
      </c>
      <c r="AG58" s="1">
        <f t="shared" si="27"/>
        <v>5058.2476817306724</v>
      </c>
      <c r="AH58" s="1">
        <f t="shared" si="27"/>
        <v>5058.2476817306724</v>
      </c>
      <c r="AI58" s="1">
        <f t="shared" si="27"/>
        <v>5058.2476817306724</v>
      </c>
      <c r="AJ58" s="1">
        <f t="shared" si="27"/>
        <v>5058.2476817306724</v>
      </c>
      <c r="AK58" s="1">
        <f t="shared" si="27"/>
        <v>5058.2476817306724</v>
      </c>
      <c r="AL58" s="1">
        <f t="shared" si="27"/>
        <v>5058.2476817306724</v>
      </c>
      <c r="AM58" s="1">
        <f t="shared" si="27"/>
        <v>5058.2476817306724</v>
      </c>
      <c r="AN58" s="1">
        <f t="shared" si="27"/>
        <v>5058.2476817306724</v>
      </c>
      <c r="AO58" s="1">
        <f t="shared" si="27"/>
        <v>5058.2476817306724</v>
      </c>
      <c r="AP58" s="1">
        <f t="shared" si="27"/>
        <v>5058.2476817306724</v>
      </c>
      <c r="AQ58" s="1">
        <f t="shared" si="27"/>
        <v>5058.2476817306724</v>
      </c>
      <c r="AR58" s="1">
        <f t="shared" si="27"/>
        <v>5058.2476817306724</v>
      </c>
      <c r="AS58" s="1">
        <f t="shared" si="27"/>
        <v>5058.2476817306724</v>
      </c>
      <c r="AT58" s="1">
        <f t="shared" si="27"/>
        <v>5058.2476817306724</v>
      </c>
      <c r="AU58" s="1">
        <f t="shared" si="27"/>
        <v>5058.2476817306724</v>
      </c>
      <c r="AV58" s="1">
        <f t="shared" si="27"/>
        <v>5058.2476817306724</v>
      </c>
      <c r="AW58" s="1">
        <f t="shared" si="27"/>
        <v>5058.2476817306724</v>
      </c>
      <c r="AX58" s="1">
        <f t="shared" si="27"/>
        <v>5058.2476817306724</v>
      </c>
      <c r="AY58" s="1">
        <f t="shared" si="27"/>
        <v>5058.2476817306724</v>
      </c>
      <c r="AZ58" s="1">
        <f t="shared" si="27"/>
        <v>5058.2476817306724</v>
      </c>
      <c r="BA58" s="1">
        <f t="shared" si="27"/>
        <v>5058.2476817306724</v>
      </c>
      <c r="BB58" s="1">
        <f t="shared" si="27"/>
        <v>5058.2476817306724</v>
      </c>
      <c r="BC58" s="1">
        <f t="shared" si="27"/>
        <v>5058.2476817306724</v>
      </c>
      <c r="BD58" s="1">
        <f t="shared" si="27"/>
        <v>5058.2476817306724</v>
      </c>
      <c r="BE58" s="1">
        <f t="shared" si="27"/>
        <v>5058.2476817306724</v>
      </c>
      <c r="BF58" s="1">
        <f t="shared" si="27"/>
        <v>5058.2476817306724</v>
      </c>
      <c r="BG58" s="1">
        <f t="shared" si="27"/>
        <v>5058.2476817306724</v>
      </c>
      <c r="BH58" s="1">
        <f t="shared" si="27"/>
        <v>5058.2476817306724</v>
      </c>
      <c r="BI58" s="1">
        <f t="shared" si="27"/>
        <v>5058.2476817306724</v>
      </c>
      <c r="BJ58" s="1">
        <f t="shared" si="27"/>
        <v>5058.2476817306724</v>
      </c>
      <c r="BK58" t="s">
        <v>102</v>
      </c>
    </row>
    <row r="59" spans="1:63" ht="11.25" customHeight="1" x14ac:dyDescent="0.25">
      <c r="A59" s="12" t="s">
        <v>26</v>
      </c>
      <c r="B59" s="56" t="s">
        <v>181</v>
      </c>
      <c r="C59" s="57" t="s">
        <v>1</v>
      </c>
      <c r="D59" s="56"/>
      <c r="E59" s="389">
        <f t="shared" si="25"/>
        <v>10369407.747547885</v>
      </c>
      <c r="F59" s="321"/>
      <c r="G59" s="58">
        <f>IF(AND(G47=0,H47=1),$D$53,G57-G58)</f>
        <v>0</v>
      </c>
      <c r="H59" s="58">
        <f t="shared" ref="H59:BJ59" si="28">IF(AND(H47=0,I47=1),$D$53,H57-H58)</f>
        <v>0</v>
      </c>
      <c r="I59" s="58">
        <f t="shared" si="28"/>
        <v>0</v>
      </c>
      <c r="J59" s="58">
        <f t="shared" si="28"/>
        <v>0</v>
      </c>
      <c r="K59" s="58">
        <f t="shared" si="28"/>
        <v>0</v>
      </c>
      <c r="L59" s="58">
        <f t="shared" si="28"/>
        <v>0</v>
      </c>
      <c r="M59" s="58">
        <f t="shared" si="28"/>
        <v>0</v>
      </c>
      <c r="N59" s="58">
        <f t="shared" si="28"/>
        <v>0</v>
      </c>
      <c r="O59" s="58">
        <f t="shared" si="28"/>
        <v>0</v>
      </c>
      <c r="P59" s="58">
        <f t="shared" si="28"/>
        <v>0</v>
      </c>
      <c r="Q59" s="58">
        <f t="shared" si="28"/>
        <v>0</v>
      </c>
      <c r="R59" s="58">
        <f t="shared" si="28"/>
        <v>0</v>
      </c>
      <c r="S59" s="58">
        <f t="shared" si="28"/>
        <v>0</v>
      </c>
      <c r="T59" s="58">
        <f t="shared" si="28"/>
        <v>0</v>
      </c>
      <c r="U59" s="58">
        <f t="shared" si="28"/>
        <v>0</v>
      </c>
      <c r="V59" s="58">
        <f t="shared" si="28"/>
        <v>354077.33772114705</v>
      </c>
      <c r="W59" s="58">
        <f t="shared" si="28"/>
        <v>349019.09003941639</v>
      </c>
      <c r="X59" s="58">
        <f t="shared" si="28"/>
        <v>343960.84235768573</v>
      </c>
      <c r="Y59" s="58">
        <f t="shared" si="28"/>
        <v>338902.59467595507</v>
      </c>
      <c r="Z59" s="58">
        <f t="shared" si="28"/>
        <v>333844.34699422441</v>
      </c>
      <c r="AA59" s="58">
        <f t="shared" si="28"/>
        <v>328786.09931249375</v>
      </c>
      <c r="AB59" s="58">
        <f t="shared" si="28"/>
        <v>323727.85163076309</v>
      </c>
      <c r="AC59" s="58">
        <f t="shared" si="28"/>
        <v>318669.60394903243</v>
      </c>
      <c r="AD59" s="58">
        <f t="shared" si="28"/>
        <v>313611.35626730177</v>
      </c>
      <c r="AE59" s="58">
        <f t="shared" si="28"/>
        <v>308553.10858557111</v>
      </c>
      <c r="AF59" s="58">
        <f t="shared" si="28"/>
        <v>303494.86090384045</v>
      </c>
      <c r="AG59" s="58">
        <f t="shared" si="28"/>
        <v>298436.61322210979</v>
      </c>
      <c r="AH59" s="58">
        <f t="shared" si="28"/>
        <v>293378.36554037913</v>
      </c>
      <c r="AI59" s="58">
        <f t="shared" si="28"/>
        <v>288320.11785864847</v>
      </c>
      <c r="AJ59" s="58">
        <f t="shared" si="28"/>
        <v>283261.87017691782</v>
      </c>
      <c r="AK59" s="58">
        <f t="shared" si="28"/>
        <v>278203.62249518716</v>
      </c>
      <c r="AL59" s="58">
        <f t="shared" si="28"/>
        <v>273145.3748134565</v>
      </c>
      <c r="AM59" s="58">
        <f t="shared" si="28"/>
        <v>268087.12713172584</v>
      </c>
      <c r="AN59" s="58">
        <f t="shared" si="28"/>
        <v>263028.87944999518</v>
      </c>
      <c r="AO59" s="58">
        <f t="shared" si="28"/>
        <v>257970.63176826452</v>
      </c>
      <c r="AP59" s="58">
        <f t="shared" si="28"/>
        <v>252912.38408653386</v>
      </c>
      <c r="AQ59" s="58">
        <f t="shared" si="28"/>
        <v>247854.1364048032</v>
      </c>
      <c r="AR59" s="58">
        <f t="shared" si="28"/>
        <v>242795.88872307254</v>
      </c>
      <c r="AS59" s="58">
        <f t="shared" si="28"/>
        <v>237737.64104134188</v>
      </c>
      <c r="AT59" s="58">
        <f t="shared" si="28"/>
        <v>232679.39335961122</v>
      </c>
      <c r="AU59" s="58">
        <f t="shared" si="28"/>
        <v>227621.14567788056</v>
      </c>
      <c r="AV59" s="58">
        <f t="shared" si="28"/>
        <v>222562.8979961499</v>
      </c>
      <c r="AW59" s="58">
        <f t="shared" si="28"/>
        <v>217504.65031441924</v>
      </c>
      <c r="AX59" s="58">
        <f t="shared" si="28"/>
        <v>212446.40263268858</v>
      </c>
      <c r="AY59" s="58">
        <f t="shared" si="28"/>
        <v>207388.15495095792</v>
      </c>
      <c r="AZ59" s="58">
        <f t="shared" si="28"/>
        <v>202329.90726922726</v>
      </c>
      <c r="BA59" s="58">
        <f t="shared" si="28"/>
        <v>197271.6595874966</v>
      </c>
      <c r="BB59" s="58">
        <f t="shared" si="28"/>
        <v>192213.41190576594</v>
      </c>
      <c r="BC59" s="58">
        <f t="shared" si="28"/>
        <v>187155.16422403528</v>
      </c>
      <c r="BD59" s="58">
        <f t="shared" si="28"/>
        <v>182096.91654230462</v>
      </c>
      <c r="BE59" s="58">
        <f t="shared" si="28"/>
        <v>177038.66886057396</v>
      </c>
      <c r="BF59" s="58">
        <f t="shared" si="28"/>
        <v>171980.4211788433</v>
      </c>
      <c r="BG59" s="58">
        <f t="shared" si="28"/>
        <v>166922.17349711264</v>
      </c>
      <c r="BH59" s="58">
        <f t="shared" si="28"/>
        <v>161863.92581538198</v>
      </c>
      <c r="BI59" s="58">
        <f t="shared" si="28"/>
        <v>156805.67813365132</v>
      </c>
      <c r="BJ59" s="58">
        <f t="shared" si="28"/>
        <v>151747.43045192066</v>
      </c>
      <c r="BK59" t="s">
        <v>102</v>
      </c>
    </row>
    <row r="60" spans="1:63" ht="11.25" customHeight="1" x14ac:dyDescent="0.25">
      <c r="BK60" t="s">
        <v>102</v>
      </c>
    </row>
    <row r="61" spans="1:63" ht="11.25" customHeight="1" x14ac:dyDescent="0.25">
      <c r="A61" s="12">
        <v>1</v>
      </c>
      <c r="B61" s="12" t="s">
        <v>165</v>
      </c>
      <c r="C61" s="22" t="s">
        <v>108</v>
      </c>
      <c r="E61" s="389">
        <f t="shared" ref="E61:E64" si="29">SUM(G61:BJ61)</f>
        <v>3</v>
      </c>
      <c r="F61" s="80" t="s">
        <v>26</v>
      </c>
      <c r="G61" s="26">
        <f>CapEx!G10</f>
        <v>0</v>
      </c>
      <c r="H61" s="26">
        <f>CapEx!H10</f>
        <v>0</v>
      </c>
      <c r="I61" s="26">
        <f>CapEx!I10</f>
        <v>0</v>
      </c>
      <c r="J61" s="26">
        <f>CapEx!J10</f>
        <v>0</v>
      </c>
      <c r="K61" s="26">
        <f>CapEx!K10</f>
        <v>0</v>
      </c>
      <c r="L61" s="26">
        <f>CapEx!L10</f>
        <v>0</v>
      </c>
      <c r="M61" s="26">
        <f>CapEx!M10</f>
        <v>0</v>
      </c>
      <c r="N61" s="26">
        <f>CapEx!N10</f>
        <v>0</v>
      </c>
      <c r="O61" s="26">
        <f>CapEx!O10</f>
        <v>0</v>
      </c>
      <c r="P61" s="26">
        <f>CapEx!P10</f>
        <v>0</v>
      </c>
      <c r="Q61" s="26">
        <f>CapEx!Q10</f>
        <v>0</v>
      </c>
      <c r="R61" s="26">
        <f>CapEx!R10</f>
        <v>0</v>
      </c>
      <c r="S61" s="26">
        <f>CapEx!S10</f>
        <v>0</v>
      </c>
      <c r="T61" s="26">
        <f>CapEx!T10</f>
        <v>0</v>
      </c>
      <c r="U61" s="26">
        <f>CapEx!U10</f>
        <v>0</v>
      </c>
      <c r="V61" s="26">
        <f>CapEx!V10</f>
        <v>0</v>
      </c>
      <c r="W61" s="26">
        <f>CapEx!W10</f>
        <v>0</v>
      </c>
      <c r="X61" s="26">
        <f>CapEx!X10</f>
        <v>0</v>
      </c>
      <c r="Y61" s="26">
        <f>CapEx!Y10</f>
        <v>0</v>
      </c>
      <c r="Z61" s="26">
        <f>CapEx!Z10</f>
        <v>0</v>
      </c>
      <c r="AA61" s="26">
        <f>CapEx!AA10</f>
        <v>0</v>
      </c>
      <c r="AB61" s="26">
        <f>CapEx!AB10</f>
        <v>0</v>
      </c>
      <c r="AC61" s="26">
        <f>CapEx!AC10</f>
        <v>0</v>
      </c>
      <c r="AD61" s="26">
        <f>CapEx!AD10</f>
        <v>0</v>
      </c>
      <c r="AE61" s="26">
        <f>CapEx!AE10</f>
        <v>0</v>
      </c>
      <c r="AF61" s="26">
        <f>CapEx!AF10</f>
        <v>0</v>
      </c>
      <c r="AG61" s="26">
        <f>CapEx!AG10</f>
        <v>0</v>
      </c>
      <c r="AH61" s="26">
        <f>CapEx!AH10</f>
        <v>0</v>
      </c>
      <c r="AI61" s="26">
        <f>CapEx!AI10</f>
        <v>0</v>
      </c>
      <c r="AJ61" s="26">
        <f>CapEx!AJ10</f>
        <v>0</v>
      </c>
      <c r="AK61" s="26">
        <f>CapEx!AK10</f>
        <v>0</v>
      </c>
      <c r="AL61" s="26">
        <f>CapEx!AL10</f>
        <v>1</v>
      </c>
      <c r="AM61" s="26">
        <f>CapEx!AM10</f>
        <v>0</v>
      </c>
      <c r="AN61" s="26">
        <f>CapEx!AN10</f>
        <v>0</v>
      </c>
      <c r="AO61" s="26">
        <f>CapEx!AO10</f>
        <v>0</v>
      </c>
      <c r="AP61" s="26">
        <f>CapEx!AP10</f>
        <v>0</v>
      </c>
      <c r="AQ61" s="26">
        <f>CapEx!AQ10</f>
        <v>0</v>
      </c>
      <c r="AR61" s="26">
        <f>CapEx!AR10</f>
        <v>0</v>
      </c>
      <c r="AS61" s="26">
        <f>CapEx!AS10</f>
        <v>0</v>
      </c>
      <c r="AT61" s="26">
        <f>CapEx!AT10</f>
        <v>0</v>
      </c>
      <c r="AU61" s="26">
        <f>CapEx!AU10</f>
        <v>0</v>
      </c>
      <c r="AV61" s="26">
        <f>CapEx!AV10</f>
        <v>0</v>
      </c>
      <c r="AW61" s="26">
        <f>CapEx!AW10</f>
        <v>0</v>
      </c>
      <c r="AX61" s="26">
        <f>CapEx!AX10</f>
        <v>0</v>
      </c>
      <c r="AY61" s="26">
        <f>CapEx!AY10</f>
        <v>0</v>
      </c>
      <c r="AZ61" s="26">
        <f>CapEx!AZ10</f>
        <v>0</v>
      </c>
      <c r="BA61" s="26">
        <f>CapEx!BA10</f>
        <v>0</v>
      </c>
      <c r="BB61" s="26">
        <f>CapEx!BB10</f>
        <v>2</v>
      </c>
      <c r="BC61" s="26">
        <f>CapEx!BC10</f>
        <v>0</v>
      </c>
      <c r="BD61" s="26">
        <f>CapEx!BD10</f>
        <v>0</v>
      </c>
      <c r="BE61" s="26">
        <f>CapEx!BE10</f>
        <v>0</v>
      </c>
      <c r="BF61" s="26">
        <f>CapEx!BF10</f>
        <v>0</v>
      </c>
      <c r="BG61" s="26">
        <f>CapEx!BG10</f>
        <v>0</v>
      </c>
      <c r="BH61" s="26">
        <f>CapEx!BH10</f>
        <v>0</v>
      </c>
      <c r="BI61" s="26">
        <f>CapEx!BI10</f>
        <v>0</v>
      </c>
      <c r="BJ61" s="26">
        <f>CapEx!BJ10</f>
        <v>0</v>
      </c>
      <c r="BK61" t="s">
        <v>102</v>
      </c>
    </row>
    <row r="62" spans="1:63" ht="11.25" customHeight="1" x14ac:dyDescent="0.25">
      <c r="B62" s="12" t="s">
        <v>70</v>
      </c>
      <c r="C62" s="22" t="s">
        <v>156</v>
      </c>
      <c r="E62" s="389">
        <f t="shared" si="29"/>
        <v>34</v>
      </c>
      <c r="G62" s="26">
        <f>CapEx!G9</f>
        <v>0</v>
      </c>
      <c r="H62" s="26">
        <f>CapEx!H9</f>
        <v>0</v>
      </c>
      <c r="I62" s="26">
        <f>CapEx!I9</f>
        <v>0</v>
      </c>
      <c r="J62" s="26">
        <f>CapEx!J9</f>
        <v>0</v>
      </c>
      <c r="K62" s="26">
        <f>CapEx!K9</f>
        <v>0</v>
      </c>
      <c r="L62" s="26">
        <f>CapEx!L9</f>
        <v>0</v>
      </c>
      <c r="M62" s="26">
        <f>CapEx!M9</f>
        <v>0</v>
      </c>
      <c r="N62" s="26">
        <f>CapEx!N9</f>
        <v>0</v>
      </c>
      <c r="O62" s="26">
        <f>CapEx!O9</f>
        <v>0</v>
      </c>
      <c r="P62" s="26">
        <f>CapEx!P9</f>
        <v>0</v>
      </c>
      <c r="Q62" s="26">
        <f>CapEx!Q9</f>
        <v>0</v>
      </c>
      <c r="R62" s="26">
        <f>CapEx!R9</f>
        <v>0</v>
      </c>
      <c r="S62" s="26">
        <f>CapEx!S9</f>
        <v>0</v>
      </c>
      <c r="T62" s="26">
        <f>CapEx!T9</f>
        <v>0</v>
      </c>
      <c r="U62" s="26">
        <f>CapEx!U9</f>
        <v>0</v>
      </c>
      <c r="V62" s="26">
        <f>CapEx!V9</f>
        <v>0</v>
      </c>
      <c r="W62" s="26">
        <f>CapEx!W9</f>
        <v>0</v>
      </c>
      <c r="X62" s="26">
        <f>CapEx!X9</f>
        <v>0</v>
      </c>
      <c r="Y62" s="26">
        <f>CapEx!Y9</f>
        <v>0</v>
      </c>
      <c r="Z62" s="26">
        <f>CapEx!Z9</f>
        <v>0</v>
      </c>
      <c r="AA62" s="26">
        <f>CapEx!AA9</f>
        <v>0</v>
      </c>
      <c r="AB62" s="26">
        <f>CapEx!AB9</f>
        <v>0</v>
      </c>
      <c r="AC62" s="26">
        <f>CapEx!AC9</f>
        <v>0</v>
      </c>
      <c r="AD62" s="26">
        <f>CapEx!AD9</f>
        <v>0</v>
      </c>
      <c r="AE62" s="26">
        <f>CapEx!AE9</f>
        <v>0</v>
      </c>
      <c r="AF62" s="26">
        <f>CapEx!AF9</f>
        <v>0</v>
      </c>
      <c r="AG62" s="26">
        <f>CapEx!AG9</f>
        <v>0</v>
      </c>
      <c r="AH62" s="26">
        <f>CapEx!AH9</f>
        <v>0</v>
      </c>
      <c r="AI62" s="26">
        <f>CapEx!AI9</f>
        <v>0</v>
      </c>
      <c r="AJ62" s="26">
        <f>CapEx!AJ9</f>
        <v>0</v>
      </c>
      <c r="AK62" s="26">
        <f>CapEx!AK9</f>
        <v>0</v>
      </c>
      <c r="AL62" s="26">
        <f>CapEx!AL9</f>
        <v>1</v>
      </c>
      <c r="AM62" s="26">
        <f>CapEx!AM9</f>
        <v>1</v>
      </c>
      <c r="AN62" s="26">
        <f>CapEx!AN9</f>
        <v>1</v>
      </c>
      <c r="AO62" s="26">
        <f>CapEx!AO9</f>
        <v>1</v>
      </c>
      <c r="AP62" s="26">
        <f>CapEx!AP9</f>
        <v>1</v>
      </c>
      <c r="AQ62" s="26">
        <f>CapEx!AQ9</f>
        <v>1</v>
      </c>
      <c r="AR62" s="26">
        <f>CapEx!AR9</f>
        <v>1</v>
      </c>
      <c r="AS62" s="26">
        <f>CapEx!AS9</f>
        <v>1</v>
      </c>
      <c r="AT62" s="26">
        <f>CapEx!AT9</f>
        <v>1</v>
      </c>
      <c r="AU62" s="26">
        <f>CapEx!AU9</f>
        <v>1</v>
      </c>
      <c r="AV62" s="26">
        <f>CapEx!AV9</f>
        <v>1</v>
      </c>
      <c r="AW62" s="26">
        <f>CapEx!AW9</f>
        <v>1</v>
      </c>
      <c r="AX62" s="26">
        <f>CapEx!AX9</f>
        <v>1</v>
      </c>
      <c r="AY62" s="26">
        <f>CapEx!AY9</f>
        <v>1</v>
      </c>
      <c r="AZ62" s="26">
        <f>CapEx!AZ9</f>
        <v>1</v>
      </c>
      <c r="BA62" s="26">
        <f>CapEx!BA9</f>
        <v>1</v>
      </c>
      <c r="BB62" s="26">
        <f>CapEx!BB9</f>
        <v>2</v>
      </c>
      <c r="BC62" s="26">
        <f>CapEx!BC9</f>
        <v>2</v>
      </c>
      <c r="BD62" s="26">
        <f>CapEx!BD9</f>
        <v>2</v>
      </c>
      <c r="BE62" s="26">
        <f>CapEx!BE9</f>
        <v>2</v>
      </c>
      <c r="BF62" s="26">
        <f>CapEx!BF9</f>
        <v>2</v>
      </c>
      <c r="BG62" s="26">
        <f>CapEx!BG9</f>
        <v>2</v>
      </c>
      <c r="BH62" s="26">
        <f>CapEx!BH9</f>
        <v>2</v>
      </c>
      <c r="BI62" s="26">
        <f>CapEx!BI9</f>
        <v>2</v>
      </c>
      <c r="BJ62" s="26">
        <f>CapEx!BJ9</f>
        <v>2</v>
      </c>
      <c r="BK62" t="s">
        <v>487</v>
      </c>
    </row>
    <row r="63" spans="1:63" ht="11.25" customHeight="1" x14ac:dyDescent="0.25">
      <c r="B63" s="12" t="s">
        <v>416</v>
      </c>
      <c r="C63" s="22" t="s">
        <v>166</v>
      </c>
      <c r="E63" s="389">
        <f t="shared" si="29"/>
        <v>325</v>
      </c>
      <c r="G63" s="26">
        <f>IF(AND(F62=0,G62=1),1,IF(AND(F62=0,G62=0),0,F63+1))</f>
        <v>0</v>
      </c>
      <c r="H63" s="26">
        <f t="shared" ref="H63:BJ63" si="30">IF(AND(G62=0,H62=1),1,IF(AND(G62=0,H62=0),0,G63+1))</f>
        <v>0</v>
      </c>
      <c r="I63" s="26">
        <f t="shared" si="30"/>
        <v>0</v>
      </c>
      <c r="J63" s="26">
        <f t="shared" si="30"/>
        <v>0</v>
      </c>
      <c r="K63" s="26">
        <f t="shared" si="30"/>
        <v>0</v>
      </c>
      <c r="L63" s="26">
        <f t="shared" si="30"/>
        <v>0</v>
      </c>
      <c r="M63" s="26">
        <f t="shared" si="30"/>
        <v>0</v>
      </c>
      <c r="N63" s="26">
        <f t="shared" si="30"/>
        <v>0</v>
      </c>
      <c r="O63" s="26">
        <f t="shared" si="30"/>
        <v>0</v>
      </c>
      <c r="P63" s="26">
        <f t="shared" si="30"/>
        <v>0</v>
      </c>
      <c r="Q63" s="26">
        <f t="shared" si="30"/>
        <v>0</v>
      </c>
      <c r="R63" s="26">
        <f t="shared" si="30"/>
        <v>0</v>
      </c>
      <c r="S63" s="26">
        <f t="shared" si="30"/>
        <v>0</v>
      </c>
      <c r="T63" s="26">
        <f t="shared" si="30"/>
        <v>0</v>
      </c>
      <c r="U63" s="26">
        <f t="shared" si="30"/>
        <v>0</v>
      </c>
      <c r="V63" s="26">
        <f t="shared" si="30"/>
        <v>0</v>
      </c>
      <c r="W63" s="26">
        <f t="shared" si="30"/>
        <v>0</v>
      </c>
      <c r="X63" s="26">
        <f t="shared" si="30"/>
        <v>0</v>
      </c>
      <c r="Y63" s="26">
        <f t="shared" si="30"/>
        <v>0</v>
      </c>
      <c r="Z63" s="26">
        <f t="shared" si="30"/>
        <v>0</v>
      </c>
      <c r="AA63" s="26">
        <f t="shared" si="30"/>
        <v>0</v>
      </c>
      <c r="AB63" s="26">
        <f t="shared" si="30"/>
        <v>0</v>
      </c>
      <c r="AC63" s="26">
        <f t="shared" si="30"/>
        <v>0</v>
      </c>
      <c r="AD63" s="26">
        <f t="shared" si="30"/>
        <v>0</v>
      </c>
      <c r="AE63" s="26">
        <f t="shared" si="30"/>
        <v>0</v>
      </c>
      <c r="AF63" s="26">
        <f t="shared" si="30"/>
        <v>0</v>
      </c>
      <c r="AG63" s="26">
        <f t="shared" si="30"/>
        <v>0</v>
      </c>
      <c r="AH63" s="26">
        <f t="shared" si="30"/>
        <v>0</v>
      </c>
      <c r="AI63" s="26">
        <f t="shared" si="30"/>
        <v>0</v>
      </c>
      <c r="AJ63" s="26">
        <f t="shared" si="30"/>
        <v>0</v>
      </c>
      <c r="AK63" s="26">
        <f t="shared" si="30"/>
        <v>0</v>
      </c>
      <c r="AL63" s="26">
        <f t="shared" si="30"/>
        <v>1</v>
      </c>
      <c r="AM63" s="26">
        <f t="shared" si="30"/>
        <v>2</v>
      </c>
      <c r="AN63" s="26">
        <f t="shared" si="30"/>
        <v>3</v>
      </c>
      <c r="AO63" s="26">
        <f t="shared" si="30"/>
        <v>4</v>
      </c>
      <c r="AP63" s="26">
        <f t="shared" si="30"/>
        <v>5</v>
      </c>
      <c r="AQ63" s="26">
        <f t="shared" si="30"/>
        <v>6</v>
      </c>
      <c r="AR63" s="26">
        <f t="shared" si="30"/>
        <v>7</v>
      </c>
      <c r="AS63" s="26">
        <f t="shared" si="30"/>
        <v>8</v>
      </c>
      <c r="AT63" s="26">
        <f t="shared" si="30"/>
        <v>9</v>
      </c>
      <c r="AU63" s="26">
        <f t="shared" si="30"/>
        <v>10</v>
      </c>
      <c r="AV63" s="26">
        <f t="shared" si="30"/>
        <v>11</v>
      </c>
      <c r="AW63" s="26">
        <f t="shared" si="30"/>
        <v>12</v>
      </c>
      <c r="AX63" s="26">
        <f t="shared" si="30"/>
        <v>13</v>
      </c>
      <c r="AY63" s="26">
        <f t="shared" si="30"/>
        <v>14</v>
      </c>
      <c r="AZ63" s="26">
        <f t="shared" si="30"/>
        <v>15</v>
      </c>
      <c r="BA63" s="26">
        <f t="shared" si="30"/>
        <v>16</v>
      </c>
      <c r="BB63" s="26">
        <f t="shared" si="30"/>
        <v>17</v>
      </c>
      <c r="BC63" s="26">
        <f t="shared" si="30"/>
        <v>18</v>
      </c>
      <c r="BD63" s="26">
        <f t="shared" si="30"/>
        <v>19</v>
      </c>
      <c r="BE63" s="26">
        <f t="shared" si="30"/>
        <v>20</v>
      </c>
      <c r="BF63" s="26">
        <f t="shared" si="30"/>
        <v>21</v>
      </c>
      <c r="BG63" s="26">
        <f t="shared" si="30"/>
        <v>22</v>
      </c>
      <c r="BH63" s="26">
        <f t="shared" si="30"/>
        <v>23</v>
      </c>
      <c r="BI63" s="26">
        <f t="shared" si="30"/>
        <v>24</v>
      </c>
      <c r="BJ63" s="26">
        <f t="shared" si="30"/>
        <v>25</v>
      </c>
      <c r="BK63" t="s">
        <v>102</v>
      </c>
    </row>
    <row r="64" spans="1:63" ht="11.25" customHeight="1" x14ac:dyDescent="0.25">
      <c r="B64" s="12" t="s">
        <v>416</v>
      </c>
      <c r="C64" s="22" t="s">
        <v>167</v>
      </c>
      <c r="E64" s="389">
        <f t="shared" si="29"/>
        <v>210</v>
      </c>
      <c r="G64" s="26">
        <f>IF(G63&lt;=$D$67,G63,0)</f>
        <v>0</v>
      </c>
      <c r="H64" s="26">
        <f t="shared" ref="H64:BJ64" si="31">IF(H63&lt;=$D$67,H63,0)</f>
        <v>0</v>
      </c>
      <c r="I64" s="26">
        <f t="shared" si="31"/>
        <v>0</v>
      </c>
      <c r="J64" s="26">
        <f t="shared" si="31"/>
        <v>0</v>
      </c>
      <c r="K64" s="26">
        <f t="shared" si="31"/>
        <v>0</v>
      </c>
      <c r="L64" s="26">
        <f t="shared" si="31"/>
        <v>0</v>
      </c>
      <c r="M64" s="26">
        <f t="shared" si="31"/>
        <v>0</v>
      </c>
      <c r="N64" s="26">
        <f t="shared" si="31"/>
        <v>0</v>
      </c>
      <c r="O64" s="26">
        <f t="shared" si="31"/>
        <v>0</v>
      </c>
      <c r="P64" s="26">
        <f t="shared" si="31"/>
        <v>0</v>
      </c>
      <c r="Q64" s="26">
        <f t="shared" si="31"/>
        <v>0</v>
      </c>
      <c r="R64" s="26">
        <f t="shared" si="31"/>
        <v>0</v>
      </c>
      <c r="S64" s="26">
        <f t="shared" si="31"/>
        <v>0</v>
      </c>
      <c r="T64" s="26">
        <f t="shared" si="31"/>
        <v>0</v>
      </c>
      <c r="U64" s="26">
        <f t="shared" si="31"/>
        <v>0</v>
      </c>
      <c r="V64" s="26">
        <f t="shared" si="31"/>
        <v>0</v>
      </c>
      <c r="W64" s="26">
        <f t="shared" si="31"/>
        <v>0</v>
      </c>
      <c r="X64" s="26">
        <f t="shared" si="31"/>
        <v>0</v>
      </c>
      <c r="Y64" s="26">
        <f t="shared" si="31"/>
        <v>0</v>
      </c>
      <c r="Z64" s="26">
        <f t="shared" si="31"/>
        <v>0</v>
      </c>
      <c r="AA64" s="26">
        <f t="shared" si="31"/>
        <v>0</v>
      </c>
      <c r="AB64" s="26">
        <f t="shared" si="31"/>
        <v>0</v>
      </c>
      <c r="AC64" s="26">
        <f t="shared" si="31"/>
        <v>0</v>
      </c>
      <c r="AD64" s="26">
        <f t="shared" si="31"/>
        <v>0</v>
      </c>
      <c r="AE64" s="26">
        <f t="shared" si="31"/>
        <v>0</v>
      </c>
      <c r="AF64" s="26">
        <f t="shared" si="31"/>
        <v>0</v>
      </c>
      <c r="AG64" s="26">
        <f t="shared" si="31"/>
        <v>0</v>
      </c>
      <c r="AH64" s="26">
        <f t="shared" si="31"/>
        <v>0</v>
      </c>
      <c r="AI64" s="26">
        <f t="shared" si="31"/>
        <v>0</v>
      </c>
      <c r="AJ64" s="26">
        <f t="shared" si="31"/>
        <v>0</v>
      </c>
      <c r="AK64" s="26">
        <f t="shared" si="31"/>
        <v>0</v>
      </c>
      <c r="AL64" s="26">
        <f t="shared" si="31"/>
        <v>1</v>
      </c>
      <c r="AM64" s="26">
        <f t="shared" si="31"/>
        <v>2</v>
      </c>
      <c r="AN64" s="26">
        <f t="shared" si="31"/>
        <v>3</v>
      </c>
      <c r="AO64" s="26">
        <f t="shared" si="31"/>
        <v>4</v>
      </c>
      <c r="AP64" s="26">
        <f t="shared" si="31"/>
        <v>5</v>
      </c>
      <c r="AQ64" s="26">
        <f t="shared" si="31"/>
        <v>6</v>
      </c>
      <c r="AR64" s="26">
        <f t="shared" si="31"/>
        <v>7</v>
      </c>
      <c r="AS64" s="26">
        <f t="shared" si="31"/>
        <v>8</v>
      </c>
      <c r="AT64" s="26">
        <f t="shared" si="31"/>
        <v>9</v>
      </c>
      <c r="AU64" s="26">
        <f t="shared" si="31"/>
        <v>10</v>
      </c>
      <c r="AV64" s="26">
        <f t="shared" si="31"/>
        <v>11</v>
      </c>
      <c r="AW64" s="26">
        <f t="shared" si="31"/>
        <v>12</v>
      </c>
      <c r="AX64" s="26">
        <f t="shared" si="31"/>
        <v>13</v>
      </c>
      <c r="AY64" s="26">
        <f t="shared" si="31"/>
        <v>14</v>
      </c>
      <c r="AZ64" s="26">
        <f t="shared" si="31"/>
        <v>15</v>
      </c>
      <c r="BA64" s="26">
        <f t="shared" si="31"/>
        <v>16</v>
      </c>
      <c r="BB64" s="26">
        <f t="shared" si="31"/>
        <v>17</v>
      </c>
      <c r="BC64" s="26">
        <f t="shared" si="31"/>
        <v>18</v>
      </c>
      <c r="BD64" s="26">
        <f t="shared" si="31"/>
        <v>19</v>
      </c>
      <c r="BE64" s="26">
        <f t="shared" si="31"/>
        <v>20</v>
      </c>
      <c r="BF64" s="26">
        <f t="shared" si="31"/>
        <v>0</v>
      </c>
      <c r="BG64" s="26">
        <f t="shared" si="31"/>
        <v>0</v>
      </c>
      <c r="BH64" s="26">
        <f t="shared" si="31"/>
        <v>0</v>
      </c>
      <c r="BI64" s="26">
        <f t="shared" si="31"/>
        <v>0</v>
      </c>
      <c r="BJ64" s="26">
        <f t="shared" si="31"/>
        <v>0</v>
      </c>
      <c r="BK64" t="s">
        <v>487</v>
      </c>
    </row>
    <row r="65" spans="1:63" ht="11.25" customHeight="1" x14ac:dyDescent="0.25">
      <c r="B65" s="12" t="s">
        <v>168</v>
      </c>
      <c r="C65" s="22" t="s">
        <v>1</v>
      </c>
      <c r="D65" s="277"/>
      <c r="E65" s="390">
        <f>SUM(G65:BJ65)</f>
        <v>6365.6924570898354</v>
      </c>
      <c r="F65" s="80" t="s">
        <v>26</v>
      </c>
      <c r="G65" s="1">
        <f>G24</f>
        <v>0</v>
      </c>
      <c r="H65" s="1">
        <f t="shared" ref="H65:BJ65" si="32">H24</f>
        <v>0</v>
      </c>
      <c r="I65" s="1">
        <f t="shared" si="32"/>
        <v>0</v>
      </c>
      <c r="J65" s="1">
        <f t="shared" si="32"/>
        <v>0</v>
      </c>
      <c r="K65" s="1">
        <f t="shared" si="32"/>
        <v>0</v>
      </c>
      <c r="L65" s="1">
        <f t="shared" si="32"/>
        <v>0</v>
      </c>
      <c r="M65" s="1">
        <f t="shared" si="32"/>
        <v>0</v>
      </c>
      <c r="N65" s="1">
        <f t="shared" si="32"/>
        <v>0</v>
      </c>
      <c r="O65" s="1">
        <f t="shared" si="32"/>
        <v>0</v>
      </c>
      <c r="P65" s="1">
        <f t="shared" si="32"/>
        <v>0</v>
      </c>
      <c r="Q65" s="1">
        <f t="shared" si="32"/>
        <v>0</v>
      </c>
      <c r="R65" s="1">
        <f t="shared" si="32"/>
        <v>0</v>
      </c>
      <c r="S65" s="1">
        <f t="shared" si="32"/>
        <v>0</v>
      </c>
      <c r="T65" s="1">
        <f t="shared" si="32"/>
        <v>0</v>
      </c>
      <c r="U65" s="1">
        <f t="shared" si="32"/>
        <v>0</v>
      </c>
      <c r="V65" s="1">
        <f t="shared" si="32"/>
        <v>0</v>
      </c>
      <c r="W65" s="1">
        <f t="shared" si="32"/>
        <v>0</v>
      </c>
      <c r="X65" s="1">
        <f t="shared" si="32"/>
        <v>0</v>
      </c>
      <c r="Y65" s="1">
        <f t="shared" si="32"/>
        <v>0</v>
      </c>
      <c r="Z65" s="1">
        <f t="shared" si="32"/>
        <v>0</v>
      </c>
      <c r="AA65" s="1">
        <f t="shared" si="32"/>
        <v>0</v>
      </c>
      <c r="AB65" s="1">
        <f t="shared" si="32"/>
        <v>0</v>
      </c>
      <c r="AC65" s="1">
        <f t="shared" si="32"/>
        <v>0</v>
      </c>
      <c r="AD65" s="1">
        <f t="shared" si="32"/>
        <v>0</v>
      </c>
      <c r="AE65" s="1">
        <f t="shared" si="32"/>
        <v>0</v>
      </c>
      <c r="AF65" s="1">
        <f t="shared" si="32"/>
        <v>0</v>
      </c>
      <c r="AG65" s="1">
        <f t="shared" si="32"/>
        <v>0</v>
      </c>
      <c r="AH65" s="1">
        <f t="shared" si="32"/>
        <v>0</v>
      </c>
      <c r="AI65" s="1">
        <f t="shared" si="32"/>
        <v>0</v>
      </c>
      <c r="AJ65" s="1">
        <f t="shared" si="32"/>
        <v>0</v>
      </c>
      <c r="AK65" s="1">
        <f t="shared" si="32"/>
        <v>0</v>
      </c>
      <c r="AL65" s="1">
        <f t="shared" si="32"/>
        <v>6365.6924570898354</v>
      </c>
      <c r="AM65" s="1">
        <f t="shared" si="32"/>
        <v>0</v>
      </c>
      <c r="AN65" s="1">
        <f t="shared" si="32"/>
        <v>0</v>
      </c>
      <c r="AO65" s="1">
        <f t="shared" si="32"/>
        <v>0</v>
      </c>
      <c r="AP65" s="1">
        <f t="shared" si="32"/>
        <v>0</v>
      </c>
      <c r="AQ65" s="1">
        <f t="shared" si="32"/>
        <v>0</v>
      </c>
      <c r="AR65" s="1">
        <f t="shared" si="32"/>
        <v>0</v>
      </c>
      <c r="AS65" s="1">
        <f t="shared" si="32"/>
        <v>0</v>
      </c>
      <c r="AT65" s="1">
        <f t="shared" si="32"/>
        <v>0</v>
      </c>
      <c r="AU65" s="1">
        <f t="shared" si="32"/>
        <v>0</v>
      </c>
      <c r="AV65" s="1">
        <f t="shared" si="32"/>
        <v>0</v>
      </c>
      <c r="AW65" s="1">
        <f t="shared" si="32"/>
        <v>0</v>
      </c>
      <c r="AX65" s="1">
        <f t="shared" si="32"/>
        <v>0</v>
      </c>
      <c r="AY65" s="1">
        <f t="shared" si="32"/>
        <v>0</v>
      </c>
      <c r="AZ65" s="1">
        <f t="shared" si="32"/>
        <v>0</v>
      </c>
      <c r="BA65" s="1">
        <f t="shared" si="32"/>
        <v>0</v>
      </c>
      <c r="BB65" s="1">
        <f t="shared" si="32"/>
        <v>0</v>
      </c>
      <c r="BC65" s="1">
        <f t="shared" si="32"/>
        <v>0</v>
      </c>
      <c r="BD65" s="1">
        <f t="shared" si="32"/>
        <v>0</v>
      </c>
      <c r="BE65" s="1">
        <f t="shared" si="32"/>
        <v>0</v>
      </c>
      <c r="BF65" s="1">
        <f t="shared" si="32"/>
        <v>0</v>
      </c>
      <c r="BG65" s="1">
        <f t="shared" si="32"/>
        <v>0</v>
      </c>
      <c r="BH65" s="1">
        <f t="shared" si="32"/>
        <v>0</v>
      </c>
      <c r="BI65" s="1">
        <f t="shared" si="32"/>
        <v>0</v>
      </c>
      <c r="BJ65" s="1">
        <f t="shared" si="32"/>
        <v>0</v>
      </c>
      <c r="BK65" t="s">
        <v>102</v>
      </c>
    </row>
    <row r="66" spans="1:63" ht="11.25" customHeight="1" x14ac:dyDescent="0.25">
      <c r="B66" s="12" t="s">
        <v>76</v>
      </c>
      <c r="C66" s="22" t="s">
        <v>69</v>
      </c>
      <c r="D66" s="278">
        <f>Assumptions!D143</f>
        <v>10</v>
      </c>
      <c r="BK66" t="s">
        <v>102</v>
      </c>
    </row>
    <row r="67" spans="1:63" ht="11.25" customHeight="1" x14ac:dyDescent="0.25">
      <c r="B67" s="12" t="s">
        <v>76</v>
      </c>
      <c r="C67" s="22" t="s">
        <v>15</v>
      </c>
      <c r="D67" s="262">
        <f>D66*2</f>
        <v>20</v>
      </c>
      <c r="BK67" t="s">
        <v>102</v>
      </c>
    </row>
    <row r="68" spans="1:63" ht="11.25" customHeight="1" x14ac:dyDescent="0.25">
      <c r="B68" s="12" t="s">
        <v>76</v>
      </c>
      <c r="C68" s="22" t="s">
        <v>65</v>
      </c>
      <c r="D68" s="276">
        <f>1/D67</f>
        <v>0.05</v>
      </c>
      <c r="BK68" t="s">
        <v>102</v>
      </c>
    </row>
    <row r="69" spans="1:63" ht="11.25" customHeight="1" x14ac:dyDescent="0.25">
      <c r="B69" s="12" t="s">
        <v>169</v>
      </c>
      <c r="C69" s="22" t="s">
        <v>1</v>
      </c>
      <c r="E69" s="389">
        <f t="shared" ref="E69:E71" si="33">SUM(G69:BJ69)</f>
        <v>66839.770799443329</v>
      </c>
      <c r="F69" s="80" t="s">
        <v>26</v>
      </c>
      <c r="G69" s="1">
        <f>IF(G64=1,G65,IF(G64&gt;0,F69-G70,0))</f>
        <v>0</v>
      </c>
      <c r="H69" s="1">
        <f t="shared" ref="H69:BJ69" si="34">IF(H64=1,H65,IF(H64&gt;0,G69-H70,0))</f>
        <v>0</v>
      </c>
      <c r="I69" s="1">
        <f t="shared" si="34"/>
        <v>0</v>
      </c>
      <c r="J69" s="1">
        <f t="shared" si="34"/>
        <v>0</v>
      </c>
      <c r="K69" s="1">
        <f t="shared" si="34"/>
        <v>0</v>
      </c>
      <c r="L69" s="1">
        <f t="shared" si="34"/>
        <v>0</v>
      </c>
      <c r="M69" s="1">
        <f t="shared" si="34"/>
        <v>0</v>
      </c>
      <c r="N69" s="1">
        <f t="shared" si="34"/>
        <v>0</v>
      </c>
      <c r="O69" s="1">
        <f t="shared" si="34"/>
        <v>0</v>
      </c>
      <c r="P69" s="1">
        <f t="shared" si="34"/>
        <v>0</v>
      </c>
      <c r="Q69" s="1">
        <f t="shared" si="34"/>
        <v>0</v>
      </c>
      <c r="R69" s="1">
        <f t="shared" si="34"/>
        <v>0</v>
      </c>
      <c r="S69" s="1">
        <f t="shared" si="34"/>
        <v>0</v>
      </c>
      <c r="T69" s="1">
        <f t="shared" si="34"/>
        <v>0</v>
      </c>
      <c r="U69" s="1">
        <f t="shared" si="34"/>
        <v>0</v>
      </c>
      <c r="V69" s="1">
        <f t="shared" si="34"/>
        <v>0</v>
      </c>
      <c r="W69" s="1">
        <f t="shared" si="34"/>
        <v>0</v>
      </c>
      <c r="X69" s="1">
        <f t="shared" si="34"/>
        <v>0</v>
      </c>
      <c r="Y69" s="1">
        <f t="shared" si="34"/>
        <v>0</v>
      </c>
      <c r="Z69" s="1">
        <f t="shared" si="34"/>
        <v>0</v>
      </c>
      <c r="AA69" s="1">
        <f t="shared" si="34"/>
        <v>0</v>
      </c>
      <c r="AB69" s="1">
        <f t="shared" si="34"/>
        <v>0</v>
      </c>
      <c r="AC69" s="1">
        <f t="shared" si="34"/>
        <v>0</v>
      </c>
      <c r="AD69" s="1">
        <f t="shared" si="34"/>
        <v>0</v>
      </c>
      <c r="AE69" s="1">
        <f t="shared" si="34"/>
        <v>0</v>
      </c>
      <c r="AF69" s="1">
        <f t="shared" si="34"/>
        <v>0</v>
      </c>
      <c r="AG69" s="1">
        <f t="shared" si="34"/>
        <v>0</v>
      </c>
      <c r="AH69" s="1">
        <f t="shared" si="34"/>
        <v>0</v>
      </c>
      <c r="AI69" s="1">
        <f t="shared" si="34"/>
        <v>0</v>
      </c>
      <c r="AJ69" s="1">
        <f t="shared" si="34"/>
        <v>0</v>
      </c>
      <c r="AK69" s="1">
        <f t="shared" si="34"/>
        <v>0</v>
      </c>
      <c r="AL69" s="1">
        <f t="shared" si="34"/>
        <v>6365.6924570898354</v>
      </c>
      <c r="AM69" s="1">
        <f t="shared" si="34"/>
        <v>6047.4078342353441</v>
      </c>
      <c r="AN69" s="1">
        <f t="shared" si="34"/>
        <v>5729.1232113808528</v>
      </c>
      <c r="AO69" s="1">
        <f t="shared" si="34"/>
        <v>5410.8385885263615</v>
      </c>
      <c r="AP69" s="1">
        <f t="shared" si="34"/>
        <v>5092.5539656718702</v>
      </c>
      <c r="AQ69" s="1">
        <f t="shared" si="34"/>
        <v>4774.2693428173789</v>
      </c>
      <c r="AR69" s="1">
        <f t="shared" si="34"/>
        <v>4455.9847199628875</v>
      </c>
      <c r="AS69" s="1">
        <f t="shared" si="34"/>
        <v>4137.7000971083962</v>
      </c>
      <c r="AT69" s="1">
        <f t="shared" si="34"/>
        <v>3819.4154742539044</v>
      </c>
      <c r="AU69" s="1">
        <f t="shared" si="34"/>
        <v>3501.1308513994127</v>
      </c>
      <c r="AV69" s="1">
        <f t="shared" si="34"/>
        <v>3182.8462285449209</v>
      </c>
      <c r="AW69" s="1">
        <f t="shared" si="34"/>
        <v>2864.5616056904291</v>
      </c>
      <c r="AX69" s="1">
        <f t="shared" si="34"/>
        <v>2546.2769828359374</v>
      </c>
      <c r="AY69" s="1">
        <f t="shared" si="34"/>
        <v>2227.9923599814456</v>
      </c>
      <c r="AZ69" s="1">
        <f t="shared" si="34"/>
        <v>1909.7077371269538</v>
      </c>
      <c r="BA69" s="1">
        <f t="shared" si="34"/>
        <v>1591.423114272462</v>
      </c>
      <c r="BB69" s="1">
        <f t="shared" si="34"/>
        <v>1273.1384914179703</v>
      </c>
      <c r="BC69" s="1">
        <f t="shared" si="34"/>
        <v>954.8538685634785</v>
      </c>
      <c r="BD69" s="1">
        <f t="shared" si="34"/>
        <v>636.56924570898673</v>
      </c>
      <c r="BE69" s="1">
        <f t="shared" si="34"/>
        <v>318.28462285449496</v>
      </c>
      <c r="BF69" s="1">
        <f t="shared" si="34"/>
        <v>0</v>
      </c>
      <c r="BG69" s="1">
        <f t="shared" si="34"/>
        <v>0</v>
      </c>
      <c r="BH69" s="1">
        <f t="shared" si="34"/>
        <v>0</v>
      </c>
      <c r="BI69" s="1">
        <f t="shared" si="34"/>
        <v>0</v>
      </c>
      <c r="BJ69" s="1">
        <f t="shared" si="34"/>
        <v>0</v>
      </c>
      <c r="BK69" t="s">
        <v>102</v>
      </c>
    </row>
    <row r="70" spans="1:63" ht="11.25" customHeight="1" x14ac:dyDescent="0.25">
      <c r="B70" s="12" t="s">
        <v>182</v>
      </c>
      <c r="C70" s="22" t="s">
        <v>1</v>
      </c>
      <c r="E70" s="389">
        <f t="shared" si="33"/>
        <v>6365.6924570898318</v>
      </c>
      <c r="F70" s="80" t="s">
        <v>26</v>
      </c>
      <c r="G70" s="1">
        <f>IF(G64&gt;0,$E$65*$D$68,0)</f>
        <v>0</v>
      </c>
      <c r="H70" s="1">
        <f t="shared" ref="H70:BJ70" si="35">IF(H64&gt;0,$E$65*$D$68,0)</f>
        <v>0</v>
      </c>
      <c r="I70" s="1">
        <f t="shared" si="35"/>
        <v>0</v>
      </c>
      <c r="J70" s="1">
        <f t="shared" si="35"/>
        <v>0</v>
      </c>
      <c r="K70" s="1">
        <f t="shared" si="35"/>
        <v>0</v>
      </c>
      <c r="L70" s="1">
        <f t="shared" si="35"/>
        <v>0</v>
      </c>
      <c r="M70" s="1">
        <f t="shared" si="35"/>
        <v>0</v>
      </c>
      <c r="N70" s="1">
        <f t="shared" si="35"/>
        <v>0</v>
      </c>
      <c r="O70" s="1">
        <f t="shared" si="35"/>
        <v>0</v>
      </c>
      <c r="P70" s="1">
        <f t="shared" si="35"/>
        <v>0</v>
      </c>
      <c r="Q70" s="1">
        <f t="shared" si="35"/>
        <v>0</v>
      </c>
      <c r="R70" s="1">
        <f t="shared" si="35"/>
        <v>0</v>
      </c>
      <c r="S70" s="1">
        <f t="shared" si="35"/>
        <v>0</v>
      </c>
      <c r="T70" s="1">
        <f t="shared" si="35"/>
        <v>0</v>
      </c>
      <c r="U70" s="1">
        <f t="shared" si="35"/>
        <v>0</v>
      </c>
      <c r="V70" s="1">
        <f t="shared" si="35"/>
        <v>0</v>
      </c>
      <c r="W70" s="1">
        <f t="shared" si="35"/>
        <v>0</v>
      </c>
      <c r="X70" s="1">
        <f t="shared" si="35"/>
        <v>0</v>
      </c>
      <c r="Y70" s="1">
        <f t="shared" si="35"/>
        <v>0</v>
      </c>
      <c r="Z70" s="1">
        <f t="shared" si="35"/>
        <v>0</v>
      </c>
      <c r="AA70" s="1">
        <f t="shared" si="35"/>
        <v>0</v>
      </c>
      <c r="AB70" s="1">
        <f t="shared" si="35"/>
        <v>0</v>
      </c>
      <c r="AC70" s="1">
        <f t="shared" si="35"/>
        <v>0</v>
      </c>
      <c r="AD70" s="1">
        <f t="shared" si="35"/>
        <v>0</v>
      </c>
      <c r="AE70" s="1">
        <f t="shared" si="35"/>
        <v>0</v>
      </c>
      <c r="AF70" s="1">
        <f t="shared" si="35"/>
        <v>0</v>
      </c>
      <c r="AG70" s="1">
        <f t="shared" si="35"/>
        <v>0</v>
      </c>
      <c r="AH70" s="1">
        <f t="shared" si="35"/>
        <v>0</v>
      </c>
      <c r="AI70" s="1">
        <f t="shared" si="35"/>
        <v>0</v>
      </c>
      <c r="AJ70" s="1">
        <f t="shared" si="35"/>
        <v>0</v>
      </c>
      <c r="AK70" s="1">
        <f t="shared" si="35"/>
        <v>0</v>
      </c>
      <c r="AL70" s="1">
        <f t="shared" si="35"/>
        <v>318.28462285449177</v>
      </c>
      <c r="AM70" s="1">
        <f t="shared" si="35"/>
        <v>318.28462285449177</v>
      </c>
      <c r="AN70" s="1">
        <f t="shared" si="35"/>
        <v>318.28462285449177</v>
      </c>
      <c r="AO70" s="1">
        <f t="shared" si="35"/>
        <v>318.28462285449177</v>
      </c>
      <c r="AP70" s="1">
        <f t="shared" si="35"/>
        <v>318.28462285449177</v>
      </c>
      <c r="AQ70" s="1">
        <f t="shared" si="35"/>
        <v>318.28462285449177</v>
      </c>
      <c r="AR70" s="1">
        <f t="shared" si="35"/>
        <v>318.28462285449177</v>
      </c>
      <c r="AS70" s="1">
        <f t="shared" si="35"/>
        <v>318.28462285449177</v>
      </c>
      <c r="AT70" s="1">
        <f t="shared" si="35"/>
        <v>318.28462285449177</v>
      </c>
      <c r="AU70" s="1">
        <f t="shared" si="35"/>
        <v>318.28462285449177</v>
      </c>
      <c r="AV70" s="1">
        <f t="shared" si="35"/>
        <v>318.28462285449177</v>
      </c>
      <c r="AW70" s="1">
        <f t="shared" si="35"/>
        <v>318.28462285449177</v>
      </c>
      <c r="AX70" s="1">
        <f t="shared" si="35"/>
        <v>318.28462285449177</v>
      </c>
      <c r="AY70" s="1">
        <f t="shared" si="35"/>
        <v>318.28462285449177</v>
      </c>
      <c r="AZ70" s="1">
        <f t="shared" si="35"/>
        <v>318.28462285449177</v>
      </c>
      <c r="BA70" s="1">
        <f t="shared" si="35"/>
        <v>318.28462285449177</v>
      </c>
      <c r="BB70" s="1">
        <f t="shared" si="35"/>
        <v>318.28462285449177</v>
      </c>
      <c r="BC70" s="1">
        <f t="shared" si="35"/>
        <v>318.28462285449177</v>
      </c>
      <c r="BD70" s="1">
        <f t="shared" si="35"/>
        <v>318.28462285449177</v>
      </c>
      <c r="BE70" s="1">
        <f t="shared" si="35"/>
        <v>318.28462285449177</v>
      </c>
      <c r="BF70" s="1">
        <f t="shared" si="35"/>
        <v>0</v>
      </c>
      <c r="BG70" s="1">
        <f t="shared" si="35"/>
        <v>0</v>
      </c>
      <c r="BH70" s="1">
        <f t="shared" si="35"/>
        <v>0</v>
      </c>
      <c r="BI70" s="1">
        <f t="shared" si="35"/>
        <v>0</v>
      </c>
      <c r="BJ70" s="1">
        <f t="shared" si="35"/>
        <v>0</v>
      </c>
      <c r="BK70" t="s">
        <v>102</v>
      </c>
    </row>
    <row r="71" spans="1:63" ht="11.25" customHeight="1" x14ac:dyDescent="0.25">
      <c r="A71" s="12" t="s">
        <v>26</v>
      </c>
      <c r="B71" s="56" t="s">
        <v>171</v>
      </c>
      <c r="C71" s="57" t="s">
        <v>1</v>
      </c>
      <c r="D71" s="56"/>
      <c r="E71" s="389">
        <f t="shared" si="33"/>
        <v>60474.078342353489</v>
      </c>
      <c r="F71" s="321"/>
      <c r="G71" s="58">
        <f>IF(H64=1,0,IF(G69-G70=0,0,G69-G70))</f>
        <v>0</v>
      </c>
      <c r="H71" s="58">
        <f t="shared" ref="H71:BJ71" si="36">IF(I64=1,0,IF(H69-H70=0,0,H69-H70))</f>
        <v>0</v>
      </c>
      <c r="I71" s="58">
        <f t="shared" si="36"/>
        <v>0</v>
      </c>
      <c r="J71" s="58">
        <f t="shared" si="36"/>
        <v>0</v>
      </c>
      <c r="K71" s="58">
        <f t="shared" si="36"/>
        <v>0</v>
      </c>
      <c r="L71" s="58">
        <f t="shared" si="36"/>
        <v>0</v>
      </c>
      <c r="M71" s="58">
        <f t="shared" si="36"/>
        <v>0</v>
      </c>
      <c r="N71" s="58">
        <f t="shared" si="36"/>
        <v>0</v>
      </c>
      <c r="O71" s="58">
        <f t="shared" si="36"/>
        <v>0</v>
      </c>
      <c r="P71" s="58">
        <f t="shared" si="36"/>
        <v>0</v>
      </c>
      <c r="Q71" s="58">
        <f t="shared" si="36"/>
        <v>0</v>
      </c>
      <c r="R71" s="58">
        <f t="shared" si="36"/>
        <v>0</v>
      </c>
      <c r="S71" s="58">
        <f t="shared" si="36"/>
        <v>0</v>
      </c>
      <c r="T71" s="58">
        <f t="shared" si="36"/>
        <v>0</v>
      </c>
      <c r="U71" s="58">
        <f t="shared" si="36"/>
        <v>0</v>
      </c>
      <c r="V71" s="58">
        <f t="shared" si="36"/>
        <v>0</v>
      </c>
      <c r="W71" s="58">
        <f t="shared" si="36"/>
        <v>0</v>
      </c>
      <c r="X71" s="58">
        <f t="shared" si="36"/>
        <v>0</v>
      </c>
      <c r="Y71" s="58">
        <f t="shared" si="36"/>
        <v>0</v>
      </c>
      <c r="Z71" s="58">
        <f t="shared" si="36"/>
        <v>0</v>
      </c>
      <c r="AA71" s="58">
        <f t="shared" si="36"/>
        <v>0</v>
      </c>
      <c r="AB71" s="58">
        <f t="shared" si="36"/>
        <v>0</v>
      </c>
      <c r="AC71" s="58">
        <f t="shared" si="36"/>
        <v>0</v>
      </c>
      <c r="AD71" s="58">
        <f t="shared" si="36"/>
        <v>0</v>
      </c>
      <c r="AE71" s="58">
        <f t="shared" si="36"/>
        <v>0</v>
      </c>
      <c r="AF71" s="58">
        <f t="shared" si="36"/>
        <v>0</v>
      </c>
      <c r="AG71" s="58">
        <f t="shared" si="36"/>
        <v>0</v>
      </c>
      <c r="AH71" s="58">
        <f t="shared" si="36"/>
        <v>0</v>
      </c>
      <c r="AI71" s="58">
        <f t="shared" si="36"/>
        <v>0</v>
      </c>
      <c r="AJ71" s="58">
        <f t="shared" si="36"/>
        <v>0</v>
      </c>
      <c r="AK71" s="58">
        <f t="shared" si="36"/>
        <v>0</v>
      </c>
      <c r="AL71" s="58">
        <f t="shared" si="36"/>
        <v>6047.4078342353441</v>
      </c>
      <c r="AM71" s="58">
        <f t="shared" si="36"/>
        <v>5729.1232113808528</v>
      </c>
      <c r="AN71" s="58">
        <f t="shared" si="36"/>
        <v>5410.8385885263615</v>
      </c>
      <c r="AO71" s="58">
        <f t="shared" si="36"/>
        <v>5092.5539656718702</v>
      </c>
      <c r="AP71" s="58">
        <f t="shared" si="36"/>
        <v>4774.2693428173789</v>
      </c>
      <c r="AQ71" s="58">
        <f t="shared" si="36"/>
        <v>4455.9847199628875</v>
      </c>
      <c r="AR71" s="58">
        <f t="shared" si="36"/>
        <v>4137.7000971083962</v>
      </c>
      <c r="AS71" s="58">
        <f t="shared" si="36"/>
        <v>3819.4154742539044</v>
      </c>
      <c r="AT71" s="58">
        <f t="shared" si="36"/>
        <v>3501.1308513994127</v>
      </c>
      <c r="AU71" s="58">
        <f t="shared" si="36"/>
        <v>3182.8462285449209</v>
      </c>
      <c r="AV71" s="58">
        <f t="shared" si="36"/>
        <v>2864.5616056904291</v>
      </c>
      <c r="AW71" s="58">
        <f t="shared" si="36"/>
        <v>2546.2769828359374</v>
      </c>
      <c r="AX71" s="58">
        <f t="shared" si="36"/>
        <v>2227.9923599814456</v>
      </c>
      <c r="AY71" s="58">
        <f t="shared" si="36"/>
        <v>1909.7077371269538</v>
      </c>
      <c r="AZ71" s="58">
        <f t="shared" si="36"/>
        <v>1591.423114272462</v>
      </c>
      <c r="BA71" s="58">
        <f t="shared" si="36"/>
        <v>1273.1384914179703</v>
      </c>
      <c r="BB71" s="58">
        <f t="shared" si="36"/>
        <v>954.8538685634785</v>
      </c>
      <c r="BC71" s="58">
        <f t="shared" si="36"/>
        <v>636.56924570898673</v>
      </c>
      <c r="BD71" s="58">
        <f t="shared" si="36"/>
        <v>318.28462285449496</v>
      </c>
      <c r="BE71" s="58">
        <f t="shared" si="36"/>
        <v>3.1832314562052488E-12</v>
      </c>
      <c r="BF71" s="58">
        <f t="shared" si="36"/>
        <v>0</v>
      </c>
      <c r="BG71" s="58">
        <f t="shared" si="36"/>
        <v>0</v>
      </c>
      <c r="BH71" s="58">
        <f t="shared" si="36"/>
        <v>0</v>
      </c>
      <c r="BI71" s="58">
        <f t="shared" si="36"/>
        <v>0</v>
      </c>
      <c r="BJ71" s="58">
        <f t="shared" si="36"/>
        <v>0</v>
      </c>
      <c r="BK71" t="s">
        <v>102</v>
      </c>
    </row>
    <row r="72" spans="1:63" ht="11.25" customHeight="1" x14ac:dyDescent="0.25">
      <c r="BK72" t="s">
        <v>102</v>
      </c>
    </row>
    <row r="73" spans="1:63" ht="11.25" customHeight="1" x14ac:dyDescent="0.25">
      <c r="A73" s="12">
        <v>2</v>
      </c>
      <c r="B73" s="12" t="s">
        <v>165</v>
      </c>
      <c r="C73" s="22" t="s">
        <v>108</v>
      </c>
      <c r="E73" s="389">
        <f t="shared" ref="E73:E74" si="37">SUM(G73:BJ73)</f>
        <v>3</v>
      </c>
      <c r="F73" s="80" t="s">
        <v>26</v>
      </c>
      <c r="G73" s="26">
        <f>CapEx!G10</f>
        <v>0</v>
      </c>
      <c r="H73" s="26">
        <f t="shared" ref="H73:AM73" si="38">H32</f>
        <v>0</v>
      </c>
      <c r="I73" s="26">
        <f t="shared" si="38"/>
        <v>0</v>
      </c>
      <c r="J73" s="26">
        <f t="shared" si="38"/>
        <v>0</v>
      </c>
      <c r="K73" s="26">
        <f t="shared" si="38"/>
        <v>0</v>
      </c>
      <c r="L73" s="26">
        <f t="shared" si="38"/>
        <v>0</v>
      </c>
      <c r="M73" s="26">
        <f t="shared" si="38"/>
        <v>0</v>
      </c>
      <c r="N73" s="26">
        <f t="shared" si="38"/>
        <v>0</v>
      </c>
      <c r="O73" s="26">
        <f t="shared" si="38"/>
        <v>0</v>
      </c>
      <c r="P73" s="26">
        <f t="shared" si="38"/>
        <v>0</v>
      </c>
      <c r="Q73" s="26">
        <f t="shared" si="38"/>
        <v>0</v>
      </c>
      <c r="R73" s="26">
        <f t="shared" si="38"/>
        <v>0</v>
      </c>
      <c r="S73" s="26">
        <f t="shared" si="38"/>
        <v>0</v>
      </c>
      <c r="T73" s="26">
        <f t="shared" si="38"/>
        <v>0</v>
      </c>
      <c r="U73" s="26">
        <f t="shared" si="38"/>
        <v>0</v>
      </c>
      <c r="V73" s="26">
        <f t="shared" si="38"/>
        <v>0</v>
      </c>
      <c r="W73" s="26">
        <f t="shared" si="38"/>
        <v>0</v>
      </c>
      <c r="X73" s="26">
        <f t="shared" si="38"/>
        <v>0</v>
      </c>
      <c r="Y73" s="26">
        <f t="shared" si="38"/>
        <v>0</v>
      </c>
      <c r="Z73" s="26">
        <f t="shared" si="38"/>
        <v>0</v>
      </c>
      <c r="AA73" s="26">
        <f t="shared" si="38"/>
        <v>0</v>
      </c>
      <c r="AB73" s="26">
        <f t="shared" si="38"/>
        <v>0</v>
      </c>
      <c r="AC73" s="26">
        <f t="shared" si="38"/>
        <v>0</v>
      </c>
      <c r="AD73" s="26">
        <f t="shared" si="38"/>
        <v>0</v>
      </c>
      <c r="AE73" s="26">
        <f t="shared" si="38"/>
        <v>0</v>
      </c>
      <c r="AF73" s="26">
        <f t="shared" si="38"/>
        <v>0</v>
      </c>
      <c r="AG73" s="26">
        <f t="shared" si="38"/>
        <v>0</v>
      </c>
      <c r="AH73" s="26">
        <f t="shared" si="38"/>
        <v>0</v>
      </c>
      <c r="AI73" s="26">
        <f t="shared" si="38"/>
        <v>0</v>
      </c>
      <c r="AJ73" s="26">
        <f t="shared" si="38"/>
        <v>0</v>
      </c>
      <c r="AK73" s="26">
        <f t="shared" si="38"/>
        <v>0</v>
      </c>
      <c r="AL73" s="26">
        <f t="shared" si="38"/>
        <v>1</v>
      </c>
      <c r="AM73" s="26">
        <f t="shared" si="38"/>
        <v>0</v>
      </c>
      <c r="AN73" s="26">
        <f t="shared" ref="AN73:BJ73" si="39">AN32</f>
        <v>0</v>
      </c>
      <c r="AO73" s="26">
        <f t="shared" si="39"/>
        <v>0</v>
      </c>
      <c r="AP73" s="26">
        <f t="shared" si="39"/>
        <v>0</v>
      </c>
      <c r="AQ73" s="26">
        <f t="shared" si="39"/>
        <v>0</v>
      </c>
      <c r="AR73" s="26">
        <f t="shared" si="39"/>
        <v>0</v>
      </c>
      <c r="AS73" s="26">
        <f t="shared" si="39"/>
        <v>0</v>
      </c>
      <c r="AT73" s="26">
        <f t="shared" si="39"/>
        <v>0</v>
      </c>
      <c r="AU73" s="26">
        <f t="shared" si="39"/>
        <v>0</v>
      </c>
      <c r="AV73" s="26">
        <f t="shared" si="39"/>
        <v>0</v>
      </c>
      <c r="AW73" s="26">
        <f t="shared" si="39"/>
        <v>0</v>
      </c>
      <c r="AX73" s="26">
        <f t="shared" si="39"/>
        <v>0</v>
      </c>
      <c r="AY73" s="26">
        <f t="shared" si="39"/>
        <v>0</v>
      </c>
      <c r="AZ73" s="26">
        <f t="shared" si="39"/>
        <v>0</v>
      </c>
      <c r="BA73" s="26">
        <f t="shared" si="39"/>
        <v>0</v>
      </c>
      <c r="BB73" s="26">
        <f t="shared" si="39"/>
        <v>2</v>
      </c>
      <c r="BC73" s="26">
        <f t="shared" si="39"/>
        <v>0</v>
      </c>
      <c r="BD73" s="26">
        <f t="shared" si="39"/>
        <v>0</v>
      </c>
      <c r="BE73" s="26">
        <f t="shared" si="39"/>
        <v>0</v>
      </c>
      <c r="BF73" s="26">
        <f t="shared" si="39"/>
        <v>0</v>
      </c>
      <c r="BG73" s="26">
        <f t="shared" si="39"/>
        <v>0</v>
      </c>
      <c r="BH73" s="26">
        <f t="shared" si="39"/>
        <v>0</v>
      </c>
      <c r="BI73" s="26">
        <f t="shared" si="39"/>
        <v>0</v>
      </c>
      <c r="BJ73" s="26">
        <f t="shared" si="39"/>
        <v>0</v>
      </c>
      <c r="BK73" t="s">
        <v>102</v>
      </c>
    </row>
    <row r="74" spans="1:63" ht="11.25" customHeight="1" x14ac:dyDescent="0.25">
      <c r="B74" s="12" t="s">
        <v>70</v>
      </c>
      <c r="C74" s="22" t="s">
        <v>108</v>
      </c>
      <c r="E74" s="389">
        <f t="shared" si="37"/>
        <v>45</v>
      </c>
      <c r="F74" s="80" t="s">
        <v>26</v>
      </c>
      <c r="G74" s="26">
        <f>IF(SUM($G$73:G73)=3,F74+1,0)</f>
        <v>0</v>
      </c>
      <c r="H74" s="26">
        <f>IF(SUM($G$73:H73)=3,G74+1,0)</f>
        <v>0</v>
      </c>
      <c r="I74" s="26">
        <f>IF(SUM($G$73:I73)=3,H74+1,0)</f>
        <v>0</v>
      </c>
      <c r="J74" s="26">
        <f>IF(SUM($G$73:J73)=3,I74+1,0)</f>
        <v>0</v>
      </c>
      <c r="K74" s="26">
        <f>IF(SUM($G$73:K73)=3,J74+1,0)</f>
        <v>0</v>
      </c>
      <c r="L74" s="26">
        <f>IF(SUM($G$73:L73)=3,K74+1,0)</f>
        <v>0</v>
      </c>
      <c r="M74" s="26">
        <f>IF(SUM($G$73:M73)=3,L74+1,0)</f>
        <v>0</v>
      </c>
      <c r="N74" s="26">
        <f>IF(SUM($G$73:N73)=3,M74+1,0)</f>
        <v>0</v>
      </c>
      <c r="O74" s="26">
        <f>IF(SUM($G$73:O73)=3,N74+1,0)</f>
        <v>0</v>
      </c>
      <c r="P74" s="26">
        <f>IF(SUM($G$73:P73)=3,O74+1,0)</f>
        <v>0</v>
      </c>
      <c r="Q74" s="26">
        <f>IF(SUM($G$73:Q73)=3,P74+1,0)</f>
        <v>0</v>
      </c>
      <c r="R74" s="26">
        <f>IF(SUM($G$73:R73)=3,Q74+1,0)</f>
        <v>0</v>
      </c>
      <c r="S74" s="26">
        <f>IF(SUM($G$73:S73)=3,R74+1,0)</f>
        <v>0</v>
      </c>
      <c r="T74" s="26">
        <f>IF(SUM($G$73:T73)=3,S74+1,0)</f>
        <v>0</v>
      </c>
      <c r="U74" s="26">
        <f>IF(SUM($G$73:U73)=3,T74+1,0)</f>
        <v>0</v>
      </c>
      <c r="V74" s="26">
        <f>IF(SUM($G$73:V73)=3,U74+1,0)</f>
        <v>0</v>
      </c>
      <c r="W74" s="26">
        <f>IF(SUM($G$73:W73)=3,V74+1,0)</f>
        <v>0</v>
      </c>
      <c r="X74" s="26">
        <f>IF(SUM($G$73:X73)=3,W74+1,0)</f>
        <v>0</v>
      </c>
      <c r="Y74" s="26">
        <f>IF(SUM($G$73:Y73)=3,X74+1,0)</f>
        <v>0</v>
      </c>
      <c r="Z74" s="26">
        <f>IF(SUM($G$73:Z73)=3,Y74+1,0)</f>
        <v>0</v>
      </c>
      <c r="AA74" s="26">
        <f>IF(SUM($G$73:AA73)=3,Z74+1,0)</f>
        <v>0</v>
      </c>
      <c r="AB74" s="26">
        <f>IF(SUM($G$73:AB73)=3,AA74+1,0)</f>
        <v>0</v>
      </c>
      <c r="AC74" s="26">
        <f>IF(SUM($G$73:AC73)=3,AB74+1,0)</f>
        <v>0</v>
      </c>
      <c r="AD74" s="26">
        <f>IF(SUM($G$73:AD73)=3,AC74+1,0)</f>
        <v>0</v>
      </c>
      <c r="AE74" s="26">
        <f>IF(SUM($G$73:AE73)=3,AD74+1,0)</f>
        <v>0</v>
      </c>
      <c r="AF74" s="26">
        <f>IF(SUM($G$73:AF73)=3,AE74+1,0)</f>
        <v>0</v>
      </c>
      <c r="AG74" s="26">
        <f>IF(SUM($G$73:AG73)=3,AF74+1,0)</f>
        <v>0</v>
      </c>
      <c r="AH74" s="26">
        <f>IF(SUM($G$73:AH73)=3,AG74+1,0)</f>
        <v>0</v>
      </c>
      <c r="AI74" s="26">
        <f>IF(SUM($G$73:AI73)=3,AH74+1,0)</f>
        <v>0</v>
      </c>
      <c r="AJ74" s="26">
        <f>IF(SUM($G$73:AJ73)=3,AI74+1,0)</f>
        <v>0</v>
      </c>
      <c r="AK74" s="26">
        <f>IF(SUM($G$73:AK73)=3,AJ74+1,0)</f>
        <v>0</v>
      </c>
      <c r="AL74" s="26">
        <f>IF(SUM($G$73:AL73)=3,AK74+1,0)</f>
        <v>0</v>
      </c>
      <c r="AM74" s="26">
        <f>IF(SUM($G$73:AM73)=3,AL74+1,0)</f>
        <v>0</v>
      </c>
      <c r="AN74" s="26">
        <f>IF(SUM($G$73:AN73)=3,AM74+1,0)</f>
        <v>0</v>
      </c>
      <c r="AO74" s="26">
        <f>IF(SUM($G$73:AO73)=3,AN74+1,0)</f>
        <v>0</v>
      </c>
      <c r="AP74" s="26">
        <f>IF(SUM($G$73:AP73)=3,AO74+1,0)</f>
        <v>0</v>
      </c>
      <c r="AQ74" s="26">
        <f>IF(SUM($G$73:AQ73)=3,AP74+1,0)</f>
        <v>0</v>
      </c>
      <c r="AR74" s="26">
        <f>IF(SUM($G$73:AR73)=3,AQ74+1,0)</f>
        <v>0</v>
      </c>
      <c r="AS74" s="26">
        <f>IF(SUM($G$73:AS73)=3,AR74+1,0)</f>
        <v>0</v>
      </c>
      <c r="AT74" s="26">
        <f>IF(SUM($G$73:AT73)=3,AS74+1,0)</f>
        <v>0</v>
      </c>
      <c r="AU74" s="26">
        <f>IF(SUM($G$73:AU73)=3,AT74+1,0)</f>
        <v>0</v>
      </c>
      <c r="AV74" s="26">
        <f>IF(SUM($G$73:AV73)=3,AU74+1,0)</f>
        <v>0</v>
      </c>
      <c r="AW74" s="26">
        <f>IF(SUM($G$73:AW73)=3,AV74+1,0)</f>
        <v>0</v>
      </c>
      <c r="AX74" s="26">
        <f>IF(SUM($G$73:AX73)=3,AW74+1,0)</f>
        <v>0</v>
      </c>
      <c r="AY74" s="26">
        <f>IF(SUM($G$73:AY73)=3,AX74+1,0)</f>
        <v>0</v>
      </c>
      <c r="AZ74" s="26">
        <f>IF(SUM($G$73:AZ73)=3,AY74+1,0)</f>
        <v>0</v>
      </c>
      <c r="BA74" s="26">
        <f>IF(SUM($G$73:BA73)=3,AZ74+1,0)</f>
        <v>0</v>
      </c>
      <c r="BB74" s="26">
        <f>IF(SUM($G$73:BB73)=3,BA74+1,0)</f>
        <v>1</v>
      </c>
      <c r="BC74" s="26">
        <f>IF(SUM($G$73:BC73)=3,BB74+1,0)</f>
        <v>2</v>
      </c>
      <c r="BD74" s="26">
        <f>IF(SUM($G$73:BD73)=3,BC74+1,0)</f>
        <v>3</v>
      </c>
      <c r="BE74" s="26">
        <f>IF(SUM($G$73:BE73)=3,BD74+1,0)</f>
        <v>4</v>
      </c>
      <c r="BF74" s="26">
        <f>IF(SUM($G$73:BF73)=3,BE74+1,0)</f>
        <v>5</v>
      </c>
      <c r="BG74" s="26">
        <f>IF(SUM($G$73:BG73)=3,BF74+1,0)</f>
        <v>6</v>
      </c>
      <c r="BH74" s="26">
        <f>IF(SUM($G$73:BH73)=3,BG74+1,0)</f>
        <v>7</v>
      </c>
      <c r="BI74" s="26">
        <f>IF(SUM($G$73:BI73)=3,BH74+1,0)</f>
        <v>8</v>
      </c>
      <c r="BJ74" s="26">
        <f>IF(SUM($G$73:BJ73)=3,BI74+1,0)</f>
        <v>9</v>
      </c>
      <c r="BK74" t="s">
        <v>102</v>
      </c>
    </row>
    <row r="75" spans="1:63" ht="11.25" customHeight="1" x14ac:dyDescent="0.25">
      <c r="B75" s="12" t="s">
        <v>172</v>
      </c>
      <c r="C75" s="22" t="s">
        <v>1</v>
      </c>
      <c r="E75" s="390">
        <f>SUM(G75:BJ75)</f>
        <v>7908.612508305514</v>
      </c>
      <c r="F75" s="80" t="s">
        <v>26</v>
      </c>
      <c r="G75" s="1">
        <f t="shared" ref="G75:AL75" si="40">G34</f>
        <v>0</v>
      </c>
      <c r="H75" s="1">
        <f t="shared" si="40"/>
        <v>0</v>
      </c>
      <c r="I75" s="1">
        <f t="shared" si="40"/>
        <v>0</v>
      </c>
      <c r="J75" s="1">
        <f t="shared" si="40"/>
        <v>0</v>
      </c>
      <c r="K75" s="1">
        <f t="shared" si="40"/>
        <v>0</v>
      </c>
      <c r="L75" s="1">
        <f t="shared" si="40"/>
        <v>0</v>
      </c>
      <c r="M75" s="1">
        <f t="shared" si="40"/>
        <v>0</v>
      </c>
      <c r="N75" s="1">
        <f t="shared" si="40"/>
        <v>0</v>
      </c>
      <c r="O75" s="1">
        <f t="shared" si="40"/>
        <v>0</v>
      </c>
      <c r="P75" s="1">
        <f t="shared" si="40"/>
        <v>0</v>
      </c>
      <c r="Q75" s="1">
        <f t="shared" si="40"/>
        <v>0</v>
      </c>
      <c r="R75" s="1">
        <f t="shared" si="40"/>
        <v>0</v>
      </c>
      <c r="S75" s="1">
        <f t="shared" si="40"/>
        <v>0</v>
      </c>
      <c r="T75" s="1">
        <f t="shared" si="40"/>
        <v>0</v>
      </c>
      <c r="U75" s="1">
        <f t="shared" si="40"/>
        <v>0</v>
      </c>
      <c r="V75" s="1">
        <f t="shared" si="40"/>
        <v>0</v>
      </c>
      <c r="W75" s="1">
        <f t="shared" si="40"/>
        <v>0</v>
      </c>
      <c r="X75" s="1">
        <f t="shared" si="40"/>
        <v>0</v>
      </c>
      <c r="Y75" s="1">
        <f t="shared" si="40"/>
        <v>0</v>
      </c>
      <c r="Z75" s="1">
        <f t="shared" si="40"/>
        <v>0</v>
      </c>
      <c r="AA75" s="1">
        <f t="shared" si="40"/>
        <v>0</v>
      </c>
      <c r="AB75" s="1">
        <f t="shared" si="40"/>
        <v>0</v>
      </c>
      <c r="AC75" s="1">
        <f t="shared" si="40"/>
        <v>0</v>
      </c>
      <c r="AD75" s="1">
        <f t="shared" si="40"/>
        <v>0</v>
      </c>
      <c r="AE75" s="1">
        <f t="shared" si="40"/>
        <v>0</v>
      </c>
      <c r="AF75" s="1">
        <f t="shared" si="40"/>
        <v>0</v>
      </c>
      <c r="AG75" s="1">
        <f t="shared" si="40"/>
        <v>0</v>
      </c>
      <c r="AH75" s="1">
        <f t="shared" si="40"/>
        <v>0</v>
      </c>
      <c r="AI75" s="1">
        <f t="shared" si="40"/>
        <v>0</v>
      </c>
      <c r="AJ75" s="1">
        <f t="shared" si="40"/>
        <v>0</v>
      </c>
      <c r="AK75" s="1">
        <f t="shared" si="40"/>
        <v>0</v>
      </c>
      <c r="AL75" s="1">
        <f t="shared" si="40"/>
        <v>0</v>
      </c>
      <c r="AM75" s="1">
        <f t="shared" ref="AM75:BJ75" si="41">AM34</f>
        <v>0</v>
      </c>
      <c r="AN75" s="1">
        <f t="shared" si="41"/>
        <v>0</v>
      </c>
      <c r="AO75" s="1">
        <f t="shared" si="41"/>
        <v>0</v>
      </c>
      <c r="AP75" s="1">
        <f t="shared" si="41"/>
        <v>0</v>
      </c>
      <c r="AQ75" s="1">
        <f t="shared" si="41"/>
        <v>0</v>
      </c>
      <c r="AR75" s="1">
        <f t="shared" si="41"/>
        <v>0</v>
      </c>
      <c r="AS75" s="1">
        <f t="shared" si="41"/>
        <v>0</v>
      </c>
      <c r="AT75" s="1">
        <f t="shared" si="41"/>
        <v>0</v>
      </c>
      <c r="AU75" s="1">
        <f t="shared" si="41"/>
        <v>0</v>
      </c>
      <c r="AV75" s="1">
        <f t="shared" si="41"/>
        <v>0</v>
      </c>
      <c r="AW75" s="1">
        <f t="shared" si="41"/>
        <v>0</v>
      </c>
      <c r="AX75" s="1">
        <f t="shared" si="41"/>
        <v>0</v>
      </c>
      <c r="AY75" s="1">
        <f t="shared" si="41"/>
        <v>0</v>
      </c>
      <c r="AZ75" s="1">
        <f t="shared" si="41"/>
        <v>0</v>
      </c>
      <c r="BA75" s="1">
        <f t="shared" si="41"/>
        <v>0</v>
      </c>
      <c r="BB75" s="1">
        <f t="shared" si="41"/>
        <v>7908.612508305514</v>
      </c>
      <c r="BC75" s="1">
        <f t="shared" si="41"/>
        <v>0</v>
      </c>
      <c r="BD75" s="1">
        <f t="shared" si="41"/>
        <v>0</v>
      </c>
      <c r="BE75" s="1">
        <f t="shared" si="41"/>
        <v>0</v>
      </c>
      <c r="BF75" s="1">
        <f t="shared" si="41"/>
        <v>0</v>
      </c>
      <c r="BG75" s="1">
        <f t="shared" si="41"/>
        <v>0</v>
      </c>
      <c r="BH75" s="1">
        <f t="shared" si="41"/>
        <v>0</v>
      </c>
      <c r="BI75" s="1">
        <f t="shared" si="41"/>
        <v>0</v>
      </c>
      <c r="BJ75" s="1">
        <f t="shared" si="41"/>
        <v>0</v>
      </c>
      <c r="BK75" t="s">
        <v>102</v>
      </c>
    </row>
    <row r="76" spans="1:63" ht="11.25" customHeight="1" x14ac:dyDescent="0.25">
      <c r="B76" s="12" t="s">
        <v>183</v>
      </c>
      <c r="C76" s="22" t="s">
        <v>69</v>
      </c>
      <c r="D76" s="262">
        <f>Assumptions!D143</f>
        <v>10</v>
      </c>
      <c r="BK76" t="s">
        <v>102</v>
      </c>
    </row>
    <row r="77" spans="1:63" ht="11.25" customHeight="1" x14ac:dyDescent="0.25">
      <c r="B77" s="12" t="s">
        <v>183</v>
      </c>
      <c r="C77" s="22" t="s">
        <v>15</v>
      </c>
      <c r="D77" s="262">
        <f>D76*2</f>
        <v>20</v>
      </c>
      <c r="BK77" t="s">
        <v>102</v>
      </c>
    </row>
    <row r="78" spans="1:63" ht="11.25" customHeight="1" x14ac:dyDescent="0.25">
      <c r="B78" s="12" t="s">
        <v>183</v>
      </c>
      <c r="C78" s="22" t="s">
        <v>65</v>
      </c>
      <c r="D78" s="276">
        <f>1/D77</f>
        <v>0.05</v>
      </c>
      <c r="BK78" t="s">
        <v>102</v>
      </c>
    </row>
    <row r="79" spans="1:63" ht="11.25" customHeight="1" x14ac:dyDescent="0.25">
      <c r="B79" s="12" t="s">
        <v>173</v>
      </c>
      <c r="C79" s="22" t="s">
        <v>1</v>
      </c>
      <c r="E79" s="389">
        <f t="shared" ref="E79:E81" si="42">SUM(G79:BJ79)</f>
        <v>56942.010059799693</v>
      </c>
      <c r="F79" s="80" t="s">
        <v>26</v>
      </c>
      <c r="G79" s="1">
        <f t="shared" ref="G79:AL79" si="43">IF(G61&gt;0,G75,IF(G74&gt;0,F79-G80,0))</f>
        <v>0</v>
      </c>
      <c r="H79" s="1">
        <f t="shared" si="43"/>
        <v>0</v>
      </c>
      <c r="I79" s="1">
        <f t="shared" si="43"/>
        <v>0</v>
      </c>
      <c r="J79" s="1">
        <f t="shared" si="43"/>
        <v>0</v>
      </c>
      <c r="K79" s="1">
        <f t="shared" si="43"/>
        <v>0</v>
      </c>
      <c r="L79" s="1">
        <f t="shared" si="43"/>
        <v>0</v>
      </c>
      <c r="M79" s="1">
        <f t="shared" si="43"/>
        <v>0</v>
      </c>
      <c r="N79" s="1">
        <f t="shared" si="43"/>
        <v>0</v>
      </c>
      <c r="O79" s="1">
        <f t="shared" si="43"/>
        <v>0</v>
      </c>
      <c r="P79" s="1">
        <f t="shared" si="43"/>
        <v>0</v>
      </c>
      <c r="Q79" s="1">
        <f t="shared" si="43"/>
        <v>0</v>
      </c>
      <c r="R79" s="1">
        <f t="shared" si="43"/>
        <v>0</v>
      </c>
      <c r="S79" s="1">
        <f t="shared" si="43"/>
        <v>0</v>
      </c>
      <c r="T79" s="1">
        <f t="shared" si="43"/>
        <v>0</v>
      </c>
      <c r="U79" s="1">
        <f t="shared" si="43"/>
        <v>0</v>
      </c>
      <c r="V79" s="1">
        <f t="shared" si="43"/>
        <v>0</v>
      </c>
      <c r="W79" s="1">
        <f t="shared" si="43"/>
        <v>0</v>
      </c>
      <c r="X79" s="1">
        <f t="shared" si="43"/>
        <v>0</v>
      </c>
      <c r="Y79" s="1">
        <f t="shared" si="43"/>
        <v>0</v>
      </c>
      <c r="Z79" s="1">
        <f t="shared" si="43"/>
        <v>0</v>
      </c>
      <c r="AA79" s="1">
        <f t="shared" si="43"/>
        <v>0</v>
      </c>
      <c r="AB79" s="1">
        <f t="shared" si="43"/>
        <v>0</v>
      </c>
      <c r="AC79" s="1">
        <f t="shared" si="43"/>
        <v>0</v>
      </c>
      <c r="AD79" s="1">
        <f t="shared" si="43"/>
        <v>0</v>
      </c>
      <c r="AE79" s="1">
        <f t="shared" si="43"/>
        <v>0</v>
      </c>
      <c r="AF79" s="1">
        <f t="shared" si="43"/>
        <v>0</v>
      </c>
      <c r="AG79" s="1">
        <f t="shared" si="43"/>
        <v>0</v>
      </c>
      <c r="AH79" s="1">
        <f t="shared" si="43"/>
        <v>0</v>
      </c>
      <c r="AI79" s="1">
        <f t="shared" si="43"/>
        <v>0</v>
      </c>
      <c r="AJ79" s="1">
        <f t="shared" si="43"/>
        <v>0</v>
      </c>
      <c r="AK79" s="1">
        <f t="shared" si="43"/>
        <v>0</v>
      </c>
      <c r="AL79" s="1">
        <f t="shared" si="43"/>
        <v>0</v>
      </c>
      <c r="AM79" s="1">
        <f t="shared" ref="AM79:BJ79" si="44">IF(AM61&gt;0,AM75,IF(AM74&gt;0,AL79-AM80,0))</f>
        <v>0</v>
      </c>
      <c r="AN79" s="1">
        <f t="shared" si="44"/>
        <v>0</v>
      </c>
      <c r="AO79" s="1">
        <f t="shared" si="44"/>
        <v>0</v>
      </c>
      <c r="AP79" s="1">
        <f t="shared" si="44"/>
        <v>0</v>
      </c>
      <c r="AQ79" s="1">
        <f t="shared" si="44"/>
        <v>0</v>
      </c>
      <c r="AR79" s="1">
        <f t="shared" si="44"/>
        <v>0</v>
      </c>
      <c r="AS79" s="1">
        <f t="shared" si="44"/>
        <v>0</v>
      </c>
      <c r="AT79" s="1">
        <f t="shared" si="44"/>
        <v>0</v>
      </c>
      <c r="AU79" s="1">
        <f t="shared" si="44"/>
        <v>0</v>
      </c>
      <c r="AV79" s="1">
        <f t="shared" si="44"/>
        <v>0</v>
      </c>
      <c r="AW79" s="1">
        <f t="shared" si="44"/>
        <v>0</v>
      </c>
      <c r="AX79" s="1">
        <f t="shared" si="44"/>
        <v>0</v>
      </c>
      <c r="AY79" s="1">
        <f t="shared" si="44"/>
        <v>0</v>
      </c>
      <c r="AZ79" s="1">
        <f t="shared" si="44"/>
        <v>0</v>
      </c>
      <c r="BA79" s="1">
        <f t="shared" si="44"/>
        <v>0</v>
      </c>
      <c r="BB79" s="1">
        <f t="shared" si="44"/>
        <v>7908.612508305514</v>
      </c>
      <c r="BC79" s="1">
        <f t="shared" si="44"/>
        <v>7513.1818828902378</v>
      </c>
      <c r="BD79" s="1">
        <f t="shared" si="44"/>
        <v>7117.7512574749617</v>
      </c>
      <c r="BE79" s="1">
        <f t="shared" si="44"/>
        <v>6722.3206320596855</v>
      </c>
      <c r="BF79" s="1">
        <f t="shared" si="44"/>
        <v>6326.8900066444094</v>
      </c>
      <c r="BG79" s="1">
        <f t="shared" si="44"/>
        <v>5931.4593812291332</v>
      </c>
      <c r="BH79" s="1">
        <f t="shared" si="44"/>
        <v>5536.0287558138571</v>
      </c>
      <c r="BI79" s="1">
        <f t="shared" si="44"/>
        <v>5140.5981303985809</v>
      </c>
      <c r="BJ79" s="1">
        <f t="shared" si="44"/>
        <v>4745.1675049833048</v>
      </c>
      <c r="BK79" t="s">
        <v>102</v>
      </c>
    </row>
    <row r="80" spans="1:63" ht="11.25" customHeight="1" x14ac:dyDescent="0.25">
      <c r="B80" s="12" t="s">
        <v>184</v>
      </c>
      <c r="C80" s="22" t="s">
        <v>1</v>
      </c>
      <c r="E80" s="389">
        <f t="shared" si="42"/>
        <v>3558.8756287374813</v>
      </c>
      <c r="F80" s="80" t="s">
        <v>26</v>
      </c>
      <c r="G80" s="1">
        <f>IF(G74&gt;0,$D$78*$E$75,0)</f>
        <v>0</v>
      </c>
      <c r="H80" s="1">
        <f t="shared" ref="H80:BJ80" si="45">IF(H74&gt;0,$D$78*$E$75,0)</f>
        <v>0</v>
      </c>
      <c r="I80" s="1">
        <f t="shared" si="45"/>
        <v>0</v>
      </c>
      <c r="J80" s="1">
        <f t="shared" si="45"/>
        <v>0</v>
      </c>
      <c r="K80" s="1">
        <f t="shared" si="45"/>
        <v>0</v>
      </c>
      <c r="L80" s="1">
        <f t="shared" si="45"/>
        <v>0</v>
      </c>
      <c r="M80" s="1">
        <f t="shared" si="45"/>
        <v>0</v>
      </c>
      <c r="N80" s="1">
        <f t="shared" si="45"/>
        <v>0</v>
      </c>
      <c r="O80" s="1">
        <f t="shared" si="45"/>
        <v>0</v>
      </c>
      <c r="P80" s="1">
        <f t="shared" si="45"/>
        <v>0</v>
      </c>
      <c r="Q80" s="1">
        <f t="shared" si="45"/>
        <v>0</v>
      </c>
      <c r="R80" s="1">
        <f t="shared" si="45"/>
        <v>0</v>
      </c>
      <c r="S80" s="1">
        <f t="shared" si="45"/>
        <v>0</v>
      </c>
      <c r="T80" s="1">
        <f t="shared" si="45"/>
        <v>0</v>
      </c>
      <c r="U80" s="1">
        <f t="shared" si="45"/>
        <v>0</v>
      </c>
      <c r="V80" s="1">
        <f t="shared" si="45"/>
        <v>0</v>
      </c>
      <c r="W80" s="1">
        <f t="shared" si="45"/>
        <v>0</v>
      </c>
      <c r="X80" s="1">
        <f t="shared" si="45"/>
        <v>0</v>
      </c>
      <c r="Y80" s="1">
        <f t="shared" si="45"/>
        <v>0</v>
      </c>
      <c r="Z80" s="1">
        <f t="shared" si="45"/>
        <v>0</v>
      </c>
      <c r="AA80" s="1">
        <f t="shared" si="45"/>
        <v>0</v>
      </c>
      <c r="AB80" s="1">
        <f t="shared" si="45"/>
        <v>0</v>
      </c>
      <c r="AC80" s="1">
        <f t="shared" si="45"/>
        <v>0</v>
      </c>
      <c r="AD80" s="1">
        <f t="shared" si="45"/>
        <v>0</v>
      </c>
      <c r="AE80" s="1">
        <f t="shared" si="45"/>
        <v>0</v>
      </c>
      <c r="AF80" s="1">
        <f t="shared" si="45"/>
        <v>0</v>
      </c>
      <c r="AG80" s="1">
        <f t="shared" si="45"/>
        <v>0</v>
      </c>
      <c r="AH80" s="1">
        <f t="shared" si="45"/>
        <v>0</v>
      </c>
      <c r="AI80" s="1">
        <f t="shared" si="45"/>
        <v>0</v>
      </c>
      <c r="AJ80" s="1">
        <f t="shared" si="45"/>
        <v>0</v>
      </c>
      <c r="AK80" s="1">
        <f t="shared" si="45"/>
        <v>0</v>
      </c>
      <c r="AL80" s="1">
        <f t="shared" si="45"/>
        <v>0</v>
      </c>
      <c r="AM80" s="1">
        <f t="shared" si="45"/>
        <v>0</v>
      </c>
      <c r="AN80" s="1">
        <f t="shared" si="45"/>
        <v>0</v>
      </c>
      <c r="AO80" s="1">
        <f t="shared" si="45"/>
        <v>0</v>
      </c>
      <c r="AP80" s="1">
        <f t="shared" si="45"/>
        <v>0</v>
      </c>
      <c r="AQ80" s="1">
        <f t="shared" si="45"/>
        <v>0</v>
      </c>
      <c r="AR80" s="1">
        <f t="shared" si="45"/>
        <v>0</v>
      </c>
      <c r="AS80" s="1">
        <f t="shared" si="45"/>
        <v>0</v>
      </c>
      <c r="AT80" s="1">
        <f t="shared" si="45"/>
        <v>0</v>
      </c>
      <c r="AU80" s="1">
        <f t="shared" si="45"/>
        <v>0</v>
      </c>
      <c r="AV80" s="1">
        <f t="shared" si="45"/>
        <v>0</v>
      </c>
      <c r="AW80" s="1">
        <f t="shared" si="45"/>
        <v>0</v>
      </c>
      <c r="AX80" s="1">
        <f t="shared" si="45"/>
        <v>0</v>
      </c>
      <c r="AY80" s="1">
        <f t="shared" si="45"/>
        <v>0</v>
      </c>
      <c r="AZ80" s="1">
        <f t="shared" si="45"/>
        <v>0</v>
      </c>
      <c r="BA80" s="1">
        <f t="shared" si="45"/>
        <v>0</v>
      </c>
      <c r="BB80" s="1">
        <f t="shared" si="45"/>
        <v>395.4306254152757</v>
      </c>
      <c r="BC80" s="1">
        <f t="shared" si="45"/>
        <v>395.4306254152757</v>
      </c>
      <c r="BD80" s="1">
        <f t="shared" si="45"/>
        <v>395.4306254152757</v>
      </c>
      <c r="BE80" s="1">
        <f t="shared" si="45"/>
        <v>395.4306254152757</v>
      </c>
      <c r="BF80" s="1">
        <f t="shared" si="45"/>
        <v>395.4306254152757</v>
      </c>
      <c r="BG80" s="1">
        <f t="shared" si="45"/>
        <v>395.4306254152757</v>
      </c>
      <c r="BH80" s="1">
        <f t="shared" si="45"/>
        <v>395.4306254152757</v>
      </c>
      <c r="BI80" s="1">
        <f t="shared" si="45"/>
        <v>395.4306254152757</v>
      </c>
      <c r="BJ80" s="1">
        <f t="shared" si="45"/>
        <v>395.4306254152757</v>
      </c>
      <c r="BK80" t="s">
        <v>102</v>
      </c>
    </row>
    <row r="81" spans="1:63" ht="11.25" customHeight="1" x14ac:dyDescent="0.25">
      <c r="A81" s="12" t="s">
        <v>26</v>
      </c>
      <c r="B81" s="56" t="s">
        <v>175</v>
      </c>
      <c r="C81" s="57" t="s">
        <v>1</v>
      </c>
      <c r="D81" s="56"/>
      <c r="E81" s="389">
        <f t="shared" si="42"/>
        <v>53383.134431062208</v>
      </c>
      <c r="F81" s="321" t="s">
        <v>26</v>
      </c>
      <c r="G81" s="58">
        <f t="shared" ref="G81" si="46">IF(AND(G74=0,H74=1),0,G79-G80)</f>
        <v>0</v>
      </c>
      <c r="H81" s="58">
        <f t="shared" ref="H81" si="47">IF(AND(H74=0,I74=1),0,H79-H80)</f>
        <v>0</v>
      </c>
      <c r="I81" s="58">
        <f t="shared" ref="I81" si="48">IF(AND(I74=0,J74=1),0,I79-I80)</f>
        <v>0</v>
      </c>
      <c r="J81" s="58">
        <f t="shared" ref="J81" si="49">IF(AND(J74=0,K74=1),0,J79-J80)</f>
        <v>0</v>
      </c>
      <c r="K81" s="58">
        <f t="shared" ref="K81" si="50">IF(AND(K74=0,L74=1),0,K79-K80)</f>
        <v>0</v>
      </c>
      <c r="L81" s="58">
        <f t="shared" ref="L81" si="51">IF(AND(L74=0,M74=1),0,L79-L80)</f>
        <v>0</v>
      </c>
      <c r="M81" s="58">
        <f t="shared" ref="M81" si="52">IF(AND(M74=0,N74=1),0,M79-M80)</f>
        <v>0</v>
      </c>
      <c r="N81" s="58">
        <f t="shared" ref="N81" si="53">IF(AND(N74=0,O74=1),0,N79-N80)</f>
        <v>0</v>
      </c>
      <c r="O81" s="58">
        <f t="shared" ref="O81" si="54">IF(AND(O74=0,P74=1),0,O79-O80)</f>
        <v>0</v>
      </c>
      <c r="P81" s="58">
        <f t="shared" ref="P81" si="55">IF(AND(P74=0,Q74=1),0,P79-P80)</f>
        <v>0</v>
      </c>
      <c r="Q81" s="58">
        <f t="shared" ref="Q81" si="56">IF(AND(Q74=0,R74=1),0,Q79-Q80)</f>
        <v>0</v>
      </c>
      <c r="R81" s="58">
        <f t="shared" ref="R81" si="57">IF(AND(R74=0,S74=1),0,R79-R80)</f>
        <v>0</v>
      </c>
      <c r="S81" s="58">
        <f t="shared" ref="S81" si="58">IF(AND(S74=0,T74=1),0,S79-S80)</f>
        <v>0</v>
      </c>
      <c r="T81" s="58">
        <f t="shared" ref="T81" si="59">IF(AND(T74=0,U74=1),0,T79-T80)</f>
        <v>0</v>
      </c>
      <c r="U81" s="58">
        <f t="shared" ref="U81" si="60">IF(AND(U74=0,V74=1),0,U79-U80)</f>
        <v>0</v>
      </c>
      <c r="V81" s="58">
        <f t="shared" ref="V81" si="61">IF(AND(V74=0,W74=1),0,V79-V80)</f>
        <v>0</v>
      </c>
      <c r="W81" s="58">
        <f t="shared" ref="W81" si="62">IF(AND(W74=0,X74=1),0,W79-W80)</f>
        <v>0</v>
      </c>
      <c r="X81" s="58">
        <f t="shared" ref="X81" si="63">IF(AND(X74=0,Y74=1),0,X79-X80)</f>
        <v>0</v>
      </c>
      <c r="Y81" s="58">
        <f t="shared" ref="Y81" si="64">IF(AND(Y74=0,Z74=1),0,Y79-Y80)</f>
        <v>0</v>
      </c>
      <c r="Z81" s="58">
        <f t="shared" ref="Z81" si="65">IF(AND(Z74=0,AA74=1),0,Z79-Z80)</f>
        <v>0</v>
      </c>
      <c r="AA81" s="58">
        <f t="shared" ref="AA81" si="66">IF(AND(AA74=0,AB74=1),0,AA79-AA80)</f>
        <v>0</v>
      </c>
      <c r="AB81" s="58">
        <f t="shared" ref="AB81" si="67">IF(AND(AB74=0,AC74=1),0,AB79-AB80)</f>
        <v>0</v>
      </c>
      <c r="AC81" s="58">
        <f t="shared" ref="AC81" si="68">IF(AND(AC74=0,AD74=1),0,AC79-AC80)</f>
        <v>0</v>
      </c>
      <c r="AD81" s="58">
        <f t="shared" ref="AD81" si="69">IF(AND(AD74=0,AE74=1),0,AD79-AD80)</f>
        <v>0</v>
      </c>
      <c r="AE81" s="58">
        <f t="shared" ref="AE81" si="70">IF(AND(AE74=0,AF74=1),0,AE79-AE80)</f>
        <v>0</v>
      </c>
      <c r="AF81" s="58">
        <f t="shared" ref="AF81" si="71">IF(AND(AF74=0,AG74=1),0,AF79-AF80)</f>
        <v>0</v>
      </c>
      <c r="AG81" s="58">
        <f t="shared" ref="AG81" si="72">IF(AND(AG74=0,AH74=1),0,AG79-AG80)</f>
        <v>0</v>
      </c>
      <c r="AH81" s="58">
        <f t="shared" ref="AH81" si="73">IF(AND(AH74=0,AI74=1),0,AH79-AH80)</f>
        <v>0</v>
      </c>
      <c r="AI81" s="58">
        <f t="shared" ref="AI81" si="74">IF(AND(AI74=0,AJ74=1),0,AI79-AI80)</f>
        <v>0</v>
      </c>
      <c r="AJ81" s="58">
        <f t="shared" ref="AJ81" si="75">IF(AND(AJ74=0,AK74=1),0,AJ79-AJ80)</f>
        <v>0</v>
      </c>
      <c r="AK81" s="58">
        <f t="shared" ref="AK81" si="76">IF(AND(AK74=0,AL74=1),0,AK79-AK80)</f>
        <v>0</v>
      </c>
      <c r="AL81" s="58">
        <f t="shared" ref="AL81" si="77">IF(AND(AL74=0,AM74=1),0,AL79-AL80)</f>
        <v>0</v>
      </c>
      <c r="AM81" s="58">
        <f t="shared" ref="AM81" si="78">IF(AND(AM74=0,AN74=1),0,AM79-AM80)</f>
        <v>0</v>
      </c>
      <c r="AN81" s="58">
        <f t="shared" ref="AN81" si="79">IF(AND(AN74=0,AO74=1),0,AN79-AN80)</f>
        <v>0</v>
      </c>
      <c r="AO81" s="58">
        <f t="shared" ref="AO81" si="80">IF(AND(AO74=0,AP74=1),0,AO79-AO80)</f>
        <v>0</v>
      </c>
      <c r="AP81" s="58">
        <f t="shared" ref="AP81" si="81">IF(AND(AP74=0,AQ74=1),0,AP79-AP80)</f>
        <v>0</v>
      </c>
      <c r="AQ81" s="58">
        <f t="shared" ref="AQ81" si="82">IF(AND(AQ74=0,AR74=1),0,AQ79-AQ80)</f>
        <v>0</v>
      </c>
      <c r="AR81" s="58">
        <f t="shared" ref="AR81" si="83">IF(AND(AR74=0,AS74=1),0,AR79-AR80)</f>
        <v>0</v>
      </c>
      <c r="AS81" s="58">
        <f t="shared" ref="AS81" si="84">IF(AND(AS74=0,AT74=1),0,AS79-AS80)</f>
        <v>0</v>
      </c>
      <c r="AT81" s="58">
        <f t="shared" ref="AT81" si="85">IF(AND(AT74=0,AU74=1),0,AT79-AT80)</f>
        <v>0</v>
      </c>
      <c r="AU81" s="58">
        <f t="shared" ref="AU81" si="86">IF(AND(AU74=0,AV74=1),0,AU79-AU80)</f>
        <v>0</v>
      </c>
      <c r="AV81" s="58">
        <f t="shared" ref="AV81" si="87">IF(AND(AV74=0,AW74=1),0,AV79-AV80)</f>
        <v>0</v>
      </c>
      <c r="AW81" s="58">
        <f t="shared" ref="AW81" si="88">IF(AND(AW74=0,AX74=1),0,AW79-AW80)</f>
        <v>0</v>
      </c>
      <c r="AX81" s="58">
        <f t="shared" ref="AX81" si="89">IF(AND(AX74=0,AY74=1),0,AX79-AX80)</f>
        <v>0</v>
      </c>
      <c r="AY81" s="58">
        <f t="shared" ref="AY81" si="90">IF(AND(AY74=0,AZ74=1),0,AY79-AY80)</f>
        <v>0</v>
      </c>
      <c r="AZ81" s="58">
        <f t="shared" ref="AZ81" si="91">IF(AND(AZ74=0,BA74=1),0,AZ79-AZ80)</f>
        <v>0</v>
      </c>
      <c r="BA81" s="58">
        <f t="shared" ref="BA81" si="92">IF(AND(BA74=0,BB74=1),0,BA79-BA80)</f>
        <v>0</v>
      </c>
      <c r="BB81" s="58">
        <f t="shared" ref="BB81" si="93">IF(AND(BB74=0,BC74=1),0,BB79-BB80)</f>
        <v>7513.1818828902378</v>
      </c>
      <c r="BC81" s="58">
        <f t="shared" ref="BC81" si="94">IF(AND(BC74=0,BD74=1),0,BC79-BC80)</f>
        <v>7117.7512574749617</v>
      </c>
      <c r="BD81" s="58">
        <f t="shared" ref="BD81" si="95">IF(AND(BD74=0,BE74=1),0,BD79-BD80)</f>
        <v>6722.3206320596855</v>
      </c>
      <c r="BE81" s="58">
        <f t="shared" ref="BE81" si="96">IF(AND(BE74=0,BF74=1),0,BE79-BE80)</f>
        <v>6326.8900066444094</v>
      </c>
      <c r="BF81" s="58">
        <f t="shared" ref="BF81" si="97">IF(AND(BF74=0,BG74=1),0,BF79-BF80)</f>
        <v>5931.4593812291332</v>
      </c>
      <c r="BG81" s="58">
        <f t="shared" ref="BG81" si="98">IF(AND(BG74=0,BH74=1),0,BG79-BG80)</f>
        <v>5536.0287558138571</v>
      </c>
      <c r="BH81" s="58">
        <f t="shared" ref="BH81" si="99">IF(AND(BH74=0,BI74=1),0,BH79-BH80)</f>
        <v>5140.5981303985809</v>
      </c>
      <c r="BI81" s="58">
        <f t="shared" ref="BI81" si="100">IF(AND(BI74=0,BJ74=1),0,BI79-BI80)</f>
        <v>4745.1675049833048</v>
      </c>
      <c r="BJ81" s="58">
        <f t="shared" ref="BJ81" si="101">IF(AND(BJ74=0,BK74=1),0,BJ79-BJ80)</f>
        <v>4349.7368795680286</v>
      </c>
      <c r="BK81" t="s">
        <v>102</v>
      </c>
    </row>
    <row r="82" spans="1:63" ht="11.25" customHeight="1" x14ac:dyDescent="0.25">
      <c r="B82" s="17"/>
      <c r="C82" s="29"/>
      <c r="D82" s="17"/>
      <c r="E82" s="393"/>
      <c r="F82" s="313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59"/>
      <c r="AA82" s="59"/>
      <c r="AB82" s="59"/>
      <c r="AC82" s="59"/>
      <c r="AD82" s="59"/>
      <c r="AE82" s="59"/>
      <c r="AF82" s="59"/>
      <c r="AG82" s="59"/>
      <c r="AH82" s="59"/>
      <c r="AI82" s="59"/>
      <c r="AJ82" s="59"/>
      <c r="AK82" s="59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59"/>
      <c r="AW82" s="59"/>
      <c r="AX82" s="59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t="s">
        <v>102</v>
      </c>
    </row>
    <row r="83" spans="1:63" ht="11.25" customHeight="1" x14ac:dyDescent="0.25">
      <c r="B83" s="25" t="s">
        <v>185</v>
      </c>
      <c r="C83" s="22" t="s">
        <v>1</v>
      </c>
      <c r="E83" s="389">
        <f t="shared" ref="E83:E85" si="102">SUM(G83:BJ83)</f>
        <v>10341442.097955208</v>
      </c>
      <c r="F83" s="80" t="s">
        <v>26</v>
      </c>
      <c r="G83" s="1">
        <f t="shared" ref="G83:AL83" si="103">SUM(G57,G69,G79)</f>
        <v>0</v>
      </c>
      <c r="H83" s="1">
        <f t="shared" si="103"/>
        <v>0</v>
      </c>
      <c r="I83" s="1">
        <f t="shared" si="103"/>
        <v>0</v>
      </c>
      <c r="J83" s="1">
        <f t="shared" si="103"/>
        <v>0</v>
      </c>
      <c r="K83" s="1">
        <f t="shared" si="103"/>
        <v>0</v>
      </c>
      <c r="L83" s="1">
        <f t="shared" si="103"/>
        <v>0</v>
      </c>
      <c r="M83" s="1">
        <f t="shared" si="103"/>
        <v>0</v>
      </c>
      <c r="N83" s="1">
        <f t="shared" si="103"/>
        <v>0</v>
      </c>
      <c r="O83" s="1">
        <f t="shared" si="103"/>
        <v>0</v>
      </c>
      <c r="P83" s="1">
        <f t="shared" si="103"/>
        <v>0</v>
      </c>
      <c r="Q83" s="1">
        <f t="shared" si="103"/>
        <v>0</v>
      </c>
      <c r="R83" s="1">
        <f t="shared" si="103"/>
        <v>0</v>
      </c>
      <c r="S83" s="1">
        <f t="shared" si="103"/>
        <v>0</v>
      </c>
      <c r="T83" s="1">
        <f t="shared" si="103"/>
        <v>0</v>
      </c>
      <c r="U83" s="1">
        <f t="shared" si="103"/>
        <v>0</v>
      </c>
      <c r="V83" s="1">
        <f t="shared" si="103"/>
        <v>0</v>
      </c>
      <c r="W83" s="1">
        <f t="shared" si="103"/>
        <v>354077.33772114705</v>
      </c>
      <c r="X83" s="1">
        <f t="shared" si="103"/>
        <v>349019.09003941639</v>
      </c>
      <c r="Y83" s="1">
        <f t="shared" si="103"/>
        <v>343960.84235768573</v>
      </c>
      <c r="Z83" s="1">
        <f t="shared" si="103"/>
        <v>338902.59467595507</v>
      </c>
      <c r="AA83" s="1">
        <f t="shared" si="103"/>
        <v>333844.34699422441</v>
      </c>
      <c r="AB83" s="1">
        <f t="shared" si="103"/>
        <v>328786.09931249375</v>
      </c>
      <c r="AC83" s="1">
        <f t="shared" si="103"/>
        <v>323727.85163076309</v>
      </c>
      <c r="AD83" s="1">
        <f t="shared" si="103"/>
        <v>318669.60394903243</v>
      </c>
      <c r="AE83" s="1">
        <f t="shared" si="103"/>
        <v>313611.35626730177</v>
      </c>
      <c r="AF83" s="1">
        <f t="shared" si="103"/>
        <v>308553.10858557111</v>
      </c>
      <c r="AG83" s="1">
        <f t="shared" si="103"/>
        <v>303494.86090384045</v>
      </c>
      <c r="AH83" s="1">
        <f t="shared" si="103"/>
        <v>298436.61322210979</v>
      </c>
      <c r="AI83" s="1">
        <f t="shared" si="103"/>
        <v>293378.36554037913</v>
      </c>
      <c r="AJ83" s="1">
        <f t="shared" si="103"/>
        <v>288320.11785864847</v>
      </c>
      <c r="AK83" s="1">
        <f t="shared" si="103"/>
        <v>283261.87017691782</v>
      </c>
      <c r="AL83" s="1">
        <f t="shared" si="103"/>
        <v>284569.314952277</v>
      </c>
      <c r="AM83" s="1">
        <f t="shared" ref="AM83:BJ83" si="104">SUM(AM57,AM69,AM79)</f>
        <v>279192.78264769184</v>
      </c>
      <c r="AN83" s="1">
        <f t="shared" si="104"/>
        <v>273816.25034310669</v>
      </c>
      <c r="AO83" s="1">
        <f t="shared" si="104"/>
        <v>268439.71803852153</v>
      </c>
      <c r="AP83" s="1">
        <f t="shared" si="104"/>
        <v>263063.18573393638</v>
      </c>
      <c r="AQ83" s="1">
        <f t="shared" si="104"/>
        <v>257686.65342935122</v>
      </c>
      <c r="AR83" s="1">
        <f t="shared" si="104"/>
        <v>252310.1211247661</v>
      </c>
      <c r="AS83" s="1">
        <f t="shared" si="104"/>
        <v>246933.58882018094</v>
      </c>
      <c r="AT83" s="1">
        <f t="shared" si="104"/>
        <v>241557.05651559579</v>
      </c>
      <c r="AU83" s="1">
        <f t="shared" si="104"/>
        <v>236180.52421101063</v>
      </c>
      <c r="AV83" s="1">
        <f t="shared" si="104"/>
        <v>230803.99190642548</v>
      </c>
      <c r="AW83" s="1">
        <f t="shared" si="104"/>
        <v>225427.45960184032</v>
      </c>
      <c r="AX83" s="1">
        <f t="shared" si="104"/>
        <v>220050.92729725517</v>
      </c>
      <c r="AY83" s="1">
        <f t="shared" si="104"/>
        <v>214674.39499267002</v>
      </c>
      <c r="AZ83" s="1">
        <f t="shared" si="104"/>
        <v>209297.86268808486</v>
      </c>
      <c r="BA83" s="1">
        <f t="shared" si="104"/>
        <v>203921.33038349974</v>
      </c>
      <c r="BB83" s="1">
        <f t="shared" si="104"/>
        <v>206453.4105872201</v>
      </c>
      <c r="BC83" s="1">
        <f t="shared" si="104"/>
        <v>200681.44765721966</v>
      </c>
      <c r="BD83" s="1">
        <f t="shared" si="104"/>
        <v>194909.48472721924</v>
      </c>
      <c r="BE83" s="1">
        <f t="shared" si="104"/>
        <v>189137.5217972188</v>
      </c>
      <c r="BF83" s="1">
        <f t="shared" si="104"/>
        <v>183365.55886721838</v>
      </c>
      <c r="BG83" s="1">
        <f t="shared" si="104"/>
        <v>177911.88056007243</v>
      </c>
      <c r="BH83" s="1">
        <f t="shared" si="104"/>
        <v>172458.20225292651</v>
      </c>
      <c r="BI83" s="1">
        <f t="shared" si="104"/>
        <v>167004.52394578056</v>
      </c>
      <c r="BJ83" s="1">
        <f t="shared" si="104"/>
        <v>161550.84563863464</v>
      </c>
      <c r="BK83" t="s">
        <v>102</v>
      </c>
    </row>
    <row r="84" spans="1:63" ht="11.25" customHeight="1" x14ac:dyDescent="0.25">
      <c r="B84" s="18" t="s">
        <v>186</v>
      </c>
      <c r="C84" s="29" t="s">
        <v>1</v>
      </c>
      <c r="D84" s="17"/>
      <c r="E84" s="389">
        <f t="shared" si="102"/>
        <v>212254.47535505425</v>
      </c>
      <c r="F84" s="80" t="s">
        <v>26</v>
      </c>
      <c r="G84" s="59">
        <f t="shared" ref="G84:AL84" si="105">SUM(G58,G70,G80)</f>
        <v>0</v>
      </c>
      <c r="H84" s="59">
        <f t="shared" si="105"/>
        <v>0</v>
      </c>
      <c r="I84" s="59">
        <f t="shared" si="105"/>
        <v>0</v>
      </c>
      <c r="J84" s="59">
        <f t="shared" si="105"/>
        <v>0</v>
      </c>
      <c r="K84" s="59">
        <f t="shared" si="105"/>
        <v>0</v>
      </c>
      <c r="L84" s="59">
        <f t="shared" si="105"/>
        <v>0</v>
      </c>
      <c r="M84" s="59">
        <f t="shared" si="105"/>
        <v>0</v>
      </c>
      <c r="N84" s="59">
        <f t="shared" si="105"/>
        <v>0</v>
      </c>
      <c r="O84" s="59">
        <f t="shared" si="105"/>
        <v>0</v>
      </c>
      <c r="P84" s="59">
        <f t="shared" si="105"/>
        <v>0</v>
      </c>
      <c r="Q84" s="59">
        <f t="shared" si="105"/>
        <v>0</v>
      </c>
      <c r="R84" s="59">
        <f t="shared" si="105"/>
        <v>0</v>
      </c>
      <c r="S84" s="59">
        <f t="shared" si="105"/>
        <v>0</v>
      </c>
      <c r="T84" s="59">
        <f t="shared" si="105"/>
        <v>0</v>
      </c>
      <c r="U84" s="59">
        <f t="shared" si="105"/>
        <v>0</v>
      </c>
      <c r="V84" s="59">
        <f t="shared" si="105"/>
        <v>0</v>
      </c>
      <c r="W84" s="59">
        <f t="shared" si="105"/>
        <v>5058.2476817306724</v>
      </c>
      <c r="X84" s="59">
        <f t="shared" si="105"/>
        <v>5058.2476817306724</v>
      </c>
      <c r="Y84" s="59">
        <f t="shared" si="105"/>
        <v>5058.2476817306724</v>
      </c>
      <c r="Z84" s="59">
        <f t="shared" si="105"/>
        <v>5058.2476817306724</v>
      </c>
      <c r="AA84" s="59">
        <f t="shared" si="105"/>
        <v>5058.2476817306724</v>
      </c>
      <c r="AB84" s="59">
        <f t="shared" si="105"/>
        <v>5058.2476817306724</v>
      </c>
      <c r="AC84" s="59">
        <f t="shared" si="105"/>
        <v>5058.2476817306724</v>
      </c>
      <c r="AD84" s="59">
        <f t="shared" si="105"/>
        <v>5058.2476817306724</v>
      </c>
      <c r="AE84" s="59">
        <f t="shared" si="105"/>
        <v>5058.2476817306724</v>
      </c>
      <c r="AF84" s="59">
        <f t="shared" si="105"/>
        <v>5058.2476817306724</v>
      </c>
      <c r="AG84" s="59">
        <f t="shared" si="105"/>
        <v>5058.2476817306724</v>
      </c>
      <c r="AH84" s="59">
        <f t="shared" si="105"/>
        <v>5058.2476817306724</v>
      </c>
      <c r="AI84" s="59">
        <f t="shared" si="105"/>
        <v>5058.2476817306724</v>
      </c>
      <c r="AJ84" s="59">
        <f t="shared" si="105"/>
        <v>5058.2476817306724</v>
      </c>
      <c r="AK84" s="59">
        <f t="shared" si="105"/>
        <v>5058.2476817306724</v>
      </c>
      <c r="AL84" s="59">
        <f t="shared" si="105"/>
        <v>5376.5323045851637</v>
      </c>
      <c r="AM84" s="59">
        <f t="shared" ref="AM84:BJ84" si="106">SUM(AM58,AM70,AM80)</f>
        <v>5376.5323045851637</v>
      </c>
      <c r="AN84" s="59">
        <f t="shared" si="106"/>
        <v>5376.5323045851637</v>
      </c>
      <c r="AO84" s="59">
        <f t="shared" si="106"/>
        <v>5376.5323045851637</v>
      </c>
      <c r="AP84" s="59">
        <f t="shared" si="106"/>
        <v>5376.5323045851637</v>
      </c>
      <c r="AQ84" s="59">
        <f t="shared" si="106"/>
        <v>5376.5323045851637</v>
      </c>
      <c r="AR84" s="59">
        <f t="shared" si="106"/>
        <v>5376.5323045851637</v>
      </c>
      <c r="AS84" s="59">
        <f t="shared" si="106"/>
        <v>5376.5323045851637</v>
      </c>
      <c r="AT84" s="59">
        <f t="shared" si="106"/>
        <v>5376.5323045851637</v>
      </c>
      <c r="AU84" s="59">
        <f t="shared" si="106"/>
        <v>5376.5323045851637</v>
      </c>
      <c r="AV84" s="59">
        <f t="shared" si="106"/>
        <v>5376.5323045851637</v>
      </c>
      <c r="AW84" s="59">
        <f t="shared" si="106"/>
        <v>5376.5323045851637</v>
      </c>
      <c r="AX84" s="59">
        <f t="shared" si="106"/>
        <v>5376.5323045851637</v>
      </c>
      <c r="AY84" s="59">
        <f t="shared" si="106"/>
        <v>5376.5323045851637</v>
      </c>
      <c r="AZ84" s="59">
        <f t="shared" si="106"/>
        <v>5376.5323045851637</v>
      </c>
      <c r="BA84" s="59">
        <f t="shared" si="106"/>
        <v>5376.5323045851637</v>
      </c>
      <c r="BB84" s="59">
        <f t="shared" si="106"/>
        <v>5771.9629300004399</v>
      </c>
      <c r="BC84" s="59">
        <f t="shared" si="106"/>
        <v>5771.9629300004399</v>
      </c>
      <c r="BD84" s="59">
        <f t="shared" si="106"/>
        <v>5771.9629300004399</v>
      </c>
      <c r="BE84" s="59">
        <f t="shared" si="106"/>
        <v>5771.9629300004399</v>
      </c>
      <c r="BF84" s="59">
        <f t="shared" si="106"/>
        <v>5453.6783071459486</v>
      </c>
      <c r="BG84" s="59">
        <f t="shared" si="106"/>
        <v>5453.6783071459486</v>
      </c>
      <c r="BH84" s="59">
        <f t="shared" si="106"/>
        <v>5453.6783071459486</v>
      </c>
      <c r="BI84" s="59">
        <f t="shared" si="106"/>
        <v>5453.6783071459486</v>
      </c>
      <c r="BJ84" s="59">
        <f t="shared" si="106"/>
        <v>5453.6783071459486</v>
      </c>
      <c r="BK84" t="s">
        <v>102</v>
      </c>
    </row>
    <row r="85" spans="1:63" ht="11.25" customHeight="1" x14ac:dyDescent="0.25">
      <c r="A85" s="12" t="s">
        <v>26</v>
      </c>
      <c r="B85" s="226" t="s">
        <v>187</v>
      </c>
      <c r="C85" s="223" t="s">
        <v>1</v>
      </c>
      <c r="D85" s="222"/>
      <c r="E85" s="391">
        <f t="shared" si="102"/>
        <v>10483264.960321303</v>
      </c>
      <c r="F85" s="323" t="s">
        <v>26</v>
      </c>
      <c r="G85" s="224">
        <f t="shared" ref="G85:AL85" si="107">SUM(G59,G71,G81)</f>
        <v>0</v>
      </c>
      <c r="H85" s="224">
        <f t="shared" si="107"/>
        <v>0</v>
      </c>
      <c r="I85" s="224">
        <f t="shared" si="107"/>
        <v>0</v>
      </c>
      <c r="J85" s="224">
        <f t="shared" si="107"/>
        <v>0</v>
      </c>
      <c r="K85" s="224">
        <f t="shared" si="107"/>
        <v>0</v>
      </c>
      <c r="L85" s="224">
        <f t="shared" si="107"/>
        <v>0</v>
      </c>
      <c r="M85" s="224">
        <f t="shared" si="107"/>
        <v>0</v>
      </c>
      <c r="N85" s="224">
        <f t="shared" si="107"/>
        <v>0</v>
      </c>
      <c r="O85" s="224">
        <f t="shared" si="107"/>
        <v>0</v>
      </c>
      <c r="P85" s="224">
        <f t="shared" si="107"/>
        <v>0</v>
      </c>
      <c r="Q85" s="224">
        <f t="shared" si="107"/>
        <v>0</v>
      </c>
      <c r="R85" s="224">
        <f t="shared" si="107"/>
        <v>0</v>
      </c>
      <c r="S85" s="224">
        <f t="shared" si="107"/>
        <v>0</v>
      </c>
      <c r="T85" s="224">
        <f t="shared" si="107"/>
        <v>0</v>
      </c>
      <c r="U85" s="224">
        <f t="shared" si="107"/>
        <v>0</v>
      </c>
      <c r="V85" s="224">
        <f t="shared" si="107"/>
        <v>354077.33772114705</v>
      </c>
      <c r="W85" s="224">
        <f t="shared" si="107"/>
        <v>349019.09003941639</v>
      </c>
      <c r="X85" s="224">
        <f t="shared" si="107"/>
        <v>343960.84235768573</v>
      </c>
      <c r="Y85" s="224">
        <f t="shared" si="107"/>
        <v>338902.59467595507</v>
      </c>
      <c r="Z85" s="224">
        <f t="shared" si="107"/>
        <v>333844.34699422441</v>
      </c>
      <c r="AA85" s="224">
        <f t="shared" si="107"/>
        <v>328786.09931249375</v>
      </c>
      <c r="AB85" s="224">
        <f t="shared" si="107"/>
        <v>323727.85163076309</v>
      </c>
      <c r="AC85" s="224">
        <f t="shared" si="107"/>
        <v>318669.60394903243</v>
      </c>
      <c r="AD85" s="224">
        <f t="shared" si="107"/>
        <v>313611.35626730177</v>
      </c>
      <c r="AE85" s="224">
        <f t="shared" si="107"/>
        <v>308553.10858557111</v>
      </c>
      <c r="AF85" s="224">
        <f t="shared" si="107"/>
        <v>303494.86090384045</v>
      </c>
      <c r="AG85" s="224">
        <f t="shared" si="107"/>
        <v>298436.61322210979</v>
      </c>
      <c r="AH85" s="224">
        <f t="shared" si="107"/>
        <v>293378.36554037913</v>
      </c>
      <c r="AI85" s="224">
        <f t="shared" si="107"/>
        <v>288320.11785864847</v>
      </c>
      <c r="AJ85" s="224">
        <f t="shared" si="107"/>
        <v>283261.87017691782</v>
      </c>
      <c r="AK85" s="224">
        <f t="shared" si="107"/>
        <v>278203.62249518716</v>
      </c>
      <c r="AL85" s="224">
        <f t="shared" si="107"/>
        <v>279192.78264769184</v>
      </c>
      <c r="AM85" s="224">
        <f t="shared" ref="AM85:BJ85" si="108">SUM(AM59,AM71,AM81)</f>
        <v>273816.25034310669</v>
      </c>
      <c r="AN85" s="224">
        <f t="shared" si="108"/>
        <v>268439.71803852153</v>
      </c>
      <c r="AO85" s="224">
        <f t="shared" si="108"/>
        <v>263063.18573393638</v>
      </c>
      <c r="AP85" s="224">
        <f t="shared" si="108"/>
        <v>257686.65342935122</v>
      </c>
      <c r="AQ85" s="224">
        <f t="shared" si="108"/>
        <v>252310.1211247661</v>
      </c>
      <c r="AR85" s="224">
        <f t="shared" si="108"/>
        <v>246933.58882018094</v>
      </c>
      <c r="AS85" s="224">
        <f t="shared" si="108"/>
        <v>241557.05651559579</v>
      </c>
      <c r="AT85" s="224">
        <f t="shared" si="108"/>
        <v>236180.52421101063</v>
      </c>
      <c r="AU85" s="224">
        <f t="shared" si="108"/>
        <v>230803.99190642548</v>
      </c>
      <c r="AV85" s="224">
        <f t="shared" si="108"/>
        <v>225427.45960184032</v>
      </c>
      <c r="AW85" s="224">
        <f t="shared" si="108"/>
        <v>220050.92729725517</v>
      </c>
      <c r="AX85" s="224">
        <f t="shared" si="108"/>
        <v>214674.39499267002</v>
      </c>
      <c r="AY85" s="224">
        <f t="shared" si="108"/>
        <v>209297.86268808486</v>
      </c>
      <c r="AZ85" s="224">
        <f t="shared" si="108"/>
        <v>203921.33038349974</v>
      </c>
      <c r="BA85" s="224">
        <f t="shared" si="108"/>
        <v>198544.79807891458</v>
      </c>
      <c r="BB85" s="224">
        <f t="shared" si="108"/>
        <v>200681.44765721966</v>
      </c>
      <c r="BC85" s="224">
        <f t="shared" si="108"/>
        <v>194909.48472721924</v>
      </c>
      <c r="BD85" s="224">
        <f t="shared" si="108"/>
        <v>189137.5217972188</v>
      </c>
      <c r="BE85" s="224">
        <f t="shared" si="108"/>
        <v>183365.55886721838</v>
      </c>
      <c r="BF85" s="224">
        <f t="shared" si="108"/>
        <v>177911.88056007243</v>
      </c>
      <c r="BG85" s="224">
        <f t="shared" si="108"/>
        <v>172458.20225292651</v>
      </c>
      <c r="BH85" s="224">
        <f t="shared" si="108"/>
        <v>167004.52394578056</v>
      </c>
      <c r="BI85" s="224">
        <f t="shared" si="108"/>
        <v>161550.84563863464</v>
      </c>
      <c r="BJ85" s="224">
        <f t="shared" si="108"/>
        <v>156097.16733148869</v>
      </c>
      <c r="BK85" t="s">
        <v>102</v>
      </c>
    </row>
    <row r="87" spans="1:63" ht="11.25" customHeight="1" x14ac:dyDescent="0.25"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63" ht="11.25" customHeight="1" x14ac:dyDescent="0.25">
      <c r="A88"/>
      <c r="B88"/>
      <c r="C88"/>
      <c r="D88"/>
      <c r="E88" s="394"/>
      <c r="F88" s="305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</row>
  </sheetData>
  <pageMargins left="0.7" right="0.7" top="0.75" bottom="0.75" header="0.3" footer="0.3"/>
  <pageSetup orientation="portrait" horizontalDpi="1200" verticalDpi="1200" r:id="rId1"/>
  <ignoredErrors>
    <ignoredError sqref="H74:BK74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theme="8" tint="0.79998168889431442"/>
  </sheetPr>
  <dimension ref="A1:BK31"/>
  <sheetViews>
    <sheetView zoomScale="156" zoomScaleNormal="110" workbookViewId="0">
      <selection activeCell="G22" sqref="G22"/>
    </sheetView>
  </sheetViews>
  <sheetFormatPr defaultColWidth="8.7109375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style="305" customWidth="1"/>
    <col min="7" max="62" width="8.7109375" customWidth="1"/>
  </cols>
  <sheetData>
    <row r="1" spans="1:63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/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63" ht="11.25" customHeight="1" x14ac:dyDescent="0.25">
      <c r="A2" s="200" t="s">
        <v>85</v>
      </c>
      <c r="B2" s="201"/>
      <c r="C2" s="202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63" ht="11.25" customHeight="1" x14ac:dyDescent="0.25">
      <c r="A3" s="200"/>
      <c r="B3" s="201"/>
      <c r="C3" s="202"/>
      <c r="D3" s="200"/>
      <c r="E3" s="203" t="s">
        <v>403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63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80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t="s">
        <v>102</v>
      </c>
    </row>
    <row r="5" spans="1:63" ht="11.25" customHeight="1" x14ac:dyDescent="0.25">
      <c r="A5" s="12"/>
      <c r="B5" s="25"/>
      <c r="C5" s="12"/>
      <c r="D5" s="12"/>
      <c r="E5" s="12"/>
      <c r="F5" s="80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t="s">
        <v>102</v>
      </c>
    </row>
    <row r="6" spans="1:63" ht="11.25" customHeight="1" x14ac:dyDescent="0.25">
      <c r="A6" s="12" t="s">
        <v>26</v>
      </c>
      <c r="B6" s="17" t="s">
        <v>206</v>
      </c>
      <c r="C6" s="12"/>
      <c r="D6" s="12"/>
      <c r="E6" s="12"/>
      <c r="F6" s="80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t="s">
        <v>102</v>
      </c>
    </row>
    <row r="7" spans="1:63" ht="11.25" customHeight="1" x14ac:dyDescent="0.25">
      <c r="A7" s="12"/>
      <c r="B7" s="12" t="s">
        <v>86</v>
      </c>
      <c r="C7" s="22" t="s">
        <v>87</v>
      </c>
      <c r="D7" s="262">
        <f>Assumptions!D165</f>
        <v>60</v>
      </c>
      <c r="E7" s="12"/>
      <c r="F7" s="80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t="s">
        <v>102</v>
      </c>
    </row>
    <row r="8" spans="1:63" ht="11.25" customHeight="1" x14ac:dyDescent="0.25">
      <c r="A8" s="12"/>
      <c r="B8" s="12" t="s">
        <v>207</v>
      </c>
      <c r="C8" s="22" t="s">
        <v>1</v>
      </c>
      <c r="D8" s="12"/>
      <c r="E8" s="158">
        <f>SUM(G8:BJ8)</f>
        <v>4422225.9160367223</v>
      </c>
      <c r="F8" s="80" t="s">
        <v>26</v>
      </c>
      <c r="G8" s="1">
        <f>Revenues!G35</f>
        <v>0</v>
      </c>
      <c r="H8" s="1">
        <f>Revenues!H35</f>
        <v>0</v>
      </c>
      <c r="I8" s="1">
        <f>Revenues!I35</f>
        <v>0</v>
      </c>
      <c r="J8" s="1">
        <f>Revenues!J35</f>
        <v>0</v>
      </c>
      <c r="K8" s="1">
        <f>Revenues!K35</f>
        <v>0</v>
      </c>
      <c r="L8" s="1">
        <f>Revenues!L35</f>
        <v>0</v>
      </c>
      <c r="M8" s="1">
        <f>Revenues!M35</f>
        <v>0</v>
      </c>
      <c r="N8" s="1">
        <f>Revenues!N35</f>
        <v>0</v>
      </c>
      <c r="O8" s="1">
        <f>Revenues!O35</f>
        <v>0</v>
      </c>
      <c r="P8" s="1">
        <f>Revenues!P35</f>
        <v>0</v>
      </c>
      <c r="Q8" s="1">
        <f>Revenues!Q35</f>
        <v>0</v>
      </c>
      <c r="R8" s="1">
        <f>Revenues!R35</f>
        <v>0</v>
      </c>
      <c r="S8" s="1">
        <f>Revenues!S35</f>
        <v>0</v>
      </c>
      <c r="T8" s="1">
        <f>Revenues!T35</f>
        <v>0</v>
      </c>
      <c r="U8" s="1">
        <f>Revenues!U35</f>
        <v>0</v>
      </c>
      <c r="V8" s="1">
        <f>Revenues!V35</f>
        <v>0</v>
      </c>
      <c r="W8" s="1">
        <f>Revenues!W35</f>
        <v>77255.968276576561</v>
      </c>
      <c r="X8" s="1">
        <f>Revenues!X35</f>
        <v>78299.405889897258</v>
      </c>
      <c r="Y8" s="1">
        <f>Revenues!Y35</f>
        <v>77673.010642778085</v>
      </c>
      <c r="Z8" s="1">
        <f>Revenues!Z35</f>
        <v>79040.017679904617</v>
      </c>
      <c r="AA8" s="1">
        <f>Revenues!AA35</f>
        <v>78407.697538465392</v>
      </c>
      <c r="AB8" s="1">
        <f>Revenues!AB35</f>
        <v>79786.300968129493</v>
      </c>
      <c r="AC8" s="1">
        <f>Revenues!AC35</f>
        <v>79148.010560384457</v>
      </c>
      <c r="AD8" s="1">
        <f>Revenues!AD35</f>
        <v>74129.752311313263</v>
      </c>
      <c r="AE8" s="1">
        <f>Revenues!AE35</f>
        <v>82789.334972221506</v>
      </c>
      <c r="AF8" s="1">
        <f>Revenues!AF35</f>
        <v>83032.734732281999</v>
      </c>
      <c r="AG8" s="1">
        <f>Revenues!AG35</f>
        <v>82368.472854423744</v>
      </c>
      <c r="AH8" s="1">
        <f>Revenues!AH35</f>
        <v>82979.516076454704</v>
      </c>
      <c r="AI8" s="1">
        <f>Revenues!AI35</f>
        <v>82315.679947843048</v>
      </c>
      <c r="AJ8" s="1">
        <f>Revenues!AJ35</f>
        <v>83902.726257237475</v>
      </c>
      <c r="AK8" s="1">
        <f>Revenues!AK35</f>
        <v>106989.2222775643</v>
      </c>
      <c r="AL8" s="1">
        <f>Revenues!AL35</f>
        <v>104671.66171020181</v>
      </c>
      <c r="AM8" s="1">
        <f>Revenues!AM35</f>
        <v>118495.50580560003</v>
      </c>
      <c r="AN8" s="1">
        <f>Revenues!AN35</f>
        <v>119140.93842011748</v>
      </c>
      <c r="AO8" s="1">
        <f>Revenues!AO35</f>
        <v>119801.87190181589</v>
      </c>
      <c r="AP8" s="1">
        <f>Revenues!AP35</f>
        <v>119813.48522220481</v>
      </c>
      <c r="AQ8" s="1">
        <f>Revenues!AQ35</f>
        <v>120478.14965235304</v>
      </c>
      <c r="AR8" s="1">
        <f>Revenues!AR35</f>
        <v>120408.10911263601</v>
      </c>
      <c r="AS8" s="1">
        <f>Revenues!AS35</f>
        <v>121076.07221445339</v>
      </c>
      <c r="AT8" s="1">
        <f>Revenues!AT35</f>
        <v>112196.3797400217</v>
      </c>
      <c r="AU8" s="1">
        <f>Revenues!AU35</f>
        <v>127014.00311824113</v>
      </c>
      <c r="AV8" s="1">
        <f>Revenues!AV35</f>
        <v>127718.61236858439</v>
      </c>
      <c r="AW8" s="1">
        <f>Revenues!AW35</f>
        <v>128427.13043357397</v>
      </c>
      <c r="AX8" s="1">
        <f>Revenues!AX35</f>
        <v>129139.57899733033</v>
      </c>
      <c r="AY8" s="1">
        <f>Revenues!AY35</f>
        <v>129855.97986426664</v>
      </c>
      <c r="AZ8" s="1">
        <f>Revenues!AZ35</f>
        <v>130576.35495975573</v>
      </c>
      <c r="BA8" s="1">
        <f>Revenues!BA35</f>
        <v>131300.72633080132</v>
      </c>
      <c r="BB8" s="1">
        <f>Revenues!BB35</f>
        <v>121671.15997501519</v>
      </c>
      <c r="BC8" s="1">
        <f>Revenues!BC35</f>
        <v>137740.10470102538</v>
      </c>
      <c r="BD8" s="1">
        <f>Revenues!BD35</f>
        <v>138504.21692119722</v>
      </c>
      <c r="BE8" s="1">
        <f>Revenues!BE35</f>
        <v>139272.56804830389</v>
      </c>
      <c r="BF8" s="1">
        <f>Revenues!BF35</f>
        <v>140045.18159765043</v>
      </c>
      <c r="BG8" s="1">
        <f>Revenues!BG35</f>
        <v>140822.08121499303</v>
      </c>
      <c r="BH8" s="1">
        <f>Revenues!BH35</f>
        <v>141603.29067726227</v>
      </c>
      <c r="BI8" s="1">
        <f>Revenues!BI35</f>
        <v>142388.83389329145</v>
      </c>
      <c r="BJ8" s="1">
        <f>Revenues!BJ35</f>
        <v>131946.06817054914</v>
      </c>
      <c r="BK8" t="s">
        <v>102</v>
      </c>
    </row>
    <row r="9" spans="1:63" ht="11.25" customHeight="1" x14ac:dyDescent="0.25">
      <c r="A9" s="12"/>
      <c r="B9" s="56" t="s">
        <v>206</v>
      </c>
      <c r="C9" s="57"/>
      <c r="D9" s="56"/>
      <c r="E9" s="32">
        <f t="shared" ref="E9:E23" si="0">SUM(G9:BJ9)</f>
        <v>1452909.5022063439</v>
      </c>
      <c r="F9" s="314" t="s">
        <v>26</v>
      </c>
      <c r="G9" s="384">
        <f>($D$7/(_xlfn.DAYS(G1,F1)))*G8</f>
        <v>0</v>
      </c>
      <c r="H9" s="384">
        <f t="shared" ref="H9:BJ9" si="1">($D$7/(_xlfn.DAYS(H1,G1)))*H8</f>
        <v>0</v>
      </c>
      <c r="I9" s="384">
        <f t="shared" si="1"/>
        <v>0</v>
      </c>
      <c r="J9" s="384">
        <f t="shared" si="1"/>
        <v>0</v>
      </c>
      <c r="K9" s="384">
        <f t="shared" si="1"/>
        <v>0</v>
      </c>
      <c r="L9" s="384">
        <f t="shared" si="1"/>
        <v>0</v>
      </c>
      <c r="M9" s="384">
        <f t="shared" si="1"/>
        <v>0</v>
      </c>
      <c r="N9" s="384">
        <f t="shared" si="1"/>
        <v>0</v>
      </c>
      <c r="O9" s="384">
        <f t="shared" si="1"/>
        <v>0</v>
      </c>
      <c r="P9" s="384">
        <f t="shared" si="1"/>
        <v>0</v>
      </c>
      <c r="Q9" s="384">
        <f t="shared" si="1"/>
        <v>0</v>
      </c>
      <c r="R9" s="384">
        <f t="shared" si="1"/>
        <v>0</v>
      </c>
      <c r="S9" s="384">
        <f t="shared" si="1"/>
        <v>0</v>
      </c>
      <c r="T9" s="384">
        <f t="shared" si="1"/>
        <v>0</v>
      </c>
      <c r="U9" s="384">
        <f t="shared" si="1"/>
        <v>0</v>
      </c>
      <c r="V9" s="384">
        <f t="shared" si="1"/>
        <v>0</v>
      </c>
      <c r="W9" s="384">
        <f t="shared" si="1"/>
        <v>25192.163568448879</v>
      </c>
      <c r="X9" s="384">
        <f t="shared" si="1"/>
        <v>25955.604162396881</v>
      </c>
      <c r="Y9" s="384">
        <f t="shared" si="1"/>
        <v>25328.155644384158</v>
      </c>
      <c r="Z9" s="384">
        <f t="shared" si="1"/>
        <v>26057.148685682841</v>
      </c>
      <c r="AA9" s="384">
        <f t="shared" si="1"/>
        <v>25567.727458195237</v>
      </c>
      <c r="AB9" s="384">
        <f t="shared" si="1"/>
        <v>26448.497558495965</v>
      </c>
      <c r="AC9" s="384">
        <f t="shared" si="1"/>
        <v>25809.133878386237</v>
      </c>
      <c r="AD9" s="384">
        <f t="shared" si="1"/>
        <v>24573.39855623644</v>
      </c>
      <c r="AE9" s="384">
        <f t="shared" si="1"/>
        <v>26996.52227355049</v>
      </c>
      <c r="AF9" s="384">
        <f t="shared" si="1"/>
        <v>27524.663447165301</v>
      </c>
      <c r="AG9" s="384">
        <f t="shared" si="1"/>
        <v>26859.284626442524</v>
      </c>
      <c r="AH9" s="384">
        <f t="shared" si="1"/>
        <v>27355.884420809241</v>
      </c>
      <c r="AI9" s="384">
        <f t="shared" si="1"/>
        <v>26842.069548209689</v>
      </c>
      <c r="AJ9" s="384">
        <f t="shared" si="1"/>
        <v>27813.058427813525</v>
      </c>
      <c r="AK9" s="384">
        <f t="shared" si="1"/>
        <v>34887.789873118796</v>
      </c>
      <c r="AL9" s="384">
        <f t="shared" si="1"/>
        <v>34697.788412221591</v>
      </c>
      <c r="AM9" s="384">
        <f t="shared" si="1"/>
        <v>38639.83884965218</v>
      </c>
      <c r="AN9" s="384">
        <f t="shared" si="1"/>
        <v>39494.233730425687</v>
      </c>
      <c r="AO9" s="384">
        <f t="shared" si="1"/>
        <v>39065.827794070399</v>
      </c>
      <c r="AP9" s="384">
        <f t="shared" si="1"/>
        <v>39498.95117215543</v>
      </c>
      <c r="AQ9" s="384">
        <f t="shared" si="1"/>
        <v>39286.353147506423</v>
      </c>
      <c r="AR9" s="384">
        <f t="shared" si="1"/>
        <v>39914.290313580997</v>
      </c>
      <c r="AS9" s="384">
        <f t="shared" si="1"/>
        <v>39481.327896017414</v>
      </c>
      <c r="AT9" s="384">
        <f t="shared" si="1"/>
        <v>37192.1700795652</v>
      </c>
      <c r="AU9" s="384">
        <f t="shared" si="1"/>
        <v>41417.609712469937</v>
      </c>
      <c r="AV9" s="384">
        <f t="shared" si="1"/>
        <v>42337.66155864676</v>
      </c>
      <c r="AW9" s="384">
        <f t="shared" si="1"/>
        <v>41878.412097904555</v>
      </c>
      <c r="AX9" s="384">
        <f t="shared" si="1"/>
        <v>42573.487581537469</v>
      </c>
      <c r="AY9" s="384">
        <f t="shared" si="1"/>
        <v>42344.341260086949</v>
      </c>
      <c r="AZ9" s="384">
        <f t="shared" si="1"/>
        <v>43284.979544670408</v>
      </c>
      <c r="BA9" s="384">
        <f t="shared" si="1"/>
        <v>42815.454238304781</v>
      </c>
      <c r="BB9" s="384">
        <f t="shared" si="1"/>
        <v>40332.981207187353</v>
      </c>
      <c r="BC9" s="384">
        <f t="shared" si="1"/>
        <v>44915.251532943061</v>
      </c>
      <c r="BD9" s="384">
        <f t="shared" si="1"/>
        <v>45913.000084374769</v>
      </c>
      <c r="BE9" s="384">
        <f t="shared" si="1"/>
        <v>45414.967841838225</v>
      </c>
      <c r="BF9" s="384">
        <f t="shared" si="1"/>
        <v>46168.741186038606</v>
      </c>
      <c r="BG9" s="384">
        <f t="shared" si="1"/>
        <v>45920.243874454252</v>
      </c>
      <c r="BH9" s="384">
        <f t="shared" si="1"/>
        <v>46940.317351578648</v>
      </c>
      <c r="BI9" s="384">
        <f t="shared" si="1"/>
        <v>46431.141486942863</v>
      </c>
      <c r="BJ9" s="384">
        <f t="shared" si="1"/>
        <v>43739.028122833966</v>
      </c>
      <c r="BK9" t="s">
        <v>102</v>
      </c>
    </row>
    <row r="10" spans="1:63" ht="11.25" customHeight="1" x14ac:dyDescent="0.25">
      <c r="A10" s="12"/>
      <c r="B10" s="12"/>
      <c r="C10" s="22"/>
      <c r="D10" s="12"/>
      <c r="E10" s="23"/>
      <c r="F10" s="80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t="s">
        <v>102</v>
      </c>
    </row>
    <row r="11" spans="1:63" ht="11.25" customHeight="1" x14ac:dyDescent="0.25">
      <c r="A11" s="12" t="s">
        <v>26</v>
      </c>
      <c r="B11" s="17" t="s">
        <v>208</v>
      </c>
      <c r="C11" s="22"/>
      <c r="D11" s="12"/>
      <c r="E11" s="23"/>
      <c r="F11" s="80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t="s">
        <v>102</v>
      </c>
    </row>
    <row r="12" spans="1:63" ht="11.25" customHeight="1" x14ac:dyDescent="0.25">
      <c r="A12" s="12"/>
      <c r="B12" s="12" t="s">
        <v>360</v>
      </c>
      <c r="C12" s="22" t="s">
        <v>101</v>
      </c>
      <c r="D12" s="12"/>
      <c r="E12" s="23">
        <f t="shared" si="0"/>
        <v>40</v>
      </c>
      <c r="F12" s="80" t="s">
        <v>26</v>
      </c>
      <c r="G12" s="26">
        <f>'Time &amp; Technical'!G26</f>
        <v>0</v>
      </c>
      <c r="H12" s="26">
        <f>'Time &amp; Technical'!H26</f>
        <v>0</v>
      </c>
      <c r="I12" s="26">
        <f>'Time &amp; Technical'!I26</f>
        <v>0</v>
      </c>
      <c r="J12" s="26">
        <f>'Time &amp; Technical'!J26</f>
        <v>0</v>
      </c>
      <c r="K12" s="26">
        <f>'Time &amp; Technical'!K26</f>
        <v>0</v>
      </c>
      <c r="L12" s="26">
        <f>'Time &amp; Technical'!L26</f>
        <v>0</v>
      </c>
      <c r="M12" s="26">
        <f>'Time &amp; Technical'!M26</f>
        <v>0</v>
      </c>
      <c r="N12" s="26">
        <f>'Time &amp; Technical'!N26</f>
        <v>0</v>
      </c>
      <c r="O12" s="26">
        <f>'Time &amp; Technical'!O26</f>
        <v>0</v>
      </c>
      <c r="P12" s="26">
        <f>'Time &amp; Technical'!P26</f>
        <v>0</v>
      </c>
      <c r="Q12" s="26">
        <f>'Time &amp; Technical'!Q26</f>
        <v>0</v>
      </c>
      <c r="R12" s="26">
        <f>'Time &amp; Technical'!R26</f>
        <v>0</v>
      </c>
      <c r="S12" s="26">
        <f>'Time &amp; Technical'!S26</f>
        <v>0</v>
      </c>
      <c r="T12" s="26">
        <f>'Time &amp; Technical'!T26</f>
        <v>0</v>
      </c>
      <c r="U12" s="26">
        <f>'Time &amp; Technical'!U26</f>
        <v>0</v>
      </c>
      <c r="V12" s="26">
        <f>'Time &amp; Technical'!V26</f>
        <v>0</v>
      </c>
      <c r="W12" s="26">
        <f>'Time &amp; Technical'!W26</f>
        <v>1</v>
      </c>
      <c r="X12" s="26">
        <f>'Time &amp; Technical'!X26</f>
        <v>1</v>
      </c>
      <c r="Y12" s="26">
        <f>'Time &amp; Technical'!Y26</f>
        <v>1</v>
      </c>
      <c r="Z12" s="26">
        <f>'Time &amp; Technical'!Z26</f>
        <v>1</v>
      </c>
      <c r="AA12" s="26">
        <f>'Time &amp; Technical'!AA26</f>
        <v>1</v>
      </c>
      <c r="AB12" s="26">
        <f>'Time &amp; Technical'!AB26</f>
        <v>1</v>
      </c>
      <c r="AC12" s="26">
        <f>'Time &amp; Technical'!AC26</f>
        <v>1</v>
      </c>
      <c r="AD12" s="26">
        <f>'Time &amp; Technical'!AD26</f>
        <v>1</v>
      </c>
      <c r="AE12" s="26">
        <f>'Time &amp; Technical'!AE26</f>
        <v>1</v>
      </c>
      <c r="AF12" s="26">
        <f>'Time &amp; Technical'!AF26</f>
        <v>1</v>
      </c>
      <c r="AG12" s="26">
        <f>'Time &amp; Technical'!AG26</f>
        <v>1</v>
      </c>
      <c r="AH12" s="26">
        <f>'Time &amp; Technical'!AH26</f>
        <v>1</v>
      </c>
      <c r="AI12" s="26">
        <f>'Time &amp; Technical'!AI26</f>
        <v>1</v>
      </c>
      <c r="AJ12" s="26">
        <f>'Time &amp; Technical'!AJ26</f>
        <v>1</v>
      </c>
      <c r="AK12" s="26">
        <f>'Time &amp; Technical'!AK26</f>
        <v>1</v>
      </c>
      <c r="AL12" s="26">
        <f>'Time &amp; Technical'!AL26</f>
        <v>1</v>
      </c>
      <c r="AM12" s="26">
        <f>'Time &amp; Technical'!AM26</f>
        <v>1</v>
      </c>
      <c r="AN12" s="26">
        <f>'Time &amp; Technical'!AN26</f>
        <v>1</v>
      </c>
      <c r="AO12" s="26">
        <f>'Time &amp; Technical'!AO26</f>
        <v>1</v>
      </c>
      <c r="AP12" s="26">
        <f>'Time &amp; Technical'!AP26</f>
        <v>1</v>
      </c>
      <c r="AQ12" s="26">
        <f>'Time &amp; Technical'!AQ26</f>
        <v>1</v>
      </c>
      <c r="AR12" s="26">
        <f>'Time &amp; Technical'!AR26</f>
        <v>1</v>
      </c>
      <c r="AS12" s="26">
        <f>'Time &amp; Technical'!AS26</f>
        <v>1</v>
      </c>
      <c r="AT12" s="26">
        <f>'Time &amp; Technical'!AT26</f>
        <v>1</v>
      </c>
      <c r="AU12" s="26">
        <f>'Time &amp; Technical'!AU26</f>
        <v>1</v>
      </c>
      <c r="AV12" s="26">
        <f>'Time &amp; Technical'!AV26</f>
        <v>1</v>
      </c>
      <c r="AW12" s="26">
        <f>'Time &amp; Technical'!AW26</f>
        <v>1</v>
      </c>
      <c r="AX12" s="26">
        <f>'Time &amp; Technical'!AX26</f>
        <v>1</v>
      </c>
      <c r="AY12" s="26">
        <f>'Time &amp; Technical'!AY26</f>
        <v>1</v>
      </c>
      <c r="AZ12" s="26">
        <f>'Time &amp; Technical'!AZ26</f>
        <v>1</v>
      </c>
      <c r="BA12" s="26">
        <f>'Time &amp; Technical'!BA26</f>
        <v>1</v>
      </c>
      <c r="BB12" s="26">
        <f>'Time &amp; Technical'!BB26</f>
        <v>1</v>
      </c>
      <c r="BC12" s="26">
        <f>'Time &amp; Technical'!BC26</f>
        <v>1</v>
      </c>
      <c r="BD12" s="26">
        <f>'Time &amp; Technical'!BD26</f>
        <v>1</v>
      </c>
      <c r="BE12" s="26">
        <f>'Time &amp; Technical'!BE26</f>
        <v>1</v>
      </c>
      <c r="BF12" s="26">
        <f>'Time &amp; Technical'!BF26</f>
        <v>1</v>
      </c>
      <c r="BG12" s="26">
        <f>'Time &amp; Technical'!BG26</f>
        <v>1</v>
      </c>
      <c r="BH12" s="26">
        <f>'Time &amp; Technical'!BH26</f>
        <v>1</v>
      </c>
      <c r="BI12" s="26">
        <f>'Time &amp; Technical'!BI26</f>
        <v>1</v>
      </c>
      <c r="BJ12" s="26">
        <f>'Time &amp; Technical'!BJ26</f>
        <v>1</v>
      </c>
      <c r="BK12" t="s">
        <v>102</v>
      </c>
    </row>
    <row r="13" spans="1:63" ht="11.25" customHeight="1" x14ac:dyDescent="0.25">
      <c r="A13" s="12"/>
      <c r="B13" s="12" t="s">
        <v>209</v>
      </c>
      <c r="C13" s="22" t="s">
        <v>1</v>
      </c>
      <c r="D13" s="12"/>
      <c r="E13" s="23">
        <f t="shared" si="0"/>
        <v>3146632.9052803852</v>
      </c>
      <c r="F13" s="80" t="s">
        <v>26</v>
      </c>
      <c r="G13" s="1">
        <f>Costs!G57-Costs!G56</f>
        <v>0</v>
      </c>
      <c r="H13" s="1">
        <f>Costs!H57-Costs!H56</f>
        <v>0</v>
      </c>
      <c r="I13" s="1">
        <f>Costs!I57-Costs!I56</f>
        <v>0</v>
      </c>
      <c r="J13" s="1">
        <f>Costs!J57-Costs!J56</f>
        <v>0</v>
      </c>
      <c r="K13" s="1">
        <f>Costs!K57-Costs!K56</f>
        <v>0</v>
      </c>
      <c r="L13" s="1">
        <f>Costs!L57-Costs!L56</f>
        <v>0</v>
      </c>
      <c r="M13" s="1">
        <f>Costs!M57-Costs!M56</f>
        <v>0</v>
      </c>
      <c r="N13" s="1">
        <f>Costs!N57-Costs!N56</f>
        <v>0</v>
      </c>
      <c r="O13" s="1">
        <f>Costs!O57-Costs!O56</f>
        <v>0</v>
      </c>
      <c r="P13" s="1">
        <f>Costs!P57-Costs!P56</f>
        <v>0</v>
      </c>
      <c r="Q13" s="1">
        <f>Costs!Q57-Costs!Q56</f>
        <v>0</v>
      </c>
      <c r="R13" s="1">
        <f>Costs!R57-Costs!R56</f>
        <v>0</v>
      </c>
      <c r="S13" s="1">
        <f>Costs!S57-Costs!S56</f>
        <v>0</v>
      </c>
      <c r="T13" s="1">
        <f>Costs!T57-Costs!T56</f>
        <v>0</v>
      </c>
      <c r="U13" s="1">
        <f>Costs!U57-Costs!U56</f>
        <v>0</v>
      </c>
      <c r="V13" s="1">
        <f>Costs!V57-Costs!V56</f>
        <v>0</v>
      </c>
      <c r="W13" s="1">
        <f>Costs!W57-Costs!W56</f>
        <v>39274.965260583682</v>
      </c>
      <c r="X13" s="1">
        <f>Costs!X57-Costs!X56</f>
        <v>39423.607934896158</v>
      </c>
      <c r="Y13" s="1">
        <f>Costs!Y57-Costs!Y56</f>
        <v>39554.531261398224</v>
      </c>
      <c r="Z13" s="1">
        <f>Costs!Z57-Costs!Z56</f>
        <v>39708.094044108249</v>
      </c>
      <c r="AA13" s="1">
        <f>Costs!AA57-Costs!AA56</f>
        <v>39844.400035685598</v>
      </c>
      <c r="AB13" s="1">
        <f>Costs!AB57-Costs!AB56</f>
        <v>40003.583214970495</v>
      </c>
      <c r="AC13" s="1">
        <f>Costs!AC57-Costs!AC56</f>
        <v>40133.557086977751</v>
      </c>
      <c r="AD13" s="1">
        <f>Costs!AD57-Costs!AD56</f>
        <v>50706.428614416756</v>
      </c>
      <c r="AE13" s="1">
        <f>Costs!AE57-Costs!AE56</f>
        <v>41397.377546644653</v>
      </c>
      <c r="AF13" s="1">
        <f>Costs!AF57-Costs!AF56</f>
        <v>41534.253495362245</v>
      </c>
      <c r="AG13" s="1">
        <f>Costs!AG57-Costs!AG56</f>
        <v>41664.535937437926</v>
      </c>
      <c r="AH13" s="1">
        <f>Costs!AH57-Costs!AH56</f>
        <v>41810.079617363081</v>
      </c>
      <c r="AI13" s="1">
        <f>Costs!AI57-Costs!AI56</f>
        <v>41945.408089884062</v>
      </c>
      <c r="AJ13" s="1">
        <f>Costs!AJ57-Costs!AJ56</f>
        <v>42105.804698056578</v>
      </c>
      <c r="AK13" s="1">
        <f>Costs!AK57-Costs!AK56</f>
        <v>82929.945436084279</v>
      </c>
      <c r="AL13" s="1">
        <f>Costs!AL57-Costs!AL56</f>
        <v>92243.86144712352</v>
      </c>
      <c r="AM13" s="1">
        <f>Costs!AM57-Costs!AM56</f>
        <v>86968.262588954676</v>
      </c>
      <c r="AN13" s="1">
        <f>Costs!AN57-Costs!AN56</f>
        <v>86969.61284257134</v>
      </c>
      <c r="AO13" s="1">
        <f>Costs!AO57-Costs!AO56</f>
        <v>87887.11161039953</v>
      </c>
      <c r="AP13" s="1">
        <f>Costs!AP57-Costs!AP56</f>
        <v>87873.083697921538</v>
      </c>
      <c r="AQ13" s="1">
        <f>Costs!AQ57-Costs!AQ56</f>
        <v>88801.235114381896</v>
      </c>
      <c r="AR13" s="1">
        <f>Costs!AR57-Costs!AR56</f>
        <v>88776.942741556224</v>
      </c>
      <c r="AS13" s="1">
        <f>Costs!AS57-Costs!AS56</f>
        <v>89715.761165673233</v>
      </c>
      <c r="AT13" s="1">
        <f>Costs!AT57-Costs!AT56</f>
        <v>100218.98568782168</v>
      </c>
      <c r="AU13" s="1">
        <f>Costs!AU57-Costs!AU56</f>
        <v>94025.887614096064</v>
      </c>
      <c r="AV13" s="1">
        <f>Costs!AV57-Costs!AV56</f>
        <v>95022.032049339497</v>
      </c>
      <c r="AW13" s="1">
        <f>Costs!AW57-Costs!AW56</f>
        <v>96029.343804293268</v>
      </c>
      <c r="AX13" s="1">
        <f>Costs!AX57-Costs!AX56</f>
        <v>97047.945700517215</v>
      </c>
      <c r="AY13" s="1">
        <f>Costs!AY57-Costs!AY56</f>
        <v>98077.961953202379</v>
      </c>
      <c r="AZ13" s="1">
        <f>Costs!AZ57-Costs!AZ56</f>
        <v>99119.518186831236</v>
      </c>
      <c r="BA13" s="1">
        <f>Costs!BA57-Costs!BA56</f>
        <v>100172.74145101746</v>
      </c>
      <c r="BB13" s="1">
        <f>Costs!BB57-Costs!BB56</f>
        <v>111853.58213352393</v>
      </c>
      <c r="BC13" s="1">
        <f>Costs!BC57-Costs!BC56</f>
        <v>105000.13072771048</v>
      </c>
      <c r="BD13" s="1">
        <f>Costs!BD57-Costs!BD56</f>
        <v>106117.51981953483</v>
      </c>
      <c r="BE13" s="1">
        <f>Costs!BE57-Costs!BE56</f>
        <v>107247.40428877238</v>
      </c>
      <c r="BF13" s="1">
        <f>Costs!BF57-Costs!BF56</f>
        <v>108389.92187556159</v>
      </c>
      <c r="BG13" s="1">
        <f>Costs!BG57-Costs!BG56</f>
        <v>109545.21188036699</v>
      </c>
      <c r="BH13" s="1">
        <f>Costs!BH57-Costs!BH56</f>
        <v>110713.41518153166</v>
      </c>
      <c r="BI13" s="1">
        <f>Costs!BI57-Costs!BI56</f>
        <v>111894.67425303132</v>
      </c>
      <c r="BJ13" s="1">
        <f>Costs!BJ57-Costs!BJ56</f>
        <v>124884.18519078166</v>
      </c>
      <c r="BK13" t="s">
        <v>102</v>
      </c>
    </row>
    <row r="14" spans="1:63" ht="11.25" customHeight="1" x14ac:dyDescent="0.25">
      <c r="A14" s="12"/>
      <c r="B14" s="12" t="s">
        <v>83</v>
      </c>
      <c r="C14" s="22" t="s">
        <v>1</v>
      </c>
      <c r="D14" s="12"/>
      <c r="E14" s="23">
        <f t="shared" si="0"/>
        <v>48602.995772821567</v>
      </c>
      <c r="F14" s="80" t="s">
        <v>26</v>
      </c>
      <c r="G14" s="1">
        <f>Costs!G52</f>
        <v>0</v>
      </c>
      <c r="H14" s="1">
        <f>Costs!H52</f>
        <v>0</v>
      </c>
      <c r="I14" s="1">
        <f>Costs!I52</f>
        <v>0</v>
      </c>
      <c r="J14" s="1">
        <f>Costs!J52</f>
        <v>0</v>
      </c>
      <c r="K14" s="1">
        <f>Costs!K52</f>
        <v>0</v>
      </c>
      <c r="L14" s="1">
        <f>Costs!L52</f>
        <v>0</v>
      </c>
      <c r="M14" s="1">
        <f>Costs!M52</f>
        <v>0</v>
      </c>
      <c r="N14" s="1">
        <f>Costs!N52</f>
        <v>0</v>
      </c>
      <c r="O14" s="1">
        <f>Costs!O52</f>
        <v>0</v>
      </c>
      <c r="P14" s="1">
        <f>Costs!P52</f>
        <v>0</v>
      </c>
      <c r="Q14" s="1">
        <f>Costs!Q52</f>
        <v>0</v>
      </c>
      <c r="R14" s="1">
        <f>Costs!R52</f>
        <v>0</v>
      </c>
      <c r="S14" s="1">
        <f>Costs!S52</f>
        <v>0</v>
      </c>
      <c r="T14" s="1">
        <f>Costs!T52</f>
        <v>0</v>
      </c>
      <c r="U14" s="1">
        <f>Costs!U52</f>
        <v>0</v>
      </c>
      <c r="V14" s="1">
        <f>Costs!V52</f>
        <v>0</v>
      </c>
      <c r="W14" s="1">
        <f>Costs!W52</f>
        <v>1413.7215187240497</v>
      </c>
      <c r="X14" s="1">
        <f>Costs!X52</f>
        <v>1407.078106069514</v>
      </c>
      <c r="Y14" s="1">
        <f>Costs!Y52</f>
        <v>1396.9429577657309</v>
      </c>
      <c r="Z14" s="1">
        <f>Costs!Z52</f>
        <v>1386.8808126809561</v>
      </c>
      <c r="AA14" s="1">
        <f>Costs!AA52</f>
        <v>1376.8911449748348</v>
      </c>
      <c r="AB14" s="1">
        <f>Costs!AB52</f>
        <v>1366.9734325946265</v>
      </c>
      <c r="AC14" s="1">
        <f>Costs!AC52</f>
        <v>1356.2996785042963</v>
      </c>
      <c r="AD14" s="1">
        <f>Costs!AD52</f>
        <v>1344.8951544498141</v>
      </c>
      <c r="AE14" s="1">
        <f>Costs!AE52</f>
        <v>1333.5865259934587</v>
      </c>
      <c r="AF14" s="1">
        <f>Costs!AF52</f>
        <v>1322.3729867915638</v>
      </c>
      <c r="AG14" s="1">
        <f>Costs!AG52</f>
        <v>1311.2537372806498</v>
      </c>
      <c r="AH14" s="1">
        <f>Costs!AH52</f>
        <v>1300.2279846204131</v>
      </c>
      <c r="AI14" s="1">
        <f>Costs!AI52</f>
        <v>1289.2949426371938</v>
      </c>
      <c r="AJ14" s="1">
        <f>Costs!AJ52</f>
        <v>1278.453831767918</v>
      </c>
      <c r="AK14" s="1">
        <f>Costs!AK52</f>
        <v>1267.7038790045137</v>
      </c>
      <c r="AL14" s="1">
        <f>Costs!AL52</f>
        <v>1257.0443178387904</v>
      </c>
      <c r="AM14" s="1">
        <f>Costs!AM52</f>
        <v>1246.4743882077871</v>
      </c>
      <c r="AN14" s="1">
        <f>Costs!AN52</f>
        <v>1235.9933364395761</v>
      </c>
      <c r="AO14" s="1">
        <f>Costs!AO52</f>
        <v>1225.6004151995228</v>
      </c>
      <c r="AP14" s="1">
        <f>Costs!AP52</f>
        <v>1215.2948834369995</v>
      </c>
      <c r="AQ14" s="1">
        <f>Costs!AQ52</f>
        <v>1205.0760063325451</v>
      </c>
      <c r="AR14" s="1">
        <f>Costs!AR52</f>
        <v>1194.9430552454708</v>
      </c>
      <c r="AS14" s="1">
        <f>Costs!AS52</f>
        <v>1184.8953076619046</v>
      </c>
      <c r="AT14" s="1">
        <f>Costs!AT52</f>
        <v>1174.9320471432738</v>
      </c>
      <c r="AU14" s="1">
        <f>Costs!AU52</f>
        <v>1165.0525632752222</v>
      </c>
      <c r="AV14" s="1">
        <f>Costs!AV52</f>
        <v>1155.2561516169512</v>
      </c>
      <c r="AW14" s="1">
        <f>Costs!AW52</f>
        <v>1145.5421136509958</v>
      </c>
      <c r="AX14" s="1">
        <f>Costs!AX52</f>
        <v>1135.909756733414</v>
      </c>
      <c r="AY14" s="1">
        <f>Costs!AY52</f>
        <v>1126.3583940444005</v>
      </c>
      <c r="AZ14" s="1">
        <f>Costs!AZ52</f>
        <v>1116.887344539314</v>
      </c>
      <c r="BA14" s="1">
        <f>Costs!BA52</f>
        <v>1107.4959329001163</v>
      </c>
      <c r="BB14" s="1">
        <f>Costs!BB52</f>
        <v>1098.1834894872202</v>
      </c>
      <c r="BC14" s="1">
        <f>Costs!BC52</f>
        <v>1088.9493502917412</v>
      </c>
      <c r="BD14" s="1">
        <f>Costs!BD52</f>
        <v>1079.7928568881521</v>
      </c>
      <c r="BE14" s="1">
        <f>Costs!BE52</f>
        <v>1070.713356387334</v>
      </c>
      <c r="BF14" s="1">
        <f>Costs!BF52</f>
        <v>1061.7102013900251</v>
      </c>
      <c r="BG14" s="1">
        <f>Costs!BG52</f>
        <v>1052.7827499406562</v>
      </c>
      <c r="BH14" s="1">
        <f>Costs!BH52</f>
        <v>1043.9303654815797</v>
      </c>
      <c r="BI14" s="1">
        <f>Costs!BI52</f>
        <v>1035.1524168076789</v>
      </c>
      <c r="BJ14" s="1">
        <f>Costs!BJ52</f>
        <v>1026.4482780213618</v>
      </c>
      <c r="BK14" t="s">
        <v>102</v>
      </c>
    </row>
    <row r="15" spans="1:63" ht="11.25" customHeight="1" x14ac:dyDescent="0.25">
      <c r="A15" s="12"/>
      <c r="B15" s="12" t="s">
        <v>203</v>
      </c>
      <c r="C15" s="22" t="s">
        <v>1</v>
      </c>
      <c r="D15" s="12"/>
      <c r="E15" s="23">
        <f t="shared" si="0"/>
        <v>44222.259160367204</v>
      </c>
      <c r="F15" s="80" t="s">
        <v>26</v>
      </c>
      <c r="G15" s="1">
        <f>Costs!G55</f>
        <v>0</v>
      </c>
      <c r="H15" s="1">
        <f>Costs!H55</f>
        <v>0</v>
      </c>
      <c r="I15" s="1">
        <f>Costs!I55</f>
        <v>0</v>
      </c>
      <c r="J15" s="1">
        <f>Costs!J55</f>
        <v>0</v>
      </c>
      <c r="K15" s="1">
        <f>Costs!K55</f>
        <v>0</v>
      </c>
      <c r="L15" s="1">
        <f>Costs!L55</f>
        <v>0</v>
      </c>
      <c r="M15" s="1">
        <f>Costs!M55</f>
        <v>0</v>
      </c>
      <c r="N15" s="1">
        <f>Costs!N55</f>
        <v>0</v>
      </c>
      <c r="O15" s="1">
        <f>Costs!O55</f>
        <v>0</v>
      </c>
      <c r="P15" s="1">
        <f>Costs!P55</f>
        <v>0</v>
      </c>
      <c r="Q15" s="1">
        <f>Costs!Q55</f>
        <v>0</v>
      </c>
      <c r="R15" s="1">
        <f>Costs!R55</f>
        <v>0</v>
      </c>
      <c r="S15" s="1">
        <f>Costs!S55</f>
        <v>0</v>
      </c>
      <c r="T15" s="1">
        <f>Costs!T55</f>
        <v>0</v>
      </c>
      <c r="U15" s="1">
        <f>Costs!U55</f>
        <v>0</v>
      </c>
      <c r="V15" s="1">
        <f>Costs!V55</f>
        <v>0</v>
      </c>
      <c r="W15" s="1">
        <f>Costs!W55</f>
        <v>772.55968276576561</v>
      </c>
      <c r="X15" s="1">
        <f>Costs!X55</f>
        <v>782.99405889897264</v>
      </c>
      <c r="Y15" s="1">
        <f>Costs!Y55</f>
        <v>776.73010642778081</v>
      </c>
      <c r="Z15" s="1">
        <f>Costs!Z55</f>
        <v>790.40017679904622</v>
      </c>
      <c r="AA15" s="1">
        <f>Costs!AA55</f>
        <v>784.07697538465391</v>
      </c>
      <c r="AB15" s="1">
        <f>Costs!AB55</f>
        <v>797.8630096812949</v>
      </c>
      <c r="AC15" s="1">
        <f>Costs!AC55</f>
        <v>791.48010560384455</v>
      </c>
      <c r="AD15" s="1">
        <f>Costs!AD55</f>
        <v>741.29752311313268</v>
      </c>
      <c r="AE15" s="1">
        <f>Costs!AE55</f>
        <v>827.89334972221513</v>
      </c>
      <c r="AF15" s="1">
        <f>Costs!AF55</f>
        <v>830.32734732282006</v>
      </c>
      <c r="AG15" s="1">
        <f>Costs!AG55</f>
        <v>823.68472854423749</v>
      </c>
      <c r="AH15" s="1">
        <f>Costs!AH55</f>
        <v>829.79516076454706</v>
      </c>
      <c r="AI15" s="1">
        <f>Costs!AI55</f>
        <v>823.15679947843046</v>
      </c>
      <c r="AJ15" s="1">
        <f>Costs!AJ55</f>
        <v>839.02726257237475</v>
      </c>
      <c r="AK15" s="1">
        <f>Costs!AK55</f>
        <v>1069.8922227756429</v>
      </c>
      <c r="AL15" s="1">
        <f>Costs!AL55</f>
        <v>1046.7166171020181</v>
      </c>
      <c r="AM15" s="1">
        <f>Costs!AM55</f>
        <v>1184.9550580560003</v>
      </c>
      <c r="AN15" s="1">
        <f>Costs!AN55</f>
        <v>1191.4093842011748</v>
      </c>
      <c r="AO15" s="1">
        <f>Costs!AO55</f>
        <v>1198.0187190181589</v>
      </c>
      <c r="AP15" s="1">
        <f>Costs!AP55</f>
        <v>1198.134852222048</v>
      </c>
      <c r="AQ15" s="1">
        <f>Costs!AQ55</f>
        <v>1204.7814965235304</v>
      </c>
      <c r="AR15" s="1">
        <f>Costs!AR55</f>
        <v>1204.0810911263602</v>
      </c>
      <c r="AS15" s="1">
        <f>Costs!AS55</f>
        <v>1210.7607221445339</v>
      </c>
      <c r="AT15" s="1">
        <f>Costs!AT55</f>
        <v>1121.9637974002171</v>
      </c>
      <c r="AU15" s="1">
        <f>Costs!AU55</f>
        <v>1270.1400311824113</v>
      </c>
      <c r="AV15" s="1">
        <f>Costs!AV55</f>
        <v>1277.186123685844</v>
      </c>
      <c r="AW15" s="1">
        <f>Costs!AW55</f>
        <v>1284.2713043357396</v>
      </c>
      <c r="AX15" s="1">
        <f>Costs!AX55</f>
        <v>1291.3957899733034</v>
      </c>
      <c r="AY15" s="1">
        <f>Costs!AY55</f>
        <v>1298.5597986426665</v>
      </c>
      <c r="AZ15" s="1">
        <f>Costs!AZ55</f>
        <v>1305.7635495975574</v>
      </c>
      <c r="BA15" s="1">
        <f>Costs!BA55</f>
        <v>1313.0072633080133</v>
      </c>
      <c r="BB15" s="1">
        <f>Costs!BB55</f>
        <v>1216.7115997501519</v>
      </c>
      <c r="BC15" s="1">
        <f>Costs!BC55</f>
        <v>1377.4010470102539</v>
      </c>
      <c r="BD15" s="1">
        <f>Costs!BD55</f>
        <v>1385.0421692119724</v>
      </c>
      <c r="BE15" s="1">
        <f>Costs!BE55</f>
        <v>1392.725680483039</v>
      </c>
      <c r="BF15" s="1">
        <f>Costs!BF55</f>
        <v>1400.4518159765043</v>
      </c>
      <c r="BG15" s="1">
        <f>Costs!BG55</f>
        <v>1408.2208121499302</v>
      </c>
      <c r="BH15" s="1">
        <f>Costs!BH55</f>
        <v>1416.0329067726227</v>
      </c>
      <c r="BI15" s="1">
        <f>Costs!BI55</f>
        <v>1423.8883389329146</v>
      </c>
      <c r="BJ15" s="1">
        <f>Costs!BJ55</f>
        <v>1319.4606817054914</v>
      </c>
      <c r="BK15" t="s">
        <v>102</v>
      </c>
    </row>
    <row r="16" spans="1:63" ht="11.25" customHeight="1" x14ac:dyDescent="0.25">
      <c r="A16" s="12"/>
      <c r="B16" s="12" t="s">
        <v>210</v>
      </c>
      <c r="C16" s="22" t="s">
        <v>1</v>
      </c>
      <c r="D16" s="12"/>
      <c r="E16" s="158">
        <f t="shared" si="0"/>
        <v>83507.111945816127</v>
      </c>
      <c r="F16" s="80" t="s">
        <v>26</v>
      </c>
      <c r="G16" s="1">
        <f>Costs!G50</f>
        <v>0</v>
      </c>
      <c r="H16" s="1">
        <f>Costs!H50</f>
        <v>0</v>
      </c>
      <c r="I16" s="1">
        <f>Costs!I50</f>
        <v>0</v>
      </c>
      <c r="J16" s="1">
        <f>Costs!J50</f>
        <v>0</v>
      </c>
      <c r="K16" s="1">
        <f>Costs!K50</f>
        <v>0</v>
      </c>
      <c r="L16" s="1">
        <f>Costs!L50</f>
        <v>0</v>
      </c>
      <c r="M16" s="1">
        <f>Costs!M50</f>
        <v>0</v>
      </c>
      <c r="N16" s="1">
        <f>Costs!N50</f>
        <v>0</v>
      </c>
      <c r="O16" s="1">
        <f>Costs!O50</f>
        <v>0</v>
      </c>
      <c r="P16" s="1">
        <f>Costs!P50</f>
        <v>0</v>
      </c>
      <c r="Q16" s="1">
        <f>Costs!Q50</f>
        <v>0</v>
      </c>
      <c r="R16" s="1">
        <f>Costs!R50</f>
        <v>0</v>
      </c>
      <c r="S16" s="1">
        <f>Costs!S50</f>
        <v>0</v>
      </c>
      <c r="T16" s="1">
        <f>Costs!T50</f>
        <v>0</v>
      </c>
      <c r="U16" s="1">
        <f>Costs!U50</f>
        <v>0</v>
      </c>
      <c r="V16" s="1">
        <f>Costs!V50</f>
        <v>0</v>
      </c>
      <c r="W16" s="1">
        <f>Costs!W50</f>
        <v>0</v>
      </c>
      <c r="X16" s="1">
        <f>Costs!X50</f>
        <v>0</v>
      </c>
      <c r="Y16" s="1">
        <f>Costs!Y50</f>
        <v>0</v>
      </c>
      <c r="Z16" s="1">
        <f>Costs!Z50</f>
        <v>0</v>
      </c>
      <c r="AA16" s="1">
        <f>Costs!AA50</f>
        <v>0</v>
      </c>
      <c r="AB16" s="1">
        <f>Costs!AB50</f>
        <v>0</v>
      </c>
      <c r="AC16" s="1">
        <f>Costs!AC50</f>
        <v>0</v>
      </c>
      <c r="AD16" s="1">
        <f>Costs!AD50</f>
        <v>13286.108550956707</v>
      </c>
      <c r="AE16" s="1">
        <f>Costs!AE50</f>
        <v>0</v>
      </c>
      <c r="AF16" s="1">
        <f>Costs!AF50</f>
        <v>0</v>
      </c>
      <c r="AG16" s="1">
        <f>Costs!AG50</f>
        <v>0</v>
      </c>
      <c r="AH16" s="1">
        <f>Costs!AH50</f>
        <v>0</v>
      </c>
      <c r="AI16" s="1">
        <f>Costs!AI50</f>
        <v>0</v>
      </c>
      <c r="AJ16" s="1">
        <f>Costs!AJ50</f>
        <v>0</v>
      </c>
      <c r="AK16" s="1">
        <f>Costs!AK50</f>
        <v>0</v>
      </c>
      <c r="AL16" s="1">
        <f>Costs!AL50</f>
        <v>14808.979045779319</v>
      </c>
      <c r="AM16" s="1">
        <f>Costs!AM50</f>
        <v>0</v>
      </c>
      <c r="AN16" s="1">
        <f>Costs!AN50</f>
        <v>0</v>
      </c>
      <c r="AO16" s="1">
        <f>Costs!AO50</f>
        <v>0</v>
      </c>
      <c r="AP16" s="1">
        <f>Costs!AP50</f>
        <v>0</v>
      </c>
      <c r="AQ16" s="1">
        <f>Costs!AQ50</f>
        <v>0</v>
      </c>
      <c r="AR16" s="1">
        <f>Costs!AR50</f>
        <v>0</v>
      </c>
      <c r="AS16" s="1">
        <f>Costs!AS50</f>
        <v>0</v>
      </c>
      <c r="AT16" s="1">
        <f>Costs!AT50</f>
        <v>16506.402874643019</v>
      </c>
      <c r="AU16" s="1">
        <f>Costs!AU50</f>
        <v>0</v>
      </c>
      <c r="AV16" s="1">
        <f>Costs!AV50</f>
        <v>0</v>
      </c>
      <c r="AW16" s="1">
        <f>Costs!AW50</f>
        <v>0</v>
      </c>
      <c r="AX16" s="1">
        <f>Costs!AX50</f>
        <v>0</v>
      </c>
      <c r="AY16" s="1">
        <f>Costs!AY50</f>
        <v>0</v>
      </c>
      <c r="AZ16" s="1">
        <f>Costs!AZ50</f>
        <v>0</v>
      </c>
      <c r="BA16" s="1">
        <f>Costs!BA50</f>
        <v>0</v>
      </c>
      <c r="BB16" s="1">
        <f>Costs!BB50</f>
        <v>18398.387560530518</v>
      </c>
      <c r="BC16" s="1">
        <f>Costs!BC50</f>
        <v>0</v>
      </c>
      <c r="BD16" s="1">
        <f>Costs!BD50</f>
        <v>0</v>
      </c>
      <c r="BE16" s="1">
        <f>Costs!BE50</f>
        <v>0</v>
      </c>
      <c r="BF16" s="1">
        <f>Costs!BF50</f>
        <v>0</v>
      </c>
      <c r="BG16" s="1">
        <f>Costs!BG50</f>
        <v>0</v>
      </c>
      <c r="BH16" s="1">
        <f>Costs!BH50</f>
        <v>0</v>
      </c>
      <c r="BI16" s="1">
        <f>Costs!BI50</f>
        <v>0</v>
      </c>
      <c r="BJ16" s="1">
        <f>Costs!BJ50</f>
        <v>20507.233913906563</v>
      </c>
      <c r="BK16" t="s">
        <v>102</v>
      </c>
    </row>
    <row r="17" spans="1:63" ht="11.25" customHeight="1" x14ac:dyDescent="0.25">
      <c r="A17" s="12"/>
      <c r="B17" s="49" t="s">
        <v>211</v>
      </c>
      <c r="C17" s="50" t="s">
        <v>1</v>
      </c>
      <c r="D17" s="49"/>
      <c r="E17" s="23">
        <f t="shared" si="0"/>
        <v>2970300.5384013802</v>
      </c>
      <c r="F17" s="314" t="s">
        <v>26</v>
      </c>
      <c r="G17" s="51">
        <f>G13-G14-G15-G16</f>
        <v>0</v>
      </c>
      <c r="H17" s="51">
        <f t="shared" ref="H17:BJ17" si="2">H13-H14-H15-H16</f>
        <v>0</v>
      </c>
      <c r="I17" s="51">
        <f t="shared" si="2"/>
        <v>0</v>
      </c>
      <c r="J17" s="51">
        <f t="shared" si="2"/>
        <v>0</v>
      </c>
      <c r="K17" s="51">
        <f t="shared" si="2"/>
        <v>0</v>
      </c>
      <c r="L17" s="51">
        <f t="shared" si="2"/>
        <v>0</v>
      </c>
      <c r="M17" s="51">
        <f t="shared" si="2"/>
        <v>0</v>
      </c>
      <c r="N17" s="51">
        <f t="shared" si="2"/>
        <v>0</v>
      </c>
      <c r="O17" s="51">
        <f t="shared" si="2"/>
        <v>0</v>
      </c>
      <c r="P17" s="51">
        <f t="shared" si="2"/>
        <v>0</v>
      </c>
      <c r="Q17" s="51">
        <f t="shared" si="2"/>
        <v>0</v>
      </c>
      <c r="R17" s="51">
        <f t="shared" si="2"/>
        <v>0</v>
      </c>
      <c r="S17" s="51">
        <f t="shared" si="2"/>
        <v>0</v>
      </c>
      <c r="T17" s="51">
        <f t="shared" si="2"/>
        <v>0</v>
      </c>
      <c r="U17" s="51">
        <f t="shared" si="2"/>
        <v>0</v>
      </c>
      <c r="V17" s="51">
        <f t="shared" si="2"/>
        <v>0</v>
      </c>
      <c r="W17" s="51">
        <f t="shared" si="2"/>
        <v>37088.684059093866</v>
      </c>
      <c r="X17" s="51">
        <f t="shared" si="2"/>
        <v>37233.535769927672</v>
      </c>
      <c r="Y17" s="51">
        <f t="shared" si="2"/>
        <v>37380.858197204718</v>
      </c>
      <c r="Z17" s="51">
        <f t="shared" si="2"/>
        <v>37530.813054628248</v>
      </c>
      <c r="AA17" s="51">
        <f t="shared" si="2"/>
        <v>37683.431915326109</v>
      </c>
      <c r="AB17" s="51">
        <f t="shared" si="2"/>
        <v>37838.746772694576</v>
      </c>
      <c r="AC17" s="51">
        <f t="shared" si="2"/>
        <v>37985.77730286961</v>
      </c>
      <c r="AD17" s="51">
        <f t="shared" si="2"/>
        <v>35334.127385897104</v>
      </c>
      <c r="AE17" s="51">
        <f t="shared" si="2"/>
        <v>39235.897670928978</v>
      </c>
      <c r="AF17" s="51">
        <f t="shared" si="2"/>
        <v>39381.553161247866</v>
      </c>
      <c r="AG17" s="51">
        <f t="shared" si="2"/>
        <v>39529.597471613044</v>
      </c>
      <c r="AH17" s="51">
        <f t="shared" si="2"/>
        <v>39680.056471978125</v>
      </c>
      <c r="AI17" s="51">
        <f t="shared" si="2"/>
        <v>39832.956347768442</v>
      </c>
      <c r="AJ17" s="51">
        <f t="shared" si="2"/>
        <v>39988.323603716286</v>
      </c>
      <c r="AK17" s="51">
        <f t="shared" si="2"/>
        <v>80592.349334304119</v>
      </c>
      <c r="AL17" s="51">
        <f t="shared" si="2"/>
        <v>75131.121466403391</v>
      </c>
      <c r="AM17" s="51">
        <f t="shared" si="2"/>
        <v>84536.833142690884</v>
      </c>
      <c r="AN17" s="51">
        <f t="shared" si="2"/>
        <v>84542.210121930591</v>
      </c>
      <c r="AO17" s="51">
        <f t="shared" si="2"/>
        <v>85463.49247618184</v>
      </c>
      <c r="AP17" s="51">
        <f t="shared" si="2"/>
        <v>85459.653962262484</v>
      </c>
      <c r="AQ17" s="51">
        <f t="shared" si="2"/>
        <v>86391.377611525822</v>
      </c>
      <c r="AR17" s="51">
        <f t="shared" si="2"/>
        <v>86377.918595184397</v>
      </c>
      <c r="AS17" s="51">
        <f t="shared" si="2"/>
        <v>87320.10513586679</v>
      </c>
      <c r="AT17" s="51">
        <f t="shared" si="2"/>
        <v>81415.686968635186</v>
      </c>
      <c r="AU17" s="51">
        <f t="shared" si="2"/>
        <v>91590.695019638428</v>
      </c>
      <c r="AV17" s="51">
        <f t="shared" si="2"/>
        <v>92589.589774036707</v>
      </c>
      <c r="AW17" s="51">
        <f t="shared" si="2"/>
        <v>93599.530386306535</v>
      </c>
      <c r="AX17" s="51">
        <f t="shared" si="2"/>
        <v>94620.640153810498</v>
      </c>
      <c r="AY17" s="51">
        <f t="shared" si="2"/>
        <v>95653.043760515313</v>
      </c>
      <c r="AZ17" s="51">
        <f t="shared" si="2"/>
        <v>96696.867292694369</v>
      </c>
      <c r="BA17" s="51">
        <f t="shared" si="2"/>
        <v>97752.23825480933</v>
      </c>
      <c r="BB17" s="51">
        <f t="shared" si="2"/>
        <v>91140.29948375604</v>
      </c>
      <c r="BC17" s="51">
        <f t="shared" si="2"/>
        <v>102533.78033040848</v>
      </c>
      <c r="BD17" s="51">
        <f t="shared" si="2"/>
        <v>103652.68479343472</v>
      </c>
      <c r="BE17" s="51">
        <f t="shared" si="2"/>
        <v>104783.965251902</v>
      </c>
      <c r="BF17" s="51">
        <f t="shared" si="2"/>
        <v>105927.75985819506</v>
      </c>
      <c r="BG17" s="51">
        <f t="shared" si="2"/>
        <v>107084.2083182764</v>
      </c>
      <c r="BH17" s="51">
        <f t="shared" si="2"/>
        <v>108253.45190927746</v>
      </c>
      <c r="BI17" s="51">
        <f t="shared" si="2"/>
        <v>109435.63349729074</v>
      </c>
      <c r="BJ17" s="51">
        <f t="shared" si="2"/>
        <v>102031.04231714825</v>
      </c>
      <c r="BK17" t="s">
        <v>102</v>
      </c>
    </row>
    <row r="18" spans="1:63" ht="11.25" customHeight="1" x14ac:dyDescent="0.25">
      <c r="A18" s="12"/>
      <c r="B18" s="12" t="s">
        <v>88</v>
      </c>
      <c r="C18" s="22" t="s">
        <v>87</v>
      </c>
      <c r="D18" s="262">
        <f>Assumptions!D166</f>
        <v>30</v>
      </c>
      <c r="E18" s="159"/>
      <c r="F18" s="80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t="s">
        <v>102</v>
      </c>
    </row>
    <row r="19" spans="1:63" ht="11.25" customHeight="1" x14ac:dyDescent="0.25">
      <c r="A19" s="12"/>
      <c r="B19" s="56" t="s">
        <v>208</v>
      </c>
      <c r="C19" s="57"/>
      <c r="D19" s="56"/>
      <c r="E19" s="32">
        <f t="shared" si="0"/>
        <v>487942.88856517937</v>
      </c>
      <c r="F19" s="314" t="s">
        <v>26</v>
      </c>
      <c r="G19" s="58">
        <f>($D$18/(_xlfn.DAYS(G1,F1)))*G17</f>
        <v>0</v>
      </c>
      <c r="H19" s="58">
        <f t="shared" ref="H19:BJ19" si="3">($D$18/(_xlfn.DAYS(H1,G1)))*H17</f>
        <v>0</v>
      </c>
      <c r="I19" s="58">
        <f t="shared" si="3"/>
        <v>0</v>
      </c>
      <c r="J19" s="58">
        <f t="shared" si="3"/>
        <v>0</v>
      </c>
      <c r="K19" s="58">
        <f t="shared" si="3"/>
        <v>0</v>
      </c>
      <c r="L19" s="58">
        <f t="shared" si="3"/>
        <v>0</v>
      </c>
      <c r="M19" s="58">
        <f t="shared" si="3"/>
        <v>0</v>
      </c>
      <c r="N19" s="58">
        <f t="shared" si="3"/>
        <v>0</v>
      </c>
      <c r="O19" s="58">
        <f t="shared" si="3"/>
        <v>0</v>
      </c>
      <c r="P19" s="58">
        <f t="shared" si="3"/>
        <v>0</v>
      </c>
      <c r="Q19" s="58">
        <f t="shared" si="3"/>
        <v>0</v>
      </c>
      <c r="R19" s="58">
        <f t="shared" si="3"/>
        <v>0</v>
      </c>
      <c r="S19" s="58">
        <f t="shared" si="3"/>
        <v>0</v>
      </c>
      <c r="T19" s="58">
        <f t="shared" si="3"/>
        <v>0</v>
      </c>
      <c r="U19" s="58">
        <f t="shared" si="3"/>
        <v>0</v>
      </c>
      <c r="V19" s="58">
        <f t="shared" si="3"/>
        <v>0</v>
      </c>
      <c r="W19" s="58">
        <f t="shared" si="3"/>
        <v>6047.0680531131302</v>
      </c>
      <c r="X19" s="58">
        <f t="shared" si="3"/>
        <v>6171.3042712587303</v>
      </c>
      <c r="Y19" s="58">
        <f t="shared" si="3"/>
        <v>6094.705140848595</v>
      </c>
      <c r="Z19" s="58">
        <f t="shared" si="3"/>
        <v>6186.3977562574037</v>
      </c>
      <c r="AA19" s="58">
        <f t="shared" si="3"/>
        <v>6144.0378122814309</v>
      </c>
      <c r="AB19" s="58">
        <f t="shared" si="3"/>
        <v>6271.6154871869458</v>
      </c>
      <c r="AC19" s="58">
        <f t="shared" si="3"/>
        <v>6193.3332559026539</v>
      </c>
      <c r="AD19" s="58">
        <f t="shared" si="3"/>
        <v>5856.4852020823928</v>
      </c>
      <c r="AE19" s="58">
        <f t="shared" si="3"/>
        <v>6397.1572289558117</v>
      </c>
      <c r="AF19" s="58">
        <f t="shared" si="3"/>
        <v>6527.3292532455025</v>
      </c>
      <c r="AG19" s="58">
        <f t="shared" si="3"/>
        <v>6445.0430660238662</v>
      </c>
      <c r="AH19" s="58">
        <f t="shared" si="3"/>
        <v>6540.6686492271638</v>
      </c>
      <c r="AI19" s="58">
        <f t="shared" si="3"/>
        <v>6494.5037523535502</v>
      </c>
      <c r="AJ19" s="58">
        <f t="shared" si="3"/>
        <v>6627.8989398424783</v>
      </c>
      <c r="AK19" s="58">
        <f t="shared" si="3"/>
        <v>13140.05695668002</v>
      </c>
      <c r="AL19" s="58">
        <f t="shared" si="3"/>
        <v>12452.672066254705</v>
      </c>
      <c r="AM19" s="58">
        <f t="shared" si="3"/>
        <v>13783.179316743079</v>
      </c>
      <c r="AN19" s="58">
        <f t="shared" si="3"/>
        <v>14012.521014684628</v>
      </c>
      <c r="AO19" s="58">
        <f t="shared" si="3"/>
        <v>13934.265077638343</v>
      </c>
      <c r="AP19" s="58">
        <f t="shared" si="3"/>
        <v>14086.756147625683</v>
      </c>
      <c r="AQ19" s="58">
        <f t="shared" si="3"/>
        <v>14085.550697531384</v>
      </c>
      <c r="AR19" s="58">
        <f t="shared" si="3"/>
        <v>14316.782087599624</v>
      </c>
      <c r="AS19" s="58">
        <f t="shared" si="3"/>
        <v>14236.973663456542</v>
      </c>
      <c r="AT19" s="58">
        <f t="shared" si="3"/>
        <v>13494.31275723235</v>
      </c>
      <c r="AU19" s="58">
        <f t="shared" si="3"/>
        <v>14933.265492332353</v>
      </c>
      <c r="AV19" s="58">
        <f t="shared" si="3"/>
        <v>15346.34084652542</v>
      </c>
      <c r="AW19" s="58">
        <f t="shared" si="3"/>
        <v>15260.79299776737</v>
      </c>
      <c r="AX19" s="58">
        <f t="shared" si="3"/>
        <v>15596.80881656217</v>
      </c>
      <c r="AY19" s="58">
        <f t="shared" si="3"/>
        <v>15595.604960953584</v>
      </c>
      <c r="AZ19" s="58">
        <f t="shared" si="3"/>
        <v>16027.105076137188</v>
      </c>
      <c r="BA19" s="58">
        <f t="shared" si="3"/>
        <v>15937.864932849348</v>
      </c>
      <c r="BB19" s="58">
        <f t="shared" si="3"/>
        <v>15106.126986257907</v>
      </c>
      <c r="BC19" s="58">
        <f t="shared" si="3"/>
        <v>16717.464184305732</v>
      </c>
      <c r="BD19" s="58">
        <f t="shared" si="3"/>
        <v>17180.003004436694</v>
      </c>
      <c r="BE19" s="58">
        <f t="shared" si="3"/>
        <v>17084.342160636195</v>
      </c>
      <c r="BF19" s="58">
        <f t="shared" si="3"/>
        <v>17460.619756845339</v>
      </c>
      <c r="BG19" s="58">
        <f t="shared" si="3"/>
        <v>17459.381791023327</v>
      </c>
      <c r="BH19" s="58">
        <f t="shared" si="3"/>
        <v>17942.561089935491</v>
      </c>
      <c r="BI19" s="58">
        <f t="shared" si="3"/>
        <v>17842.766331080013</v>
      </c>
      <c r="BJ19" s="58">
        <f t="shared" si="3"/>
        <v>16911.222483505237</v>
      </c>
      <c r="BK19" t="s">
        <v>102</v>
      </c>
    </row>
    <row r="20" spans="1:63" ht="11.25" customHeight="1" x14ac:dyDescent="0.25">
      <c r="A20" s="12"/>
      <c r="B20" s="12"/>
      <c r="C20" s="12"/>
      <c r="D20" s="12"/>
      <c r="E20" s="23"/>
      <c r="F20" s="80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t="s">
        <v>102</v>
      </c>
    </row>
    <row r="21" spans="1:63" ht="11.25" customHeight="1" x14ac:dyDescent="0.25">
      <c r="A21" s="12" t="s">
        <v>26</v>
      </c>
      <c r="B21" s="214" t="s">
        <v>85</v>
      </c>
      <c r="C21" s="215" t="s">
        <v>1</v>
      </c>
      <c r="D21" s="214"/>
      <c r="E21" s="220">
        <f t="shared" si="0"/>
        <v>964966.61364116473</v>
      </c>
      <c r="F21" s="322"/>
      <c r="G21" s="216">
        <f>G9-G19</f>
        <v>0</v>
      </c>
      <c r="H21" s="216">
        <f t="shared" ref="H21:BJ21" si="4">H9-H19</f>
        <v>0</v>
      </c>
      <c r="I21" s="216">
        <f t="shared" si="4"/>
        <v>0</v>
      </c>
      <c r="J21" s="216">
        <f t="shared" si="4"/>
        <v>0</v>
      </c>
      <c r="K21" s="216">
        <f t="shared" si="4"/>
        <v>0</v>
      </c>
      <c r="L21" s="216">
        <f t="shared" si="4"/>
        <v>0</v>
      </c>
      <c r="M21" s="216">
        <f t="shared" si="4"/>
        <v>0</v>
      </c>
      <c r="N21" s="216">
        <f t="shared" si="4"/>
        <v>0</v>
      </c>
      <c r="O21" s="216">
        <f t="shared" si="4"/>
        <v>0</v>
      </c>
      <c r="P21" s="216">
        <f t="shared" si="4"/>
        <v>0</v>
      </c>
      <c r="Q21" s="216">
        <f t="shared" si="4"/>
        <v>0</v>
      </c>
      <c r="R21" s="216">
        <f t="shared" si="4"/>
        <v>0</v>
      </c>
      <c r="S21" s="216">
        <f t="shared" si="4"/>
        <v>0</v>
      </c>
      <c r="T21" s="216">
        <f t="shared" si="4"/>
        <v>0</v>
      </c>
      <c r="U21" s="216">
        <f t="shared" si="4"/>
        <v>0</v>
      </c>
      <c r="V21" s="216">
        <f t="shared" si="4"/>
        <v>0</v>
      </c>
      <c r="W21" s="216">
        <f t="shared" si="4"/>
        <v>19145.09551533575</v>
      </c>
      <c r="X21" s="216">
        <f t="shared" si="4"/>
        <v>19784.299891138151</v>
      </c>
      <c r="Y21" s="216">
        <f t="shared" si="4"/>
        <v>19233.450503535561</v>
      </c>
      <c r="Z21" s="216">
        <f t="shared" si="4"/>
        <v>19870.750929425438</v>
      </c>
      <c r="AA21" s="216">
        <f t="shared" si="4"/>
        <v>19423.689645913808</v>
      </c>
      <c r="AB21" s="216">
        <f t="shared" si="4"/>
        <v>20176.882071309017</v>
      </c>
      <c r="AC21" s="216">
        <f t="shared" si="4"/>
        <v>19615.800622483584</v>
      </c>
      <c r="AD21" s="216">
        <f t="shared" si="4"/>
        <v>18716.913354154047</v>
      </c>
      <c r="AE21" s="216">
        <f t="shared" si="4"/>
        <v>20599.365044594677</v>
      </c>
      <c r="AF21" s="216">
        <f t="shared" si="4"/>
        <v>20997.3341939198</v>
      </c>
      <c r="AG21" s="216">
        <f t="shared" si="4"/>
        <v>20414.241560418657</v>
      </c>
      <c r="AH21" s="216">
        <f t="shared" si="4"/>
        <v>20815.215771582079</v>
      </c>
      <c r="AI21" s="216">
        <f t="shared" si="4"/>
        <v>20347.565795856139</v>
      </c>
      <c r="AJ21" s="216">
        <f t="shared" si="4"/>
        <v>21185.159487971046</v>
      </c>
      <c r="AK21" s="216">
        <f t="shared" si="4"/>
        <v>21747.732916438777</v>
      </c>
      <c r="AL21" s="216">
        <f t="shared" si="4"/>
        <v>22245.116345966886</v>
      </c>
      <c r="AM21" s="216">
        <f t="shared" si="4"/>
        <v>24856.6595329091</v>
      </c>
      <c r="AN21" s="216">
        <f t="shared" si="4"/>
        <v>25481.712715741058</v>
      </c>
      <c r="AO21" s="216">
        <f t="shared" si="4"/>
        <v>25131.562716432054</v>
      </c>
      <c r="AP21" s="216">
        <f t="shared" si="4"/>
        <v>25412.195024529748</v>
      </c>
      <c r="AQ21" s="216">
        <f t="shared" si="4"/>
        <v>25200.802449975039</v>
      </c>
      <c r="AR21" s="216">
        <f t="shared" si="4"/>
        <v>25597.508225981372</v>
      </c>
      <c r="AS21" s="216">
        <f t="shared" si="4"/>
        <v>25244.354232560872</v>
      </c>
      <c r="AT21" s="216">
        <f t="shared" si="4"/>
        <v>23697.857322332849</v>
      </c>
      <c r="AU21" s="216">
        <f t="shared" si="4"/>
        <v>26484.344220137584</v>
      </c>
      <c r="AV21" s="216">
        <f t="shared" si="4"/>
        <v>26991.320712121342</v>
      </c>
      <c r="AW21" s="216">
        <f t="shared" si="4"/>
        <v>26617.619100137184</v>
      </c>
      <c r="AX21" s="216">
        <f t="shared" si="4"/>
        <v>26976.678764975299</v>
      </c>
      <c r="AY21" s="216">
        <f t="shared" si="4"/>
        <v>26748.736299133365</v>
      </c>
      <c r="AZ21" s="216">
        <f t="shared" si="4"/>
        <v>27257.87446853322</v>
      </c>
      <c r="BA21" s="216">
        <f t="shared" si="4"/>
        <v>26877.589305455433</v>
      </c>
      <c r="BB21" s="216">
        <f t="shared" si="4"/>
        <v>25226.854220929446</v>
      </c>
      <c r="BC21" s="216">
        <f t="shared" si="4"/>
        <v>28197.787348637328</v>
      </c>
      <c r="BD21" s="216">
        <f t="shared" si="4"/>
        <v>28732.997079938075</v>
      </c>
      <c r="BE21" s="216">
        <f t="shared" si="4"/>
        <v>28330.625681202029</v>
      </c>
      <c r="BF21" s="216">
        <f t="shared" si="4"/>
        <v>28708.121429193267</v>
      </c>
      <c r="BG21" s="216">
        <f t="shared" si="4"/>
        <v>28460.862083430926</v>
      </c>
      <c r="BH21" s="216">
        <f t="shared" si="4"/>
        <v>28997.756261643157</v>
      </c>
      <c r="BI21" s="216">
        <f t="shared" si="4"/>
        <v>28588.37515586285</v>
      </c>
      <c r="BJ21" s="216">
        <f t="shared" si="4"/>
        <v>26827.80563932873</v>
      </c>
      <c r="BK21" t="s">
        <v>102</v>
      </c>
    </row>
    <row r="22" spans="1:63" ht="11.25" customHeight="1" x14ac:dyDescent="0.25">
      <c r="A22" s="12"/>
      <c r="B22" s="12" t="s">
        <v>212</v>
      </c>
      <c r="C22" s="22" t="s">
        <v>1</v>
      </c>
      <c r="D22" s="31"/>
      <c r="E22" s="23">
        <f t="shared" si="0"/>
        <v>19145.09551533575</v>
      </c>
      <c r="F22" s="313"/>
      <c r="G22" s="1">
        <f>IF(AND(G12=0,H12=1),H21,0)</f>
        <v>0</v>
      </c>
      <c r="H22" s="1">
        <f t="shared" ref="H22:BJ22" si="5">IF(AND(H12=0,I12=1),I21,0)</f>
        <v>0</v>
      </c>
      <c r="I22" s="1">
        <f t="shared" si="5"/>
        <v>0</v>
      </c>
      <c r="J22" s="1">
        <f t="shared" si="5"/>
        <v>0</v>
      </c>
      <c r="K22" s="1">
        <f t="shared" si="5"/>
        <v>0</v>
      </c>
      <c r="L22" s="1">
        <f t="shared" si="5"/>
        <v>0</v>
      </c>
      <c r="M22" s="1">
        <f t="shared" si="5"/>
        <v>0</v>
      </c>
      <c r="N22" s="1">
        <f t="shared" si="5"/>
        <v>0</v>
      </c>
      <c r="O22" s="1">
        <f t="shared" si="5"/>
        <v>0</v>
      </c>
      <c r="P22" s="1">
        <f t="shared" si="5"/>
        <v>0</v>
      </c>
      <c r="Q22" s="1">
        <f t="shared" si="5"/>
        <v>0</v>
      </c>
      <c r="R22" s="1">
        <f t="shared" si="5"/>
        <v>0</v>
      </c>
      <c r="S22" s="1">
        <f t="shared" si="5"/>
        <v>0</v>
      </c>
      <c r="T22" s="1">
        <f t="shared" si="5"/>
        <v>0</v>
      </c>
      <c r="U22" s="1">
        <f t="shared" si="5"/>
        <v>0</v>
      </c>
      <c r="V22" s="1">
        <f t="shared" si="5"/>
        <v>19145.09551533575</v>
      </c>
      <c r="W22" s="1">
        <f t="shared" si="5"/>
        <v>0</v>
      </c>
      <c r="X22" s="1">
        <f t="shared" si="5"/>
        <v>0</v>
      </c>
      <c r="Y22" s="1">
        <f t="shared" si="5"/>
        <v>0</v>
      </c>
      <c r="Z22" s="1">
        <f t="shared" si="5"/>
        <v>0</v>
      </c>
      <c r="AA22" s="1">
        <f t="shared" si="5"/>
        <v>0</v>
      </c>
      <c r="AB22" s="1">
        <f t="shared" si="5"/>
        <v>0</v>
      </c>
      <c r="AC22" s="1">
        <f t="shared" si="5"/>
        <v>0</v>
      </c>
      <c r="AD22" s="1">
        <f t="shared" si="5"/>
        <v>0</v>
      </c>
      <c r="AE22" s="1">
        <f t="shared" si="5"/>
        <v>0</v>
      </c>
      <c r="AF22" s="1">
        <f t="shared" si="5"/>
        <v>0</v>
      </c>
      <c r="AG22" s="1">
        <f t="shared" si="5"/>
        <v>0</v>
      </c>
      <c r="AH22" s="1">
        <f t="shared" si="5"/>
        <v>0</v>
      </c>
      <c r="AI22" s="1">
        <f t="shared" si="5"/>
        <v>0</v>
      </c>
      <c r="AJ22" s="1">
        <f t="shared" si="5"/>
        <v>0</v>
      </c>
      <c r="AK22" s="1">
        <f t="shared" si="5"/>
        <v>0</v>
      </c>
      <c r="AL22" s="1">
        <f t="shared" si="5"/>
        <v>0</v>
      </c>
      <c r="AM22" s="1">
        <f t="shared" si="5"/>
        <v>0</v>
      </c>
      <c r="AN22" s="1">
        <f t="shared" si="5"/>
        <v>0</v>
      </c>
      <c r="AO22" s="1">
        <f t="shared" si="5"/>
        <v>0</v>
      </c>
      <c r="AP22" s="1">
        <f t="shared" si="5"/>
        <v>0</v>
      </c>
      <c r="AQ22" s="1">
        <f t="shared" si="5"/>
        <v>0</v>
      </c>
      <c r="AR22" s="1">
        <f t="shared" si="5"/>
        <v>0</v>
      </c>
      <c r="AS22" s="1">
        <f t="shared" si="5"/>
        <v>0</v>
      </c>
      <c r="AT22" s="1">
        <f t="shared" si="5"/>
        <v>0</v>
      </c>
      <c r="AU22" s="1">
        <f t="shared" si="5"/>
        <v>0</v>
      </c>
      <c r="AV22" s="1">
        <f t="shared" si="5"/>
        <v>0</v>
      </c>
      <c r="AW22" s="1">
        <f t="shared" si="5"/>
        <v>0</v>
      </c>
      <c r="AX22" s="1">
        <f t="shared" si="5"/>
        <v>0</v>
      </c>
      <c r="AY22" s="1">
        <f t="shared" si="5"/>
        <v>0</v>
      </c>
      <c r="AZ22" s="1">
        <f t="shared" si="5"/>
        <v>0</v>
      </c>
      <c r="BA22" s="1">
        <f t="shared" si="5"/>
        <v>0</v>
      </c>
      <c r="BB22" s="1">
        <f t="shared" si="5"/>
        <v>0</v>
      </c>
      <c r="BC22" s="1">
        <f t="shared" si="5"/>
        <v>0</v>
      </c>
      <c r="BD22" s="1">
        <f t="shared" si="5"/>
        <v>0</v>
      </c>
      <c r="BE22" s="1">
        <f t="shared" si="5"/>
        <v>0</v>
      </c>
      <c r="BF22" s="1">
        <f t="shared" si="5"/>
        <v>0</v>
      </c>
      <c r="BG22" s="1">
        <f t="shared" si="5"/>
        <v>0</v>
      </c>
      <c r="BH22" s="1">
        <f t="shared" si="5"/>
        <v>0</v>
      </c>
      <c r="BI22" s="1">
        <f t="shared" si="5"/>
        <v>0</v>
      </c>
      <c r="BJ22" s="1">
        <f t="shared" si="5"/>
        <v>0</v>
      </c>
      <c r="BK22" t="s">
        <v>102</v>
      </c>
    </row>
    <row r="23" spans="1:63" ht="11.25" customHeight="1" x14ac:dyDescent="0.25">
      <c r="A23" s="12" t="s">
        <v>26</v>
      </c>
      <c r="B23" s="214" t="s">
        <v>213</v>
      </c>
      <c r="C23" s="227" t="s">
        <v>1</v>
      </c>
      <c r="D23" s="214"/>
      <c r="E23" s="220">
        <f t="shared" si="0"/>
        <v>7682.7101239929798</v>
      </c>
      <c r="F23" s="322"/>
      <c r="G23" s="216">
        <f t="shared" ref="G23" si="6">IF(AND(F21=0,G21&gt;0),0,G21-F21)</f>
        <v>0</v>
      </c>
      <c r="H23" s="216">
        <f>IF(AND(G21=0,H21&gt;0),0,H21-G21)</f>
        <v>0</v>
      </c>
      <c r="I23" s="216">
        <f t="shared" ref="I23:BJ23" si="7">IF(AND(H21=0,I21&gt;0),0,I21-H21)</f>
        <v>0</v>
      </c>
      <c r="J23" s="216">
        <f t="shared" si="7"/>
        <v>0</v>
      </c>
      <c r="K23" s="216">
        <f t="shared" si="7"/>
        <v>0</v>
      </c>
      <c r="L23" s="216">
        <f t="shared" si="7"/>
        <v>0</v>
      </c>
      <c r="M23" s="216">
        <f t="shared" si="7"/>
        <v>0</v>
      </c>
      <c r="N23" s="216">
        <f t="shared" si="7"/>
        <v>0</v>
      </c>
      <c r="O23" s="216">
        <f t="shared" si="7"/>
        <v>0</v>
      </c>
      <c r="P23" s="216">
        <f t="shared" si="7"/>
        <v>0</v>
      </c>
      <c r="Q23" s="216">
        <f t="shared" si="7"/>
        <v>0</v>
      </c>
      <c r="R23" s="216">
        <f t="shared" si="7"/>
        <v>0</v>
      </c>
      <c r="S23" s="216">
        <f t="shared" si="7"/>
        <v>0</v>
      </c>
      <c r="T23" s="216">
        <f t="shared" si="7"/>
        <v>0</v>
      </c>
      <c r="U23" s="216">
        <f t="shared" si="7"/>
        <v>0</v>
      </c>
      <c r="V23" s="216">
        <f t="shared" si="7"/>
        <v>0</v>
      </c>
      <c r="W23" s="216">
        <f t="shared" si="7"/>
        <v>0</v>
      </c>
      <c r="X23" s="216">
        <f t="shared" si="7"/>
        <v>639.20437580240105</v>
      </c>
      <c r="Y23" s="216">
        <f t="shared" si="7"/>
        <v>-550.84938760258956</v>
      </c>
      <c r="Z23" s="216">
        <f t="shared" si="7"/>
        <v>637.30042588987635</v>
      </c>
      <c r="AA23" s="216">
        <f t="shared" si="7"/>
        <v>-447.06128351162988</v>
      </c>
      <c r="AB23" s="216">
        <f t="shared" si="7"/>
        <v>753.19242539520928</v>
      </c>
      <c r="AC23" s="216">
        <f t="shared" si="7"/>
        <v>-561.08144882543274</v>
      </c>
      <c r="AD23" s="216">
        <f t="shared" si="7"/>
        <v>-898.88726832953762</v>
      </c>
      <c r="AE23" s="216">
        <f t="shared" si="7"/>
        <v>1882.45169044063</v>
      </c>
      <c r="AF23" s="216">
        <f t="shared" si="7"/>
        <v>397.969149325123</v>
      </c>
      <c r="AG23" s="216">
        <f t="shared" si="7"/>
        <v>-583.0926335011427</v>
      </c>
      <c r="AH23" s="216">
        <f t="shared" si="7"/>
        <v>400.9742111634223</v>
      </c>
      <c r="AI23" s="216">
        <f t="shared" si="7"/>
        <v>-467.64997572594075</v>
      </c>
      <c r="AJ23" s="216">
        <f t="shared" si="7"/>
        <v>837.59369211490775</v>
      </c>
      <c r="AK23" s="216">
        <f t="shared" si="7"/>
        <v>562.57342846773099</v>
      </c>
      <c r="AL23" s="216">
        <f t="shared" si="7"/>
        <v>497.38342952810854</v>
      </c>
      <c r="AM23" s="216">
        <f t="shared" si="7"/>
        <v>2611.5431869422137</v>
      </c>
      <c r="AN23" s="216">
        <f t="shared" si="7"/>
        <v>625.05318283195811</v>
      </c>
      <c r="AO23" s="216">
        <f t="shared" si="7"/>
        <v>-350.14999930900376</v>
      </c>
      <c r="AP23" s="216">
        <f t="shared" si="7"/>
        <v>280.63230809769448</v>
      </c>
      <c r="AQ23" s="216">
        <f t="shared" si="7"/>
        <v>-211.39257455470943</v>
      </c>
      <c r="AR23" s="216">
        <f t="shared" si="7"/>
        <v>396.7057760063326</v>
      </c>
      <c r="AS23" s="216">
        <f t="shared" si="7"/>
        <v>-353.15399342049932</v>
      </c>
      <c r="AT23" s="216">
        <f t="shared" si="7"/>
        <v>-1546.4969102280229</v>
      </c>
      <c r="AU23" s="216">
        <f t="shared" si="7"/>
        <v>2786.4868978047343</v>
      </c>
      <c r="AV23" s="216">
        <f t="shared" si="7"/>
        <v>506.97649198375802</v>
      </c>
      <c r="AW23" s="216">
        <f t="shared" si="7"/>
        <v>-373.70161198415735</v>
      </c>
      <c r="AX23" s="216">
        <f t="shared" si="7"/>
        <v>359.05966483811426</v>
      </c>
      <c r="AY23" s="216">
        <f t="shared" si="7"/>
        <v>-227.94246584193388</v>
      </c>
      <c r="AZ23" s="216">
        <f t="shared" si="7"/>
        <v>509.13816939985554</v>
      </c>
      <c r="BA23" s="216">
        <f t="shared" si="7"/>
        <v>-380.28516307778773</v>
      </c>
      <c r="BB23" s="216">
        <f t="shared" si="7"/>
        <v>-1650.7350845259862</v>
      </c>
      <c r="BC23" s="216">
        <f t="shared" si="7"/>
        <v>2970.9331277078818</v>
      </c>
      <c r="BD23" s="216">
        <f t="shared" si="7"/>
        <v>535.20973130074708</v>
      </c>
      <c r="BE23" s="216">
        <f t="shared" si="7"/>
        <v>-402.3713987360461</v>
      </c>
      <c r="BF23" s="216">
        <f t="shared" si="7"/>
        <v>377.49574799123729</v>
      </c>
      <c r="BG23" s="216">
        <f t="shared" si="7"/>
        <v>-247.25934576234067</v>
      </c>
      <c r="BH23" s="216">
        <f t="shared" si="7"/>
        <v>536.89417821223105</v>
      </c>
      <c r="BI23" s="216">
        <f t="shared" si="7"/>
        <v>-409.38110578030683</v>
      </c>
      <c r="BJ23" s="216">
        <f t="shared" si="7"/>
        <v>-1760.5695165341203</v>
      </c>
      <c r="BK23" t="s">
        <v>102</v>
      </c>
    </row>
    <row r="24" spans="1:63" ht="11.25" customHeight="1" x14ac:dyDescent="0.25">
      <c r="A24" s="12"/>
      <c r="B24" s="12"/>
      <c r="C24" s="12"/>
      <c r="D24" s="12"/>
      <c r="E24" s="12"/>
      <c r="F24" s="80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</row>
    <row r="25" spans="1:63" ht="11.25" customHeight="1" x14ac:dyDescent="0.25">
      <c r="A25" s="12"/>
      <c r="B25" s="12"/>
      <c r="C25" s="12"/>
      <c r="D25" s="12"/>
      <c r="E25" s="12"/>
      <c r="F25" s="80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</row>
    <row r="26" spans="1:63" ht="11.25" customHeight="1" x14ac:dyDescent="0.25">
      <c r="A26" s="12"/>
      <c r="B26" s="12"/>
      <c r="C26" s="12"/>
      <c r="D26" s="12"/>
      <c r="E26" s="12"/>
      <c r="F26" s="80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</row>
    <row r="27" spans="1:63" ht="11.25" customHeight="1" x14ac:dyDescent="0.25">
      <c r="A27" s="12"/>
      <c r="B27" s="12"/>
      <c r="C27" s="12"/>
      <c r="D27" s="12"/>
      <c r="E27" s="12"/>
      <c r="F27" s="80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</row>
    <row r="28" spans="1:63" ht="11.25" customHeight="1" x14ac:dyDescent="0.25">
      <c r="A28" s="12"/>
      <c r="B28" s="12"/>
      <c r="C28" s="12"/>
      <c r="D28" s="12"/>
      <c r="E28" s="12"/>
      <c r="F28" s="80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</row>
    <row r="30" spans="1:63" ht="11.25" customHeight="1" x14ac:dyDescent="0.25">
      <c r="D30" s="174"/>
    </row>
    <row r="31" spans="1:63" ht="11.25" customHeight="1" x14ac:dyDescent="0.25">
      <c r="D31" s="174"/>
    </row>
  </sheetData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8" tint="0.79998168889431442"/>
  </sheetPr>
  <dimension ref="A1:BK34"/>
  <sheetViews>
    <sheetView zoomScale="110" zoomScaleNormal="110" workbookViewId="0">
      <pane xSplit="6" topLeftCell="G1" activePane="topRight" state="frozen"/>
      <selection pane="topRight" activeCell="B8" sqref="B8"/>
    </sheetView>
  </sheetViews>
  <sheetFormatPr defaultColWidth="8.7109375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style="305" customWidth="1"/>
    <col min="7" max="62" width="8.7109375" customWidth="1"/>
  </cols>
  <sheetData>
    <row r="1" spans="1:63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63" ht="11.25" customHeight="1" x14ac:dyDescent="0.25">
      <c r="A2" s="200" t="s">
        <v>89</v>
      </c>
      <c r="B2" s="201"/>
      <c r="C2" s="202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63" ht="11.25" customHeight="1" x14ac:dyDescent="0.25">
      <c r="A3" s="200"/>
      <c r="B3" s="201"/>
      <c r="C3" s="202"/>
      <c r="D3" s="200"/>
      <c r="E3" s="203" t="s">
        <v>403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63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80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t="s">
        <v>102</v>
      </c>
    </row>
    <row r="5" spans="1:63" ht="11.25" customHeight="1" x14ac:dyDescent="0.25">
      <c r="A5" s="12"/>
      <c r="B5" s="25"/>
      <c r="C5" s="12"/>
      <c r="E5" s="12"/>
      <c r="F5" s="80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t="s">
        <v>102</v>
      </c>
    </row>
    <row r="6" spans="1:63" ht="11.25" customHeight="1" x14ac:dyDescent="0.25">
      <c r="A6" s="12" t="s">
        <v>26</v>
      </c>
      <c r="B6" s="17" t="s">
        <v>214</v>
      </c>
      <c r="C6" s="12"/>
      <c r="D6" s="12"/>
      <c r="E6" s="12"/>
      <c r="F6" s="80"/>
      <c r="G6" s="198"/>
      <c r="H6" s="198"/>
      <c r="I6" s="198"/>
      <c r="J6" s="198"/>
      <c r="K6" s="198"/>
      <c r="L6" s="198"/>
      <c r="M6" s="198"/>
      <c r="N6" s="198"/>
      <c r="O6" s="198"/>
      <c r="P6" s="198"/>
      <c r="Q6" s="198"/>
      <c r="R6" s="198"/>
      <c r="S6" s="198"/>
      <c r="T6" s="198"/>
      <c r="U6" s="198"/>
      <c r="V6" s="198"/>
      <c r="W6" s="198"/>
      <c r="X6" s="198"/>
      <c r="Y6" s="198"/>
      <c r="Z6" s="198"/>
      <c r="AA6" s="198"/>
      <c r="AB6" s="198"/>
      <c r="AC6" s="198"/>
      <c r="AD6" s="198"/>
      <c r="AE6" s="198"/>
      <c r="AF6" s="198"/>
      <c r="AG6" s="198"/>
      <c r="AH6" s="198"/>
      <c r="AI6" s="198"/>
      <c r="AJ6" s="198"/>
      <c r="AK6" s="198"/>
      <c r="AL6" s="198"/>
      <c r="AM6" s="198"/>
      <c r="AN6" s="198"/>
      <c r="AO6" s="198"/>
      <c r="AP6" s="198"/>
      <c r="AQ6" s="198"/>
      <c r="AR6" s="198"/>
      <c r="AS6" s="198"/>
      <c r="AT6" s="198"/>
      <c r="AU6" s="198"/>
      <c r="AV6" s="198"/>
      <c r="AW6" s="198"/>
      <c r="AX6" s="198"/>
      <c r="AY6" s="198"/>
      <c r="AZ6" s="198"/>
      <c r="BA6" s="198"/>
      <c r="BB6" s="198"/>
      <c r="BC6" s="198"/>
      <c r="BD6" s="198"/>
      <c r="BE6" s="198"/>
      <c r="BF6" s="198"/>
      <c r="BG6" s="198"/>
      <c r="BH6" s="198"/>
      <c r="BI6" s="198"/>
      <c r="BJ6" s="198"/>
      <c r="BK6" t="s">
        <v>102</v>
      </c>
    </row>
    <row r="7" spans="1:63" ht="11.25" customHeight="1" x14ac:dyDescent="0.25">
      <c r="A7" s="12"/>
      <c r="B7" s="12" t="s">
        <v>215</v>
      </c>
      <c r="C7" s="76" t="s">
        <v>1</v>
      </c>
      <c r="D7" s="12"/>
      <c r="E7" s="1">
        <f>SUM(G7:BJ7)</f>
        <v>1275593.0107563359</v>
      </c>
      <c r="F7" s="80" t="s">
        <v>26</v>
      </c>
      <c r="G7" s="1">
        <f>CF!G19</f>
        <v>0</v>
      </c>
      <c r="H7" s="1">
        <f>CF!H19</f>
        <v>0</v>
      </c>
      <c r="I7" s="1">
        <f>CF!I19</f>
        <v>0</v>
      </c>
      <c r="J7" s="1">
        <f>CF!J19</f>
        <v>0</v>
      </c>
      <c r="K7" s="1">
        <f>CF!K19</f>
        <v>0</v>
      </c>
      <c r="L7" s="1">
        <f>CF!L19</f>
        <v>0</v>
      </c>
      <c r="M7" s="1">
        <f>CF!M19</f>
        <v>0</v>
      </c>
      <c r="N7" s="1">
        <f>CF!N19</f>
        <v>0</v>
      </c>
      <c r="O7" s="1">
        <f>CF!O19</f>
        <v>0</v>
      </c>
      <c r="P7" s="1">
        <f>CF!P19</f>
        <v>0</v>
      </c>
      <c r="Q7" s="1">
        <f>CF!Q19</f>
        <v>0</v>
      </c>
      <c r="R7" s="1">
        <f>CF!R19</f>
        <v>0</v>
      </c>
      <c r="S7" s="1">
        <f>CF!S19</f>
        <v>0</v>
      </c>
      <c r="T7" s="1">
        <f>CF!T19</f>
        <v>0</v>
      </c>
      <c r="U7" s="1">
        <f>CF!U19</f>
        <v>0</v>
      </c>
      <c r="V7" s="1">
        <f>CF!V19</f>
        <v>0</v>
      </c>
      <c r="W7" s="1">
        <f>CF!W19</f>
        <v>37981.003015992872</v>
      </c>
      <c r="X7" s="1">
        <f>CF!X19</f>
        <v>38875.797955001108</v>
      </c>
      <c r="Y7" s="1">
        <f>CF!Y19</f>
        <v>38118.479381379861</v>
      </c>
      <c r="Z7" s="1">
        <f>CF!Z19</f>
        <v>39331.923635796367</v>
      </c>
      <c r="AA7" s="1">
        <f>CF!AA19</f>
        <v>38563.297502779802</v>
      </c>
      <c r="AB7" s="1">
        <f>CF!AB19</f>
        <v>39782.717753159006</v>
      </c>
      <c r="AC7" s="1">
        <f>CF!AC19</f>
        <v>39014.453473406706</v>
      </c>
      <c r="AD7" s="1">
        <f>CF!AD19</f>
        <v>23423.323696896507</v>
      </c>
      <c r="AE7" s="1">
        <f>CF!AE19</f>
        <v>41391.957425576853</v>
      </c>
      <c r="AF7" s="1">
        <f>CF!AF19</f>
        <v>41498.481236919761</v>
      </c>
      <c r="AG7" s="1">
        <f>CF!AG19</f>
        <v>40703.936916985826</v>
      </c>
      <c r="AH7" s="1">
        <f>CF!AH19</f>
        <v>41169.436459091623</v>
      </c>
      <c r="AI7" s="1">
        <f>CF!AI19</f>
        <v>40370.271857958985</v>
      </c>
      <c r="AJ7" s="1">
        <f>CF!AJ19</f>
        <v>41796.921559180897</v>
      </c>
      <c r="AK7" s="1">
        <f>CF!AK19</f>
        <v>24059.276841480008</v>
      </c>
      <c r="AL7" s="1">
        <f>CF!AL19</f>
        <v>12427.800263078287</v>
      </c>
      <c r="AM7" s="1">
        <f>CF!AM19</f>
        <v>31527.243216645351</v>
      </c>
      <c r="AN7" s="1">
        <f>CF!AN19</f>
        <v>32171.325577546144</v>
      </c>
      <c r="AO7" s="1">
        <f>CF!AO19</f>
        <v>31914.760291416344</v>
      </c>
      <c r="AP7" s="1">
        <f>CF!AP19</f>
        <v>31940.401524283268</v>
      </c>
      <c r="AQ7" s="1">
        <f>CF!AQ19</f>
        <v>31676.914537971141</v>
      </c>
      <c r="AR7" s="1">
        <f>CF!AR19</f>
        <v>31631.166371079787</v>
      </c>
      <c r="AS7" s="1">
        <f>CF!AS19</f>
        <v>31360.311048780146</v>
      </c>
      <c r="AT7" s="1">
        <f>CF!AT19</f>
        <v>11977.394052200019</v>
      </c>
      <c r="AU7" s="1">
        <f>CF!AU19</f>
        <v>32988.115504145069</v>
      </c>
      <c r="AV7" s="1">
        <f>CF!AV19</f>
        <v>32696.580319244895</v>
      </c>
      <c r="AW7" s="1">
        <f>CF!AW19</f>
        <v>32397.786629280701</v>
      </c>
      <c r="AX7" s="1">
        <f>CF!AX19</f>
        <v>32091.633296813117</v>
      </c>
      <c r="AY7" s="1">
        <f>CF!AY19</f>
        <v>31778.017911064264</v>
      </c>
      <c r="AZ7" s="1">
        <f>CF!AZ19</f>
        <v>31456.836772924493</v>
      </c>
      <c r="BA7" s="1">
        <f>CF!BA19</f>
        <v>31127.984879783879</v>
      </c>
      <c r="BB7" s="1">
        <f>CF!BB19</f>
        <v>9817.5778414912638</v>
      </c>
      <c r="BC7" s="1">
        <f>CF!BC19</f>
        <v>32739.973973314889</v>
      </c>
      <c r="BD7" s="1">
        <f>CF!BD19</f>
        <v>32386.697101662387</v>
      </c>
      <c r="BE7" s="1">
        <f>CF!BE19</f>
        <v>32025.163759531511</v>
      </c>
      <c r="BF7" s="1">
        <f>CF!BF19</f>
        <v>31655.259722088857</v>
      </c>
      <c r="BG7" s="1">
        <f>CF!BG19</f>
        <v>31276.869334626055</v>
      </c>
      <c r="BH7" s="1">
        <f>CF!BH19</f>
        <v>30889.875495730608</v>
      </c>
      <c r="BI7" s="1">
        <f>CF!BI19</f>
        <v>30494.159640260143</v>
      </c>
      <c r="BJ7" s="1">
        <f>CF!BJ19</f>
        <v>7061.8829797674989</v>
      </c>
      <c r="BK7" t="s">
        <v>102</v>
      </c>
    </row>
    <row r="8" spans="1:63" ht="11.25" customHeight="1" x14ac:dyDescent="0.25">
      <c r="A8" s="12"/>
      <c r="B8" s="12" t="s">
        <v>314</v>
      </c>
      <c r="C8" s="76" t="s">
        <v>1</v>
      </c>
      <c r="D8" s="12"/>
      <c r="E8" s="1">
        <f t="shared" ref="E8:E27" si="0">SUM(G8:BJ8)</f>
        <v>2404.3482684293476</v>
      </c>
      <c r="F8" s="80" t="s">
        <v>26</v>
      </c>
      <c r="G8" s="1">
        <f>Reserves!G32</f>
        <v>0</v>
      </c>
      <c r="H8" s="1">
        <f>Reserves!H32</f>
        <v>0</v>
      </c>
      <c r="I8" s="1">
        <f>Reserves!I32</f>
        <v>0</v>
      </c>
      <c r="J8" s="1">
        <f>Reserves!J32</f>
        <v>0</v>
      </c>
      <c r="K8" s="1">
        <f>Reserves!K32</f>
        <v>0</v>
      </c>
      <c r="L8" s="1">
        <f>Reserves!L32</f>
        <v>0</v>
      </c>
      <c r="M8" s="1">
        <f>Reserves!M32</f>
        <v>0</v>
      </c>
      <c r="N8" s="1">
        <f>Reserves!N32</f>
        <v>0</v>
      </c>
      <c r="O8" s="1">
        <f>Reserves!O32</f>
        <v>0</v>
      </c>
      <c r="P8" s="1">
        <f>Reserves!P32</f>
        <v>0</v>
      </c>
      <c r="Q8" s="1">
        <f>Reserves!Q32</f>
        <v>0</v>
      </c>
      <c r="R8" s="1">
        <f>Reserves!R32</f>
        <v>0</v>
      </c>
      <c r="S8" s="1">
        <f>Reserves!S32</f>
        <v>0</v>
      </c>
      <c r="T8" s="1">
        <f>Reserves!T32</f>
        <v>0</v>
      </c>
      <c r="U8" s="1">
        <f>Reserves!U32</f>
        <v>0</v>
      </c>
      <c r="V8" s="1">
        <f>Reserves!V32</f>
        <v>0</v>
      </c>
      <c r="W8" s="1">
        <f>Reserves!W32</f>
        <v>97.926046168814281</v>
      </c>
      <c r="X8" s="1">
        <f>Reserves!X32</f>
        <v>97.926046168814281</v>
      </c>
      <c r="Y8" s="1">
        <f>Reserves!Y32</f>
        <v>97.926046168814281</v>
      </c>
      <c r="Z8" s="1">
        <f>Reserves!Z32</f>
        <v>97.926046168814281</v>
      </c>
      <c r="AA8" s="1">
        <f>Reserves!AA32</f>
        <v>97.926046168814281</v>
      </c>
      <c r="AB8" s="1">
        <f>Reserves!AB32</f>
        <v>97.926046168814281</v>
      </c>
      <c r="AC8" s="1">
        <f>Reserves!AC32</f>
        <v>97.926046168814281</v>
      </c>
      <c r="AD8" s="1">
        <f>Reserves!AD32</f>
        <v>97.926046168814281</v>
      </c>
      <c r="AE8" s="1">
        <f>Reserves!AE32</f>
        <v>97.926046168814281</v>
      </c>
      <c r="AF8" s="1">
        <f>Reserves!AF32</f>
        <v>97.926046168814281</v>
      </c>
      <c r="AG8" s="1">
        <f>Reserves!AG32</f>
        <v>97.926046168814281</v>
      </c>
      <c r="AH8" s="1">
        <f>Reserves!AH32</f>
        <v>97.926046168814281</v>
      </c>
      <c r="AI8" s="1">
        <f>Reserves!AI32</f>
        <v>97.926046168814281</v>
      </c>
      <c r="AJ8" s="1">
        <f>Reserves!AJ32</f>
        <v>97.926046168814281</v>
      </c>
      <c r="AK8" s="1">
        <f>Reserves!AK32</f>
        <v>97.926046168814281</v>
      </c>
      <c r="AL8" s="1">
        <f>Reserves!AL32</f>
        <v>97.926046168814281</v>
      </c>
      <c r="AM8" s="1">
        <f>Reserves!AM32</f>
        <v>32.256436903793414</v>
      </c>
      <c r="AN8" s="1">
        <f>Reserves!AN32</f>
        <v>58.632667005792818</v>
      </c>
      <c r="AO8" s="1">
        <f>Reserves!AO32</f>
        <v>96.846407804949848</v>
      </c>
      <c r="AP8" s="1">
        <f>Reserves!AP32</f>
        <v>97.926046168814281</v>
      </c>
      <c r="AQ8" s="1">
        <f>Reserves!AQ32</f>
        <v>97.926046168814281</v>
      </c>
      <c r="AR8" s="1">
        <f>Reserves!AR32</f>
        <v>97.926046168814281</v>
      </c>
      <c r="AS8" s="1">
        <f>Reserves!AS32</f>
        <v>97.926046168814281</v>
      </c>
      <c r="AT8" s="1">
        <f>Reserves!AT32</f>
        <v>97.926046168814281</v>
      </c>
      <c r="AU8" s="1">
        <f>Reserves!AU32</f>
        <v>67.285751682208243</v>
      </c>
      <c r="AV8" s="1">
        <f>Reserves!AV32</f>
        <v>92.880035487503562</v>
      </c>
      <c r="AW8" s="1">
        <f>Reserves!AW32</f>
        <v>0</v>
      </c>
      <c r="AX8" s="1">
        <f>Reserves!AX32</f>
        <v>0</v>
      </c>
      <c r="AY8" s="1">
        <f>Reserves!AY32</f>
        <v>0</v>
      </c>
      <c r="AZ8" s="1">
        <f>Reserves!AZ32</f>
        <v>0</v>
      </c>
      <c r="BA8" s="1">
        <f>Reserves!BA32</f>
        <v>0</v>
      </c>
      <c r="BB8" s="1">
        <f>Reserves!BB32</f>
        <v>0</v>
      </c>
      <c r="BC8" s="1">
        <f>Reserves!BC32</f>
        <v>0</v>
      </c>
      <c r="BD8" s="1">
        <f>Reserves!BD32</f>
        <v>0</v>
      </c>
      <c r="BE8" s="1">
        <f>Reserves!BE32</f>
        <v>0</v>
      </c>
      <c r="BF8" s="1">
        <f>Reserves!BF32</f>
        <v>0</v>
      </c>
      <c r="BG8" s="1">
        <f>Reserves!BG32</f>
        <v>0</v>
      </c>
      <c r="BH8" s="1">
        <f>Reserves!BH32</f>
        <v>0</v>
      </c>
      <c r="BI8" s="1">
        <f>Reserves!BI32</f>
        <v>0</v>
      </c>
      <c r="BJ8" s="1">
        <f>Reserves!BJ32</f>
        <v>0</v>
      </c>
      <c r="BK8" t="s">
        <v>102</v>
      </c>
    </row>
    <row r="9" spans="1:63" ht="11.25" customHeight="1" x14ac:dyDescent="0.25">
      <c r="A9" s="12"/>
      <c r="B9" s="12" t="s">
        <v>217</v>
      </c>
      <c r="C9" s="76" t="s">
        <v>1</v>
      </c>
      <c r="D9" s="12"/>
      <c r="E9" s="1">
        <f t="shared" si="0"/>
        <v>0</v>
      </c>
      <c r="F9" s="80" t="s">
        <v>26</v>
      </c>
      <c r="G9" s="1">
        <f>Costs!G71</f>
        <v>0</v>
      </c>
      <c r="H9" s="1">
        <f>Costs!H71</f>
        <v>0</v>
      </c>
      <c r="I9" s="1">
        <f>Costs!I71</f>
        <v>0</v>
      </c>
      <c r="J9" s="1">
        <f>Costs!J71</f>
        <v>0</v>
      </c>
      <c r="K9" s="1">
        <f>Costs!K71</f>
        <v>0</v>
      </c>
      <c r="L9" s="1">
        <f>Costs!L71</f>
        <v>0</v>
      </c>
      <c r="M9" s="1">
        <f>Costs!M71</f>
        <v>0</v>
      </c>
      <c r="N9" s="1">
        <f>Costs!N71</f>
        <v>0</v>
      </c>
      <c r="O9" s="1">
        <f>Costs!O71</f>
        <v>0</v>
      </c>
      <c r="P9" s="1">
        <f>Costs!P71</f>
        <v>0</v>
      </c>
      <c r="Q9" s="1">
        <f>Costs!Q71</f>
        <v>0</v>
      </c>
      <c r="R9" s="1">
        <f>Costs!R71</f>
        <v>0</v>
      </c>
      <c r="S9" s="1">
        <f>Costs!S71</f>
        <v>0</v>
      </c>
      <c r="T9" s="1">
        <f>Costs!T71</f>
        <v>0</v>
      </c>
      <c r="U9" s="1">
        <f>Costs!U71</f>
        <v>0</v>
      </c>
      <c r="V9" s="1">
        <f>Costs!V71</f>
        <v>0</v>
      </c>
      <c r="W9" s="1">
        <f>Costs!W71</f>
        <v>0</v>
      </c>
      <c r="X9" s="1">
        <f>Costs!X71</f>
        <v>0</v>
      </c>
      <c r="Y9" s="1">
        <f>Costs!Y71</f>
        <v>0</v>
      </c>
      <c r="Z9" s="1">
        <f>Costs!Z71</f>
        <v>0</v>
      </c>
      <c r="AA9" s="1">
        <f>Costs!AA71</f>
        <v>0</v>
      </c>
      <c r="AB9" s="1">
        <f>Costs!AB71</f>
        <v>0</v>
      </c>
      <c r="AC9" s="1">
        <f>Costs!AC71</f>
        <v>0</v>
      </c>
      <c r="AD9" s="1">
        <f>Costs!AD71</f>
        <v>0</v>
      </c>
      <c r="AE9" s="1">
        <f>Costs!AE71</f>
        <v>0</v>
      </c>
      <c r="AF9" s="1">
        <f>Costs!AF71</f>
        <v>0</v>
      </c>
      <c r="AG9" s="1">
        <f>Costs!AG71</f>
        <v>0</v>
      </c>
      <c r="AH9" s="1">
        <f>Costs!AH71</f>
        <v>0</v>
      </c>
      <c r="AI9" s="1">
        <f>Costs!AI71</f>
        <v>0</v>
      </c>
      <c r="AJ9" s="1">
        <f>Costs!AJ71</f>
        <v>0</v>
      </c>
      <c r="AK9" s="1">
        <f>Costs!AK71</f>
        <v>0</v>
      </c>
      <c r="AL9" s="1">
        <f>Costs!AL71</f>
        <v>0</v>
      </c>
      <c r="AM9" s="1">
        <f>Costs!AM71</f>
        <v>0</v>
      </c>
      <c r="AN9" s="1">
        <f>Costs!AN71</f>
        <v>0</v>
      </c>
      <c r="AO9" s="1">
        <f>Costs!AO71</f>
        <v>0</v>
      </c>
      <c r="AP9" s="1">
        <f>Costs!AP71</f>
        <v>0</v>
      </c>
      <c r="AQ9" s="1">
        <f>Costs!AQ71</f>
        <v>0</v>
      </c>
      <c r="AR9" s="1">
        <f>Costs!AR71</f>
        <v>0</v>
      </c>
      <c r="AS9" s="1">
        <f>Costs!AS71</f>
        <v>0</v>
      </c>
      <c r="AT9" s="1">
        <f>Costs!AT71</f>
        <v>0</v>
      </c>
      <c r="AU9" s="1">
        <f>Costs!AU71</f>
        <v>0</v>
      </c>
      <c r="AV9" s="1">
        <f>Costs!AV71</f>
        <v>0</v>
      </c>
      <c r="AW9" s="1">
        <f>Costs!AW71</f>
        <v>0</v>
      </c>
      <c r="AX9" s="1">
        <f>Costs!AX71</f>
        <v>0</v>
      </c>
      <c r="AY9" s="1">
        <f>Costs!AY71</f>
        <v>0</v>
      </c>
      <c r="AZ9" s="1">
        <f>Costs!AZ71</f>
        <v>0</v>
      </c>
      <c r="BA9" s="1">
        <f>Costs!BA71</f>
        <v>0</v>
      </c>
      <c r="BB9" s="1">
        <f>Costs!BB71</f>
        <v>0</v>
      </c>
      <c r="BC9" s="1">
        <f>Costs!BC71</f>
        <v>0</v>
      </c>
      <c r="BD9" s="1">
        <f>Costs!BD71</f>
        <v>0</v>
      </c>
      <c r="BE9" s="1">
        <f>Costs!BE71</f>
        <v>0</v>
      </c>
      <c r="BF9" s="1">
        <f>Costs!BF71</f>
        <v>0</v>
      </c>
      <c r="BG9" s="1">
        <f>Costs!BG71</f>
        <v>0</v>
      </c>
      <c r="BH9" s="1">
        <f>Costs!BH71</f>
        <v>0</v>
      </c>
      <c r="BI9" s="1">
        <f>Costs!BI71</f>
        <v>0</v>
      </c>
      <c r="BJ9" s="1">
        <f>Costs!BJ71</f>
        <v>0</v>
      </c>
      <c r="BK9" t="s">
        <v>102</v>
      </c>
    </row>
    <row r="10" spans="1:63" ht="11.25" customHeight="1" x14ac:dyDescent="0.25">
      <c r="A10" s="12"/>
      <c r="B10" s="12" t="s">
        <v>218</v>
      </c>
      <c r="C10" s="76" t="s">
        <v>1</v>
      </c>
      <c r="D10" s="12"/>
      <c r="E10" s="1">
        <f t="shared" si="0"/>
        <v>-178969.32610163782</v>
      </c>
      <c r="F10" s="80" t="s">
        <v>26</v>
      </c>
      <c r="G10" s="1">
        <f>Debt!G18</f>
        <v>0</v>
      </c>
      <c r="H10" s="1">
        <f>Debt!H18</f>
        <v>0</v>
      </c>
      <c r="I10" s="1">
        <f>Debt!I18</f>
        <v>0</v>
      </c>
      <c r="J10" s="1">
        <f>Debt!J18</f>
        <v>0</v>
      </c>
      <c r="K10" s="1">
        <f>Debt!K18</f>
        <v>0</v>
      </c>
      <c r="L10" s="1">
        <f>Debt!L18</f>
        <v>0</v>
      </c>
      <c r="M10" s="1">
        <f>Debt!M18</f>
        <v>0</v>
      </c>
      <c r="N10" s="1">
        <f>Debt!N18</f>
        <v>0</v>
      </c>
      <c r="O10" s="1">
        <f>Debt!O18</f>
        <v>0</v>
      </c>
      <c r="P10" s="1">
        <f>Debt!P18</f>
        <v>0</v>
      </c>
      <c r="Q10" s="1">
        <f>Debt!Q18</f>
        <v>0</v>
      </c>
      <c r="R10" s="1">
        <f>Debt!R18</f>
        <v>0</v>
      </c>
      <c r="S10" s="1">
        <f>Debt!S18</f>
        <v>0</v>
      </c>
      <c r="T10" s="1">
        <f>Debt!T18</f>
        <v>0</v>
      </c>
      <c r="U10" s="1">
        <f>Debt!U18</f>
        <v>0</v>
      </c>
      <c r="V10" s="1">
        <f>Debt!V18</f>
        <v>0</v>
      </c>
      <c r="W10" s="1">
        <f>Debt!W18</f>
        <v>-11608.150906263309</v>
      </c>
      <c r="X10" s="1">
        <f>Debt!X18</f>
        <v>-11327.757306051701</v>
      </c>
      <c r="Y10" s="1">
        <f>Debt!Y18</f>
        <v>-11037.507870792653</v>
      </c>
      <c r="Z10" s="1">
        <f>Debt!Z18</f>
        <v>-10737.05616788425</v>
      </c>
      <c r="AA10" s="1">
        <f>Debt!AA18</f>
        <v>-10426.043587618617</v>
      </c>
      <c r="AB10" s="1">
        <f>Debt!AB18</f>
        <v>-10104.098915156646</v>
      </c>
      <c r="AC10" s="1">
        <f>Debt!AC18</f>
        <v>-9770.8378874576392</v>
      </c>
      <c r="AD10" s="1">
        <f>Debt!AD18</f>
        <v>-9425.8627346350095</v>
      </c>
      <c r="AE10" s="1">
        <f>Debt!AE18</f>
        <v>-9068.7617051906655</v>
      </c>
      <c r="AF10" s="1">
        <f>Debt!AF18</f>
        <v>-8699.1085745613527</v>
      </c>
      <c r="AG10" s="1">
        <f>Debt!AG18</f>
        <v>-8316.4621363904207</v>
      </c>
      <c r="AH10" s="1">
        <f>Debt!AH18</f>
        <v>-7920.3656759177793</v>
      </c>
      <c r="AI10" s="1">
        <f>Debt!AI18</f>
        <v>-7510.3464248595246</v>
      </c>
      <c r="AJ10" s="1">
        <f>Debt!AJ18</f>
        <v>-7085.9149971265724</v>
      </c>
      <c r="AK10" s="1">
        <f>Debt!AK18</f>
        <v>-6646.5648047088071</v>
      </c>
      <c r="AL10" s="1">
        <f>Debt!AL18</f>
        <v>-6191.7714530275571</v>
      </c>
      <c r="AM10" s="1">
        <f>Debt!AM18</f>
        <v>-5720.9921150347109</v>
      </c>
      <c r="AN10" s="1">
        <f>Debt!AN18</f>
        <v>-5233.6648833114168</v>
      </c>
      <c r="AO10" s="1">
        <f>Debt!AO18</f>
        <v>-4729.2080993930485</v>
      </c>
      <c r="AP10" s="1">
        <f>Debt!AP18</f>
        <v>-4207.0196595199495</v>
      </c>
      <c r="AQ10" s="1">
        <f>Debt!AQ18</f>
        <v>-3666.4762959853115</v>
      </c>
      <c r="AR10" s="1">
        <f>Debt!AR18</f>
        <v>-3106.9328332224309</v>
      </c>
      <c r="AS10" s="1">
        <f>Debt!AS18</f>
        <v>-2527.7214177434344</v>
      </c>
      <c r="AT10" s="1">
        <f>Debt!AT18</f>
        <v>-1928.1507210103518</v>
      </c>
      <c r="AU10" s="1">
        <f>Debt!AU18</f>
        <v>-1307.5051142871014</v>
      </c>
      <c r="AV10" s="1">
        <f>Debt!AV18</f>
        <v>-665.04381448752849</v>
      </c>
      <c r="AW10" s="1">
        <f>Debt!AW18</f>
        <v>0</v>
      </c>
      <c r="AX10" s="1">
        <f>Debt!AX18</f>
        <v>0</v>
      </c>
      <c r="AY10" s="1">
        <f>Debt!AY18</f>
        <v>0</v>
      </c>
      <c r="AZ10" s="1">
        <f>Debt!AZ18</f>
        <v>0</v>
      </c>
      <c r="BA10" s="1">
        <f>Debt!BA18</f>
        <v>0</v>
      </c>
      <c r="BB10" s="1">
        <f>Debt!BB18</f>
        <v>0</v>
      </c>
      <c r="BC10" s="1">
        <f>Debt!BC18</f>
        <v>0</v>
      </c>
      <c r="BD10" s="1">
        <f>Debt!BD18</f>
        <v>0</v>
      </c>
      <c r="BE10" s="1">
        <f>Debt!BE18</f>
        <v>0</v>
      </c>
      <c r="BF10" s="1">
        <f>Debt!BF18</f>
        <v>0</v>
      </c>
      <c r="BG10" s="1">
        <f>Debt!BG18</f>
        <v>0</v>
      </c>
      <c r="BH10" s="1">
        <f>Debt!BH18</f>
        <v>0</v>
      </c>
      <c r="BI10" s="1">
        <f>Debt!BI18</f>
        <v>0</v>
      </c>
      <c r="BJ10" s="1">
        <f>Debt!BJ18</f>
        <v>0</v>
      </c>
      <c r="BK10" t="s">
        <v>102</v>
      </c>
    </row>
    <row r="11" spans="1:63" ht="11.25" customHeight="1" x14ac:dyDescent="0.25">
      <c r="A11" s="12"/>
      <c r="B11" s="12" t="s">
        <v>219</v>
      </c>
      <c r="C11" s="76" t="s">
        <v>1</v>
      </c>
      <c r="D11" s="12"/>
      <c r="E11" s="1">
        <f t="shared" si="0"/>
        <v>-367560.78143571183</v>
      </c>
      <c r="F11" s="80" t="s">
        <v>26</v>
      </c>
      <c r="G11" s="1">
        <f>-1*Depreciation!G43</f>
        <v>0</v>
      </c>
      <c r="H11" s="1">
        <f>-1*Depreciation!H43</f>
        <v>0</v>
      </c>
      <c r="I11" s="1">
        <f>-1*Depreciation!I43</f>
        <v>0</v>
      </c>
      <c r="J11" s="1">
        <f>-1*Depreciation!J43</f>
        <v>0</v>
      </c>
      <c r="K11" s="1">
        <f>-1*Depreciation!K43</f>
        <v>0</v>
      </c>
      <c r="L11" s="1">
        <f>-1*Depreciation!L43</f>
        <v>0</v>
      </c>
      <c r="M11" s="1">
        <f>-1*Depreciation!M43</f>
        <v>0</v>
      </c>
      <c r="N11" s="1">
        <f>-1*Depreciation!N43</f>
        <v>0</v>
      </c>
      <c r="O11" s="1">
        <f>-1*Depreciation!O43</f>
        <v>0</v>
      </c>
      <c r="P11" s="1">
        <f>-1*Depreciation!P43</f>
        <v>0</v>
      </c>
      <c r="Q11" s="1">
        <f>-1*Depreciation!Q43</f>
        <v>0</v>
      </c>
      <c r="R11" s="1">
        <f>-1*Depreciation!R43</f>
        <v>0</v>
      </c>
      <c r="S11" s="1">
        <f>-1*Depreciation!S43</f>
        <v>0</v>
      </c>
      <c r="T11" s="1">
        <f>-1*Depreciation!T43</f>
        <v>0</v>
      </c>
      <c r="U11" s="1">
        <f>-1*Depreciation!U43</f>
        <v>0</v>
      </c>
      <c r="V11" s="1">
        <f>-1*Depreciation!V43</f>
        <v>0</v>
      </c>
      <c r="W11" s="1">
        <f>-1*Depreciation!W43</f>
        <v>-8851.9334430286763</v>
      </c>
      <c r="X11" s="1">
        <f>-1*Depreciation!X43</f>
        <v>-8851.9334430286763</v>
      </c>
      <c r="Y11" s="1">
        <f>-1*Depreciation!Y43</f>
        <v>-8851.9334430286763</v>
      </c>
      <c r="Z11" s="1">
        <f>-1*Depreciation!Z43</f>
        <v>-8851.9334430286763</v>
      </c>
      <c r="AA11" s="1">
        <f>-1*Depreciation!AA43</f>
        <v>-8851.9334430286763</v>
      </c>
      <c r="AB11" s="1">
        <f>-1*Depreciation!AB43</f>
        <v>-8851.9334430286763</v>
      </c>
      <c r="AC11" s="1">
        <f>-1*Depreciation!AC43</f>
        <v>-8851.9334430286763</v>
      </c>
      <c r="AD11" s="1">
        <f>-1*Depreciation!AD43</f>
        <v>-8851.9334430286763</v>
      </c>
      <c r="AE11" s="1">
        <f>-1*Depreciation!AE43</f>
        <v>-8851.9334430286763</v>
      </c>
      <c r="AF11" s="1">
        <f>-1*Depreciation!AF43</f>
        <v>-8851.9334430286763</v>
      </c>
      <c r="AG11" s="1">
        <f>-1*Depreciation!AG43</f>
        <v>-8851.9334430286763</v>
      </c>
      <c r="AH11" s="1">
        <f>-1*Depreciation!AH43</f>
        <v>-8851.9334430286763</v>
      </c>
      <c r="AI11" s="1">
        <f>-1*Depreciation!AI43</f>
        <v>-8851.9334430286763</v>
      </c>
      <c r="AJ11" s="1">
        <f>-1*Depreciation!AJ43</f>
        <v>-8851.9334430286763</v>
      </c>
      <c r="AK11" s="1">
        <f>-1*Depreciation!AK43</f>
        <v>-8851.9334430286763</v>
      </c>
      <c r="AL11" s="1">
        <f>-1*Depreciation!AL43</f>
        <v>-9488.5026887376589</v>
      </c>
      <c r="AM11" s="1">
        <f>-1*Depreciation!AM43</f>
        <v>-9488.5026887376589</v>
      </c>
      <c r="AN11" s="1">
        <f>-1*Depreciation!AN43</f>
        <v>-9488.5026887376589</v>
      </c>
      <c r="AO11" s="1">
        <f>-1*Depreciation!AO43</f>
        <v>-9488.5026887376589</v>
      </c>
      <c r="AP11" s="1">
        <f>-1*Depreciation!AP43</f>
        <v>-9488.5026887376589</v>
      </c>
      <c r="AQ11" s="1">
        <f>-1*Depreciation!AQ43</f>
        <v>-9488.5026887376589</v>
      </c>
      <c r="AR11" s="1">
        <f>-1*Depreciation!AR43</f>
        <v>-9488.5026887376589</v>
      </c>
      <c r="AS11" s="1">
        <f>-1*Depreciation!AS43</f>
        <v>-9488.5026887376589</v>
      </c>
      <c r="AT11" s="1">
        <f>-1*Depreciation!AT43</f>
        <v>-9488.5026887376589</v>
      </c>
      <c r="AU11" s="1">
        <f>-1*Depreciation!AU43</f>
        <v>-9488.5026887376589</v>
      </c>
      <c r="AV11" s="1">
        <f>-1*Depreciation!AV43</f>
        <v>-8851.9334430286763</v>
      </c>
      <c r="AW11" s="1">
        <f>-1*Depreciation!AW43</f>
        <v>-8851.9334430286763</v>
      </c>
      <c r="AX11" s="1">
        <f>-1*Depreciation!AX43</f>
        <v>-8851.9334430286763</v>
      </c>
      <c r="AY11" s="1">
        <f>-1*Depreciation!AY43</f>
        <v>-8851.9334430286763</v>
      </c>
      <c r="AZ11" s="1">
        <f>-1*Depreciation!AZ43</f>
        <v>-8851.9334430286763</v>
      </c>
      <c r="BA11" s="1">
        <f>-1*Depreciation!BA43</f>
        <v>-8851.9334430286763</v>
      </c>
      <c r="BB11" s="1">
        <f>-1*Depreciation!BB43</f>
        <v>-9642.7946938592286</v>
      </c>
      <c r="BC11" s="1">
        <f>-1*Depreciation!BC43</f>
        <v>-9642.7946938592286</v>
      </c>
      <c r="BD11" s="1">
        <f>-1*Depreciation!BD43</f>
        <v>-9642.7946938592286</v>
      </c>
      <c r="BE11" s="1">
        <f>-1*Depreciation!BE43</f>
        <v>-9642.7946938592286</v>
      </c>
      <c r="BF11" s="1">
        <f>-1*Depreciation!BF43</f>
        <v>-9642.7946938592286</v>
      </c>
      <c r="BG11" s="1">
        <f>-1*Depreciation!BG43</f>
        <v>-9642.7946938592286</v>
      </c>
      <c r="BH11" s="1">
        <f>-1*Depreciation!BH43</f>
        <v>-9642.7946938592286</v>
      </c>
      <c r="BI11" s="1">
        <f>-1*Depreciation!BI43</f>
        <v>-9642.7946938592286</v>
      </c>
      <c r="BJ11" s="1">
        <f>-1*Depreciation!BJ43</f>
        <v>-9642.7946938592286</v>
      </c>
      <c r="BK11" t="s">
        <v>102</v>
      </c>
    </row>
    <row r="12" spans="1:63" ht="11.25" customHeight="1" x14ac:dyDescent="0.25">
      <c r="A12" s="12"/>
      <c r="B12" s="49" t="s">
        <v>220</v>
      </c>
      <c r="C12" s="194" t="s">
        <v>1</v>
      </c>
      <c r="D12" s="49"/>
      <c r="E12" s="51">
        <f t="shared" si="0"/>
        <v>731467.25148741598</v>
      </c>
      <c r="F12" s="321" t="s">
        <v>26</v>
      </c>
      <c r="G12" s="51">
        <f>SUM(G7:G11)</f>
        <v>0</v>
      </c>
      <c r="H12" s="51">
        <f t="shared" ref="H12:BJ12" si="1">SUM(H7:H11)</f>
        <v>0</v>
      </c>
      <c r="I12" s="51">
        <f t="shared" si="1"/>
        <v>0</v>
      </c>
      <c r="J12" s="51">
        <f t="shared" si="1"/>
        <v>0</v>
      </c>
      <c r="K12" s="51">
        <f t="shared" si="1"/>
        <v>0</v>
      </c>
      <c r="L12" s="51">
        <f t="shared" si="1"/>
        <v>0</v>
      </c>
      <c r="M12" s="51">
        <f t="shared" si="1"/>
        <v>0</v>
      </c>
      <c r="N12" s="51">
        <f t="shared" si="1"/>
        <v>0</v>
      </c>
      <c r="O12" s="51">
        <f t="shared" si="1"/>
        <v>0</v>
      </c>
      <c r="P12" s="51">
        <f t="shared" si="1"/>
        <v>0</v>
      </c>
      <c r="Q12" s="51">
        <f t="shared" si="1"/>
        <v>0</v>
      </c>
      <c r="R12" s="51">
        <f t="shared" si="1"/>
        <v>0</v>
      </c>
      <c r="S12" s="51">
        <f t="shared" si="1"/>
        <v>0</v>
      </c>
      <c r="T12" s="51">
        <f t="shared" si="1"/>
        <v>0</v>
      </c>
      <c r="U12" s="51">
        <f t="shared" si="1"/>
        <v>0</v>
      </c>
      <c r="V12" s="51">
        <f t="shared" si="1"/>
        <v>0</v>
      </c>
      <c r="W12" s="51">
        <f t="shared" si="1"/>
        <v>17618.844712869704</v>
      </c>
      <c r="X12" s="51">
        <f t="shared" si="1"/>
        <v>18794.033252089546</v>
      </c>
      <c r="Y12" s="51">
        <f t="shared" si="1"/>
        <v>18326.96411372735</v>
      </c>
      <c r="Z12" s="51">
        <f t="shared" si="1"/>
        <v>19840.860071052259</v>
      </c>
      <c r="AA12" s="51">
        <f t="shared" si="1"/>
        <v>19383.246518301326</v>
      </c>
      <c r="AB12" s="51">
        <f t="shared" si="1"/>
        <v>20924.611441142501</v>
      </c>
      <c r="AC12" s="51">
        <f t="shared" si="1"/>
        <v>20489.608189089209</v>
      </c>
      <c r="AD12" s="51">
        <f t="shared" si="1"/>
        <v>5243.4535654016345</v>
      </c>
      <c r="AE12" s="51">
        <f t="shared" si="1"/>
        <v>23569.18832352633</v>
      </c>
      <c r="AF12" s="51">
        <f t="shared" si="1"/>
        <v>24045.365265498549</v>
      </c>
      <c r="AG12" s="51">
        <f t="shared" si="1"/>
        <v>23633.467383735544</v>
      </c>
      <c r="AH12" s="51">
        <f t="shared" si="1"/>
        <v>24495.063386313988</v>
      </c>
      <c r="AI12" s="51">
        <f t="shared" si="1"/>
        <v>24105.9180362396</v>
      </c>
      <c r="AJ12" s="51">
        <f t="shared" si="1"/>
        <v>25956.999165194466</v>
      </c>
      <c r="AK12" s="51">
        <f t="shared" si="1"/>
        <v>8658.7046399113387</v>
      </c>
      <c r="AL12" s="51">
        <f t="shared" si="1"/>
        <v>-3154.5478325181157</v>
      </c>
      <c r="AM12" s="51">
        <f t="shared" si="1"/>
        <v>16350.004849776775</v>
      </c>
      <c r="AN12" s="51">
        <f t="shared" si="1"/>
        <v>17507.790672502862</v>
      </c>
      <c r="AO12" s="51">
        <f t="shared" si="1"/>
        <v>17793.895911090585</v>
      </c>
      <c r="AP12" s="51">
        <f t="shared" si="1"/>
        <v>18342.805222194474</v>
      </c>
      <c r="AQ12" s="51">
        <f t="shared" si="1"/>
        <v>18619.861599416985</v>
      </c>
      <c r="AR12" s="51">
        <f t="shared" si="1"/>
        <v>19133.65689528851</v>
      </c>
      <c r="AS12" s="51">
        <f t="shared" si="1"/>
        <v>19442.012988467868</v>
      </c>
      <c r="AT12" s="51">
        <f t="shared" si="1"/>
        <v>658.66668862082224</v>
      </c>
      <c r="AU12" s="51">
        <f t="shared" si="1"/>
        <v>22259.39345280252</v>
      </c>
      <c r="AV12" s="51">
        <f t="shared" si="1"/>
        <v>23272.483097216194</v>
      </c>
      <c r="AW12" s="51">
        <f t="shared" si="1"/>
        <v>23545.853186252025</v>
      </c>
      <c r="AX12" s="51">
        <f t="shared" si="1"/>
        <v>23239.699853784441</v>
      </c>
      <c r="AY12" s="51">
        <f t="shared" si="1"/>
        <v>22926.084468035588</v>
      </c>
      <c r="AZ12" s="51">
        <f t="shared" si="1"/>
        <v>22604.903329895817</v>
      </c>
      <c r="BA12" s="51">
        <f t="shared" si="1"/>
        <v>22276.051436755202</v>
      </c>
      <c r="BB12" s="51">
        <f t="shared" si="1"/>
        <v>174.78314763203525</v>
      </c>
      <c r="BC12" s="51">
        <f t="shared" si="1"/>
        <v>23097.17927945566</v>
      </c>
      <c r="BD12" s="51">
        <f t="shared" si="1"/>
        <v>22743.902407803158</v>
      </c>
      <c r="BE12" s="51">
        <f t="shared" si="1"/>
        <v>22382.369065672283</v>
      </c>
      <c r="BF12" s="51">
        <f t="shared" si="1"/>
        <v>22012.465028229628</v>
      </c>
      <c r="BG12" s="51">
        <f t="shared" si="1"/>
        <v>21634.074640766827</v>
      </c>
      <c r="BH12" s="51">
        <f t="shared" si="1"/>
        <v>21247.08080187138</v>
      </c>
      <c r="BI12" s="51">
        <f t="shared" si="1"/>
        <v>20851.364946400914</v>
      </c>
      <c r="BJ12" s="51">
        <f t="shared" si="1"/>
        <v>-2580.9117140917297</v>
      </c>
      <c r="BK12" t="s">
        <v>102</v>
      </c>
    </row>
    <row r="13" spans="1:63" ht="11.25" customHeight="1" x14ac:dyDescent="0.25">
      <c r="A13" s="12"/>
      <c r="B13" s="12" t="s">
        <v>90</v>
      </c>
      <c r="C13" s="22" t="s">
        <v>34</v>
      </c>
      <c r="D13" s="372">
        <f>Assumptions!D136</f>
        <v>0.25</v>
      </c>
      <c r="E13" s="1"/>
      <c r="F13" s="80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t="s">
        <v>102</v>
      </c>
    </row>
    <row r="14" spans="1:63" ht="11.25" customHeight="1" x14ac:dyDescent="0.25">
      <c r="A14" s="12"/>
      <c r="B14" s="214" t="s">
        <v>221</v>
      </c>
      <c r="C14" s="215"/>
      <c r="D14" s="214"/>
      <c r="E14" s="216">
        <f t="shared" si="0"/>
        <v>182866.812871854</v>
      </c>
      <c r="F14" s="310" t="s">
        <v>26</v>
      </c>
      <c r="G14" s="216">
        <f>G12*$D$13</f>
        <v>0</v>
      </c>
      <c r="H14" s="216">
        <f t="shared" ref="H14:BJ14" si="2">H12*$D$13</f>
        <v>0</v>
      </c>
      <c r="I14" s="216">
        <f t="shared" si="2"/>
        <v>0</v>
      </c>
      <c r="J14" s="216">
        <f t="shared" si="2"/>
        <v>0</v>
      </c>
      <c r="K14" s="216">
        <f t="shared" si="2"/>
        <v>0</v>
      </c>
      <c r="L14" s="216">
        <f t="shared" si="2"/>
        <v>0</v>
      </c>
      <c r="M14" s="216">
        <f t="shared" si="2"/>
        <v>0</v>
      </c>
      <c r="N14" s="216">
        <f t="shared" si="2"/>
        <v>0</v>
      </c>
      <c r="O14" s="216">
        <f t="shared" si="2"/>
        <v>0</v>
      </c>
      <c r="P14" s="216">
        <f t="shared" si="2"/>
        <v>0</v>
      </c>
      <c r="Q14" s="216">
        <f t="shared" si="2"/>
        <v>0</v>
      </c>
      <c r="R14" s="216">
        <f t="shared" si="2"/>
        <v>0</v>
      </c>
      <c r="S14" s="216">
        <f t="shared" si="2"/>
        <v>0</v>
      </c>
      <c r="T14" s="216">
        <f t="shared" si="2"/>
        <v>0</v>
      </c>
      <c r="U14" s="216">
        <f t="shared" si="2"/>
        <v>0</v>
      </c>
      <c r="V14" s="216">
        <f t="shared" si="2"/>
        <v>0</v>
      </c>
      <c r="W14" s="216">
        <f t="shared" si="2"/>
        <v>4404.7111782174261</v>
      </c>
      <c r="X14" s="216">
        <f t="shared" si="2"/>
        <v>4698.5083130223866</v>
      </c>
      <c r="Y14" s="216">
        <f t="shared" si="2"/>
        <v>4581.7410284318375</v>
      </c>
      <c r="Z14" s="216">
        <f t="shared" si="2"/>
        <v>4960.2150177630647</v>
      </c>
      <c r="AA14" s="216">
        <f t="shared" si="2"/>
        <v>4845.8116295753316</v>
      </c>
      <c r="AB14" s="216">
        <f t="shared" si="2"/>
        <v>5231.1528602856251</v>
      </c>
      <c r="AC14" s="216">
        <f t="shared" si="2"/>
        <v>5122.4020472723023</v>
      </c>
      <c r="AD14" s="216">
        <f t="shared" si="2"/>
        <v>1310.8633913504086</v>
      </c>
      <c r="AE14" s="216">
        <f t="shared" si="2"/>
        <v>5892.2970808815826</v>
      </c>
      <c r="AF14" s="216">
        <f t="shared" si="2"/>
        <v>6011.3413163746372</v>
      </c>
      <c r="AG14" s="216">
        <f t="shared" si="2"/>
        <v>5908.366845933886</v>
      </c>
      <c r="AH14" s="216">
        <f t="shared" si="2"/>
        <v>6123.7658465784971</v>
      </c>
      <c r="AI14" s="216">
        <f t="shared" si="2"/>
        <v>6026.4795090599</v>
      </c>
      <c r="AJ14" s="216">
        <f t="shared" si="2"/>
        <v>6489.2497912986164</v>
      </c>
      <c r="AK14" s="216">
        <f t="shared" si="2"/>
        <v>2164.6761599778347</v>
      </c>
      <c r="AL14" s="216">
        <f t="shared" si="2"/>
        <v>-788.63695812952892</v>
      </c>
      <c r="AM14" s="216">
        <f t="shared" si="2"/>
        <v>4087.5012124441937</v>
      </c>
      <c r="AN14" s="216">
        <f t="shared" si="2"/>
        <v>4376.9476681257156</v>
      </c>
      <c r="AO14" s="216">
        <f t="shared" si="2"/>
        <v>4448.4739777726463</v>
      </c>
      <c r="AP14" s="216">
        <f t="shared" si="2"/>
        <v>4585.7013055486186</v>
      </c>
      <c r="AQ14" s="216">
        <f t="shared" si="2"/>
        <v>4654.9653998542462</v>
      </c>
      <c r="AR14" s="216">
        <f t="shared" si="2"/>
        <v>4783.4142238221275</v>
      </c>
      <c r="AS14" s="216">
        <f t="shared" si="2"/>
        <v>4860.503247116967</v>
      </c>
      <c r="AT14" s="216">
        <f t="shared" si="2"/>
        <v>164.66667215520556</v>
      </c>
      <c r="AU14" s="216">
        <f t="shared" si="2"/>
        <v>5564.84836320063</v>
      </c>
      <c r="AV14" s="216">
        <f t="shared" si="2"/>
        <v>5818.1207743040486</v>
      </c>
      <c r="AW14" s="216">
        <f t="shared" si="2"/>
        <v>5886.4632965630062</v>
      </c>
      <c r="AX14" s="216">
        <f t="shared" si="2"/>
        <v>5809.9249634461103</v>
      </c>
      <c r="AY14" s="216">
        <f t="shared" si="2"/>
        <v>5731.5211170088969</v>
      </c>
      <c r="AZ14" s="216">
        <f t="shared" si="2"/>
        <v>5651.2258324739541</v>
      </c>
      <c r="BA14" s="216">
        <f t="shared" si="2"/>
        <v>5569.0128591888006</v>
      </c>
      <c r="BB14" s="216">
        <f t="shared" si="2"/>
        <v>43.695786908008813</v>
      </c>
      <c r="BC14" s="216">
        <f t="shared" si="2"/>
        <v>5774.2948198639151</v>
      </c>
      <c r="BD14" s="216">
        <f t="shared" si="2"/>
        <v>5685.9756019507895</v>
      </c>
      <c r="BE14" s="216">
        <f t="shared" si="2"/>
        <v>5595.5922664180707</v>
      </c>
      <c r="BF14" s="216">
        <f t="shared" si="2"/>
        <v>5503.116257057407</v>
      </c>
      <c r="BG14" s="216">
        <f t="shared" si="2"/>
        <v>5408.5186601917067</v>
      </c>
      <c r="BH14" s="216">
        <f t="shared" si="2"/>
        <v>5311.7702004678449</v>
      </c>
      <c r="BI14" s="216">
        <f t="shared" si="2"/>
        <v>5212.8412366002285</v>
      </c>
      <c r="BJ14" s="216">
        <f t="shared" si="2"/>
        <v>-645.22792852293242</v>
      </c>
      <c r="BK14" t="s">
        <v>102</v>
      </c>
    </row>
    <row r="15" spans="1:63" ht="11.25" customHeight="1" x14ac:dyDescent="0.25">
      <c r="A15" s="12"/>
      <c r="B15" s="12"/>
      <c r="C15" s="22"/>
      <c r="D15" s="12"/>
      <c r="E15" s="12"/>
      <c r="F15" s="80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t="s">
        <v>102</v>
      </c>
    </row>
    <row r="16" spans="1:63" ht="11.25" customHeight="1" x14ac:dyDescent="0.25">
      <c r="A16" s="12" t="s">
        <v>26</v>
      </c>
      <c r="B16" s="17" t="s">
        <v>222</v>
      </c>
      <c r="C16" s="22"/>
      <c r="D16" s="12"/>
      <c r="E16" s="12"/>
      <c r="F16" s="80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t="s">
        <v>102</v>
      </c>
    </row>
    <row r="17" spans="1:63" ht="11.25" customHeight="1" x14ac:dyDescent="0.25">
      <c r="A17" s="12"/>
      <c r="B17" s="12" t="s">
        <v>223</v>
      </c>
      <c r="C17" s="76" t="s">
        <v>1</v>
      </c>
      <c r="D17" s="12"/>
      <c r="E17" s="1">
        <f t="shared" ca="1" si="0"/>
        <v>1275593.0107563359</v>
      </c>
      <c r="F17" s="80" t="s">
        <v>26</v>
      </c>
      <c r="G17" s="1">
        <f ca="1">IS!G19</f>
        <v>0</v>
      </c>
      <c r="H17" s="1">
        <f ca="1">IS!H19</f>
        <v>0</v>
      </c>
      <c r="I17" s="1">
        <f ca="1">IS!I19</f>
        <v>0</v>
      </c>
      <c r="J17" s="1">
        <f ca="1">IS!J19</f>
        <v>0</v>
      </c>
      <c r="K17" s="1">
        <f ca="1">IS!K19</f>
        <v>0</v>
      </c>
      <c r="L17" s="1">
        <f ca="1">IS!L19</f>
        <v>0</v>
      </c>
      <c r="M17" s="1">
        <f ca="1">IS!M19</f>
        <v>0</v>
      </c>
      <c r="N17" s="1">
        <f ca="1">IS!N19</f>
        <v>0</v>
      </c>
      <c r="O17" s="1">
        <f ca="1">IS!O19</f>
        <v>0</v>
      </c>
      <c r="P17" s="1">
        <f ca="1">IS!P19</f>
        <v>0</v>
      </c>
      <c r="Q17" s="1">
        <f ca="1">IS!Q19</f>
        <v>0</v>
      </c>
      <c r="R17" s="1">
        <f ca="1">IS!R19</f>
        <v>0</v>
      </c>
      <c r="S17" s="1">
        <f ca="1">IS!S19</f>
        <v>0</v>
      </c>
      <c r="T17" s="1">
        <f ca="1">IS!T19</f>
        <v>0</v>
      </c>
      <c r="U17" s="1">
        <f ca="1">IS!U19</f>
        <v>0</v>
      </c>
      <c r="V17" s="1">
        <f ca="1">IS!V19</f>
        <v>0</v>
      </c>
      <c r="W17" s="1">
        <f ca="1">IS!W19</f>
        <v>36320.239447123284</v>
      </c>
      <c r="X17" s="1">
        <f ca="1">IS!X19</f>
        <v>37215.03438613152</v>
      </c>
      <c r="Y17" s="1">
        <f ca="1">IS!Y19</f>
        <v>36457.715812510272</v>
      </c>
      <c r="Z17" s="1">
        <f ca="1">IS!Z19</f>
        <v>37671.160066926779</v>
      </c>
      <c r="AA17" s="1">
        <f ca="1">IS!AA19</f>
        <v>36902.533933910214</v>
      </c>
      <c r="AB17" s="1">
        <f ca="1">IS!AB19</f>
        <v>38121.954184289418</v>
      </c>
      <c r="AC17" s="1">
        <f ca="1">IS!AC19</f>
        <v>37353.689904537117</v>
      </c>
      <c r="AD17" s="1">
        <f ca="1">IS!AD19</f>
        <v>35048.668678983624</v>
      </c>
      <c r="AE17" s="1">
        <f ca="1">IS!AE19</f>
        <v>39540.835044854437</v>
      </c>
      <c r="AF17" s="1">
        <f ca="1">IS!AF19</f>
        <v>39647.358856197345</v>
      </c>
      <c r="AG17" s="1">
        <f ca="1">IS!AG19</f>
        <v>38852.81453626341</v>
      </c>
      <c r="AH17" s="1">
        <f ca="1">IS!AH19</f>
        <v>39318.314078369207</v>
      </c>
      <c r="AI17" s="1">
        <f ca="1">IS!AI19</f>
        <v>38519.14947723657</v>
      </c>
      <c r="AJ17" s="1">
        <f ca="1">IS!AJ19</f>
        <v>39945.799178458481</v>
      </c>
      <c r="AK17" s="1">
        <f ca="1">IS!AK19</f>
        <v>22208.154460757592</v>
      </c>
      <c r="AL17" s="1">
        <f ca="1">IS!AL19</f>
        <v>25385.656928135184</v>
      </c>
      <c r="AM17" s="1">
        <f ca="1">IS!AM19</f>
        <v>29463.942857314978</v>
      </c>
      <c r="AN17" s="1">
        <f ca="1">IS!AN19</f>
        <v>30108.025218215771</v>
      </c>
      <c r="AO17" s="1">
        <f ca="1">IS!AO19</f>
        <v>29851.459932085971</v>
      </c>
      <c r="AP17" s="1">
        <f ca="1">IS!AP19</f>
        <v>29877.101164952895</v>
      </c>
      <c r="AQ17" s="1">
        <f ca="1">IS!AQ19</f>
        <v>29613.614178640768</v>
      </c>
      <c r="AR17" s="1">
        <f ca="1">IS!AR19</f>
        <v>29567.866011749415</v>
      </c>
      <c r="AS17" s="1">
        <f ca="1">IS!AS19</f>
        <v>29297.010689449773</v>
      </c>
      <c r="AT17" s="1">
        <f ca="1">IS!AT19</f>
        <v>26420.496567512673</v>
      </c>
      <c r="AU17" s="1">
        <f ca="1">IS!AU19</f>
        <v>30688.317059078749</v>
      </c>
      <c r="AV17" s="1">
        <f ca="1">IS!AV19</f>
        <v>30396.781874178574</v>
      </c>
      <c r="AW17" s="1">
        <f ca="1">IS!AW19</f>
        <v>30097.98818421438</v>
      </c>
      <c r="AX17" s="1">
        <f ca="1">IS!AX19</f>
        <v>29791.834851746797</v>
      </c>
      <c r="AY17" s="1">
        <f ca="1">IS!AY19</f>
        <v>29478.219465997943</v>
      </c>
      <c r="AZ17" s="1">
        <f ca="1">IS!AZ19</f>
        <v>29157.038327858172</v>
      </c>
      <c r="BA17" s="1">
        <f ca="1">IS!BA19</f>
        <v>28828.186434717558</v>
      </c>
      <c r="BB17" s="1">
        <f ca="1">IS!BB19</f>
        <v>25916.166956955465</v>
      </c>
      <c r="BC17" s="1">
        <f ca="1">IS!BC19</f>
        <v>30176.569734076562</v>
      </c>
      <c r="BD17" s="1">
        <f ca="1">IS!BD19</f>
        <v>29823.292862424059</v>
      </c>
      <c r="BE17" s="1">
        <f ca="1">IS!BE19</f>
        <v>29461.759520293184</v>
      </c>
      <c r="BF17" s="1">
        <f ca="1">IS!BF19</f>
        <v>29091.855482850529</v>
      </c>
      <c r="BG17" s="1">
        <f ca="1">IS!BG19</f>
        <v>28713.465095387728</v>
      </c>
      <c r="BH17" s="1">
        <f ca="1">IS!BH19</f>
        <v>28326.471256492281</v>
      </c>
      <c r="BI17" s="1">
        <f ca="1">IS!BI19</f>
        <v>27930.755401021815</v>
      </c>
      <c r="BJ17" s="1">
        <f ca="1">IS!BJ19</f>
        <v>25005.712654435731</v>
      </c>
      <c r="BK17" t="s">
        <v>102</v>
      </c>
    </row>
    <row r="18" spans="1:63" ht="11.25" customHeight="1" x14ac:dyDescent="0.25">
      <c r="A18" s="12"/>
      <c r="B18" s="12" t="s">
        <v>314</v>
      </c>
      <c r="C18" s="76" t="s">
        <v>1</v>
      </c>
      <c r="D18" s="12"/>
      <c r="E18" s="1">
        <f t="shared" si="0"/>
        <v>2404.3482684293476</v>
      </c>
      <c r="F18" s="80" t="s">
        <v>26</v>
      </c>
      <c r="G18" s="1">
        <f>Reserves!G32</f>
        <v>0</v>
      </c>
      <c r="H18" s="1">
        <f>Reserves!H32</f>
        <v>0</v>
      </c>
      <c r="I18" s="1">
        <f>Reserves!I32</f>
        <v>0</v>
      </c>
      <c r="J18" s="1">
        <f>Reserves!J32</f>
        <v>0</v>
      </c>
      <c r="K18" s="1">
        <f>Reserves!K32</f>
        <v>0</v>
      </c>
      <c r="L18" s="1">
        <f>Reserves!L32</f>
        <v>0</v>
      </c>
      <c r="M18" s="1">
        <f>Reserves!M32</f>
        <v>0</v>
      </c>
      <c r="N18" s="1">
        <f>Reserves!N32</f>
        <v>0</v>
      </c>
      <c r="O18" s="1">
        <f>Reserves!O32</f>
        <v>0</v>
      </c>
      <c r="P18" s="1">
        <f>Reserves!P32</f>
        <v>0</v>
      </c>
      <c r="Q18" s="1">
        <f>Reserves!Q32</f>
        <v>0</v>
      </c>
      <c r="R18" s="1">
        <f>Reserves!R32</f>
        <v>0</v>
      </c>
      <c r="S18" s="1">
        <f>Reserves!S32</f>
        <v>0</v>
      </c>
      <c r="T18" s="1">
        <f>Reserves!T32</f>
        <v>0</v>
      </c>
      <c r="U18" s="1">
        <f>Reserves!U32</f>
        <v>0</v>
      </c>
      <c r="V18" s="1">
        <f>Reserves!V32</f>
        <v>0</v>
      </c>
      <c r="W18" s="1">
        <f>Reserves!W32</f>
        <v>97.926046168814281</v>
      </c>
      <c r="X18" s="1">
        <f>Reserves!X32</f>
        <v>97.926046168814281</v>
      </c>
      <c r="Y18" s="1">
        <f>Reserves!Y32</f>
        <v>97.926046168814281</v>
      </c>
      <c r="Z18" s="1">
        <f>Reserves!Z32</f>
        <v>97.926046168814281</v>
      </c>
      <c r="AA18" s="1">
        <f>Reserves!AA32</f>
        <v>97.926046168814281</v>
      </c>
      <c r="AB18" s="1">
        <f>Reserves!AB32</f>
        <v>97.926046168814281</v>
      </c>
      <c r="AC18" s="1">
        <f>Reserves!AC32</f>
        <v>97.926046168814281</v>
      </c>
      <c r="AD18" s="1">
        <f>Reserves!AD32</f>
        <v>97.926046168814281</v>
      </c>
      <c r="AE18" s="1">
        <f>Reserves!AE32</f>
        <v>97.926046168814281</v>
      </c>
      <c r="AF18" s="1">
        <f>Reserves!AF32</f>
        <v>97.926046168814281</v>
      </c>
      <c r="AG18" s="1">
        <f>Reserves!AG32</f>
        <v>97.926046168814281</v>
      </c>
      <c r="AH18" s="1">
        <f>Reserves!AH32</f>
        <v>97.926046168814281</v>
      </c>
      <c r="AI18" s="1">
        <f>Reserves!AI32</f>
        <v>97.926046168814281</v>
      </c>
      <c r="AJ18" s="1">
        <f>Reserves!AJ32</f>
        <v>97.926046168814281</v>
      </c>
      <c r="AK18" s="1">
        <f>Reserves!AK32</f>
        <v>97.926046168814281</v>
      </c>
      <c r="AL18" s="1">
        <f>Reserves!AL32</f>
        <v>97.926046168814281</v>
      </c>
      <c r="AM18" s="1">
        <f>Reserves!AM32</f>
        <v>32.256436903793414</v>
      </c>
      <c r="AN18" s="1">
        <f>Reserves!AN32</f>
        <v>58.632667005792818</v>
      </c>
      <c r="AO18" s="1">
        <f>Reserves!AO32</f>
        <v>96.846407804949848</v>
      </c>
      <c r="AP18" s="1">
        <f>Reserves!AP32</f>
        <v>97.926046168814281</v>
      </c>
      <c r="AQ18" s="1">
        <f>Reserves!AQ32</f>
        <v>97.926046168814281</v>
      </c>
      <c r="AR18" s="1">
        <f>Reserves!AR32</f>
        <v>97.926046168814281</v>
      </c>
      <c r="AS18" s="1">
        <f>Reserves!AS32</f>
        <v>97.926046168814281</v>
      </c>
      <c r="AT18" s="1">
        <f>Reserves!AT32</f>
        <v>97.926046168814281</v>
      </c>
      <c r="AU18" s="1">
        <f>Reserves!AU32</f>
        <v>67.285751682208243</v>
      </c>
      <c r="AV18" s="1">
        <f>Reserves!AV32</f>
        <v>92.880035487503562</v>
      </c>
      <c r="AW18" s="1">
        <f>Reserves!AW32</f>
        <v>0</v>
      </c>
      <c r="AX18" s="1">
        <f>Reserves!AX32</f>
        <v>0</v>
      </c>
      <c r="AY18" s="1">
        <f>Reserves!AY32</f>
        <v>0</v>
      </c>
      <c r="AZ18" s="1">
        <f>Reserves!AZ32</f>
        <v>0</v>
      </c>
      <c r="BA18" s="1">
        <f>Reserves!BA32</f>
        <v>0</v>
      </c>
      <c r="BB18" s="1">
        <f>Reserves!BB32</f>
        <v>0</v>
      </c>
      <c r="BC18" s="1">
        <f>Reserves!BC32</f>
        <v>0</v>
      </c>
      <c r="BD18" s="1">
        <f>Reserves!BD32</f>
        <v>0</v>
      </c>
      <c r="BE18" s="1">
        <f>Reserves!BE32</f>
        <v>0</v>
      </c>
      <c r="BF18" s="1">
        <f>Reserves!BF32</f>
        <v>0</v>
      </c>
      <c r="BG18" s="1">
        <f>Reserves!BG32</f>
        <v>0</v>
      </c>
      <c r="BH18" s="1">
        <f>Reserves!BH32</f>
        <v>0</v>
      </c>
      <c r="BI18" s="1">
        <f>Reserves!BI32</f>
        <v>0</v>
      </c>
      <c r="BJ18" s="1">
        <f>Reserves!BJ32</f>
        <v>0</v>
      </c>
      <c r="BK18" t="s">
        <v>102</v>
      </c>
    </row>
    <row r="19" spans="1:63" ht="11.25" customHeight="1" x14ac:dyDescent="0.25">
      <c r="A19" s="12"/>
      <c r="B19" s="12" t="s">
        <v>217</v>
      </c>
      <c r="C19" s="76" t="s">
        <v>1</v>
      </c>
      <c r="D19" s="12"/>
      <c r="E19" s="1">
        <f t="shared" si="0"/>
        <v>0</v>
      </c>
      <c r="F19" s="80" t="s">
        <v>26</v>
      </c>
      <c r="G19" s="1">
        <f>Costs!G71</f>
        <v>0</v>
      </c>
      <c r="H19" s="1">
        <f>Costs!H71</f>
        <v>0</v>
      </c>
      <c r="I19" s="1">
        <f>Costs!I71</f>
        <v>0</v>
      </c>
      <c r="J19" s="1">
        <f>Costs!J71</f>
        <v>0</v>
      </c>
      <c r="K19" s="1">
        <f>Costs!K71</f>
        <v>0</v>
      </c>
      <c r="L19" s="1">
        <f>Costs!L71</f>
        <v>0</v>
      </c>
      <c r="M19" s="1">
        <f>Costs!M71</f>
        <v>0</v>
      </c>
      <c r="N19" s="1">
        <f>Costs!N71</f>
        <v>0</v>
      </c>
      <c r="O19" s="1">
        <f>Costs!O71</f>
        <v>0</v>
      </c>
      <c r="P19" s="1">
        <f>Costs!P71</f>
        <v>0</v>
      </c>
      <c r="Q19" s="1">
        <f>Costs!Q71</f>
        <v>0</v>
      </c>
      <c r="R19" s="1">
        <f>Costs!R71</f>
        <v>0</v>
      </c>
      <c r="S19" s="1">
        <f>Costs!S71</f>
        <v>0</v>
      </c>
      <c r="T19" s="1">
        <f>Costs!T71</f>
        <v>0</v>
      </c>
      <c r="U19" s="1">
        <f>Costs!U71</f>
        <v>0</v>
      </c>
      <c r="V19" s="1">
        <f>Costs!V71</f>
        <v>0</v>
      </c>
      <c r="W19" s="1">
        <f>Costs!W71</f>
        <v>0</v>
      </c>
      <c r="X19" s="1">
        <f>Costs!X71</f>
        <v>0</v>
      </c>
      <c r="Y19" s="1">
        <f>Costs!Y71</f>
        <v>0</v>
      </c>
      <c r="Z19" s="1">
        <f>Costs!Z71</f>
        <v>0</v>
      </c>
      <c r="AA19" s="1">
        <f>Costs!AA71</f>
        <v>0</v>
      </c>
      <c r="AB19" s="1">
        <f>Costs!AB71</f>
        <v>0</v>
      </c>
      <c r="AC19" s="1">
        <f>Costs!AC71</f>
        <v>0</v>
      </c>
      <c r="AD19" s="1">
        <f>Costs!AD71</f>
        <v>0</v>
      </c>
      <c r="AE19" s="1">
        <f>Costs!AE71</f>
        <v>0</v>
      </c>
      <c r="AF19" s="1">
        <f>Costs!AF71</f>
        <v>0</v>
      </c>
      <c r="AG19" s="1">
        <f>Costs!AG71</f>
        <v>0</v>
      </c>
      <c r="AH19" s="1">
        <f>Costs!AH71</f>
        <v>0</v>
      </c>
      <c r="AI19" s="1">
        <f>Costs!AI71</f>
        <v>0</v>
      </c>
      <c r="AJ19" s="1">
        <f>Costs!AJ71</f>
        <v>0</v>
      </c>
      <c r="AK19" s="1">
        <f>Costs!AK71</f>
        <v>0</v>
      </c>
      <c r="AL19" s="1">
        <f>Costs!AL71</f>
        <v>0</v>
      </c>
      <c r="AM19" s="1">
        <f>Costs!AM71</f>
        <v>0</v>
      </c>
      <c r="AN19" s="1">
        <f>Costs!AN71</f>
        <v>0</v>
      </c>
      <c r="AO19" s="1">
        <f>Costs!AO71</f>
        <v>0</v>
      </c>
      <c r="AP19" s="1">
        <f>Costs!AP71</f>
        <v>0</v>
      </c>
      <c r="AQ19" s="1">
        <f>Costs!AQ71</f>
        <v>0</v>
      </c>
      <c r="AR19" s="1">
        <f>Costs!AR71</f>
        <v>0</v>
      </c>
      <c r="AS19" s="1">
        <f>Costs!AS71</f>
        <v>0</v>
      </c>
      <c r="AT19" s="1">
        <f>Costs!AT71</f>
        <v>0</v>
      </c>
      <c r="AU19" s="1">
        <f>Costs!AU71</f>
        <v>0</v>
      </c>
      <c r="AV19" s="1">
        <f>Costs!AV71</f>
        <v>0</v>
      </c>
      <c r="AW19" s="1">
        <f>Costs!AW71</f>
        <v>0</v>
      </c>
      <c r="AX19" s="1">
        <f>Costs!AX71</f>
        <v>0</v>
      </c>
      <c r="AY19" s="1">
        <f>Costs!AY71</f>
        <v>0</v>
      </c>
      <c r="AZ19" s="1">
        <f>Costs!AZ71</f>
        <v>0</v>
      </c>
      <c r="BA19" s="1">
        <f>Costs!BA71</f>
        <v>0</v>
      </c>
      <c r="BB19" s="1">
        <f>Costs!BB71</f>
        <v>0</v>
      </c>
      <c r="BC19" s="1">
        <f>Costs!BC71</f>
        <v>0</v>
      </c>
      <c r="BD19" s="1">
        <f>Costs!BD71</f>
        <v>0</v>
      </c>
      <c r="BE19" s="1">
        <f>Costs!BE71</f>
        <v>0</v>
      </c>
      <c r="BF19" s="1">
        <f>Costs!BF71</f>
        <v>0</v>
      </c>
      <c r="BG19" s="1">
        <f>Costs!BG71</f>
        <v>0</v>
      </c>
      <c r="BH19" s="1">
        <f>Costs!BH71</f>
        <v>0</v>
      </c>
      <c r="BI19" s="1">
        <f>Costs!BI71</f>
        <v>0</v>
      </c>
      <c r="BJ19" s="1">
        <f>Costs!BJ71</f>
        <v>0</v>
      </c>
      <c r="BK19" t="s">
        <v>102</v>
      </c>
    </row>
    <row r="20" spans="1:63" ht="11.25" customHeight="1" x14ac:dyDescent="0.25">
      <c r="A20" s="12"/>
      <c r="B20" s="12" t="s">
        <v>218</v>
      </c>
      <c r="C20" s="76" t="s">
        <v>1</v>
      </c>
      <c r="D20" s="12"/>
      <c r="E20" s="1">
        <f t="shared" si="0"/>
        <v>-178969.32610163782</v>
      </c>
      <c r="F20" s="80" t="s">
        <v>26</v>
      </c>
      <c r="G20" s="1">
        <f>Debt!G18</f>
        <v>0</v>
      </c>
      <c r="H20" s="1">
        <f>Debt!H18</f>
        <v>0</v>
      </c>
      <c r="I20" s="1">
        <f>Debt!I18</f>
        <v>0</v>
      </c>
      <c r="J20" s="1">
        <f>Debt!J18</f>
        <v>0</v>
      </c>
      <c r="K20" s="1">
        <f>Debt!K18</f>
        <v>0</v>
      </c>
      <c r="L20" s="1">
        <f>Debt!L18</f>
        <v>0</v>
      </c>
      <c r="M20" s="1">
        <f>Debt!M18</f>
        <v>0</v>
      </c>
      <c r="N20" s="1">
        <f>Debt!N18</f>
        <v>0</v>
      </c>
      <c r="O20" s="1">
        <f>Debt!O18</f>
        <v>0</v>
      </c>
      <c r="P20" s="1">
        <f>Debt!P18</f>
        <v>0</v>
      </c>
      <c r="Q20" s="1">
        <f>Debt!Q18</f>
        <v>0</v>
      </c>
      <c r="R20" s="1">
        <f>Debt!R18</f>
        <v>0</v>
      </c>
      <c r="S20" s="1">
        <f>Debt!S18</f>
        <v>0</v>
      </c>
      <c r="T20" s="1">
        <f>Debt!T18</f>
        <v>0</v>
      </c>
      <c r="U20" s="1">
        <f>Debt!U18</f>
        <v>0</v>
      </c>
      <c r="V20" s="1">
        <f>Debt!V18</f>
        <v>0</v>
      </c>
      <c r="W20" s="1">
        <f>Debt!W18</f>
        <v>-11608.150906263309</v>
      </c>
      <c r="X20" s="1">
        <f>Debt!X18</f>
        <v>-11327.757306051701</v>
      </c>
      <c r="Y20" s="1">
        <f>Debt!Y18</f>
        <v>-11037.507870792653</v>
      </c>
      <c r="Z20" s="1">
        <f>Debt!Z18</f>
        <v>-10737.05616788425</v>
      </c>
      <c r="AA20" s="1">
        <f>Debt!AA18</f>
        <v>-10426.043587618617</v>
      </c>
      <c r="AB20" s="1">
        <f>Debt!AB18</f>
        <v>-10104.098915156646</v>
      </c>
      <c r="AC20" s="1">
        <f>Debt!AC18</f>
        <v>-9770.8378874576392</v>
      </c>
      <c r="AD20" s="1">
        <f>Debt!AD18</f>
        <v>-9425.8627346350095</v>
      </c>
      <c r="AE20" s="1">
        <f>Debt!AE18</f>
        <v>-9068.7617051906655</v>
      </c>
      <c r="AF20" s="1">
        <f>Debt!AF18</f>
        <v>-8699.1085745613527</v>
      </c>
      <c r="AG20" s="1">
        <f>Debt!AG18</f>
        <v>-8316.4621363904207</v>
      </c>
      <c r="AH20" s="1">
        <f>Debt!AH18</f>
        <v>-7920.3656759177793</v>
      </c>
      <c r="AI20" s="1">
        <f>Debt!AI18</f>
        <v>-7510.3464248595246</v>
      </c>
      <c r="AJ20" s="1">
        <f>Debt!AJ18</f>
        <v>-7085.9149971265724</v>
      </c>
      <c r="AK20" s="1">
        <f>Debt!AK18</f>
        <v>-6646.5648047088071</v>
      </c>
      <c r="AL20" s="1">
        <f>Debt!AL18</f>
        <v>-6191.7714530275571</v>
      </c>
      <c r="AM20" s="1">
        <f>Debt!AM18</f>
        <v>-5720.9921150347109</v>
      </c>
      <c r="AN20" s="1">
        <f>Debt!AN18</f>
        <v>-5233.6648833114168</v>
      </c>
      <c r="AO20" s="1">
        <f>Debt!AO18</f>
        <v>-4729.2080993930485</v>
      </c>
      <c r="AP20" s="1">
        <f>Debt!AP18</f>
        <v>-4207.0196595199495</v>
      </c>
      <c r="AQ20" s="1">
        <f>Debt!AQ18</f>
        <v>-3666.4762959853115</v>
      </c>
      <c r="AR20" s="1">
        <f>Debt!AR18</f>
        <v>-3106.9328332224309</v>
      </c>
      <c r="AS20" s="1">
        <f>Debt!AS18</f>
        <v>-2527.7214177434344</v>
      </c>
      <c r="AT20" s="1">
        <f>Debt!AT18</f>
        <v>-1928.1507210103518</v>
      </c>
      <c r="AU20" s="1">
        <f>Debt!AU18</f>
        <v>-1307.5051142871014</v>
      </c>
      <c r="AV20" s="1">
        <f>Debt!AV18</f>
        <v>-665.04381448752849</v>
      </c>
      <c r="AW20" s="1">
        <f>Debt!AW18</f>
        <v>0</v>
      </c>
      <c r="AX20" s="1">
        <f>Debt!AX18</f>
        <v>0</v>
      </c>
      <c r="AY20" s="1">
        <f>Debt!AY18</f>
        <v>0</v>
      </c>
      <c r="AZ20" s="1">
        <f>Debt!AZ18</f>
        <v>0</v>
      </c>
      <c r="BA20" s="1">
        <f>Debt!BA18</f>
        <v>0</v>
      </c>
      <c r="BB20" s="1">
        <f>Debt!BB18</f>
        <v>0</v>
      </c>
      <c r="BC20" s="1">
        <f>Debt!BC18</f>
        <v>0</v>
      </c>
      <c r="BD20" s="1">
        <f>Debt!BD18</f>
        <v>0</v>
      </c>
      <c r="BE20" s="1">
        <f>Debt!BE18</f>
        <v>0</v>
      </c>
      <c r="BF20" s="1">
        <f>Debt!BF18</f>
        <v>0</v>
      </c>
      <c r="BG20" s="1">
        <f>Debt!BG18</f>
        <v>0</v>
      </c>
      <c r="BH20" s="1">
        <f>Debt!BH18</f>
        <v>0</v>
      </c>
      <c r="BI20" s="1">
        <f>Debt!BI18</f>
        <v>0</v>
      </c>
      <c r="BJ20" s="1">
        <f>Debt!BJ18</f>
        <v>0</v>
      </c>
      <c r="BK20" t="s">
        <v>102</v>
      </c>
    </row>
    <row r="21" spans="1:63" ht="11.25" customHeight="1" x14ac:dyDescent="0.25">
      <c r="A21" s="12"/>
      <c r="B21" s="12" t="s">
        <v>75</v>
      </c>
      <c r="C21" s="76" t="s">
        <v>1</v>
      </c>
      <c r="D21" s="12"/>
      <c r="E21" s="1">
        <f t="shared" si="0"/>
        <v>-212254.47535505425</v>
      </c>
      <c r="F21" s="80" t="s">
        <v>26</v>
      </c>
      <c r="G21" s="1">
        <f>-1*Depreciation!G84</f>
        <v>0</v>
      </c>
      <c r="H21" s="1">
        <f>-1*Depreciation!H84</f>
        <v>0</v>
      </c>
      <c r="I21" s="1">
        <f>-1*Depreciation!I84</f>
        <v>0</v>
      </c>
      <c r="J21" s="1">
        <f>-1*Depreciation!J84</f>
        <v>0</v>
      </c>
      <c r="K21" s="1">
        <f>-1*Depreciation!K84</f>
        <v>0</v>
      </c>
      <c r="L21" s="1">
        <f>-1*Depreciation!L84</f>
        <v>0</v>
      </c>
      <c r="M21" s="1">
        <f>-1*Depreciation!M84</f>
        <v>0</v>
      </c>
      <c r="N21" s="1">
        <f>-1*Depreciation!N84</f>
        <v>0</v>
      </c>
      <c r="O21" s="1">
        <f>-1*Depreciation!O84</f>
        <v>0</v>
      </c>
      <c r="P21" s="1">
        <f>-1*Depreciation!P84</f>
        <v>0</v>
      </c>
      <c r="Q21" s="1">
        <f>-1*Depreciation!Q84</f>
        <v>0</v>
      </c>
      <c r="R21" s="1">
        <f>-1*Depreciation!R84</f>
        <v>0</v>
      </c>
      <c r="S21" s="1">
        <f>-1*Depreciation!S84</f>
        <v>0</v>
      </c>
      <c r="T21" s="1">
        <f>-1*Depreciation!T84</f>
        <v>0</v>
      </c>
      <c r="U21" s="1">
        <f>-1*Depreciation!U84</f>
        <v>0</v>
      </c>
      <c r="V21" s="1">
        <f>-1*Depreciation!V84</f>
        <v>0</v>
      </c>
      <c r="W21" s="1">
        <f>-1*Depreciation!W84</f>
        <v>-5058.2476817306724</v>
      </c>
      <c r="X21" s="1">
        <f>-1*Depreciation!X84</f>
        <v>-5058.2476817306724</v>
      </c>
      <c r="Y21" s="1">
        <f>-1*Depreciation!Y84</f>
        <v>-5058.2476817306724</v>
      </c>
      <c r="Z21" s="1">
        <f>-1*Depreciation!Z84</f>
        <v>-5058.2476817306724</v>
      </c>
      <c r="AA21" s="1">
        <f>-1*Depreciation!AA84</f>
        <v>-5058.2476817306724</v>
      </c>
      <c r="AB21" s="1">
        <f>-1*Depreciation!AB84</f>
        <v>-5058.2476817306724</v>
      </c>
      <c r="AC21" s="1">
        <f>-1*Depreciation!AC84</f>
        <v>-5058.2476817306724</v>
      </c>
      <c r="AD21" s="1">
        <f>-1*Depreciation!AD84</f>
        <v>-5058.2476817306724</v>
      </c>
      <c r="AE21" s="1">
        <f>-1*Depreciation!AE84</f>
        <v>-5058.2476817306724</v>
      </c>
      <c r="AF21" s="1">
        <f>-1*Depreciation!AF84</f>
        <v>-5058.2476817306724</v>
      </c>
      <c r="AG21" s="1">
        <f>-1*Depreciation!AG84</f>
        <v>-5058.2476817306724</v>
      </c>
      <c r="AH21" s="1">
        <f>-1*Depreciation!AH84</f>
        <v>-5058.2476817306724</v>
      </c>
      <c r="AI21" s="1">
        <f>-1*Depreciation!AI84</f>
        <v>-5058.2476817306724</v>
      </c>
      <c r="AJ21" s="1">
        <f>-1*Depreciation!AJ84</f>
        <v>-5058.2476817306724</v>
      </c>
      <c r="AK21" s="1">
        <f>-1*Depreciation!AK84</f>
        <v>-5058.2476817306724</v>
      </c>
      <c r="AL21" s="1">
        <f>-1*Depreciation!AL84</f>
        <v>-5376.5323045851637</v>
      </c>
      <c r="AM21" s="1">
        <f>-1*Depreciation!AM84</f>
        <v>-5376.5323045851637</v>
      </c>
      <c r="AN21" s="1">
        <f>-1*Depreciation!AN84</f>
        <v>-5376.5323045851637</v>
      </c>
      <c r="AO21" s="1">
        <f>-1*Depreciation!AO84</f>
        <v>-5376.5323045851637</v>
      </c>
      <c r="AP21" s="1">
        <f>-1*Depreciation!AP84</f>
        <v>-5376.5323045851637</v>
      </c>
      <c r="AQ21" s="1">
        <f>-1*Depreciation!AQ84</f>
        <v>-5376.5323045851637</v>
      </c>
      <c r="AR21" s="1">
        <f>-1*Depreciation!AR84</f>
        <v>-5376.5323045851637</v>
      </c>
      <c r="AS21" s="1">
        <f>-1*Depreciation!AS84</f>
        <v>-5376.5323045851637</v>
      </c>
      <c r="AT21" s="1">
        <f>-1*Depreciation!AT84</f>
        <v>-5376.5323045851637</v>
      </c>
      <c r="AU21" s="1">
        <f>-1*Depreciation!AU84</f>
        <v>-5376.5323045851637</v>
      </c>
      <c r="AV21" s="1">
        <f>-1*Depreciation!AV84</f>
        <v>-5376.5323045851637</v>
      </c>
      <c r="AW21" s="1">
        <f>-1*Depreciation!AW84</f>
        <v>-5376.5323045851637</v>
      </c>
      <c r="AX21" s="1">
        <f>-1*Depreciation!AX84</f>
        <v>-5376.5323045851637</v>
      </c>
      <c r="AY21" s="1">
        <f>-1*Depreciation!AY84</f>
        <v>-5376.5323045851637</v>
      </c>
      <c r="AZ21" s="1">
        <f>-1*Depreciation!AZ84</f>
        <v>-5376.5323045851637</v>
      </c>
      <c r="BA21" s="1">
        <f>-1*Depreciation!BA84</f>
        <v>-5376.5323045851637</v>
      </c>
      <c r="BB21" s="1">
        <f>-1*Depreciation!BB84</f>
        <v>-5771.9629300004399</v>
      </c>
      <c r="BC21" s="1">
        <f>-1*Depreciation!BC84</f>
        <v>-5771.9629300004399</v>
      </c>
      <c r="BD21" s="1">
        <f>-1*Depreciation!BD84</f>
        <v>-5771.9629300004399</v>
      </c>
      <c r="BE21" s="1">
        <f>-1*Depreciation!BE84</f>
        <v>-5771.9629300004399</v>
      </c>
      <c r="BF21" s="1">
        <f>-1*Depreciation!BF84</f>
        <v>-5453.6783071459486</v>
      </c>
      <c r="BG21" s="1">
        <f>-1*Depreciation!BG84</f>
        <v>-5453.6783071459486</v>
      </c>
      <c r="BH21" s="1">
        <f>-1*Depreciation!BH84</f>
        <v>-5453.6783071459486</v>
      </c>
      <c r="BI21" s="1">
        <f>-1*Depreciation!BI84</f>
        <v>-5453.6783071459486</v>
      </c>
      <c r="BJ21" s="1">
        <f>-1*Depreciation!BJ84</f>
        <v>-5453.6783071459486</v>
      </c>
      <c r="BK21" t="s">
        <v>102</v>
      </c>
    </row>
    <row r="22" spans="1:63" ht="11.25" customHeight="1" x14ac:dyDescent="0.25">
      <c r="A22" s="12"/>
      <c r="B22" s="49" t="s">
        <v>224</v>
      </c>
      <c r="C22" s="194" t="s">
        <v>1</v>
      </c>
      <c r="D22" s="49"/>
      <c r="E22" s="51">
        <f t="shared" ca="1" si="0"/>
        <v>886773.55756807374</v>
      </c>
      <c r="F22" s="321" t="s">
        <v>26</v>
      </c>
      <c r="G22" s="51">
        <f ca="1">SUM(G17:G21)</f>
        <v>0</v>
      </c>
      <c r="H22" s="51">
        <f t="shared" ref="H22:BJ22" ca="1" si="3">SUM(H17:H21)</f>
        <v>0</v>
      </c>
      <c r="I22" s="51">
        <f t="shared" ca="1" si="3"/>
        <v>0</v>
      </c>
      <c r="J22" s="51">
        <f t="shared" ca="1" si="3"/>
        <v>0</v>
      </c>
      <c r="K22" s="51">
        <f t="shared" ca="1" si="3"/>
        <v>0</v>
      </c>
      <c r="L22" s="51">
        <f t="shared" ca="1" si="3"/>
        <v>0</v>
      </c>
      <c r="M22" s="51">
        <f t="shared" ca="1" si="3"/>
        <v>0</v>
      </c>
      <c r="N22" s="51">
        <f t="shared" ca="1" si="3"/>
        <v>0</v>
      </c>
      <c r="O22" s="51">
        <f t="shared" ca="1" si="3"/>
        <v>0</v>
      </c>
      <c r="P22" s="51">
        <f t="shared" ca="1" si="3"/>
        <v>0</v>
      </c>
      <c r="Q22" s="51">
        <f t="shared" ca="1" si="3"/>
        <v>0</v>
      </c>
      <c r="R22" s="51">
        <f t="shared" ca="1" si="3"/>
        <v>0</v>
      </c>
      <c r="S22" s="51">
        <f t="shared" ca="1" si="3"/>
        <v>0</v>
      </c>
      <c r="T22" s="51">
        <f t="shared" ca="1" si="3"/>
        <v>0</v>
      </c>
      <c r="U22" s="51">
        <f t="shared" ca="1" si="3"/>
        <v>0</v>
      </c>
      <c r="V22" s="51">
        <f t="shared" ca="1" si="3"/>
        <v>0</v>
      </c>
      <c r="W22" s="51">
        <f t="shared" ca="1" si="3"/>
        <v>19751.766905298122</v>
      </c>
      <c r="X22" s="51">
        <f t="shared" ca="1" si="3"/>
        <v>20926.95544451796</v>
      </c>
      <c r="Y22" s="51">
        <f t="shared" ca="1" si="3"/>
        <v>20459.886306155764</v>
      </c>
      <c r="Z22" s="51">
        <f t="shared" ca="1" si="3"/>
        <v>21973.782263480673</v>
      </c>
      <c r="AA22" s="51">
        <f t="shared" ca="1" si="3"/>
        <v>21516.16871072974</v>
      </c>
      <c r="AB22" s="51">
        <f t="shared" ca="1" si="3"/>
        <v>23057.533633570914</v>
      </c>
      <c r="AC22" s="51">
        <f t="shared" ca="1" si="3"/>
        <v>22622.530381517623</v>
      </c>
      <c r="AD22" s="51">
        <f t="shared" ca="1" si="3"/>
        <v>20662.484308786756</v>
      </c>
      <c r="AE22" s="51">
        <f t="shared" ca="1" si="3"/>
        <v>25511.751704101916</v>
      </c>
      <c r="AF22" s="51">
        <f t="shared" ca="1" si="3"/>
        <v>25987.928646074135</v>
      </c>
      <c r="AG22" s="51">
        <f t="shared" ca="1" si="3"/>
        <v>25576.03076431113</v>
      </c>
      <c r="AH22" s="51">
        <f t="shared" ca="1" si="3"/>
        <v>26437.626766889574</v>
      </c>
      <c r="AI22" s="51">
        <f t="shared" ca="1" si="3"/>
        <v>26048.481416815186</v>
      </c>
      <c r="AJ22" s="51">
        <f t="shared" ca="1" si="3"/>
        <v>27899.562545770052</v>
      </c>
      <c r="AK22" s="51">
        <f t="shared" ca="1" si="3"/>
        <v>10601.268020486927</v>
      </c>
      <c r="AL22" s="51">
        <f t="shared" ca="1" si="3"/>
        <v>13915.279216691275</v>
      </c>
      <c r="AM22" s="51">
        <f t="shared" ca="1" si="3"/>
        <v>18398.674874598895</v>
      </c>
      <c r="AN22" s="51">
        <f t="shared" ca="1" si="3"/>
        <v>19556.460697324983</v>
      </c>
      <c r="AO22" s="51">
        <f t="shared" ca="1" si="3"/>
        <v>19842.565935912709</v>
      </c>
      <c r="AP22" s="51">
        <f t="shared" ca="1" si="3"/>
        <v>20391.475247016599</v>
      </c>
      <c r="AQ22" s="51">
        <f t="shared" ca="1" si="3"/>
        <v>20668.531624239105</v>
      </c>
      <c r="AR22" s="51">
        <f t="shared" ca="1" si="3"/>
        <v>21182.32692011063</v>
      </c>
      <c r="AS22" s="51">
        <f t="shared" ca="1" si="3"/>
        <v>21490.683013289992</v>
      </c>
      <c r="AT22" s="51">
        <f t="shared" ca="1" si="3"/>
        <v>19213.739588085969</v>
      </c>
      <c r="AU22" s="51">
        <f t="shared" ca="1" si="3"/>
        <v>24071.565391888689</v>
      </c>
      <c r="AV22" s="51">
        <f t="shared" ca="1" si="3"/>
        <v>24448.085790593381</v>
      </c>
      <c r="AW22" s="51">
        <f t="shared" ca="1" si="3"/>
        <v>24721.455879629219</v>
      </c>
      <c r="AX22" s="51">
        <f t="shared" ca="1" si="3"/>
        <v>24415.302547161635</v>
      </c>
      <c r="AY22" s="51">
        <f t="shared" ca="1" si="3"/>
        <v>24101.687161412781</v>
      </c>
      <c r="AZ22" s="51">
        <f t="shared" ca="1" si="3"/>
        <v>23780.50602327301</v>
      </c>
      <c r="BA22" s="51">
        <f t="shared" ca="1" si="3"/>
        <v>23451.654130132396</v>
      </c>
      <c r="BB22" s="51">
        <f t="shared" ca="1" si="3"/>
        <v>20144.204026955027</v>
      </c>
      <c r="BC22" s="51">
        <f t="shared" ca="1" si="3"/>
        <v>24404.606804076124</v>
      </c>
      <c r="BD22" s="51">
        <f t="shared" ca="1" si="3"/>
        <v>24051.329932423621</v>
      </c>
      <c r="BE22" s="51">
        <f t="shared" ca="1" si="3"/>
        <v>23689.796590292746</v>
      </c>
      <c r="BF22" s="51">
        <f t="shared" ca="1" si="3"/>
        <v>23638.177175704579</v>
      </c>
      <c r="BG22" s="51">
        <f t="shared" ca="1" si="3"/>
        <v>23259.786788241778</v>
      </c>
      <c r="BH22" s="51">
        <f t="shared" ca="1" si="3"/>
        <v>22872.792949346331</v>
      </c>
      <c r="BI22" s="51">
        <f t="shared" ca="1" si="3"/>
        <v>22477.077093875865</v>
      </c>
      <c r="BJ22" s="51">
        <f t="shared" ca="1" si="3"/>
        <v>19552.03434728978</v>
      </c>
      <c r="BK22" t="s">
        <v>102</v>
      </c>
    </row>
    <row r="23" spans="1:63" ht="11.25" customHeight="1" x14ac:dyDescent="0.25">
      <c r="A23" s="12"/>
      <c r="B23" s="12" t="s">
        <v>90</v>
      </c>
      <c r="C23" s="22" t="s">
        <v>34</v>
      </c>
      <c r="D23" s="372">
        <f>Assumptions!D136</f>
        <v>0.25</v>
      </c>
      <c r="E23" s="12"/>
      <c r="F23" s="80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t="s">
        <v>102</v>
      </c>
    </row>
    <row r="24" spans="1:63" ht="11.25" customHeight="1" x14ac:dyDescent="0.25">
      <c r="A24" s="12"/>
      <c r="B24" s="214" t="s">
        <v>225</v>
      </c>
      <c r="C24" s="227" t="s">
        <v>1</v>
      </c>
      <c r="D24" s="214"/>
      <c r="E24" s="216">
        <f t="shared" ca="1" si="0"/>
        <v>221693.38939201843</v>
      </c>
      <c r="F24" s="310" t="s">
        <v>26</v>
      </c>
      <c r="G24" s="216">
        <f ca="1">G22*$D$23</f>
        <v>0</v>
      </c>
      <c r="H24" s="216">
        <f t="shared" ref="H24:BJ24" ca="1" si="4">H22*$D$23</f>
        <v>0</v>
      </c>
      <c r="I24" s="216">
        <f t="shared" ca="1" si="4"/>
        <v>0</v>
      </c>
      <c r="J24" s="216">
        <f t="shared" ca="1" si="4"/>
        <v>0</v>
      </c>
      <c r="K24" s="216">
        <f t="shared" ca="1" si="4"/>
        <v>0</v>
      </c>
      <c r="L24" s="216">
        <f t="shared" ca="1" si="4"/>
        <v>0</v>
      </c>
      <c r="M24" s="216">
        <f t="shared" ca="1" si="4"/>
        <v>0</v>
      </c>
      <c r="N24" s="216">
        <f t="shared" ca="1" si="4"/>
        <v>0</v>
      </c>
      <c r="O24" s="216">
        <f t="shared" ca="1" si="4"/>
        <v>0</v>
      </c>
      <c r="P24" s="216">
        <f t="shared" ca="1" si="4"/>
        <v>0</v>
      </c>
      <c r="Q24" s="216">
        <f t="shared" ca="1" si="4"/>
        <v>0</v>
      </c>
      <c r="R24" s="216">
        <f t="shared" ca="1" si="4"/>
        <v>0</v>
      </c>
      <c r="S24" s="216">
        <f t="shared" ca="1" si="4"/>
        <v>0</v>
      </c>
      <c r="T24" s="216">
        <f t="shared" ca="1" si="4"/>
        <v>0</v>
      </c>
      <c r="U24" s="216">
        <f t="shared" ca="1" si="4"/>
        <v>0</v>
      </c>
      <c r="V24" s="216">
        <f t="shared" ca="1" si="4"/>
        <v>0</v>
      </c>
      <c r="W24" s="216">
        <f t="shared" ca="1" si="4"/>
        <v>4937.9417263245305</v>
      </c>
      <c r="X24" s="216">
        <f t="shared" ca="1" si="4"/>
        <v>5231.73886112949</v>
      </c>
      <c r="Y24" s="216">
        <f t="shared" ca="1" si="4"/>
        <v>5114.971576538941</v>
      </c>
      <c r="Z24" s="216">
        <f t="shared" ca="1" si="4"/>
        <v>5493.4455658701681</v>
      </c>
      <c r="AA24" s="216">
        <f t="shared" ca="1" si="4"/>
        <v>5379.0421776824351</v>
      </c>
      <c r="AB24" s="216">
        <f t="shared" ca="1" si="4"/>
        <v>5764.3834083927286</v>
      </c>
      <c r="AC24" s="216">
        <f t="shared" ca="1" si="4"/>
        <v>5655.6325953794058</v>
      </c>
      <c r="AD24" s="216">
        <f t="shared" ca="1" si="4"/>
        <v>5165.6210771966889</v>
      </c>
      <c r="AE24" s="216">
        <f t="shared" ca="1" si="4"/>
        <v>6377.9379260254791</v>
      </c>
      <c r="AF24" s="216">
        <f t="shared" ca="1" si="4"/>
        <v>6496.9821615185338</v>
      </c>
      <c r="AG24" s="216">
        <f t="shared" ca="1" si="4"/>
        <v>6394.0076910777825</v>
      </c>
      <c r="AH24" s="216">
        <f t="shared" ca="1" si="4"/>
        <v>6609.4066917223936</v>
      </c>
      <c r="AI24" s="216">
        <f t="shared" ca="1" si="4"/>
        <v>6512.1203542037965</v>
      </c>
      <c r="AJ24" s="216">
        <f t="shared" ca="1" si="4"/>
        <v>6974.8906364425129</v>
      </c>
      <c r="AK24" s="216">
        <f t="shared" ca="1" si="4"/>
        <v>2650.3170051217317</v>
      </c>
      <c r="AL24" s="216">
        <f t="shared" ca="1" si="4"/>
        <v>3478.8198041728187</v>
      </c>
      <c r="AM24" s="216">
        <f t="shared" ca="1" si="4"/>
        <v>4599.6687186497238</v>
      </c>
      <c r="AN24" s="216">
        <f t="shared" ca="1" si="4"/>
        <v>4889.1151743312457</v>
      </c>
      <c r="AO24" s="216">
        <f t="shared" ca="1" si="4"/>
        <v>4960.6414839781773</v>
      </c>
      <c r="AP24" s="216">
        <f t="shared" ca="1" si="4"/>
        <v>5097.8688117541496</v>
      </c>
      <c r="AQ24" s="216">
        <f t="shared" ca="1" si="4"/>
        <v>5167.1329060597764</v>
      </c>
      <c r="AR24" s="216">
        <f t="shared" ca="1" si="4"/>
        <v>5295.5817300276576</v>
      </c>
      <c r="AS24" s="216">
        <f t="shared" ca="1" si="4"/>
        <v>5372.6707533224981</v>
      </c>
      <c r="AT24" s="216">
        <f t="shared" ca="1" si="4"/>
        <v>4803.4348970214924</v>
      </c>
      <c r="AU24" s="216">
        <f t="shared" ca="1" si="4"/>
        <v>6017.8913479721723</v>
      </c>
      <c r="AV24" s="216">
        <f t="shared" ca="1" si="4"/>
        <v>6112.0214476483452</v>
      </c>
      <c r="AW24" s="216">
        <f t="shared" ca="1" si="4"/>
        <v>6180.3639699073046</v>
      </c>
      <c r="AX24" s="216">
        <f t="shared" ca="1" si="4"/>
        <v>6103.8256367904087</v>
      </c>
      <c r="AY24" s="216">
        <f t="shared" ca="1" si="4"/>
        <v>6025.4217903531953</v>
      </c>
      <c r="AZ24" s="216">
        <f t="shared" ca="1" si="4"/>
        <v>5945.1265058182526</v>
      </c>
      <c r="BA24" s="216">
        <f t="shared" ca="1" si="4"/>
        <v>5862.913532533099</v>
      </c>
      <c r="BB24" s="216">
        <f t="shared" ca="1" si="4"/>
        <v>5036.0510067387568</v>
      </c>
      <c r="BC24" s="216">
        <f t="shared" ca="1" si="4"/>
        <v>6101.151701019031</v>
      </c>
      <c r="BD24" s="216">
        <f t="shared" ca="1" si="4"/>
        <v>6012.8324831059053</v>
      </c>
      <c r="BE24" s="216">
        <f t="shared" ca="1" si="4"/>
        <v>5922.4491475731866</v>
      </c>
      <c r="BF24" s="216">
        <f t="shared" ca="1" si="4"/>
        <v>5909.5442939261447</v>
      </c>
      <c r="BG24" s="216">
        <f t="shared" ca="1" si="4"/>
        <v>5814.9466970604444</v>
      </c>
      <c r="BH24" s="216">
        <f t="shared" ca="1" si="4"/>
        <v>5718.1982373365827</v>
      </c>
      <c r="BI24" s="216">
        <f t="shared" ca="1" si="4"/>
        <v>5619.2692734689663</v>
      </c>
      <c r="BJ24" s="216">
        <f t="shared" ca="1" si="4"/>
        <v>4888.0085868224451</v>
      </c>
      <c r="BK24" t="s">
        <v>102</v>
      </c>
    </row>
    <row r="25" spans="1:63" ht="11.25" customHeight="1" x14ac:dyDescent="0.25">
      <c r="A25" s="12"/>
      <c r="B25" s="17"/>
      <c r="C25" s="151"/>
      <c r="D25" s="17"/>
      <c r="E25" s="59"/>
      <c r="F25" s="313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t="s">
        <v>102</v>
      </c>
    </row>
    <row r="26" spans="1:63" ht="11.25" customHeight="1" x14ac:dyDescent="0.25">
      <c r="A26" s="12"/>
      <c r="B26" s="17" t="s">
        <v>226</v>
      </c>
      <c r="C26" s="151" t="s">
        <v>1</v>
      </c>
      <c r="D26" s="17"/>
      <c r="E26" s="59">
        <f t="shared" ca="1" si="0"/>
        <v>38826.576520164388</v>
      </c>
      <c r="F26" s="80" t="s">
        <v>26</v>
      </c>
      <c r="G26" s="59">
        <f ca="1">G24-G14</f>
        <v>0</v>
      </c>
      <c r="H26" s="59">
        <f t="shared" ref="H26:BJ26" ca="1" si="5">H24-H14</f>
        <v>0</v>
      </c>
      <c r="I26" s="59">
        <f t="shared" ca="1" si="5"/>
        <v>0</v>
      </c>
      <c r="J26" s="59">
        <f t="shared" ca="1" si="5"/>
        <v>0</v>
      </c>
      <c r="K26" s="59">
        <f t="shared" ca="1" si="5"/>
        <v>0</v>
      </c>
      <c r="L26" s="59">
        <f t="shared" ca="1" si="5"/>
        <v>0</v>
      </c>
      <c r="M26" s="59">
        <f t="shared" ca="1" si="5"/>
        <v>0</v>
      </c>
      <c r="N26" s="59">
        <f t="shared" ca="1" si="5"/>
        <v>0</v>
      </c>
      <c r="O26" s="59">
        <f t="shared" ca="1" si="5"/>
        <v>0</v>
      </c>
      <c r="P26" s="59">
        <f t="shared" ca="1" si="5"/>
        <v>0</v>
      </c>
      <c r="Q26" s="59">
        <f t="shared" ca="1" si="5"/>
        <v>0</v>
      </c>
      <c r="R26" s="59">
        <f t="shared" ca="1" si="5"/>
        <v>0</v>
      </c>
      <c r="S26" s="59">
        <f t="shared" ca="1" si="5"/>
        <v>0</v>
      </c>
      <c r="T26" s="59">
        <f t="shared" ca="1" si="5"/>
        <v>0</v>
      </c>
      <c r="U26" s="59">
        <f t="shared" ca="1" si="5"/>
        <v>0</v>
      </c>
      <c r="V26" s="59">
        <f t="shared" ca="1" si="5"/>
        <v>0</v>
      </c>
      <c r="W26" s="59">
        <f t="shared" ca="1" si="5"/>
        <v>533.23054810710437</v>
      </c>
      <c r="X26" s="59">
        <f t="shared" ca="1" si="5"/>
        <v>533.23054810710346</v>
      </c>
      <c r="Y26" s="59">
        <f t="shared" ca="1" si="5"/>
        <v>533.23054810710346</v>
      </c>
      <c r="Z26" s="59">
        <f t="shared" ca="1" si="5"/>
        <v>533.23054810710346</v>
      </c>
      <c r="AA26" s="59">
        <f t="shared" ca="1" si="5"/>
        <v>533.23054810710346</v>
      </c>
      <c r="AB26" s="59">
        <f t="shared" ca="1" si="5"/>
        <v>533.23054810710346</v>
      </c>
      <c r="AC26" s="59">
        <f t="shared" ca="1" si="5"/>
        <v>533.23054810710346</v>
      </c>
      <c r="AD26" s="59">
        <f t="shared" ca="1" si="5"/>
        <v>3854.7576858462803</v>
      </c>
      <c r="AE26" s="59">
        <f t="shared" ca="1" si="5"/>
        <v>485.64084514389651</v>
      </c>
      <c r="AF26" s="59">
        <f t="shared" ca="1" si="5"/>
        <v>485.64084514389651</v>
      </c>
      <c r="AG26" s="59">
        <f t="shared" ca="1" si="5"/>
        <v>485.64084514389651</v>
      </c>
      <c r="AH26" s="59">
        <f t="shared" ca="1" si="5"/>
        <v>485.64084514389651</v>
      </c>
      <c r="AI26" s="59">
        <f t="shared" ca="1" si="5"/>
        <v>485.64084514389651</v>
      </c>
      <c r="AJ26" s="59">
        <f t="shared" ca="1" si="5"/>
        <v>485.64084514389651</v>
      </c>
      <c r="AK26" s="59">
        <f t="shared" ca="1" si="5"/>
        <v>485.64084514389697</v>
      </c>
      <c r="AL26" s="59">
        <f t="shared" ca="1" si="5"/>
        <v>4267.4567623023477</v>
      </c>
      <c r="AM26" s="59">
        <f t="shared" ca="1" si="5"/>
        <v>512.16750620553012</v>
      </c>
      <c r="AN26" s="59">
        <f t="shared" ca="1" si="5"/>
        <v>512.16750620553012</v>
      </c>
      <c r="AO26" s="59">
        <f t="shared" ca="1" si="5"/>
        <v>512.16750620553103</v>
      </c>
      <c r="AP26" s="59">
        <f t="shared" ca="1" si="5"/>
        <v>512.16750620553103</v>
      </c>
      <c r="AQ26" s="59">
        <f t="shared" ca="1" si="5"/>
        <v>512.16750620553012</v>
      </c>
      <c r="AR26" s="59">
        <f t="shared" ca="1" si="5"/>
        <v>512.16750620553012</v>
      </c>
      <c r="AS26" s="59">
        <f t="shared" ca="1" si="5"/>
        <v>512.16750620553103</v>
      </c>
      <c r="AT26" s="59">
        <f t="shared" ca="1" si="5"/>
        <v>4638.7682248662868</v>
      </c>
      <c r="AU26" s="59">
        <f t="shared" ca="1" si="5"/>
        <v>453.04298477154225</v>
      </c>
      <c r="AV26" s="59">
        <f t="shared" ca="1" si="5"/>
        <v>293.90067334429659</v>
      </c>
      <c r="AW26" s="59">
        <f t="shared" ca="1" si="5"/>
        <v>293.90067334429841</v>
      </c>
      <c r="AX26" s="59">
        <f t="shared" ca="1" si="5"/>
        <v>293.90067334429841</v>
      </c>
      <c r="AY26" s="59">
        <f t="shared" ca="1" si="5"/>
        <v>293.90067334429841</v>
      </c>
      <c r="AZ26" s="59">
        <f t="shared" ca="1" si="5"/>
        <v>293.90067334429841</v>
      </c>
      <c r="BA26" s="59">
        <f t="shared" ca="1" si="5"/>
        <v>293.90067334429841</v>
      </c>
      <c r="BB26" s="59">
        <f t="shared" ca="1" si="5"/>
        <v>4992.355219830748</v>
      </c>
      <c r="BC26" s="59">
        <f t="shared" ca="1" si="5"/>
        <v>326.85688115511584</v>
      </c>
      <c r="BD26" s="59">
        <f t="shared" ca="1" si="5"/>
        <v>326.85688115511584</v>
      </c>
      <c r="BE26" s="59">
        <f t="shared" ca="1" si="5"/>
        <v>326.85688115511584</v>
      </c>
      <c r="BF26" s="59">
        <f t="shared" ca="1" si="5"/>
        <v>406.42803686873776</v>
      </c>
      <c r="BG26" s="59">
        <f t="shared" ca="1" si="5"/>
        <v>406.42803686873776</v>
      </c>
      <c r="BH26" s="59">
        <f t="shared" ca="1" si="5"/>
        <v>406.42803686873776</v>
      </c>
      <c r="BI26" s="59">
        <f t="shared" ca="1" si="5"/>
        <v>406.42803686873776</v>
      </c>
      <c r="BJ26" s="59">
        <f t="shared" ca="1" si="5"/>
        <v>5533.2365153453775</v>
      </c>
      <c r="BK26" t="s">
        <v>102</v>
      </c>
    </row>
    <row r="27" spans="1:63" ht="11.25" customHeight="1" x14ac:dyDescent="0.25">
      <c r="A27" s="12" t="s">
        <v>26</v>
      </c>
      <c r="B27" s="228" t="s">
        <v>227</v>
      </c>
      <c r="C27" s="229" t="s">
        <v>1</v>
      </c>
      <c r="D27" s="228"/>
      <c r="E27" s="230">
        <f t="shared" ca="1" si="0"/>
        <v>717042.56822078547</v>
      </c>
      <c r="F27" s="312"/>
      <c r="G27" s="230">
        <f ca="1">F27+G26</f>
        <v>0</v>
      </c>
      <c r="H27" s="230">
        <f t="shared" ref="H27:BJ27" ca="1" si="6">G27+H26</f>
        <v>0</v>
      </c>
      <c r="I27" s="230">
        <f t="shared" ca="1" si="6"/>
        <v>0</v>
      </c>
      <c r="J27" s="230">
        <f t="shared" ca="1" si="6"/>
        <v>0</v>
      </c>
      <c r="K27" s="230">
        <f t="shared" ca="1" si="6"/>
        <v>0</v>
      </c>
      <c r="L27" s="230">
        <f t="shared" ca="1" si="6"/>
        <v>0</v>
      </c>
      <c r="M27" s="230">
        <f t="shared" ca="1" si="6"/>
        <v>0</v>
      </c>
      <c r="N27" s="230">
        <f t="shared" ca="1" si="6"/>
        <v>0</v>
      </c>
      <c r="O27" s="230">
        <f t="shared" ca="1" si="6"/>
        <v>0</v>
      </c>
      <c r="P27" s="230">
        <f t="shared" ca="1" si="6"/>
        <v>0</v>
      </c>
      <c r="Q27" s="230">
        <f t="shared" ca="1" si="6"/>
        <v>0</v>
      </c>
      <c r="R27" s="230">
        <f t="shared" ca="1" si="6"/>
        <v>0</v>
      </c>
      <c r="S27" s="230">
        <f t="shared" ca="1" si="6"/>
        <v>0</v>
      </c>
      <c r="T27" s="230">
        <f t="shared" ca="1" si="6"/>
        <v>0</v>
      </c>
      <c r="U27" s="230">
        <f t="shared" ca="1" si="6"/>
        <v>0</v>
      </c>
      <c r="V27" s="230">
        <f t="shared" ca="1" si="6"/>
        <v>0</v>
      </c>
      <c r="W27" s="230">
        <f t="shared" ca="1" si="6"/>
        <v>533.23054810710437</v>
      </c>
      <c r="X27" s="230">
        <f t="shared" ca="1" si="6"/>
        <v>1066.4610962142078</v>
      </c>
      <c r="Y27" s="230">
        <f t="shared" ca="1" si="6"/>
        <v>1599.6916443213113</v>
      </c>
      <c r="Z27" s="230">
        <f t="shared" ca="1" si="6"/>
        <v>2132.9221924284147</v>
      </c>
      <c r="AA27" s="230">
        <f t="shared" ca="1" si="6"/>
        <v>2666.1527405355182</v>
      </c>
      <c r="AB27" s="230">
        <f t="shared" ca="1" si="6"/>
        <v>3199.3832886426217</v>
      </c>
      <c r="AC27" s="230">
        <f t="shared" ca="1" si="6"/>
        <v>3732.6138367497251</v>
      </c>
      <c r="AD27" s="230">
        <f t="shared" ca="1" si="6"/>
        <v>7587.3715225960059</v>
      </c>
      <c r="AE27" s="230">
        <f t="shared" ca="1" si="6"/>
        <v>8073.0123677399024</v>
      </c>
      <c r="AF27" s="230">
        <f t="shared" ca="1" si="6"/>
        <v>8558.6532128837989</v>
      </c>
      <c r="AG27" s="230">
        <f t="shared" ca="1" si="6"/>
        <v>9044.2940580276954</v>
      </c>
      <c r="AH27" s="230">
        <f t="shared" ca="1" si="6"/>
        <v>9529.9349031715919</v>
      </c>
      <c r="AI27" s="230">
        <f t="shared" ca="1" si="6"/>
        <v>10015.575748315488</v>
      </c>
      <c r="AJ27" s="230">
        <f t="shared" ca="1" si="6"/>
        <v>10501.216593459385</v>
      </c>
      <c r="AK27" s="230">
        <f t="shared" ca="1" si="6"/>
        <v>10986.857438603281</v>
      </c>
      <c r="AL27" s="230">
        <f t="shared" ca="1" si="6"/>
        <v>15254.314200905628</v>
      </c>
      <c r="AM27" s="230">
        <f t="shared" ca="1" si="6"/>
        <v>15766.481707111157</v>
      </c>
      <c r="AN27" s="230">
        <f t="shared" ca="1" si="6"/>
        <v>16278.649213316687</v>
      </c>
      <c r="AO27" s="230">
        <f t="shared" ca="1" si="6"/>
        <v>16790.81671952222</v>
      </c>
      <c r="AP27" s="230">
        <f t="shared" ca="1" si="6"/>
        <v>17302.984225727749</v>
      </c>
      <c r="AQ27" s="230">
        <f t="shared" ca="1" si="6"/>
        <v>17815.151731933278</v>
      </c>
      <c r="AR27" s="230">
        <f t="shared" ca="1" si="6"/>
        <v>18327.319238138807</v>
      </c>
      <c r="AS27" s="230">
        <f t="shared" ca="1" si="6"/>
        <v>18839.486744344336</v>
      </c>
      <c r="AT27" s="230">
        <f t="shared" ca="1" si="6"/>
        <v>23478.254969210622</v>
      </c>
      <c r="AU27" s="230">
        <f t="shared" ca="1" si="6"/>
        <v>23931.297953982164</v>
      </c>
      <c r="AV27" s="230">
        <f t="shared" ca="1" si="6"/>
        <v>24225.198627326463</v>
      </c>
      <c r="AW27" s="230">
        <f t="shared" ca="1" si="6"/>
        <v>24519.099300670761</v>
      </c>
      <c r="AX27" s="230">
        <f t="shared" ca="1" si="6"/>
        <v>24812.99997401506</v>
      </c>
      <c r="AY27" s="230">
        <f t="shared" ca="1" si="6"/>
        <v>25106.900647359358</v>
      </c>
      <c r="AZ27" s="230">
        <f t="shared" ca="1" si="6"/>
        <v>25400.801320703657</v>
      </c>
      <c r="BA27" s="230">
        <f t="shared" ca="1" si="6"/>
        <v>25694.701994047955</v>
      </c>
      <c r="BB27" s="230">
        <f t="shared" ca="1" si="6"/>
        <v>30687.057213878703</v>
      </c>
      <c r="BC27" s="230">
        <f t="shared" ca="1" si="6"/>
        <v>31013.914095033819</v>
      </c>
      <c r="BD27" s="230">
        <f t="shared" ca="1" si="6"/>
        <v>31340.770976188935</v>
      </c>
      <c r="BE27" s="230">
        <f t="shared" ca="1" si="6"/>
        <v>31667.62785734405</v>
      </c>
      <c r="BF27" s="230">
        <f t="shared" ca="1" si="6"/>
        <v>32074.05589421279</v>
      </c>
      <c r="BG27" s="230">
        <f t="shared" ca="1" si="6"/>
        <v>32480.48393108153</v>
      </c>
      <c r="BH27" s="230">
        <f t="shared" ca="1" si="6"/>
        <v>32886.911967950269</v>
      </c>
      <c r="BI27" s="230">
        <f t="shared" ca="1" si="6"/>
        <v>33293.340004819009</v>
      </c>
      <c r="BJ27" s="230">
        <f t="shared" ca="1" si="6"/>
        <v>38826.576520164388</v>
      </c>
      <c r="BK27" t="s">
        <v>102</v>
      </c>
    </row>
    <row r="28" spans="1:63" ht="11.25" customHeight="1" x14ac:dyDescent="0.25">
      <c r="A28" s="12"/>
      <c r="B28" s="12"/>
      <c r="C28" s="12"/>
      <c r="D28" s="12"/>
      <c r="E28" s="12"/>
      <c r="F28" s="80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</row>
    <row r="29" spans="1:63" ht="11.25" customHeight="1" x14ac:dyDescent="0.25">
      <c r="A29" s="12"/>
      <c r="B29" s="12"/>
      <c r="C29" s="12"/>
      <c r="D29" s="12"/>
      <c r="E29" s="12"/>
      <c r="F29" s="80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</row>
    <row r="30" spans="1:63" ht="11.25" customHeight="1" x14ac:dyDescent="0.25">
      <c r="A30" s="12"/>
      <c r="B30" s="12"/>
      <c r="C30" s="12"/>
      <c r="D30" s="12"/>
      <c r="E30" s="12"/>
      <c r="F30" s="80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</row>
    <row r="31" spans="1:63" ht="11.25" customHeight="1" x14ac:dyDescent="0.25">
      <c r="A31" s="12"/>
      <c r="B31" s="12"/>
      <c r="C31" s="12"/>
      <c r="D31" s="12"/>
      <c r="E31" s="12"/>
      <c r="F31" s="80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412">
        <v>2026</v>
      </c>
      <c r="X31" s="412">
        <f t="shared" ref="X31:AQ31" si="7">W31+1</f>
        <v>2027</v>
      </c>
      <c r="Y31" s="412">
        <f t="shared" si="7"/>
        <v>2028</v>
      </c>
      <c r="Z31" s="412">
        <f t="shared" si="7"/>
        <v>2029</v>
      </c>
      <c r="AA31" s="412">
        <f t="shared" si="7"/>
        <v>2030</v>
      </c>
      <c r="AB31" s="412">
        <f t="shared" si="7"/>
        <v>2031</v>
      </c>
      <c r="AC31" s="412">
        <f t="shared" si="7"/>
        <v>2032</v>
      </c>
      <c r="AD31" s="412">
        <f t="shared" si="7"/>
        <v>2033</v>
      </c>
      <c r="AE31" s="412">
        <f t="shared" si="7"/>
        <v>2034</v>
      </c>
      <c r="AF31" s="412">
        <f t="shared" si="7"/>
        <v>2035</v>
      </c>
      <c r="AG31" s="412">
        <f t="shared" si="7"/>
        <v>2036</v>
      </c>
      <c r="AH31" s="412">
        <f t="shared" si="7"/>
        <v>2037</v>
      </c>
      <c r="AI31" s="412">
        <f t="shared" si="7"/>
        <v>2038</v>
      </c>
      <c r="AJ31" s="412">
        <f t="shared" si="7"/>
        <v>2039</v>
      </c>
      <c r="AK31" s="412">
        <f t="shared" si="7"/>
        <v>2040</v>
      </c>
      <c r="AL31" s="412">
        <f t="shared" si="7"/>
        <v>2041</v>
      </c>
      <c r="AM31" s="412">
        <f t="shared" si="7"/>
        <v>2042</v>
      </c>
      <c r="AN31" s="412">
        <f t="shared" si="7"/>
        <v>2043</v>
      </c>
      <c r="AO31" s="412">
        <f t="shared" si="7"/>
        <v>2044</v>
      </c>
      <c r="AP31" s="412">
        <f t="shared" si="7"/>
        <v>2045</v>
      </c>
      <c r="AQ31" s="412">
        <f t="shared" si="7"/>
        <v>2046</v>
      </c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</row>
    <row r="32" spans="1:63" ht="11.25" customHeight="1" x14ac:dyDescent="0.25">
      <c r="A32" s="12"/>
      <c r="B32" s="12"/>
      <c r="C32" s="12"/>
      <c r="D32" s="12"/>
      <c r="E32" s="12"/>
      <c r="F32" s="80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 t="s">
        <v>89</v>
      </c>
      <c r="W32" s="12">
        <f>SUMIFS($V$14:$BJ$14,$V$2:$BJ$2, "&gt;="&amp;W31, $V$2:$BJ$2, "&lt;"&amp;X31)</f>
        <v>4404.7111782174261</v>
      </c>
      <c r="X32" s="12">
        <f t="shared" ref="X32:AQ32" si="8">SUMIFS($V$14:$BJ$14,$V$2:$BJ$2, "&gt;="&amp;X31, $V$2:$BJ$2, "&lt;"&amp;Y31)</f>
        <v>9280.2493414542241</v>
      </c>
      <c r="Y32" s="12">
        <f t="shared" si="8"/>
        <v>9806.0266473383963</v>
      </c>
      <c r="Z32" s="12">
        <f t="shared" si="8"/>
        <v>10353.554907557927</v>
      </c>
      <c r="AA32" s="12">
        <f t="shared" si="8"/>
        <v>7203.1604722319917</v>
      </c>
      <c r="AB32" s="12">
        <f t="shared" si="8"/>
        <v>11919.708162308523</v>
      </c>
      <c r="AC32" s="12">
        <f t="shared" si="8"/>
        <v>12150.245355638397</v>
      </c>
      <c r="AD32" s="12">
        <f t="shared" si="8"/>
        <v>8653.9259512764511</v>
      </c>
      <c r="AE32" s="12">
        <f t="shared" si="8"/>
        <v>3298.8642543146648</v>
      </c>
      <c r="AF32" s="12">
        <f t="shared" si="8"/>
        <v>8825.421645898361</v>
      </c>
      <c r="AG32" s="12">
        <f t="shared" si="8"/>
        <v>9240.6667054028658</v>
      </c>
      <c r="AH32" s="12">
        <f t="shared" si="8"/>
        <v>9643.9174709390936</v>
      </c>
      <c r="AI32" s="12">
        <f t="shared" si="8"/>
        <v>5729.5150353558356</v>
      </c>
      <c r="AJ32" s="12">
        <f t="shared" si="8"/>
        <v>11704.584070867055</v>
      </c>
      <c r="AK32" s="12">
        <f t="shared" si="8"/>
        <v>11541.446080455007</v>
      </c>
      <c r="AL32" s="12">
        <f t="shared" si="8"/>
        <v>11220.238691662755</v>
      </c>
      <c r="AM32" s="12">
        <f t="shared" si="8"/>
        <v>5817.9906067719239</v>
      </c>
      <c r="AN32" s="12">
        <f t="shared" si="8"/>
        <v>11281.56786836886</v>
      </c>
      <c r="AO32" s="12">
        <f t="shared" si="8"/>
        <v>10911.634917249114</v>
      </c>
      <c r="AP32" s="12">
        <f t="shared" si="8"/>
        <v>10524.611437068073</v>
      </c>
      <c r="AQ32" s="12">
        <f t="shared" si="8"/>
        <v>0</v>
      </c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</row>
    <row r="33" spans="1:62" ht="11.25" customHeight="1" x14ac:dyDescent="0.25">
      <c r="A33" s="12"/>
      <c r="B33" s="12"/>
      <c r="C33" s="12"/>
      <c r="D33" s="12"/>
      <c r="E33" s="12"/>
      <c r="F33" s="80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</row>
    <row r="34" spans="1:62" ht="11.25" customHeight="1" x14ac:dyDescent="0.25">
      <c r="A34" s="12"/>
      <c r="B34" s="12"/>
      <c r="C34" s="12"/>
      <c r="D34" s="12"/>
      <c r="E34" s="12"/>
      <c r="F34" s="80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</row>
  </sheetData>
  <pageMargins left="0.7" right="0.7" top="0.75" bottom="0.75" header="0.3" footer="0.3"/>
  <pageSetup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8" tint="0.79998168889431442"/>
  </sheetPr>
  <dimension ref="A1:BK46"/>
  <sheetViews>
    <sheetView zoomScale="135" workbookViewId="0">
      <pane xSplit="6" ySplit="4" topLeftCell="L5" activePane="bottomRight" state="frozen"/>
      <selection activeCell="K21" sqref="K21"/>
      <selection pane="topRight" activeCell="K21" sqref="K21"/>
      <selection pane="bottomLeft" activeCell="K21" sqref="K21"/>
      <selection pane="bottomRight" activeCell="AH10" sqref="AH10"/>
    </sheetView>
  </sheetViews>
  <sheetFormatPr defaultColWidth="8.7109375" defaultRowHeight="15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style="305" customWidth="1"/>
    <col min="7" max="62" width="8.7109375" customWidth="1"/>
  </cols>
  <sheetData>
    <row r="1" spans="1:63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63" ht="11.25" customHeight="1" x14ac:dyDescent="0.25">
      <c r="A2" s="200" t="s">
        <v>228</v>
      </c>
      <c r="B2" s="201"/>
      <c r="C2" s="202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63" ht="11.25" customHeight="1" x14ac:dyDescent="0.25">
      <c r="A3" s="200"/>
      <c r="B3" s="201"/>
      <c r="C3" s="202"/>
      <c r="D3" s="200"/>
      <c r="E3" s="203" t="s">
        <v>403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63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302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t="s">
        <v>102</v>
      </c>
    </row>
    <row r="5" spans="1:63" ht="11.25" customHeight="1" x14ac:dyDescent="0.25">
      <c r="A5" s="5"/>
      <c r="B5" s="5"/>
      <c r="C5" s="5"/>
      <c r="D5" s="5"/>
      <c r="E5" s="5"/>
      <c r="F5" s="302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t="s">
        <v>102</v>
      </c>
    </row>
    <row r="6" spans="1:63" ht="11.25" customHeight="1" x14ac:dyDescent="0.25">
      <c r="A6" s="5" t="s">
        <v>26</v>
      </c>
      <c r="B6" s="3" t="s">
        <v>228</v>
      </c>
      <c r="C6" s="5"/>
      <c r="D6" s="5"/>
      <c r="E6" s="5"/>
      <c r="F6" s="302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t="s">
        <v>102</v>
      </c>
    </row>
    <row r="7" spans="1:63" ht="11.25" customHeight="1" x14ac:dyDescent="0.25">
      <c r="A7" s="5"/>
      <c r="B7" s="5" t="s">
        <v>229</v>
      </c>
      <c r="C7" s="7" t="s">
        <v>1</v>
      </c>
      <c r="D7" s="5"/>
      <c r="E7" s="1">
        <f>SUM(G7:BJ7)</f>
        <v>480869.65368586977</v>
      </c>
      <c r="F7" s="302" t="s">
        <v>26</v>
      </c>
      <c r="G7" s="1">
        <f>(F26)</f>
        <v>0</v>
      </c>
      <c r="H7" s="1">
        <f t="shared" ref="H7:BJ7" si="0">(G26)</f>
        <v>0</v>
      </c>
      <c r="I7" s="1">
        <f t="shared" si="0"/>
        <v>0</v>
      </c>
      <c r="J7" s="1">
        <f t="shared" si="0"/>
        <v>0</v>
      </c>
      <c r="K7" s="1">
        <f t="shared" si="0"/>
        <v>0</v>
      </c>
      <c r="L7" s="1">
        <f t="shared" si="0"/>
        <v>0</v>
      </c>
      <c r="M7" s="1">
        <f t="shared" si="0"/>
        <v>0</v>
      </c>
      <c r="N7" s="1">
        <f t="shared" si="0"/>
        <v>0</v>
      </c>
      <c r="O7" s="1">
        <f t="shared" si="0"/>
        <v>0</v>
      </c>
      <c r="P7" s="1">
        <f t="shared" si="0"/>
        <v>0</v>
      </c>
      <c r="Q7" s="1">
        <f t="shared" si="0"/>
        <v>0</v>
      </c>
      <c r="R7" s="1">
        <f t="shared" si="0"/>
        <v>0</v>
      </c>
      <c r="S7" s="1">
        <f t="shared" si="0"/>
        <v>0</v>
      </c>
      <c r="T7" s="1">
        <f t="shared" si="0"/>
        <v>0</v>
      </c>
      <c r="U7" s="1">
        <f t="shared" si="0"/>
        <v>0</v>
      </c>
      <c r="V7" s="1">
        <f t="shared" si="0"/>
        <v>0</v>
      </c>
      <c r="W7" s="1">
        <f t="shared" si="0"/>
        <v>19585.209233762856</v>
      </c>
      <c r="X7" s="1">
        <f t="shared" si="0"/>
        <v>19585.209233762856</v>
      </c>
      <c r="Y7" s="1">
        <f t="shared" si="0"/>
        <v>19585.209233762856</v>
      </c>
      <c r="Z7" s="1">
        <f t="shared" si="0"/>
        <v>19585.209233762856</v>
      </c>
      <c r="AA7" s="1">
        <f t="shared" si="0"/>
        <v>19585.209233762856</v>
      </c>
      <c r="AB7" s="1">
        <f t="shared" si="0"/>
        <v>19585.209233762856</v>
      </c>
      <c r="AC7" s="1">
        <f t="shared" si="0"/>
        <v>19585.209233762856</v>
      </c>
      <c r="AD7" s="1">
        <f t="shared" si="0"/>
        <v>19585.209233762856</v>
      </c>
      <c r="AE7" s="1">
        <f t="shared" si="0"/>
        <v>19585.209233762856</v>
      </c>
      <c r="AF7" s="1">
        <f t="shared" si="0"/>
        <v>19585.209233762856</v>
      </c>
      <c r="AG7" s="1">
        <f t="shared" si="0"/>
        <v>19585.209233762856</v>
      </c>
      <c r="AH7" s="1">
        <f t="shared" si="0"/>
        <v>19585.209233762856</v>
      </c>
      <c r="AI7" s="1">
        <f t="shared" si="0"/>
        <v>19585.209233762856</v>
      </c>
      <c r="AJ7" s="1">
        <f t="shared" si="0"/>
        <v>19585.209233762856</v>
      </c>
      <c r="AK7" s="1">
        <f t="shared" si="0"/>
        <v>19585.209233762856</v>
      </c>
      <c r="AL7" s="1">
        <f t="shared" si="0"/>
        <v>19585.209233762856</v>
      </c>
      <c r="AM7" s="1">
        <f t="shared" si="0"/>
        <v>6451.287380758682</v>
      </c>
      <c r="AN7" s="1">
        <f t="shared" si="0"/>
        <v>11726.533401158564</v>
      </c>
      <c r="AO7" s="1">
        <f t="shared" si="0"/>
        <v>19369.28156098997</v>
      </c>
      <c r="AP7" s="1">
        <f t="shared" si="0"/>
        <v>19585.209233762856</v>
      </c>
      <c r="AQ7" s="1">
        <f t="shared" si="0"/>
        <v>19585.209233762856</v>
      </c>
      <c r="AR7" s="1">
        <f t="shared" si="0"/>
        <v>19585.209233762856</v>
      </c>
      <c r="AS7" s="1">
        <f t="shared" si="0"/>
        <v>19585.209233762856</v>
      </c>
      <c r="AT7" s="1">
        <f t="shared" si="0"/>
        <v>19585.209233762856</v>
      </c>
      <c r="AU7" s="1">
        <f t="shared" si="0"/>
        <v>13457.150336441649</v>
      </c>
      <c r="AV7" s="1">
        <f t="shared" si="0"/>
        <v>18576.007097500711</v>
      </c>
      <c r="AW7" s="1">
        <f t="shared" si="0"/>
        <v>0</v>
      </c>
      <c r="AX7" s="1">
        <f t="shared" si="0"/>
        <v>0</v>
      </c>
      <c r="AY7" s="1">
        <f t="shared" si="0"/>
        <v>0</v>
      </c>
      <c r="AZ7" s="1">
        <f t="shared" si="0"/>
        <v>0</v>
      </c>
      <c r="BA7" s="1">
        <f t="shared" si="0"/>
        <v>0</v>
      </c>
      <c r="BB7" s="1">
        <f t="shared" si="0"/>
        <v>0</v>
      </c>
      <c r="BC7" s="1">
        <f t="shared" si="0"/>
        <v>0</v>
      </c>
      <c r="BD7" s="1">
        <f t="shared" si="0"/>
        <v>0</v>
      </c>
      <c r="BE7" s="1">
        <f t="shared" si="0"/>
        <v>0</v>
      </c>
      <c r="BF7" s="1">
        <f t="shared" si="0"/>
        <v>0</v>
      </c>
      <c r="BG7" s="1">
        <f t="shared" si="0"/>
        <v>0</v>
      </c>
      <c r="BH7" s="1">
        <f t="shared" si="0"/>
        <v>0</v>
      </c>
      <c r="BI7" s="1">
        <f t="shared" si="0"/>
        <v>0</v>
      </c>
      <c r="BJ7" s="1">
        <f t="shared" si="0"/>
        <v>0</v>
      </c>
      <c r="BK7" t="s">
        <v>102</v>
      </c>
    </row>
    <row r="8" spans="1:63" ht="11.25" customHeight="1" x14ac:dyDescent="0.25">
      <c r="A8" s="5"/>
      <c r="B8" s="5"/>
      <c r="C8" s="7"/>
      <c r="D8" s="5"/>
      <c r="E8" s="1"/>
      <c r="F8" s="302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t="s">
        <v>102</v>
      </c>
    </row>
    <row r="9" spans="1:63" ht="11.25" customHeight="1" x14ac:dyDescent="0.25">
      <c r="A9" s="5"/>
      <c r="B9" s="5" t="s">
        <v>230</v>
      </c>
      <c r="C9" s="7" t="s">
        <v>1</v>
      </c>
      <c r="D9" s="5"/>
      <c r="E9" s="1">
        <f>SUM(G9:BJ9)</f>
        <v>509215.44007783453</v>
      </c>
      <c r="F9" s="302"/>
      <c r="G9" s="1">
        <f>Debt!H19*-1</f>
        <v>0</v>
      </c>
      <c r="H9" s="1">
        <f>Debt!I19*-1</f>
        <v>0</v>
      </c>
      <c r="I9" s="1">
        <f>Debt!J19*-1</f>
        <v>0</v>
      </c>
      <c r="J9" s="1">
        <f>Debt!K19*-1</f>
        <v>0</v>
      </c>
      <c r="K9" s="1">
        <f>Debt!L19*-1</f>
        <v>0</v>
      </c>
      <c r="L9" s="1">
        <f>Debt!M19*-1</f>
        <v>0</v>
      </c>
      <c r="M9" s="1">
        <f>Debt!N19*-1</f>
        <v>0</v>
      </c>
      <c r="N9" s="1">
        <f>Debt!O19*-1</f>
        <v>0</v>
      </c>
      <c r="O9" s="1">
        <f>Debt!P19*-1</f>
        <v>0</v>
      </c>
      <c r="P9" s="1">
        <f>Debt!Q19*-1</f>
        <v>0</v>
      </c>
      <c r="Q9" s="1">
        <f>Debt!R19*-1</f>
        <v>0</v>
      </c>
      <c r="R9" s="1">
        <f>Debt!S19*-1</f>
        <v>0</v>
      </c>
      <c r="S9" s="1">
        <f>Debt!T19*-1</f>
        <v>0</v>
      </c>
      <c r="T9" s="1">
        <f>Debt!U19*-1</f>
        <v>0</v>
      </c>
      <c r="U9" s="1">
        <f>Debt!V19*-1</f>
        <v>0</v>
      </c>
      <c r="V9" s="1">
        <f>Debt!W19*-1</f>
        <v>19585.209233762856</v>
      </c>
      <c r="W9" s="1">
        <f>Debt!X19*-1</f>
        <v>19585.209233762856</v>
      </c>
      <c r="X9" s="1">
        <f>Debt!Y19*-1</f>
        <v>19585.209233762856</v>
      </c>
      <c r="Y9" s="1">
        <f>Debt!Z19*-1</f>
        <v>19585.209233762856</v>
      </c>
      <c r="Z9" s="1">
        <f>Debt!AA19*-1</f>
        <v>19585.209233762856</v>
      </c>
      <c r="AA9" s="1">
        <f>Debt!AB19*-1</f>
        <v>19585.209233762856</v>
      </c>
      <c r="AB9" s="1">
        <f>Debt!AC19*-1</f>
        <v>19585.209233762856</v>
      </c>
      <c r="AC9" s="1">
        <f>Debt!AD19*-1</f>
        <v>19585.209233762856</v>
      </c>
      <c r="AD9" s="1">
        <f>Debt!AE19*-1</f>
        <v>19585.209233762856</v>
      </c>
      <c r="AE9" s="1">
        <f>Debt!AF19*-1</f>
        <v>19585.209233762856</v>
      </c>
      <c r="AF9" s="1">
        <f>Debt!AG19*-1</f>
        <v>19585.209233762856</v>
      </c>
      <c r="AG9" s="1">
        <f>Debt!AH19*-1</f>
        <v>19585.209233762856</v>
      </c>
      <c r="AH9" s="1">
        <f>Debt!AI19*-1</f>
        <v>19585.209233762856</v>
      </c>
      <c r="AI9" s="1">
        <f>Debt!AJ19*-1</f>
        <v>19585.209233762856</v>
      </c>
      <c r="AJ9" s="1">
        <f>Debt!AK19*-1</f>
        <v>19585.209233762856</v>
      </c>
      <c r="AK9" s="1">
        <f>Debt!AL19*-1</f>
        <v>19585.20923376286</v>
      </c>
      <c r="AL9" s="1">
        <f>Debt!AM19*-1</f>
        <v>19585.209233762856</v>
      </c>
      <c r="AM9" s="1">
        <f>Debt!AN19*-1</f>
        <v>19585.209233762856</v>
      </c>
      <c r="AN9" s="1">
        <f>Debt!AO19*-1</f>
        <v>19585.209233762856</v>
      </c>
      <c r="AO9" s="1">
        <f>Debt!AP19*-1</f>
        <v>19585.209233762856</v>
      </c>
      <c r="AP9" s="1">
        <f>Debt!AQ19*-1</f>
        <v>19585.20923376286</v>
      </c>
      <c r="AQ9" s="1">
        <f>Debt!AR19*-1</f>
        <v>19585.20923376286</v>
      </c>
      <c r="AR9" s="1">
        <f>Debt!AS19*-1</f>
        <v>19585.209233762856</v>
      </c>
      <c r="AS9" s="1">
        <f>Debt!AT19*-1</f>
        <v>19585.209233762856</v>
      </c>
      <c r="AT9" s="1">
        <f>Debt!AU19*-1</f>
        <v>19585.209233762856</v>
      </c>
      <c r="AU9" s="1">
        <f>Debt!AV19*-1</f>
        <v>19585.209233762856</v>
      </c>
      <c r="AV9" s="1">
        <f>Debt!AW19*-1</f>
        <v>0</v>
      </c>
      <c r="AW9" s="1">
        <f>Debt!AX19*-1</f>
        <v>0</v>
      </c>
      <c r="AX9" s="1">
        <f>Debt!AY19*-1</f>
        <v>0</v>
      </c>
      <c r="AY9" s="1">
        <f>Debt!AZ19*-1</f>
        <v>0</v>
      </c>
      <c r="AZ9" s="1">
        <f>Debt!BA19*-1</f>
        <v>0</v>
      </c>
      <c r="BA9" s="1">
        <f>Debt!BB19*-1</f>
        <v>0</v>
      </c>
      <c r="BB9" s="1">
        <f>Debt!BC19*-1</f>
        <v>0</v>
      </c>
      <c r="BC9" s="1">
        <f>Debt!BD19*-1</f>
        <v>0</v>
      </c>
      <c r="BD9" s="1">
        <f>Debt!BE19*-1</f>
        <v>0</v>
      </c>
      <c r="BE9" s="1">
        <f>Debt!BF19*-1</f>
        <v>0</v>
      </c>
      <c r="BF9" s="1">
        <f>Debt!BG19*-1</f>
        <v>0</v>
      </c>
      <c r="BG9" s="1">
        <f>Debt!BH19*-1</f>
        <v>0</v>
      </c>
      <c r="BH9" s="1">
        <f>Debt!BI19*-1</f>
        <v>0</v>
      </c>
      <c r="BI9" s="1">
        <f>Debt!BJ19*-1</f>
        <v>0</v>
      </c>
      <c r="BJ9" s="1">
        <f>Debt!BK19*-1</f>
        <v>0</v>
      </c>
      <c r="BK9" t="s">
        <v>102</v>
      </c>
    </row>
    <row r="10" spans="1:63" ht="11.25" customHeight="1" x14ac:dyDescent="0.25">
      <c r="A10" s="5"/>
      <c r="B10" s="5" t="s">
        <v>231</v>
      </c>
      <c r="C10" s="7" t="s">
        <v>1</v>
      </c>
      <c r="D10" s="5"/>
      <c r="E10" s="1">
        <f>SUM(G10:BJ10)</f>
        <v>18576.007097500711</v>
      </c>
      <c r="F10" s="302" t="s">
        <v>26</v>
      </c>
      <c r="G10" s="83">
        <f>IF(G7&gt;G9,G7-G9,0)</f>
        <v>0</v>
      </c>
      <c r="H10" s="83">
        <f t="shared" ref="H10:BJ10" si="1">IF(H7&gt;H9,H7-H9,0)</f>
        <v>0</v>
      </c>
      <c r="I10" s="83">
        <f t="shared" si="1"/>
        <v>0</v>
      </c>
      <c r="J10" s="83">
        <f t="shared" si="1"/>
        <v>0</v>
      </c>
      <c r="K10" s="83">
        <f t="shared" si="1"/>
        <v>0</v>
      </c>
      <c r="L10" s="83">
        <f t="shared" si="1"/>
        <v>0</v>
      </c>
      <c r="M10" s="83">
        <f t="shared" si="1"/>
        <v>0</v>
      </c>
      <c r="N10" s="83">
        <f t="shared" si="1"/>
        <v>0</v>
      </c>
      <c r="O10" s="83">
        <f t="shared" si="1"/>
        <v>0</v>
      </c>
      <c r="P10" s="83">
        <f t="shared" si="1"/>
        <v>0</v>
      </c>
      <c r="Q10" s="83">
        <f t="shared" si="1"/>
        <v>0</v>
      </c>
      <c r="R10" s="83">
        <f t="shared" si="1"/>
        <v>0</v>
      </c>
      <c r="S10" s="83">
        <f t="shared" si="1"/>
        <v>0</v>
      </c>
      <c r="T10" s="83">
        <f t="shared" si="1"/>
        <v>0</v>
      </c>
      <c r="U10" s="83">
        <f t="shared" si="1"/>
        <v>0</v>
      </c>
      <c r="V10" s="83">
        <f t="shared" si="1"/>
        <v>0</v>
      </c>
      <c r="W10" s="83">
        <f t="shared" si="1"/>
        <v>0</v>
      </c>
      <c r="X10" s="83">
        <f t="shared" si="1"/>
        <v>0</v>
      </c>
      <c r="Y10" s="83">
        <f t="shared" si="1"/>
        <v>0</v>
      </c>
      <c r="Z10" s="83">
        <f t="shared" si="1"/>
        <v>0</v>
      </c>
      <c r="AA10" s="83">
        <f t="shared" si="1"/>
        <v>0</v>
      </c>
      <c r="AB10" s="83">
        <f t="shared" si="1"/>
        <v>0</v>
      </c>
      <c r="AC10" s="83">
        <f t="shared" si="1"/>
        <v>0</v>
      </c>
      <c r="AD10" s="83">
        <f t="shared" si="1"/>
        <v>0</v>
      </c>
      <c r="AE10" s="83">
        <f t="shared" si="1"/>
        <v>0</v>
      </c>
      <c r="AF10" s="83">
        <f t="shared" si="1"/>
        <v>0</v>
      </c>
      <c r="AG10" s="83">
        <f t="shared" si="1"/>
        <v>0</v>
      </c>
      <c r="AH10" s="83">
        <f t="shared" si="1"/>
        <v>0</v>
      </c>
      <c r="AI10" s="83">
        <f t="shared" si="1"/>
        <v>0</v>
      </c>
      <c r="AJ10" s="83">
        <f t="shared" si="1"/>
        <v>0</v>
      </c>
      <c r="AK10" s="83">
        <f t="shared" si="1"/>
        <v>0</v>
      </c>
      <c r="AL10" s="83">
        <f t="shared" si="1"/>
        <v>0</v>
      </c>
      <c r="AM10" s="83">
        <f t="shared" si="1"/>
        <v>0</v>
      </c>
      <c r="AN10" s="83">
        <f t="shared" si="1"/>
        <v>0</v>
      </c>
      <c r="AO10" s="83">
        <f t="shared" si="1"/>
        <v>0</v>
      </c>
      <c r="AP10" s="83">
        <f t="shared" si="1"/>
        <v>0</v>
      </c>
      <c r="AQ10" s="83">
        <f t="shared" si="1"/>
        <v>0</v>
      </c>
      <c r="AR10" s="83">
        <f t="shared" si="1"/>
        <v>0</v>
      </c>
      <c r="AS10" s="83">
        <f t="shared" si="1"/>
        <v>0</v>
      </c>
      <c r="AT10" s="83">
        <f t="shared" si="1"/>
        <v>0</v>
      </c>
      <c r="AU10" s="83">
        <f t="shared" si="1"/>
        <v>0</v>
      </c>
      <c r="AV10" s="83">
        <f t="shared" si="1"/>
        <v>18576.007097500711</v>
      </c>
      <c r="AW10" s="83">
        <f t="shared" si="1"/>
        <v>0</v>
      </c>
      <c r="AX10" s="83">
        <f t="shared" si="1"/>
        <v>0</v>
      </c>
      <c r="AY10" s="83">
        <f t="shared" si="1"/>
        <v>0</v>
      </c>
      <c r="AZ10" s="83">
        <f t="shared" si="1"/>
        <v>0</v>
      </c>
      <c r="BA10" s="83">
        <f t="shared" si="1"/>
        <v>0</v>
      </c>
      <c r="BB10" s="83">
        <f t="shared" si="1"/>
        <v>0</v>
      </c>
      <c r="BC10" s="83">
        <f t="shared" si="1"/>
        <v>0</v>
      </c>
      <c r="BD10" s="83">
        <f t="shared" si="1"/>
        <v>0</v>
      </c>
      <c r="BE10" s="83">
        <f t="shared" si="1"/>
        <v>0</v>
      </c>
      <c r="BF10" s="83">
        <f t="shared" si="1"/>
        <v>0</v>
      </c>
      <c r="BG10" s="83">
        <f t="shared" si="1"/>
        <v>0</v>
      </c>
      <c r="BH10" s="83">
        <f t="shared" si="1"/>
        <v>0</v>
      </c>
      <c r="BI10" s="83">
        <f t="shared" si="1"/>
        <v>0</v>
      </c>
      <c r="BJ10" s="83">
        <f t="shared" si="1"/>
        <v>0</v>
      </c>
      <c r="BK10" t="s">
        <v>102</v>
      </c>
    </row>
    <row r="11" spans="1:63" ht="11.25" customHeight="1" x14ac:dyDescent="0.25">
      <c r="A11" s="5"/>
      <c r="B11" s="5" t="s">
        <v>407</v>
      </c>
      <c r="C11" s="7" t="s">
        <v>1</v>
      </c>
      <c r="D11" s="5"/>
      <c r="E11" s="1">
        <f>SUM(G11:BJ11)</f>
        <v>462293.64658836904</v>
      </c>
      <c r="F11" s="302" t="s">
        <v>26</v>
      </c>
      <c r="G11" s="115">
        <f>MIN(G7,G9)</f>
        <v>0</v>
      </c>
      <c r="H11" s="115">
        <f t="shared" ref="H11:BJ11" si="2">MIN(H7,H9)</f>
        <v>0</v>
      </c>
      <c r="I11" s="115">
        <f t="shared" si="2"/>
        <v>0</v>
      </c>
      <c r="J11" s="115">
        <f t="shared" si="2"/>
        <v>0</v>
      </c>
      <c r="K11" s="115">
        <f t="shared" si="2"/>
        <v>0</v>
      </c>
      <c r="L11" s="115">
        <f t="shared" si="2"/>
        <v>0</v>
      </c>
      <c r="M11" s="115">
        <f t="shared" si="2"/>
        <v>0</v>
      </c>
      <c r="N11" s="115">
        <f t="shared" si="2"/>
        <v>0</v>
      </c>
      <c r="O11" s="115">
        <f t="shared" si="2"/>
        <v>0</v>
      </c>
      <c r="P11" s="115">
        <f t="shared" si="2"/>
        <v>0</v>
      </c>
      <c r="Q11" s="115">
        <f t="shared" si="2"/>
        <v>0</v>
      </c>
      <c r="R11" s="115">
        <f t="shared" si="2"/>
        <v>0</v>
      </c>
      <c r="S11" s="115">
        <f t="shared" si="2"/>
        <v>0</v>
      </c>
      <c r="T11" s="115">
        <f t="shared" si="2"/>
        <v>0</v>
      </c>
      <c r="U11" s="115">
        <f t="shared" si="2"/>
        <v>0</v>
      </c>
      <c r="V11" s="115">
        <f t="shared" si="2"/>
        <v>0</v>
      </c>
      <c r="W11" s="115">
        <f t="shared" si="2"/>
        <v>19585.209233762856</v>
      </c>
      <c r="X11" s="115">
        <f t="shared" si="2"/>
        <v>19585.209233762856</v>
      </c>
      <c r="Y11" s="115">
        <f t="shared" si="2"/>
        <v>19585.209233762856</v>
      </c>
      <c r="Z11" s="115">
        <f t="shared" si="2"/>
        <v>19585.209233762856</v>
      </c>
      <c r="AA11" s="115">
        <f t="shared" si="2"/>
        <v>19585.209233762856</v>
      </c>
      <c r="AB11" s="115">
        <f t="shared" si="2"/>
        <v>19585.209233762856</v>
      </c>
      <c r="AC11" s="115">
        <f t="shared" si="2"/>
        <v>19585.209233762856</v>
      </c>
      <c r="AD11" s="115">
        <f t="shared" si="2"/>
        <v>19585.209233762856</v>
      </c>
      <c r="AE11" s="115">
        <f t="shared" si="2"/>
        <v>19585.209233762856</v>
      </c>
      <c r="AF11" s="115">
        <f t="shared" si="2"/>
        <v>19585.209233762856</v>
      </c>
      <c r="AG11" s="115">
        <f t="shared" si="2"/>
        <v>19585.209233762856</v>
      </c>
      <c r="AH11" s="115">
        <f t="shared" si="2"/>
        <v>19585.209233762856</v>
      </c>
      <c r="AI11" s="115">
        <f t="shared" si="2"/>
        <v>19585.209233762856</v>
      </c>
      <c r="AJ11" s="115">
        <f t="shared" si="2"/>
        <v>19585.209233762856</v>
      </c>
      <c r="AK11" s="115">
        <f t="shared" si="2"/>
        <v>19585.209233762856</v>
      </c>
      <c r="AL11" s="115">
        <f t="shared" si="2"/>
        <v>19585.209233762856</v>
      </c>
      <c r="AM11" s="115">
        <f t="shared" si="2"/>
        <v>6451.287380758682</v>
      </c>
      <c r="AN11" s="115">
        <f t="shared" si="2"/>
        <v>11726.533401158564</v>
      </c>
      <c r="AO11" s="115">
        <f t="shared" si="2"/>
        <v>19369.28156098997</v>
      </c>
      <c r="AP11" s="115">
        <f t="shared" si="2"/>
        <v>19585.209233762856</v>
      </c>
      <c r="AQ11" s="115">
        <f t="shared" si="2"/>
        <v>19585.209233762856</v>
      </c>
      <c r="AR11" s="115">
        <f t="shared" si="2"/>
        <v>19585.209233762856</v>
      </c>
      <c r="AS11" s="115">
        <f t="shared" si="2"/>
        <v>19585.209233762856</v>
      </c>
      <c r="AT11" s="115">
        <f t="shared" si="2"/>
        <v>19585.209233762856</v>
      </c>
      <c r="AU11" s="115">
        <f t="shared" si="2"/>
        <v>13457.150336441649</v>
      </c>
      <c r="AV11" s="115">
        <f t="shared" si="2"/>
        <v>0</v>
      </c>
      <c r="AW11" s="115">
        <f t="shared" si="2"/>
        <v>0</v>
      </c>
      <c r="AX11" s="115">
        <f t="shared" si="2"/>
        <v>0</v>
      </c>
      <c r="AY11" s="115">
        <f t="shared" si="2"/>
        <v>0</v>
      </c>
      <c r="AZ11" s="115">
        <f t="shared" si="2"/>
        <v>0</v>
      </c>
      <c r="BA11" s="115">
        <f t="shared" si="2"/>
        <v>0</v>
      </c>
      <c r="BB11" s="115">
        <f t="shared" si="2"/>
        <v>0</v>
      </c>
      <c r="BC11" s="115">
        <f t="shared" si="2"/>
        <v>0</v>
      </c>
      <c r="BD11" s="115">
        <f t="shared" si="2"/>
        <v>0</v>
      </c>
      <c r="BE11" s="115">
        <f t="shared" si="2"/>
        <v>0</v>
      </c>
      <c r="BF11" s="115">
        <f t="shared" si="2"/>
        <v>0</v>
      </c>
      <c r="BG11" s="115">
        <f t="shared" si="2"/>
        <v>0</v>
      </c>
      <c r="BH11" s="115">
        <f t="shared" si="2"/>
        <v>0</v>
      </c>
      <c r="BI11" s="115">
        <f t="shared" si="2"/>
        <v>0</v>
      </c>
      <c r="BJ11" s="115">
        <f t="shared" si="2"/>
        <v>0</v>
      </c>
      <c r="BK11" t="s">
        <v>102</v>
      </c>
    </row>
    <row r="12" spans="1:63" ht="11.25" customHeight="1" x14ac:dyDescent="0.25">
      <c r="A12" s="5"/>
      <c r="B12" s="5"/>
      <c r="C12" s="7"/>
      <c r="D12" s="5"/>
      <c r="E12" s="1"/>
      <c r="F12" s="302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t="s">
        <v>102</v>
      </c>
    </row>
    <row r="13" spans="1:63" ht="11.25" customHeight="1" x14ac:dyDescent="0.25">
      <c r="A13" s="5"/>
      <c r="B13" s="5" t="s">
        <v>232</v>
      </c>
      <c r="C13" s="7" t="s">
        <v>1</v>
      </c>
      <c r="D13" s="5"/>
      <c r="E13" s="1">
        <f>SUM(G13:BJ13)</f>
        <v>768833.6412278132</v>
      </c>
      <c r="F13" s="302" t="s">
        <v>26</v>
      </c>
      <c r="G13" s="1">
        <f>Waterfall!G16</f>
        <v>0</v>
      </c>
      <c r="H13" s="1">
        <f>Waterfall!H16</f>
        <v>0</v>
      </c>
      <c r="I13" s="1">
        <f>Waterfall!I16</f>
        <v>0</v>
      </c>
      <c r="J13" s="1">
        <f>Waterfall!J16</f>
        <v>0</v>
      </c>
      <c r="K13" s="1">
        <f>Waterfall!K16</f>
        <v>0</v>
      </c>
      <c r="L13" s="1">
        <f>Waterfall!L16</f>
        <v>0</v>
      </c>
      <c r="M13" s="1">
        <f>Waterfall!M16</f>
        <v>0</v>
      </c>
      <c r="N13" s="1">
        <f>Waterfall!N16</f>
        <v>0</v>
      </c>
      <c r="O13" s="1">
        <f>Waterfall!O16</f>
        <v>0</v>
      </c>
      <c r="P13" s="1">
        <f>Waterfall!P16</f>
        <v>0</v>
      </c>
      <c r="Q13" s="1">
        <f>Waterfall!Q16</f>
        <v>0</v>
      </c>
      <c r="R13" s="1">
        <f>Waterfall!R16</f>
        <v>0</v>
      </c>
      <c r="S13" s="1">
        <f>Waterfall!S16</f>
        <v>0</v>
      </c>
      <c r="T13" s="1">
        <f>Waterfall!T16</f>
        <v>0</v>
      </c>
      <c r="U13" s="1">
        <f>Waterfall!U16</f>
        <v>0</v>
      </c>
      <c r="V13" s="1">
        <f>Waterfall!V16</f>
        <v>0</v>
      </c>
      <c r="W13" s="1">
        <f>Waterfall!W16</f>
        <v>33674.217883944264</v>
      </c>
      <c r="X13" s="1">
        <f>Waterfall!X16</f>
        <v>33636.011312345137</v>
      </c>
      <c r="Y13" s="1">
        <f>Waterfall!Y16</f>
        <v>34185.513786719428</v>
      </c>
      <c r="Z13" s="1">
        <f>Waterfall!Z16</f>
        <v>33832.334238312236</v>
      </c>
      <c r="AA13" s="1">
        <f>Waterfall!AA16</f>
        <v>34262.473202884925</v>
      </c>
      <c r="AB13" s="1">
        <f>Waterfall!AB16</f>
        <v>33896.298513646987</v>
      </c>
      <c r="AC13" s="1">
        <f>Waterfall!AC16</f>
        <v>34551.058921128657</v>
      </c>
      <c r="AD13" s="1">
        <f>Waterfall!AD16</f>
        <v>23109.273620044449</v>
      </c>
      <c r="AE13" s="1">
        <f>Waterfall!AE16</f>
        <v>33715.134700423463</v>
      </c>
      <c r="AF13" s="1">
        <f>Waterfall!AF16</f>
        <v>35187.096817388818</v>
      </c>
      <c r="AG13" s="1">
        <f>Waterfall!AG16</f>
        <v>35476.588750721894</v>
      </c>
      <c r="AH13" s="1">
        <f>Waterfall!AH16</f>
        <v>34742.622447518523</v>
      </c>
      <c r="AI13" s="1">
        <f>Waterfall!AI16</f>
        <v>34909.36837079384</v>
      </c>
      <c r="AJ13" s="1">
        <f>Waterfall!AJ16</f>
        <v>34568.004121936188</v>
      </c>
      <c r="AK13" s="1">
        <f>Waterfall!AK16</f>
        <v>21429.953299203255</v>
      </c>
      <c r="AL13" s="1">
        <f>Waterfall!AL16</f>
        <v>6451.2873807586857</v>
      </c>
      <c r="AM13" s="1">
        <f>Waterfall!AM16</f>
        <v>24860.455254162738</v>
      </c>
      <c r="AN13" s="1">
        <f>Waterfall!AN16</f>
        <v>27227.957393594264</v>
      </c>
      <c r="AO13" s="1">
        <f>Waterfall!AO16</f>
        <v>27913.282720757652</v>
      </c>
      <c r="AP13" s="1">
        <f>Waterfall!AP16</f>
        <v>27171.993956805767</v>
      </c>
      <c r="AQ13" s="1">
        <f>Waterfall!AQ16</f>
        <v>27331.267758840419</v>
      </c>
      <c r="AR13" s="1">
        <f>Waterfall!AR16</f>
        <v>26548.97241742014</v>
      </c>
      <c r="AS13" s="1">
        <f>Waterfall!AS16</f>
        <v>26950.887841252494</v>
      </c>
      <c r="AT13" s="1">
        <f>Waterfall!AT16</f>
        <v>13457.150336441649</v>
      </c>
      <c r="AU13" s="1">
        <f>Waterfall!AU16</f>
        <v>24704.065994821918</v>
      </c>
      <c r="AV13" s="1">
        <f>Waterfall!AV16</f>
        <v>45040.370185945307</v>
      </c>
      <c r="AW13" s="1">
        <f>Waterfall!AW16</f>
        <v>0</v>
      </c>
      <c r="AX13" s="1">
        <f>Waterfall!AX16</f>
        <v>0</v>
      </c>
      <c r="AY13" s="1">
        <f>Waterfall!AY16</f>
        <v>0</v>
      </c>
      <c r="AZ13" s="1">
        <f>Waterfall!AZ16</f>
        <v>0</v>
      </c>
      <c r="BA13" s="1">
        <f>Waterfall!BA16</f>
        <v>0</v>
      </c>
      <c r="BB13" s="1">
        <f>Waterfall!BB16</f>
        <v>0</v>
      </c>
      <c r="BC13" s="1">
        <f>Waterfall!BC16</f>
        <v>0</v>
      </c>
      <c r="BD13" s="1">
        <f>Waterfall!BD16</f>
        <v>0</v>
      </c>
      <c r="BE13" s="1">
        <f>Waterfall!BE16</f>
        <v>0</v>
      </c>
      <c r="BF13" s="1">
        <f>Waterfall!BF16</f>
        <v>0</v>
      </c>
      <c r="BG13" s="1">
        <f>Waterfall!BG16</f>
        <v>0</v>
      </c>
      <c r="BH13" s="1">
        <f>Waterfall!BH16</f>
        <v>0</v>
      </c>
      <c r="BI13" s="1">
        <f>Waterfall!BI16</f>
        <v>0</v>
      </c>
      <c r="BJ13" s="1">
        <f>Waterfall!BJ16</f>
        <v>0</v>
      </c>
      <c r="BK13" t="s">
        <v>102</v>
      </c>
    </row>
    <row r="14" spans="1:63" ht="11.25" customHeight="1" x14ac:dyDescent="0.25">
      <c r="A14" s="5"/>
      <c r="B14" s="5" t="s">
        <v>233</v>
      </c>
      <c r="C14" s="7" t="s">
        <v>1</v>
      </c>
      <c r="D14" s="5"/>
      <c r="E14" s="1">
        <f>SUM(G14:BJ14)</f>
        <v>509215.44007783453</v>
      </c>
      <c r="F14" s="302" t="s">
        <v>26</v>
      </c>
      <c r="G14" s="1">
        <f>Debt!G19*-1</f>
        <v>0</v>
      </c>
      <c r="H14" s="1">
        <f>Debt!H19*-1</f>
        <v>0</v>
      </c>
      <c r="I14" s="1">
        <f>Debt!I19*-1</f>
        <v>0</v>
      </c>
      <c r="J14" s="1">
        <f>Debt!J19*-1</f>
        <v>0</v>
      </c>
      <c r="K14" s="1">
        <f>Debt!K19*-1</f>
        <v>0</v>
      </c>
      <c r="L14" s="1">
        <f>Debt!L19*-1</f>
        <v>0</v>
      </c>
      <c r="M14" s="1">
        <f>Debt!M19*-1</f>
        <v>0</v>
      </c>
      <c r="N14" s="1">
        <f>Debt!N19*-1</f>
        <v>0</v>
      </c>
      <c r="O14" s="1">
        <f>Debt!O19*-1</f>
        <v>0</v>
      </c>
      <c r="P14" s="1">
        <f>Debt!P19*-1</f>
        <v>0</v>
      </c>
      <c r="Q14" s="1">
        <f>Debt!Q19*-1</f>
        <v>0</v>
      </c>
      <c r="R14" s="1">
        <f>Debt!R19*-1</f>
        <v>0</v>
      </c>
      <c r="S14" s="1">
        <f>Debt!S19*-1</f>
        <v>0</v>
      </c>
      <c r="T14" s="1">
        <f>Debt!T19*-1</f>
        <v>0</v>
      </c>
      <c r="U14" s="1">
        <f>Debt!U19*-1</f>
        <v>0</v>
      </c>
      <c r="V14" s="1">
        <f>Debt!V19*-1</f>
        <v>0</v>
      </c>
      <c r="W14" s="1">
        <f>Debt!W19*-1</f>
        <v>19585.209233762856</v>
      </c>
      <c r="X14" s="1">
        <f>Debt!X19*-1</f>
        <v>19585.209233762856</v>
      </c>
      <c r="Y14" s="1">
        <f>Debt!Y19*-1</f>
        <v>19585.209233762856</v>
      </c>
      <c r="Z14" s="1">
        <f>Debt!Z19*-1</f>
        <v>19585.209233762856</v>
      </c>
      <c r="AA14" s="1">
        <f>Debt!AA19*-1</f>
        <v>19585.209233762856</v>
      </c>
      <c r="AB14" s="1">
        <f>Debt!AB19*-1</f>
        <v>19585.209233762856</v>
      </c>
      <c r="AC14" s="1">
        <f>Debt!AC19*-1</f>
        <v>19585.209233762856</v>
      </c>
      <c r="AD14" s="1">
        <f>Debt!AD19*-1</f>
        <v>19585.209233762856</v>
      </c>
      <c r="AE14" s="1">
        <f>Debt!AE19*-1</f>
        <v>19585.209233762856</v>
      </c>
      <c r="AF14" s="1">
        <f>Debt!AF19*-1</f>
        <v>19585.209233762856</v>
      </c>
      <c r="AG14" s="1">
        <f>Debt!AG19*-1</f>
        <v>19585.209233762856</v>
      </c>
      <c r="AH14" s="1">
        <f>Debt!AH19*-1</f>
        <v>19585.209233762856</v>
      </c>
      <c r="AI14" s="1">
        <f>Debt!AI19*-1</f>
        <v>19585.209233762856</v>
      </c>
      <c r="AJ14" s="1">
        <f>Debt!AJ19*-1</f>
        <v>19585.209233762856</v>
      </c>
      <c r="AK14" s="1">
        <f>Debt!AK19*-1</f>
        <v>19585.209233762856</v>
      </c>
      <c r="AL14" s="1">
        <f>Debt!AL19*-1</f>
        <v>19585.20923376286</v>
      </c>
      <c r="AM14" s="1">
        <f>Debt!AM19*-1</f>
        <v>19585.209233762856</v>
      </c>
      <c r="AN14" s="1">
        <f>Debt!AN19*-1</f>
        <v>19585.209233762856</v>
      </c>
      <c r="AO14" s="1">
        <f>Debt!AO19*-1</f>
        <v>19585.209233762856</v>
      </c>
      <c r="AP14" s="1">
        <f>Debt!AP19*-1</f>
        <v>19585.209233762856</v>
      </c>
      <c r="AQ14" s="1">
        <f>Debt!AQ19*-1</f>
        <v>19585.20923376286</v>
      </c>
      <c r="AR14" s="1">
        <f>Debt!AR19*-1</f>
        <v>19585.20923376286</v>
      </c>
      <c r="AS14" s="1">
        <f>Debt!AS19*-1</f>
        <v>19585.209233762856</v>
      </c>
      <c r="AT14" s="1">
        <f>Debt!AT19*-1</f>
        <v>19585.209233762856</v>
      </c>
      <c r="AU14" s="1">
        <f>Debt!AU19*-1</f>
        <v>19585.209233762856</v>
      </c>
      <c r="AV14" s="1">
        <f>Debt!AV19*-1</f>
        <v>19585.209233762856</v>
      </c>
      <c r="AW14" s="1">
        <f>Debt!AW19*-1</f>
        <v>0</v>
      </c>
      <c r="AX14" s="1">
        <f>Debt!AX19*-1</f>
        <v>0</v>
      </c>
      <c r="AY14" s="1">
        <f>Debt!AY19*-1</f>
        <v>0</v>
      </c>
      <c r="AZ14" s="1">
        <f>Debt!AZ19*-1</f>
        <v>0</v>
      </c>
      <c r="BA14" s="1">
        <f>Debt!BA19*-1</f>
        <v>0</v>
      </c>
      <c r="BB14" s="1">
        <f>Debt!BB19*-1</f>
        <v>0</v>
      </c>
      <c r="BC14" s="1">
        <f>Debt!BC19*-1</f>
        <v>0</v>
      </c>
      <c r="BD14" s="1">
        <f>Debt!BD19*-1</f>
        <v>0</v>
      </c>
      <c r="BE14" s="1">
        <f>Debt!BE19*-1</f>
        <v>0</v>
      </c>
      <c r="BF14" s="1">
        <f>Debt!BF19*-1</f>
        <v>0</v>
      </c>
      <c r="BG14" s="1">
        <f>Debt!BG19*-1</f>
        <v>0</v>
      </c>
      <c r="BH14" s="1">
        <f>Debt!BH19*-1</f>
        <v>0</v>
      </c>
      <c r="BI14" s="1">
        <f>Debt!BI19*-1</f>
        <v>0</v>
      </c>
      <c r="BJ14" s="1">
        <f>Debt!BJ19*-1</f>
        <v>0</v>
      </c>
      <c r="BK14" t="s">
        <v>102</v>
      </c>
    </row>
    <row r="15" spans="1:63" ht="11.25" customHeight="1" x14ac:dyDescent="0.25">
      <c r="A15" s="5"/>
      <c r="B15" s="5" t="s">
        <v>234</v>
      </c>
      <c r="C15" s="7" t="s">
        <v>1</v>
      </c>
      <c r="D15" s="5"/>
      <c r="E15" s="1">
        <f>SUM(G15:BJ15)</f>
        <v>19261.980750325383</v>
      </c>
      <c r="F15" s="302" t="s">
        <v>26</v>
      </c>
      <c r="G15" s="83">
        <f>MAX(G14-G13,0)</f>
        <v>0</v>
      </c>
      <c r="H15" s="83">
        <f t="shared" ref="H15:BJ15" si="3">MAX(H14-H13,0)</f>
        <v>0</v>
      </c>
      <c r="I15" s="83">
        <f t="shared" si="3"/>
        <v>0</v>
      </c>
      <c r="J15" s="83">
        <f t="shared" si="3"/>
        <v>0</v>
      </c>
      <c r="K15" s="83">
        <f t="shared" si="3"/>
        <v>0</v>
      </c>
      <c r="L15" s="83">
        <f t="shared" si="3"/>
        <v>0</v>
      </c>
      <c r="M15" s="83">
        <f t="shared" si="3"/>
        <v>0</v>
      </c>
      <c r="N15" s="83">
        <f t="shared" si="3"/>
        <v>0</v>
      </c>
      <c r="O15" s="83">
        <f t="shared" si="3"/>
        <v>0</v>
      </c>
      <c r="P15" s="83">
        <f t="shared" si="3"/>
        <v>0</v>
      </c>
      <c r="Q15" s="83">
        <f t="shared" si="3"/>
        <v>0</v>
      </c>
      <c r="R15" s="83">
        <f t="shared" si="3"/>
        <v>0</v>
      </c>
      <c r="S15" s="83">
        <f t="shared" si="3"/>
        <v>0</v>
      </c>
      <c r="T15" s="83">
        <f t="shared" si="3"/>
        <v>0</v>
      </c>
      <c r="U15" s="83">
        <f t="shared" si="3"/>
        <v>0</v>
      </c>
      <c r="V15" s="83">
        <f t="shared" si="3"/>
        <v>0</v>
      </c>
      <c r="W15" s="83">
        <f t="shared" si="3"/>
        <v>0</v>
      </c>
      <c r="X15" s="83">
        <f t="shared" si="3"/>
        <v>0</v>
      </c>
      <c r="Y15" s="83">
        <f t="shared" si="3"/>
        <v>0</v>
      </c>
      <c r="Z15" s="83">
        <f t="shared" si="3"/>
        <v>0</v>
      </c>
      <c r="AA15" s="83">
        <f t="shared" si="3"/>
        <v>0</v>
      </c>
      <c r="AB15" s="83">
        <f t="shared" si="3"/>
        <v>0</v>
      </c>
      <c r="AC15" s="83">
        <f t="shared" si="3"/>
        <v>0</v>
      </c>
      <c r="AD15" s="83">
        <f t="shared" si="3"/>
        <v>0</v>
      </c>
      <c r="AE15" s="83">
        <f t="shared" si="3"/>
        <v>0</v>
      </c>
      <c r="AF15" s="83">
        <f t="shared" si="3"/>
        <v>0</v>
      </c>
      <c r="AG15" s="83">
        <f t="shared" si="3"/>
        <v>0</v>
      </c>
      <c r="AH15" s="83">
        <f t="shared" si="3"/>
        <v>0</v>
      </c>
      <c r="AI15" s="83">
        <f t="shared" si="3"/>
        <v>0</v>
      </c>
      <c r="AJ15" s="83">
        <f t="shared" si="3"/>
        <v>0</v>
      </c>
      <c r="AK15" s="83">
        <f t="shared" si="3"/>
        <v>0</v>
      </c>
      <c r="AL15" s="83">
        <f t="shared" si="3"/>
        <v>13133.921853004174</v>
      </c>
      <c r="AM15" s="83">
        <f t="shared" si="3"/>
        <v>0</v>
      </c>
      <c r="AN15" s="83">
        <f t="shared" si="3"/>
        <v>0</v>
      </c>
      <c r="AO15" s="83">
        <f t="shared" si="3"/>
        <v>0</v>
      </c>
      <c r="AP15" s="83">
        <f t="shared" si="3"/>
        <v>0</v>
      </c>
      <c r="AQ15" s="83">
        <f t="shared" si="3"/>
        <v>0</v>
      </c>
      <c r="AR15" s="83">
        <f t="shared" si="3"/>
        <v>0</v>
      </c>
      <c r="AS15" s="83">
        <f t="shared" si="3"/>
        <v>0</v>
      </c>
      <c r="AT15" s="83">
        <f t="shared" si="3"/>
        <v>6128.058897321207</v>
      </c>
      <c r="AU15" s="83">
        <f t="shared" si="3"/>
        <v>0</v>
      </c>
      <c r="AV15" s="83">
        <f t="shared" si="3"/>
        <v>0</v>
      </c>
      <c r="AW15" s="83">
        <f t="shared" si="3"/>
        <v>0</v>
      </c>
      <c r="AX15" s="83">
        <f t="shared" si="3"/>
        <v>0</v>
      </c>
      <c r="AY15" s="83">
        <f t="shared" si="3"/>
        <v>0</v>
      </c>
      <c r="AZ15" s="83">
        <f t="shared" si="3"/>
        <v>0</v>
      </c>
      <c r="BA15" s="83">
        <f t="shared" si="3"/>
        <v>0</v>
      </c>
      <c r="BB15" s="83">
        <f t="shared" si="3"/>
        <v>0</v>
      </c>
      <c r="BC15" s="83">
        <f t="shared" si="3"/>
        <v>0</v>
      </c>
      <c r="BD15" s="83">
        <f t="shared" si="3"/>
        <v>0</v>
      </c>
      <c r="BE15" s="83">
        <f t="shared" si="3"/>
        <v>0</v>
      </c>
      <c r="BF15" s="83">
        <f t="shared" si="3"/>
        <v>0</v>
      </c>
      <c r="BG15" s="83">
        <f t="shared" si="3"/>
        <v>0</v>
      </c>
      <c r="BH15" s="83">
        <f t="shared" si="3"/>
        <v>0</v>
      </c>
      <c r="BI15" s="83">
        <f t="shared" si="3"/>
        <v>0</v>
      </c>
      <c r="BJ15" s="83">
        <f t="shared" si="3"/>
        <v>0</v>
      </c>
      <c r="BK15" t="s">
        <v>102</v>
      </c>
    </row>
    <row r="16" spans="1:63" ht="11.25" customHeight="1" x14ac:dyDescent="0.25">
      <c r="A16" s="5"/>
      <c r="B16" s="5"/>
      <c r="C16" s="7"/>
      <c r="D16" s="5"/>
      <c r="E16" s="1"/>
      <c r="F16" s="302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t="s">
        <v>102</v>
      </c>
    </row>
    <row r="17" spans="1:63" ht="11.25" customHeight="1" x14ac:dyDescent="0.25">
      <c r="A17" s="5"/>
      <c r="B17" s="5" t="s">
        <v>235</v>
      </c>
      <c r="C17" s="7" t="s">
        <v>1</v>
      </c>
      <c r="D17" s="5"/>
      <c r="E17" s="1">
        <f>SUM(G17:BJ17)</f>
        <v>19261.980750325383</v>
      </c>
      <c r="F17" s="302" t="s">
        <v>26</v>
      </c>
      <c r="G17" s="83">
        <f>MIN(G11,G15)</f>
        <v>0</v>
      </c>
      <c r="H17" s="83">
        <f t="shared" ref="H17:BJ17" si="4">MIN(H11,H15)</f>
        <v>0</v>
      </c>
      <c r="I17" s="83">
        <f t="shared" si="4"/>
        <v>0</v>
      </c>
      <c r="J17" s="83">
        <f t="shared" si="4"/>
        <v>0</v>
      </c>
      <c r="K17" s="83">
        <f t="shared" si="4"/>
        <v>0</v>
      </c>
      <c r="L17" s="83">
        <f t="shared" si="4"/>
        <v>0</v>
      </c>
      <c r="M17" s="83">
        <f t="shared" si="4"/>
        <v>0</v>
      </c>
      <c r="N17" s="83">
        <f t="shared" si="4"/>
        <v>0</v>
      </c>
      <c r="O17" s="83">
        <f t="shared" si="4"/>
        <v>0</v>
      </c>
      <c r="P17" s="83">
        <f t="shared" si="4"/>
        <v>0</v>
      </c>
      <c r="Q17" s="83">
        <f t="shared" si="4"/>
        <v>0</v>
      </c>
      <c r="R17" s="83">
        <f t="shared" si="4"/>
        <v>0</v>
      </c>
      <c r="S17" s="83">
        <f t="shared" si="4"/>
        <v>0</v>
      </c>
      <c r="T17" s="83">
        <f t="shared" si="4"/>
        <v>0</v>
      </c>
      <c r="U17" s="83">
        <f t="shared" si="4"/>
        <v>0</v>
      </c>
      <c r="V17" s="83">
        <f t="shared" si="4"/>
        <v>0</v>
      </c>
      <c r="W17" s="83">
        <f t="shared" si="4"/>
        <v>0</v>
      </c>
      <c r="X17" s="83">
        <f t="shared" si="4"/>
        <v>0</v>
      </c>
      <c r="Y17" s="83">
        <f t="shared" si="4"/>
        <v>0</v>
      </c>
      <c r="Z17" s="83">
        <f t="shared" si="4"/>
        <v>0</v>
      </c>
      <c r="AA17" s="83">
        <f t="shared" si="4"/>
        <v>0</v>
      </c>
      <c r="AB17" s="83">
        <f t="shared" si="4"/>
        <v>0</v>
      </c>
      <c r="AC17" s="83">
        <f t="shared" si="4"/>
        <v>0</v>
      </c>
      <c r="AD17" s="83">
        <f t="shared" si="4"/>
        <v>0</v>
      </c>
      <c r="AE17" s="83">
        <f t="shared" si="4"/>
        <v>0</v>
      </c>
      <c r="AF17" s="83">
        <f t="shared" si="4"/>
        <v>0</v>
      </c>
      <c r="AG17" s="83">
        <f t="shared" si="4"/>
        <v>0</v>
      </c>
      <c r="AH17" s="83">
        <f t="shared" si="4"/>
        <v>0</v>
      </c>
      <c r="AI17" s="83">
        <f t="shared" si="4"/>
        <v>0</v>
      </c>
      <c r="AJ17" s="83">
        <f t="shared" si="4"/>
        <v>0</v>
      </c>
      <c r="AK17" s="83">
        <f t="shared" si="4"/>
        <v>0</v>
      </c>
      <c r="AL17" s="83">
        <f t="shared" si="4"/>
        <v>13133.921853004174</v>
      </c>
      <c r="AM17" s="83">
        <f t="shared" si="4"/>
        <v>0</v>
      </c>
      <c r="AN17" s="83">
        <f t="shared" si="4"/>
        <v>0</v>
      </c>
      <c r="AO17" s="83">
        <f t="shared" si="4"/>
        <v>0</v>
      </c>
      <c r="AP17" s="83">
        <f t="shared" si="4"/>
        <v>0</v>
      </c>
      <c r="AQ17" s="83">
        <f t="shared" si="4"/>
        <v>0</v>
      </c>
      <c r="AR17" s="83">
        <f t="shared" si="4"/>
        <v>0</v>
      </c>
      <c r="AS17" s="83">
        <f t="shared" si="4"/>
        <v>0</v>
      </c>
      <c r="AT17" s="83">
        <f t="shared" si="4"/>
        <v>6128.058897321207</v>
      </c>
      <c r="AU17" s="83">
        <f t="shared" si="4"/>
        <v>0</v>
      </c>
      <c r="AV17" s="83">
        <f t="shared" si="4"/>
        <v>0</v>
      </c>
      <c r="AW17" s="83">
        <f t="shared" si="4"/>
        <v>0</v>
      </c>
      <c r="AX17" s="83">
        <f t="shared" si="4"/>
        <v>0</v>
      </c>
      <c r="AY17" s="83">
        <f t="shared" si="4"/>
        <v>0</v>
      </c>
      <c r="AZ17" s="83">
        <f t="shared" si="4"/>
        <v>0</v>
      </c>
      <c r="BA17" s="83">
        <f t="shared" si="4"/>
        <v>0</v>
      </c>
      <c r="BB17" s="83">
        <f t="shared" si="4"/>
        <v>0</v>
      </c>
      <c r="BC17" s="83">
        <f t="shared" si="4"/>
        <v>0</v>
      </c>
      <c r="BD17" s="83">
        <f t="shared" si="4"/>
        <v>0</v>
      </c>
      <c r="BE17" s="83">
        <f t="shared" si="4"/>
        <v>0</v>
      </c>
      <c r="BF17" s="83">
        <f t="shared" si="4"/>
        <v>0</v>
      </c>
      <c r="BG17" s="83">
        <f t="shared" si="4"/>
        <v>0</v>
      </c>
      <c r="BH17" s="83">
        <f t="shared" si="4"/>
        <v>0</v>
      </c>
      <c r="BI17" s="83">
        <f t="shared" si="4"/>
        <v>0</v>
      </c>
      <c r="BJ17" s="83">
        <f t="shared" si="4"/>
        <v>0</v>
      </c>
      <c r="BK17" t="s">
        <v>102</v>
      </c>
    </row>
    <row r="18" spans="1:63" ht="11.25" customHeight="1" x14ac:dyDescent="0.25">
      <c r="A18" s="5"/>
      <c r="B18" s="5" t="s">
        <v>236</v>
      </c>
      <c r="C18" s="7" t="s">
        <v>1</v>
      </c>
      <c r="D18" s="5"/>
      <c r="E18" s="1">
        <f>SUM(G18:BJ18)</f>
        <v>443031.66583804361</v>
      </c>
      <c r="F18" s="302" t="s">
        <v>26</v>
      </c>
      <c r="G18" s="83">
        <f>G11-G17</f>
        <v>0</v>
      </c>
      <c r="H18" s="83">
        <f t="shared" ref="H18:BJ18" si="5">H11-H17</f>
        <v>0</v>
      </c>
      <c r="I18" s="83">
        <f t="shared" si="5"/>
        <v>0</v>
      </c>
      <c r="J18" s="83">
        <f t="shared" si="5"/>
        <v>0</v>
      </c>
      <c r="K18" s="83">
        <f t="shared" si="5"/>
        <v>0</v>
      </c>
      <c r="L18" s="83">
        <f t="shared" si="5"/>
        <v>0</v>
      </c>
      <c r="M18" s="83">
        <f t="shared" si="5"/>
        <v>0</v>
      </c>
      <c r="N18" s="83">
        <f t="shared" si="5"/>
        <v>0</v>
      </c>
      <c r="O18" s="83">
        <f t="shared" si="5"/>
        <v>0</v>
      </c>
      <c r="P18" s="83">
        <f t="shared" si="5"/>
        <v>0</v>
      </c>
      <c r="Q18" s="83">
        <f t="shared" si="5"/>
        <v>0</v>
      </c>
      <c r="R18" s="83">
        <f t="shared" si="5"/>
        <v>0</v>
      </c>
      <c r="S18" s="83">
        <f t="shared" si="5"/>
        <v>0</v>
      </c>
      <c r="T18" s="83">
        <f t="shared" si="5"/>
        <v>0</v>
      </c>
      <c r="U18" s="83">
        <f t="shared" si="5"/>
        <v>0</v>
      </c>
      <c r="V18" s="83">
        <f t="shared" si="5"/>
        <v>0</v>
      </c>
      <c r="W18" s="83">
        <f t="shared" si="5"/>
        <v>19585.209233762856</v>
      </c>
      <c r="X18" s="83">
        <f t="shared" si="5"/>
        <v>19585.209233762856</v>
      </c>
      <c r="Y18" s="83">
        <f t="shared" si="5"/>
        <v>19585.209233762856</v>
      </c>
      <c r="Z18" s="83">
        <f t="shared" si="5"/>
        <v>19585.209233762856</v>
      </c>
      <c r="AA18" s="83">
        <f t="shared" si="5"/>
        <v>19585.209233762856</v>
      </c>
      <c r="AB18" s="83">
        <f t="shared" si="5"/>
        <v>19585.209233762856</v>
      </c>
      <c r="AC18" s="83">
        <f t="shared" si="5"/>
        <v>19585.209233762856</v>
      </c>
      <c r="AD18" s="83">
        <f t="shared" si="5"/>
        <v>19585.209233762856</v>
      </c>
      <c r="AE18" s="83">
        <f t="shared" si="5"/>
        <v>19585.209233762856</v>
      </c>
      <c r="AF18" s="83">
        <f t="shared" si="5"/>
        <v>19585.209233762856</v>
      </c>
      <c r="AG18" s="83">
        <f t="shared" si="5"/>
        <v>19585.209233762856</v>
      </c>
      <c r="AH18" s="83">
        <f t="shared" si="5"/>
        <v>19585.209233762856</v>
      </c>
      <c r="AI18" s="83">
        <f t="shared" si="5"/>
        <v>19585.209233762856</v>
      </c>
      <c r="AJ18" s="83">
        <f t="shared" si="5"/>
        <v>19585.209233762856</v>
      </c>
      <c r="AK18" s="83">
        <f t="shared" si="5"/>
        <v>19585.209233762856</v>
      </c>
      <c r="AL18" s="83">
        <f t="shared" si="5"/>
        <v>6451.287380758682</v>
      </c>
      <c r="AM18" s="83">
        <f t="shared" si="5"/>
        <v>6451.287380758682</v>
      </c>
      <c r="AN18" s="83">
        <f t="shared" si="5"/>
        <v>11726.533401158564</v>
      </c>
      <c r="AO18" s="83">
        <f t="shared" si="5"/>
        <v>19369.28156098997</v>
      </c>
      <c r="AP18" s="83">
        <f t="shared" si="5"/>
        <v>19585.209233762856</v>
      </c>
      <c r="AQ18" s="83">
        <f t="shared" si="5"/>
        <v>19585.209233762856</v>
      </c>
      <c r="AR18" s="83">
        <f t="shared" si="5"/>
        <v>19585.209233762856</v>
      </c>
      <c r="AS18" s="83">
        <f t="shared" si="5"/>
        <v>19585.209233762856</v>
      </c>
      <c r="AT18" s="83">
        <f t="shared" si="5"/>
        <v>13457.150336441649</v>
      </c>
      <c r="AU18" s="83">
        <f t="shared" si="5"/>
        <v>13457.150336441649</v>
      </c>
      <c r="AV18" s="83">
        <f t="shared" si="5"/>
        <v>0</v>
      </c>
      <c r="AW18" s="83">
        <f t="shared" si="5"/>
        <v>0</v>
      </c>
      <c r="AX18" s="83">
        <f t="shared" si="5"/>
        <v>0</v>
      </c>
      <c r="AY18" s="83">
        <f t="shared" si="5"/>
        <v>0</v>
      </c>
      <c r="AZ18" s="83">
        <f t="shared" si="5"/>
        <v>0</v>
      </c>
      <c r="BA18" s="83">
        <f t="shared" si="5"/>
        <v>0</v>
      </c>
      <c r="BB18" s="83">
        <f t="shared" si="5"/>
        <v>0</v>
      </c>
      <c r="BC18" s="83">
        <f t="shared" si="5"/>
        <v>0</v>
      </c>
      <c r="BD18" s="83">
        <f t="shared" si="5"/>
        <v>0</v>
      </c>
      <c r="BE18" s="83">
        <f t="shared" si="5"/>
        <v>0</v>
      </c>
      <c r="BF18" s="83">
        <f t="shared" si="5"/>
        <v>0</v>
      </c>
      <c r="BG18" s="83">
        <f t="shared" si="5"/>
        <v>0</v>
      </c>
      <c r="BH18" s="83">
        <f t="shared" si="5"/>
        <v>0</v>
      </c>
      <c r="BI18" s="83">
        <f t="shared" si="5"/>
        <v>0</v>
      </c>
      <c r="BJ18" s="83">
        <f t="shared" si="5"/>
        <v>0</v>
      </c>
      <c r="BK18" t="s">
        <v>102</v>
      </c>
    </row>
    <row r="19" spans="1:63" ht="11.25" customHeight="1" x14ac:dyDescent="0.25">
      <c r="A19" s="5"/>
      <c r="B19" s="5"/>
      <c r="C19" s="7"/>
      <c r="D19" s="5"/>
      <c r="E19" s="1"/>
      <c r="F19" s="302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t="s">
        <v>102</v>
      </c>
    </row>
    <row r="20" spans="1:63" ht="11.25" customHeight="1" x14ac:dyDescent="0.25">
      <c r="A20" s="5"/>
      <c r="B20" s="5" t="s">
        <v>237</v>
      </c>
      <c r="C20" s="7" t="s">
        <v>1</v>
      </c>
      <c r="D20" s="5"/>
      <c r="E20" s="1">
        <f>SUM(G20:BJ20)</f>
        <v>66183.7742397908</v>
      </c>
      <c r="F20" s="302" t="s">
        <v>26</v>
      </c>
      <c r="G20" s="1">
        <f>G9-G18</f>
        <v>0</v>
      </c>
      <c r="H20" s="1">
        <f t="shared" ref="H20:BJ20" si="6">H9-H18</f>
        <v>0</v>
      </c>
      <c r="I20" s="1">
        <f t="shared" si="6"/>
        <v>0</v>
      </c>
      <c r="J20" s="1">
        <f t="shared" si="6"/>
        <v>0</v>
      </c>
      <c r="K20" s="1">
        <f t="shared" si="6"/>
        <v>0</v>
      </c>
      <c r="L20" s="1">
        <f t="shared" si="6"/>
        <v>0</v>
      </c>
      <c r="M20" s="1">
        <f t="shared" si="6"/>
        <v>0</v>
      </c>
      <c r="N20" s="1">
        <f t="shared" si="6"/>
        <v>0</v>
      </c>
      <c r="O20" s="1">
        <f t="shared" si="6"/>
        <v>0</v>
      </c>
      <c r="P20" s="1">
        <f t="shared" si="6"/>
        <v>0</v>
      </c>
      <c r="Q20" s="1">
        <f t="shared" si="6"/>
        <v>0</v>
      </c>
      <c r="R20" s="1">
        <f t="shared" si="6"/>
        <v>0</v>
      </c>
      <c r="S20" s="1">
        <f t="shared" si="6"/>
        <v>0</v>
      </c>
      <c r="T20" s="1">
        <f t="shared" si="6"/>
        <v>0</v>
      </c>
      <c r="U20" s="1">
        <f t="shared" si="6"/>
        <v>0</v>
      </c>
      <c r="V20" s="1">
        <f t="shared" si="6"/>
        <v>19585.209233762856</v>
      </c>
      <c r="W20" s="1">
        <f t="shared" si="6"/>
        <v>0</v>
      </c>
      <c r="X20" s="1">
        <f t="shared" si="6"/>
        <v>0</v>
      </c>
      <c r="Y20" s="1">
        <f t="shared" si="6"/>
        <v>0</v>
      </c>
      <c r="Z20" s="1">
        <f t="shared" si="6"/>
        <v>0</v>
      </c>
      <c r="AA20" s="1">
        <f t="shared" si="6"/>
        <v>0</v>
      </c>
      <c r="AB20" s="1">
        <f t="shared" si="6"/>
        <v>0</v>
      </c>
      <c r="AC20" s="1">
        <f t="shared" si="6"/>
        <v>0</v>
      </c>
      <c r="AD20" s="1">
        <f t="shared" si="6"/>
        <v>0</v>
      </c>
      <c r="AE20" s="1">
        <f t="shared" si="6"/>
        <v>0</v>
      </c>
      <c r="AF20" s="1">
        <f t="shared" si="6"/>
        <v>0</v>
      </c>
      <c r="AG20" s="1">
        <f t="shared" si="6"/>
        <v>0</v>
      </c>
      <c r="AH20" s="1">
        <f t="shared" si="6"/>
        <v>0</v>
      </c>
      <c r="AI20" s="1">
        <f t="shared" si="6"/>
        <v>0</v>
      </c>
      <c r="AJ20" s="1">
        <f t="shared" si="6"/>
        <v>0</v>
      </c>
      <c r="AK20" s="1">
        <f t="shared" si="6"/>
        <v>0</v>
      </c>
      <c r="AL20" s="1">
        <f t="shared" si="6"/>
        <v>13133.921853004174</v>
      </c>
      <c r="AM20" s="1">
        <f t="shared" si="6"/>
        <v>13133.921853004174</v>
      </c>
      <c r="AN20" s="1">
        <f t="shared" si="6"/>
        <v>7858.6758326042927</v>
      </c>
      <c r="AO20" s="1">
        <f t="shared" si="6"/>
        <v>215.92767277288658</v>
      </c>
      <c r="AP20" s="1">
        <f t="shared" si="6"/>
        <v>0</v>
      </c>
      <c r="AQ20" s="1">
        <f t="shared" si="6"/>
        <v>0</v>
      </c>
      <c r="AR20" s="1">
        <f t="shared" si="6"/>
        <v>0</v>
      </c>
      <c r="AS20" s="1">
        <f t="shared" si="6"/>
        <v>0</v>
      </c>
      <c r="AT20" s="1">
        <f t="shared" si="6"/>
        <v>6128.058897321207</v>
      </c>
      <c r="AU20" s="1">
        <f t="shared" si="6"/>
        <v>6128.058897321207</v>
      </c>
      <c r="AV20" s="1">
        <f t="shared" si="6"/>
        <v>0</v>
      </c>
      <c r="AW20" s="1">
        <f t="shared" si="6"/>
        <v>0</v>
      </c>
      <c r="AX20" s="1">
        <f t="shared" si="6"/>
        <v>0</v>
      </c>
      <c r="AY20" s="1">
        <f t="shared" si="6"/>
        <v>0</v>
      </c>
      <c r="AZ20" s="1">
        <f t="shared" si="6"/>
        <v>0</v>
      </c>
      <c r="BA20" s="1">
        <f t="shared" si="6"/>
        <v>0</v>
      </c>
      <c r="BB20" s="1">
        <f t="shared" si="6"/>
        <v>0</v>
      </c>
      <c r="BC20" s="1">
        <f t="shared" si="6"/>
        <v>0</v>
      </c>
      <c r="BD20" s="1">
        <f t="shared" si="6"/>
        <v>0</v>
      </c>
      <c r="BE20" s="1">
        <f t="shared" si="6"/>
        <v>0</v>
      </c>
      <c r="BF20" s="1">
        <f t="shared" si="6"/>
        <v>0</v>
      </c>
      <c r="BG20" s="1">
        <f t="shared" si="6"/>
        <v>0</v>
      </c>
      <c r="BH20" s="1">
        <f t="shared" si="6"/>
        <v>0</v>
      </c>
      <c r="BI20" s="1">
        <f t="shared" si="6"/>
        <v>0</v>
      </c>
      <c r="BJ20" s="1">
        <f t="shared" si="6"/>
        <v>0</v>
      </c>
      <c r="BK20" t="s">
        <v>102</v>
      </c>
    </row>
    <row r="21" spans="1:63" ht="11.25" customHeight="1" x14ac:dyDescent="0.25">
      <c r="A21" s="5"/>
      <c r="B21" s="5"/>
      <c r="C21" s="7"/>
      <c r="D21" s="5"/>
      <c r="E21" s="1"/>
      <c r="F21" s="302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t="s">
        <v>102</v>
      </c>
    </row>
    <row r="22" spans="1:63" ht="11.25" customHeight="1" x14ac:dyDescent="0.25">
      <c r="A22" s="5"/>
      <c r="B22" s="5" t="s">
        <v>238</v>
      </c>
      <c r="C22" s="7" t="s">
        <v>1</v>
      </c>
      <c r="D22" s="5"/>
      <c r="E22" s="1">
        <f>SUM(G22:BJ22)</f>
        <v>278880.18190030422</v>
      </c>
      <c r="F22" s="302" t="s">
        <v>26</v>
      </c>
      <c r="G22" s="83">
        <f t="shared" ref="G22" si="7">IF(G13-G14&gt;0,G13-G14,0)</f>
        <v>0</v>
      </c>
      <c r="H22" s="83">
        <f>IF(H13-H14&gt;0,H13-H14,0)</f>
        <v>0</v>
      </c>
      <c r="I22" s="83">
        <f t="shared" ref="I22:BJ22" si="8">IF(I13-I14&gt;0,I13-I14,0)</f>
        <v>0</v>
      </c>
      <c r="J22" s="83">
        <f t="shared" si="8"/>
        <v>0</v>
      </c>
      <c r="K22" s="83">
        <f t="shared" si="8"/>
        <v>0</v>
      </c>
      <c r="L22" s="83">
        <f t="shared" si="8"/>
        <v>0</v>
      </c>
      <c r="M22" s="83">
        <f t="shared" si="8"/>
        <v>0</v>
      </c>
      <c r="N22" s="83">
        <f t="shared" si="8"/>
        <v>0</v>
      </c>
      <c r="O22" s="83">
        <f t="shared" si="8"/>
        <v>0</v>
      </c>
      <c r="P22" s="83">
        <f t="shared" si="8"/>
        <v>0</v>
      </c>
      <c r="Q22" s="83">
        <f t="shared" si="8"/>
        <v>0</v>
      </c>
      <c r="R22" s="83">
        <f t="shared" si="8"/>
        <v>0</v>
      </c>
      <c r="S22" s="83">
        <f t="shared" si="8"/>
        <v>0</v>
      </c>
      <c r="T22" s="83">
        <f t="shared" si="8"/>
        <v>0</v>
      </c>
      <c r="U22" s="83">
        <f t="shared" si="8"/>
        <v>0</v>
      </c>
      <c r="V22" s="83">
        <f t="shared" si="8"/>
        <v>0</v>
      </c>
      <c r="W22" s="83">
        <f t="shared" si="8"/>
        <v>14089.008650181408</v>
      </c>
      <c r="X22" s="83">
        <f t="shared" si="8"/>
        <v>14050.802078582281</v>
      </c>
      <c r="Y22" s="83">
        <f t="shared" si="8"/>
        <v>14600.304552956572</v>
      </c>
      <c r="Z22" s="83">
        <f t="shared" si="8"/>
        <v>14247.12500454938</v>
      </c>
      <c r="AA22" s="83">
        <f t="shared" si="8"/>
        <v>14677.263969122068</v>
      </c>
      <c r="AB22" s="83">
        <f t="shared" si="8"/>
        <v>14311.089279884131</v>
      </c>
      <c r="AC22" s="83">
        <f t="shared" si="8"/>
        <v>14965.8496873658</v>
      </c>
      <c r="AD22" s="83">
        <f t="shared" si="8"/>
        <v>3524.0643862815923</v>
      </c>
      <c r="AE22" s="83">
        <f t="shared" si="8"/>
        <v>14129.925466660607</v>
      </c>
      <c r="AF22" s="83">
        <f t="shared" si="8"/>
        <v>15601.887583625961</v>
      </c>
      <c r="AG22" s="83">
        <f t="shared" si="8"/>
        <v>15891.379516959038</v>
      </c>
      <c r="AH22" s="83">
        <f t="shared" si="8"/>
        <v>15157.413213755666</v>
      </c>
      <c r="AI22" s="83">
        <f t="shared" si="8"/>
        <v>15324.159137030983</v>
      </c>
      <c r="AJ22" s="83">
        <f t="shared" si="8"/>
        <v>14982.794888173332</v>
      </c>
      <c r="AK22" s="83">
        <f t="shared" si="8"/>
        <v>1844.7440654403981</v>
      </c>
      <c r="AL22" s="83">
        <f t="shared" si="8"/>
        <v>0</v>
      </c>
      <c r="AM22" s="83">
        <f t="shared" si="8"/>
        <v>5275.2460203998817</v>
      </c>
      <c r="AN22" s="83">
        <f t="shared" si="8"/>
        <v>7642.748159831408</v>
      </c>
      <c r="AO22" s="83">
        <f t="shared" si="8"/>
        <v>8328.0734869947955</v>
      </c>
      <c r="AP22" s="83">
        <f t="shared" si="8"/>
        <v>7586.7847230429106</v>
      </c>
      <c r="AQ22" s="83">
        <f t="shared" si="8"/>
        <v>7746.0585250775584</v>
      </c>
      <c r="AR22" s="83">
        <f t="shared" si="8"/>
        <v>6963.76318365728</v>
      </c>
      <c r="AS22" s="83">
        <f t="shared" si="8"/>
        <v>7365.6786074896372</v>
      </c>
      <c r="AT22" s="83">
        <f t="shared" si="8"/>
        <v>0</v>
      </c>
      <c r="AU22" s="83">
        <f t="shared" si="8"/>
        <v>5118.8567610590617</v>
      </c>
      <c r="AV22" s="83">
        <f t="shared" si="8"/>
        <v>25455.16095218245</v>
      </c>
      <c r="AW22" s="83">
        <f t="shared" si="8"/>
        <v>0</v>
      </c>
      <c r="AX22" s="83">
        <f t="shared" si="8"/>
        <v>0</v>
      </c>
      <c r="AY22" s="83">
        <f t="shared" si="8"/>
        <v>0</v>
      </c>
      <c r="AZ22" s="83">
        <f t="shared" si="8"/>
        <v>0</v>
      </c>
      <c r="BA22" s="83">
        <f t="shared" si="8"/>
        <v>0</v>
      </c>
      <c r="BB22" s="83">
        <f t="shared" si="8"/>
        <v>0</v>
      </c>
      <c r="BC22" s="83">
        <f t="shared" si="8"/>
        <v>0</v>
      </c>
      <c r="BD22" s="83">
        <f t="shared" si="8"/>
        <v>0</v>
      </c>
      <c r="BE22" s="83">
        <f t="shared" si="8"/>
        <v>0</v>
      </c>
      <c r="BF22" s="83">
        <f t="shared" si="8"/>
        <v>0</v>
      </c>
      <c r="BG22" s="83">
        <f t="shared" si="8"/>
        <v>0</v>
      </c>
      <c r="BH22" s="83">
        <f t="shared" si="8"/>
        <v>0</v>
      </c>
      <c r="BI22" s="83">
        <f t="shared" si="8"/>
        <v>0</v>
      </c>
      <c r="BJ22" s="83">
        <f t="shared" si="8"/>
        <v>0</v>
      </c>
      <c r="BK22" t="s">
        <v>102</v>
      </c>
    </row>
    <row r="23" spans="1:63" ht="11.25" customHeight="1" x14ac:dyDescent="0.25">
      <c r="A23" s="5"/>
      <c r="B23" s="5" t="s">
        <v>239</v>
      </c>
      <c r="C23" s="7" t="s">
        <v>1</v>
      </c>
      <c r="D23" s="5"/>
      <c r="E23" s="1">
        <f>SUM(G23:BJ23)</f>
        <v>18252.778614063238</v>
      </c>
      <c r="F23" s="302" t="s">
        <v>26</v>
      </c>
      <c r="G23" s="1">
        <f>MIN(G22,G20)</f>
        <v>0</v>
      </c>
      <c r="H23" s="1">
        <f t="shared" ref="H23:BJ23" si="9">MIN(H22,H20)</f>
        <v>0</v>
      </c>
      <c r="I23" s="1">
        <f t="shared" si="9"/>
        <v>0</v>
      </c>
      <c r="J23" s="1">
        <f t="shared" si="9"/>
        <v>0</v>
      </c>
      <c r="K23" s="1">
        <f t="shared" si="9"/>
        <v>0</v>
      </c>
      <c r="L23" s="1">
        <f t="shared" si="9"/>
        <v>0</v>
      </c>
      <c r="M23" s="1">
        <f t="shared" si="9"/>
        <v>0</v>
      </c>
      <c r="N23" s="1">
        <f t="shared" si="9"/>
        <v>0</v>
      </c>
      <c r="O23" s="1">
        <f t="shared" si="9"/>
        <v>0</v>
      </c>
      <c r="P23" s="1">
        <f t="shared" si="9"/>
        <v>0</v>
      </c>
      <c r="Q23" s="1">
        <f t="shared" si="9"/>
        <v>0</v>
      </c>
      <c r="R23" s="1">
        <f t="shared" si="9"/>
        <v>0</v>
      </c>
      <c r="S23" s="1">
        <f t="shared" si="9"/>
        <v>0</v>
      </c>
      <c r="T23" s="1">
        <f t="shared" si="9"/>
        <v>0</v>
      </c>
      <c r="U23" s="1">
        <f t="shared" si="9"/>
        <v>0</v>
      </c>
      <c r="V23" s="1">
        <f t="shared" si="9"/>
        <v>0</v>
      </c>
      <c r="W23" s="1">
        <f t="shared" si="9"/>
        <v>0</v>
      </c>
      <c r="X23" s="1">
        <f t="shared" si="9"/>
        <v>0</v>
      </c>
      <c r="Y23" s="1">
        <f t="shared" si="9"/>
        <v>0</v>
      </c>
      <c r="Z23" s="1">
        <f t="shared" si="9"/>
        <v>0</v>
      </c>
      <c r="AA23" s="1">
        <f t="shared" si="9"/>
        <v>0</v>
      </c>
      <c r="AB23" s="1">
        <f t="shared" si="9"/>
        <v>0</v>
      </c>
      <c r="AC23" s="1">
        <f t="shared" si="9"/>
        <v>0</v>
      </c>
      <c r="AD23" s="1">
        <f t="shared" si="9"/>
        <v>0</v>
      </c>
      <c r="AE23" s="1">
        <f t="shared" si="9"/>
        <v>0</v>
      </c>
      <c r="AF23" s="1">
        <f t="shared" si="9"/>
        <v>0</v>
      </c>
      <c r="AG23" s="1">
        <f t="shared" si="9"/>
        <v>0</v>
      </c>
      <c r="AH23" s="1">
        <f t="shared" si="9"/>
        <v>0</v>
      </c>
      <c r="AI23" s="1">
        <f t="shared" si="9"/>
        <v>0</v>
      </c>
      <c r="AJ23" s="1">
        <f t="shared" si="9"/>
        <v>0</v>
      </c>
      <c r="AK23" s="1">
        <f t="shared" si="9"/>
        <v>0</v>
      </c>
      <c r="AL23" s="1">
        <f t="shared" si="9"/>
        <v>0</v>
      </c>
      <c r="AM23" s="1">
        <f t="shared" si="9"/>
        <v>5275.2460203998817</v>
      </c>
      <c r="AN23" s="1">
        <f t="shared" si="9"/>
        <v>7642.748159831408</v>
      </c>
      <c r="AO23" s="1">
        <f t="shared" si="9"/>
        <v>215.92767277288658</v>
      </c>
      <c r="AP23" s="1">
        <f t="shared" si="9"/>
        <v>0</v>
      </c>
      <c r="AQ23" s="1">
        <f t="shared" si="9"/>
        <v>0</v>
      </c>
      <c r="AR23" s="1">
        <f t="shared" si="9"/>
        <v>0</v>
      </c>
      <c r="AS23" s="1">
        <f t="shared" si="9"/>
        <v>0</v>
      </c>
      <c r="AT23" s="1">
        <f t="shared" si="9"/>
        <v>0</v>
      </c>
      <c r="AU23" s="1">
        <f t="shared" si="9"/>
        <v>5118.8567610590617</v>
      </c>
      <c r="AV23" s="1">
        <f t="shared" si="9"/>
        <v>0</v>
      </c>
      <c r="AW23" s="1">
        <f t="shared" si="9"/>
        <v>0</v>
      </c>
      <c r="AX23" s="1">
        <f t="shared" si="9"/>
        <v>0</v>
      </c>
      <c r="AY23" s="1">
        <f t="shared" si="9"/>
        <v>0</v>
      </c>
      <c r="AZ23" s="1">
        <f t="shared" si="9"/>
        <v>0</v>
      </c>
      <c r="BA23" s="1">
        <f t="shared" si="9"/>
        <v>0</v>
      </c>
      <c r="BB23" s="1">
        <f t="shared" si="9"/>
        <v>0</v>
      </c>
      <c r="BC23" s="1">
        <f t="shared" si="9"/>
        <v>0</v>
      </c>
      <c r="BD23" s="1">
        <f t="shared" si="9"/>
        <v>0</v>
      </c>
      <c r="BE23" s="1">
        <f t="shared" si="9"/>
        <v>0</v>
      </c>
      <c r="BF23" s="1">
        <f t="shared" si="9"/>
        <v>0</v>
      </c>
      <c r="BG23" s="1">
        <f t="shared" si="9"/>
        <v>0</v>
      </c>
      <c r="BH23" s="1">
        <f t="shared" si="9"/>
        <v>0</v>
      </c>
      <c r="BI23" s="1">
        <f t="shared" si="9"/>
        <v>0</v>
      </c>
      <c r="BJ23" s="1">
        <f t="shared" si="9"/>
        <v>0</v>
      </c>
      <c r="BK23" t="s">
        <v>102</v>
      </c>
    </row>
    <row r="24" spans="1:63" ht="11.25" customHeight="1" x14ac:dyDescent="0.25">
      <c r="A24" s="5"/>
      <c r="B24" s="84" t="s">
        <v>128</v>
      </c>
      <c r="C24" s="85" t="s">
        <v>1</v>
      </c>
      <c r="D24" s="279">
        <f>SUM(G24:BJ24)</f>
        <v>19585.209233762856</v>
      </c>
      <c r="E24" s="1">
        <f>SUM(G24:BJ24)</f>
        <v>19585.209233762856</v>
      </c>
      <c r="F24" s="302" t="s">
        <v>26</v>
      </c>
      <c r="G24" s="86">
        <f>IF(AND(G9&gt;0,F9=0),G9,0)</f>
        <v>0</v>
      </c>
      <c r="H24" s="86">
        <f t="shared" ref="H24:BJ24" si="10">IF(AND(H9&gt;0,G9=0),H9,0)</f>
        <v>0</v>
      </c>
      <c r="I24" s="86">
        <f t="shared" si="10"/>
        <v>0</v>
      </c>
      <c r="J24" s="86">
        <f t="shared" si="10"/>
        <v>0</v>
      </c>
      <c r="K24" s="86">
        <f t="shared" si="10"/>
        <v>0</v>
      </c>
      <c r="L24" s="86">
        <f t="shared" si="10"/>
        <v>0</v>
      </c>
      <c r="M24" s="86">
        <f t="shared" si="10"/>
        <v>0</v>
      </c>
      <c r="N24" s="86">
        <f t="shared" si="10"/>
        <v>0</v>
      </c>
      <c r="O24" s="86">
        <f t="shared" si="10"/>
        <v>0</v>
      </c>
      <c r="P24" s="86">
        <f t="shared" si="10"/>
        <v>0</v>
      </c>
      <c r="Q24" s="86">
        <f t="shared" si="10"/>
        <v>0</v>
      </c>
      <c r="R24" s="86">
        <f t="shared" si="10"/>
        <v>0</v>
      </c>
      <c r="S24" s="86">
        <f t="shared" si="10"/>
        <v>0</v>
      </c>
      <c r="T24" s="86">
        <f t="shared" si="10"/>
        <v>0</v>
      </c>
      <c r="U24" s="86">
        <f t="shared" si="10"/>
        <v>0</v>
      </c>
      <c r="V24" s="86">
        <f t="shared" si="10"/>
        <v>19585.209233762856</v>
      </c>
      <c r="W24" s="86">
        <f t="shared" si="10"/>
        <v>0</v>
      </c>
      <c r="X24" s="86">
        <f t="shared" si="10"/>
        <v>0</v>
      </c>
      <c r="Y24" s="86">
        <f t="shared" si="10"/>
        <v>0</v>
      </c>
      <c r="Z24" s="86">
        <f t="shared" si="10"/>
        <v>0</v>
      </c>
      <c r="AA24" s="86">
        <f t="shared" si="10"/>
        <v>0</v>
      </c>
      <c r="AB24" s="86">
        <f t="shared" si="10"/>
        <v>0</v>
      </c>
      <c r="AC24" s="86">
        <f t="shared" si="10"/>
        <v>0</v>
      </c>
      <c r="AD24" s="86">
        <f t="shared" si="10"/>
        <v>0</v>
      </c>
      <c r="AE24" s="86">
        <f t="shared" si="10"/>
        <v>0</v>
      </c>
      <c r="AF24" s="86">
        <f t="shared" si="10"/>
        <v>0</v>
      </c>
      <c r="AG24" s="86">
        <f t="shared" si="10"/>
        <v>0</v>
      </c>
      <c r="AH24" s="86">
        <f t="shared" si="10"/>
        <v>0</v>
      </c>
      <c r="AI24" s="86">
        <f t="shared" si="10"/>
        <v>0</v>
      </c>
      <c r="AJ24" s="86">
        <f t="shared" si="10"/>
        <v>0</v>
      </c>
      <c r="AK24" s="86">
        <f t="shared" si="10"/>
        <v>0</v>
      </c>
      <c r="AL24" s="86">
        <f t="shared" si="10"/>
        <v>0</v>
      </c>
      <c r="AM24" s="86">
        <f t="shared" si="10"/>
        <v>0</v>
      </c>
      <c r="AN24" s="86">
        <f t="shared" si="10"/>
        <v>0</v>
      </c>
      <c r="AO24" s="86">
        <f t="shared" si="10"/>
        <v>0</v>
      </c>
      <c r="AP24" s="86">
        <f t="shared" si="10"/>
        <v>0</v>
      </c>
      <c r="AQ24" s="86">
        <f t="shared" si="10"/>
        <v>0</v>
      </c>
      <c r="AR24" s="86">
        <f t="shared" si="10"/>
        <v>0</v>
      </c>
      <c r="AS24" s="86">
        <f t="shared" si="10"/>
        <v>0</v>
      </c>
      <c r="AT24" s="86">
        <f t="shared" si="10"/>
        <v>0</v>
      </c>
      <c r="AU24" s="86">
        <f t="shared" si="10"/>
        <v>0</v>
      </c>
      <c r="AV24" s="86">
        <f t="shared" si="10"/>
        <v>0</v>
      </c>
      <c r="AW24" s="86">
        <f t="shared" si="10"/>
        <v>0</v>
      </c>
      <c r="AX24" s="86">
        <f t="shared" si="10"/>
        <v>0</v>
      </c>
      <c r="AY24" s="86">
        <f t="shared" si="10"/>
        <v>0</v>
      </c>
      <c r="AZ24" s="86">
        <f t="shared" si="10"/>
        <v>0</v>
      </c>
      <c r="BA24" s="86">
        <f t="shared" si="10"/>
        <v>0</v>
      </c>
      <c r="BB24" s="86">
        <f t="shared" si="10"/>
        <v>0</v>
      </c>
      <c r="BC24" s="86">
        <f t="shared" si="10"/>
        <v>0</v>
      </c>
      <c r="BD24" s="86">
        <f t="shared" si="10"/>
        <v>0</v>
      </c>
      <c r="BE24" s="86">
        <f t="shared" si="10"/>
        <v>0</v>
      </c>
      <c r="BF24" s="86">
        <f t="shared" si="10"/>
        <v>0</v>
      </c>
      <c r="BG24" s="86">
        <f t="shared" si="10"/>
        <v>0</v>
      </c>
      <c r="BH24" s="86">
        <f t="shared" si="10"/>
        <v>0</v>
      </c>
      <c r="BI24" s="86">
        <f t="shared" si="10"/>
        <v>0</v>
      </c>
      <c r="BJ24" s="86">
        <f t="shared" si="10"/>
        <v>0</v>
      </c>
      <c r="BK24" t="s">
        <v>102</v>
      </c>
    </row>
    <row r="25" spans="1:63" ht="11.25" customHeight="1" x14ac:dyDescent="0.25">
      <c r="A25" s="5"/>
      <c r="B25" s="5"/>
      <c r="C25" s="7"/>
      <c r="D25" s="5"/>
      <c r="E25" s="5"/>
      <c r="F25" s="302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t="s">
        <v>102</v>
      </c>
    </row>
    <row r="26" spans="1:63" ht="11.25" customHeight="1" x14ac:dyDescent="0.25">
      <c r="A26" s="5" t="s">
        <v>26</v>
      </c>
      <c r="B26" s="233" t="s">
        <v>240</v>
      </c>
      <c r="C26" s="234" t="s">
        <v>1</v>
      </c>
      <c r="D26" s="233"/>
      <c r="E26" s="235">
        <f>SUM(G26:BJ26)</f>
        <v>480869.65368586977</v>
      </c>
      <c r="F26" s="318"/>
      <c r="G26" s="235">
        <f>SUM(G18,G23,G24)</f>
        <v>0</v>
      </c>
      <c r="H26" s="235">
        <f t="shared" ref="H26:BJ26" si="11">SUM(H18,H23,H24)</f>
        <v>0</v>
      </c>
      <c r="I26" s="235">
        <f t="shared" si="11"/>
        <v>0</v>
      </c>
      <c r="J26" s="235">
        <f t="shared" si="11"/>
        <v>0</v>
      </c>
      <c r="K26" s="235">
        <f t="shared" si="11"/>
        <v>0</v>
      </c>
      <c r="L26" s="235">
        <f t="shared" si="11"/>
        <v>0</v>
      </c>
      <c r="M26" s="235">
        <f t="shared" si="11"/>
        <v>0</v>
      </c>
      <c r="N26" s="235">
        <f t="shared" si="11"/>
        <v>0</v>
      </c>
      <c r="O26" s="235">
        <f t="shared" si="11"/>
        <v>0</v>
      </c>
      <c r="P26" s="235">
        <f t="shared" si="11"/>
        <v>0</v>
      </c>
      <c r="Q26" s="235">
        <f t="shared" si="11"/>
        <v>0</v>
      </c>
      <c r="R26" s="235">
        <f t="shared" si="11"/>
        <v>0</v>
      </c>
      <c r="S26" s="235">
        <f t="shared" si="11"/>
        <v>0</v>
      </c>
      <c r="T26" s="235">
        <f t="shared" si="11"/>
        <v>0</v>
      </c>
      <c r="U26" s="235">
        <f t="shared" si="11"/>
        <v>0</v>
      </c>
      <c r="V26" s="235">
        <f t="shared" si="11"/>
        <v>19585.209233762856</v>
      </c>
      <c r="W26" s="235">
        <f t="shared" si="11"/>
        <v>19585.209233762856</v>
      </c>
      <c r="X26" s="235">
        <f t="shared" si="11"/>
        <v>19585.209233762856</v>
      </c>
      <c r="Y26" s="235">
        <f t="shared" si="11"/>
        <v>19585.209233762856</v>
      </c>
      <c r="Z26" s="235">
        <f t="shared" si="11"/>
        <v>19585.209233762856</v>
      </c>
      <c r="AA26" s="235">
        <f t="shared" si="11"/>
        <v>19585.209233762856</v>
      </c>
      <c r="AB26" s="235">
        <f t="shared" si="11"/>
        <v>19585.209233762856</v>
      </c>
      <c r="AC26" s="235">
        <f t="shared" si="11"/>
        <v>19585.209233762856</v>
      </c>
      <c r="AD26" s="235">
        <f t="shared" si="11"/>
        <v>19585.209233762856</v>
      </c>
      <c r="AE26" s="235">
        <f t="shared" si="11"/>
        <v>19585.209233762856</v>
      </c>
      <c r="AF26" s="235">
        <f t="shared" si="11"/>
        <v>19585.209233762856</v>
      </c>
      <c r="AG26" s="235">
        <f t="shared" si="11"/>
        <v>19585.209233762856</v>
      </c>
      <c r="AH26" s="235">
        <f t="shared" si="11"/>
        <v>19585.209233762856</v>
      </c>
      <c r="AI26" s="235">
        <f t="shared" si="11"/>
        <v>19585.209233762856</v>
      </c>
      <c r="AJ26" s="235">
        <f t="shared" si="11"/>
        <v>19585.209233762856</v>
      </c>
      <c r="AK26" s="235">
        <f t="shared" si="11"/>
        <v>19585.209233762856</v>
      </c>
      <c r="AL26" s="235">
        <f t="shared" si="11"/>
        <v>6451.287380758682</v>
      </c>
      <c r="AM26" s="235">
        <f t="shared" si="11"/>
        <v>11726.533401158564</v>
      </c>
      <c r="AN26" s="235">
        <f t="shared" si="11"/>
        <v>19369.28156098997</v>
      </c>
      <c r="AO26" s="235">
        <f t="shared" si="11"/>
        <v>19585.209233762856</v>
      </c>
      <c r="AP26" s="235">
        <f t="shared" si="11"/>
        <v>19585.209233762856</v>
      </c>
      <c r="AQ26" s="235">
        <f t="shared" si="11"/>
        <v>19585.209233762856</v>
      </c>
      <c r="AR26" s="235">
        <f t="shared" si="11"/>
        <v>19585.209233762856</v>
      </c>
      <c r="AS26" s="235">
        <f t="shared" si="11"/>
        <v>19585.209233762856</v>
      </c>
      <c r="AT26" s="235">
        <f t="shared" si="11"/>
        <v>13457.150336441649</v>
      </c>
      <c r="AU26" s="235">
        <f t="shared" si="11"/>
        <v>18576.007097500711</v>
      </c>
      <c r="AV26" s="235">
        <f t="shared" si="11"/>
        <v>0</v>
      </c>
      <c r="AW26" s="235">
        <f t="shared" si="11"/>
        <v>0</v>
      </c>
      <c r="AX26" s="235">
        <f t="shared" si="11"/>
        <v>0</v>
      </c>
      <c r="AY26" s="235">
        <f t="shared" si="11"/>
        <v>0</v>
      </c>
      <c r="AZ26" s="235">
        <f t="shared" si="11"/>
        <v>0</v>
      </c>
      <c r="BA26" s="235">
        <f t="shared" si="11"/>
        <v>0</v>
      </c>
      <c r="BB26" s="235">
        <f t="shared" si="11"/>
        <v>0</v>
      </c>
      <c r="BC26" s="235">
        <f t="shared" si="11"/>
        <v>0</v>
      </c>
      <c r="BD26" s="235">
        <f t="shared" si="11"/>
        <v>0</v>
      </c>
      <c r="BE26" s="235">
        <f t="shared" si="11"/>
        <v>0</v>
      </c>
      <c r="BF26" s="235">
        <f t="shared" si="11"/>
        <v>0</v>
      </c>
      <c r="BG26" s="235">
        <f t="shared" si="11"/>
        <v>0</v>
      </c>
      <c r="BH26" s="235">
        <f t="shared" si="11"/>
        <v>0</v>
      </c>
      <c r="BI26" s="235">
        <f t="shared" si="11"/>
        <v>0</v>
      </c>
      <c r="BJ26" s="235">
        <f t="shared" si="11"/>
        <v>0</v>
      </c>
      <c r="BK26" t="s">
        <v>102</v>
      </c>
    </row>
    <row r="27" spans="1:63" ht="11.25" customHeight="1" x14ac:dyDescent="0.25">
      <c r="A27" s="5"/>
      <c r="B27" s="3"/>
      <c r="C27" s="116"/>
      <c r="D27" s="3"/>
      <c r="E27" s="169"/>
      <c r="F27" s="319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S27" s="169"/>
      <c r="T27" s="169"/>
      <c r="U27" s="169"/>
      <c r="V27" s="169"/>
      <c r="W27" s="169"/>
      <c r="X27" s="169"/>
      <c r="Y27" s="169"/>
      <c r="Z27" s="169"/>
      <c r="AA27" s="169"/>
      <c r="AB27" s="169"/>
      <c r="AC27" s="169"/>
      <c r="AD27" s="169"/>
      <c r="AE27" s="169"/>
      <c r="AF27" s="169"/>
      <c r="AG27" s="169"/>
      <c r="AH27" s="169"/>
      <c r="AI27" s="169"/>
      <c r="AJ27" s="169"/>
      <c r="AK27" s="169"/>
      <c r="AL27" s="169"/>
      <c r="AM27" s="169"/>
      <c r="AN27" s="169"/>
      <c r="AO27" s="169"/>
      <c r="AP27" s="169"/>
      <c r="AQ27" s="169"/>
      <c r="AR27" s="169"/>
      <c r="AS27" s="169"/>
      <c r="AT27" s="169"/>
      <c r="AU27" s="169"/>
      <c r="AV27" s="169"/>
      <c r="AW27" s="169"/>
      <c r="AX27" s="169"/>
      <c r="AY27" s="169"/>
      <c r="AZ27" s="169"/>
      <c r="BA27" s="169"/>
      <c r="BB27" s="169"/>
      <c r="BC27" s="169"/>
      <c r="BD27" s="169"/>
      <c r="BE27" s="169"/>
      <c r="BF27" s="169"/>
      <c r="BG27" s="169"/>
      <c r="BH27" s="169"/>
      <c r="BI27" s="169"/>
      <c r="BJ27" s="169"/>
      <c r="BK27" t="s">
        <v>102</v>
      </c>
    </row>
    <row r="28" spans="1:63" ht="11.25" customHeight="1" x14ac:dyDescent="0.25">
      <c r="A28" s="5"/>
      <c r="B28" s="5"/>
      <c r="C28" s="5"/>
      <c r="D28" s="5"/>
      <c r="E28" s="5"/>
      <c r="F28" s="302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t="s">
        <v>102</v>
      </c>
    </row>
    <row r="29" spans="1:63" ht="11.25" customHeight="1" x14ac:dyDescent="0.25">
      <c r="A29" s="5"/>
      <c r="B29" s="3" t="s">
        <v>242</v>
      </c>
      <c r="C29" s="5"/>
      <c r="D29" s="5"/>
      <c r="E29" s="5"/>
      <c r="F29" s="302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t="s">
        <v>102</v>
      </c>
    </row>
    <row r="30" spans="1:63" ht="11.25" customHeight="1" x14ac:dyDescent="0.25">
      <c r="A30" s="5"/>
      <c r="B30" s="5" t="s">
        <v>92</v>
      </c>
      <c r="C30" s="87" t="s">
        <v>34</v>
      </c>
      <c r="D30" s="385">
        <f>Assumptions!D162</f>
        <v>0.01</v>
      </c>
      <c r="E30" s="5"/>
      <c r="F30" s="302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t="s">
        <v>102</v>
      </c>
    </row>
    <row r="31" spans="1:63" ht="11.25" customHeight="1" x14ac:dyDescent="0.25">
      <c r="A31" s="5"/>
      <c r="B31" s="5" t="s">
        <v>243</v>
      </c>
      <c r="C31" s="87" t="s">
        <v>1</v>
      </c>
      <c r="D31" s="5"/>
      <c r="E31" s="1">
        <f>SUM(G31:BJ31)</f>
        <v>480869.65368586977</v>
      </c>
      <c r="F31" s="302" t="s">
        <v>26</v>
      </c>
      <c r="G31" s="1">
        <f>G26</f>
        <v>0</v>
      </c>
      <c r="H31" s="1">
        <f t="shared" ref="H31:BJ31" si="12">H26</f>
        <v>0</v>
      </c>
      <c r="I31" s="1">
        <f t="shared" si="12"/>
        <v>0</v>
      </c>
      <c r="J31" s="1">
        <f t="shared" si="12"/>
        <v>0</v>
      </c>
      <c r="K31" s="1">
        <f t="shared" si="12"/>
        <v>0</v>
      </c>
      <c r="L31" s="1">
        <f t="shared" si="12"/>
        <v>0</v>
      </c>
      <c r="M31" s="1">
        <f t="shared" si="12"/>
        <v>0</v>
      </c>
      <c r="N31" s="1">
        <f t="shared" si="12"/>
        <v>0</v>
      </c>
      <c r="O31" s="1">
        <f t="shared" si="12"/>
        <v>0</v>
      </c>
      <c r="P31" s="1">
        <f t="shared" si="12"/>
        <v>0</v>
      </c>
      <c r="Q31" s="1">
        <f t="shared" si="12"/>
        <v>0</v>
      </c>
      <c r="R31" s="1">
        <f t="shared" si="12"/>
        <v>0</v>
      </c>
      <c r="S31" s="1">
        <f t="shared" si="12"/>
        <v>0</v>
      </c>
      <c r="T31" s="1">
        <f t="shared" si="12"/>
        <v>0</v>
      </c>
      <c r="U31" s="1">
        <f t="shared" si="12"/>
        <v>0</v>
      </c>
      <c r="V31" s="1">
        <f t="shared" si="12"/>
        <v>19585.209233762856</v>
      </c>
      <c r="W31" s="1">
        <f t="shared" si="12"/>
        <v>19585.209233762856</v>
      </c>
      <c r="X31" s="1">
        <f t="shared" si="12"/>
        <v>19585.209233762856</v>
      </c>
      <c r="Y31" s="1">
        <f t="shared" si="12"/>
        <v>19585.209233762856</v>
      </c>
      <c r="Z31" s="1">
        <f t="shared" si="12"/>
        <v>19585.209233762856</v>
      </c>
      <c r="AA31" s="1">
        <f t="shared" si="12"/>
        <v>19585.209233762856</v>
      </c>
      <c r="AB31" s="1">
        <f t="shared" si="12"/>
        <v>19585.209233762856</v>
      </c>
      <c r="AC31" s="1">
        <f t="shared" si="12"/>
        <v>19585.209233762856</v>
      </c>
      <c r="AD31" s="1">
        <f t="shared" si="12"/>
        <v>19585.209233762856</v>
      </c>
      <c r="AE31" s="1">
        <f t="shared" si="12"/>
        <v>19585.209233762856</v>
      </c>
      <c r="AF31" s="1">
        <f t="shared" si="12"/>
        <v>19585.209233762856</v>
      </c>
      <c r="AG31" s="1">
        <f t="shared" si="12"/>
        <v>19585.209233762856</v>
      </c>
      <c r="AH31" s="1">
        <f t="shared" si="12"/>
        <v>19585.209233762856</v>
      </c>
      <c r="AI31" s="1">
        <f t="shared" si="12"/>
        <v>19585.209233762856</v>
      </c>
      <c r="AJ31" s="1">
        <f t="shared" si="12"/>
        <v>19585.209233762856</v>
      </c>
      <c r="AK31" s="1">
        <f t="shared" si="12"/>
        <v>19585.209233762856</v>
      </c>
      <c r="AL31" s="1">
        <f t="shared" si="12"/>
        <v>6451.287380758682</v>
      </c>
      <c r="AM31" s="1">
        <f t="shared" si="12"/>
        <v>11726.533401158564</v>
      </c>
      <c r="AN31" s="1">
        <f t="shared" si="12"/>
        <v>19369.28156098997</v>
      </c>
      <c r="AO31" s="1">
        <f t="shared" si="12"/>
        <v>19585.209233762856</v>
      </c>
      <c r="AP31" s="1">
        <f t="shared" si="12"/>
        <v>19585.209233762856</v>
      </c>
      <c r="AQ31" s="1">
        <f t="shared" si="12"/>
        <v>19585.209233762856</v>
      </c>
      <c r="AR31" s="1">
        <f t="shared" si="12"/>
        <v>19585.209233762856</v>
      </c>
      <c r="AS31" s="1">
        <f t="shared" si="12"/>
        <v>19585.209233762856</v>
      </c>
      <c r="AT31" s="1">
        <f t="shared" si="12"/>
        <v>13457.150336441649</v>
      </c>
      <c r="AU31" s="1">
        <f t="shared" si="12"/>
        <v>18576.007097500711</v>
      </c>
      <c r="AV31" s="1">
        <f t="shared" si="12"/>
        <v>0</v>
      </c>
      <c r="AW31" s="1">
        <f t="shared" si="12"/>
        <v>0</v>
      </c>
      <c r="AX31" s="1">
        <f t="shared" si="12"/>
        <v>0</v>
      </c>
      <c r="AY31" s="1">
        <f t="shared" si="12"/>
        <v>0</v>
      </c>
      <c r="AZ31" s="1">
        <f t="shared" si="12"/>
        <v>0</v>
      </c>
      <c r="BA31" s="1">
        <f t="shared" si="12"/>
        <v>0</v>
      </c>
      <c r="BB31" s="1">
        <f t="shared" si="12"/>
        <v>0</v>
      </c>
      <c r="BC31" s="1">
        <f t="shared" si="12"/>
        <v>0</v>
      </c>
      <c r="BD31" s="1">
        <f t="shared" si="12"/>
        <v>0</v>
      </c>
      <c r="BE31" s="1">
        <f t="shared" si="12"/>
        <v>0</v>
      </c>
      <c r="BF31" s="1">
        <f t="shared" si="12"/>
        <v>0</v>
      </c>
      <c r="BG31" s="1">
        <f t="shared" si="12"/>
        <v>0</v>
      </c>
      <c r="BH31" s="1">
        <f t="shared" si="12"/>
        <v>0</v>
      </c>
      <c r="BI31" s="1">
        <f t="shared" si="12"/>
        <v>0</v>
      </c>
      <c r="BJ31" s="1">
        <f t="shared" si="12"/>
        <v>0</v>
      </c>
      <c r="BK31" t="s">
        <v>102</v>
      </c>
    </row>
    <row r="32" spans="1:63" ht="11.25" customHeight="1" x14ac:dyDescent="0.25">
      <c r="A32" s="5" t="s">
        <v>26</v>
      </c>
      <c r="B32" s="12" t="s">
        <v>314</v>
      </c>
      <c r="C32" s="87" t="s">
        <v>1</v>
      </c>
      <c r="D32" s="84"/>
      <c r="E32" s="1">
        <f>SUM(G32:BJ32)</f>
        <v>2404.3482684293476</v>
      </c>
      <c r="F32" s="320" t="s">
        <v>26</v>
      </c>
      <c r="G32" s="89">
        <f>$D$30*G3*F26</f>
        <v>0</v>
      </c>
      <c r="H32" s="89">
        <f t="shared" ref="H32:BJ32" si="13">$D$30*H3*G26</f>
        <v>0</v>
      </c>
      <c r="I32" s="89">
        <f t="shared" si="13"/>
        <v>0</v>
      </c>
      <c r="J32" s="89">
        <f t="shared" si="13"/>
        <v>0</v>
      </c>
      <c r="K32" s="89">
        <f t="shared" si="13"/>
        <v>0</v>
      </c>
      <c r="L32" s="89">
        <f t="shared" si="13"/>
        <v>0</v>
      </c>
      <c r="M32" s="89">
        <f t="shared" si="13"/>
        <v>0</v>
      </c>
      <c r="N32" s="89">
        <f t="shared" si="13"/>
        <v>0</v>
      </c>
      <c r="O32" s="89">
        <f t="shared" si="13"/>
        <v>0</v>
      </c>
      <c r="P32" s="89">
        <f t="shared" si="13"/>
        <v>0</v>
      </c>
      <c r="Q32" s="89">
        <f t="shared" si="13"/>
        <v>0</v>
      </c>
      <c r="R32" s="89">
        <f t="shared" si="13"/>
        <v>0</v>
      </c>
      <c r="S32" s="89">
        <f t="shared" si="13"/>
        <v>0</v>
      </c>
      <c r="T32" s="89">
        <f t="shared" si="13"/>
        <v>0</v>
      </c>
      <c r="U32" s="89">
        <f t="shared" si="13"/>
        <v>0</v>
      </c>
      <c r="V32" s="89">
        <f t="shared" si="13"/>
        <v>0</v>
      </c>
      <c r="W32" s="89">
        <f t="shared" si="13"/>
        <v>97.926046168814281</v>
      </c>
      <c r="X32" s="89">
        <f t="shared" si="13"/>
        <v>97.926046168814281</v>
      </c>
      <c r="Y32" s="89">
        <f t="shared" si="13"/>
        <v>97.926046168814281</v>
      </c>
      <c r="Z32" s="89">
        <f t="shared" si="13"/>
        <v>97.926046168814281</v>
      </c>
      <c r="AA32" s="89">
        <f t="shared" si="13"/>
        <v>97.926046168814281</v>
      </c>
      <c r="AB32" s="89">
        <f t="shared" si="13"/>
        <v>97.926046168814281</v>
      </c>
      <c r="AC32" s="89">
        <f t="shared" si="13"/>
        <v>97.926046168814281</v>
      </c>
      <c r="AD32" s="89">
        <f t="shared" si="13"/>
        <v>97.926046168814281</v>
      </c>
      <c r="AE32" s="89">
        <f t="shared" si="13"/>
        <v>97.926046168814281</v>
      </c>
      <c r="AF32" s="89">
        <f t="shared" si="13"/>
        <v>97.926046168814281</v>
      </c>
      <c r="AG32" s="89">
        <f t="shared" si="13"/>
        <v>97.926046168814281</v>
      </c>
      <c r="AH32" s="89">
        <f t="shared" si="13"/>
        <v>97.926046168814281</v>
      </c>
      <c r="AI32" s="89">
        <f t="shared" si="13"/>
        <v>97.926046168814281</v>
      </c>
      <c r="AJ32" s="89">
        <f t="shared" si="13"/>
        <v>97.926046168814281</v>
      </c>
      <c r="AK32" s="89">
        <f t="shared" si="13"/>
        <v>97.926046168814281</v>
      </c>
      <c r="AL32" s="89">
        <f t="shared" si="13"/>
        <v>97.926046168814281</v>
      </c>
      <c r="AM32" s="89">
        <f t="shared" si="13"/>
        <v>32.256436903793414</v>
      </c>
      <c r="AN32" s="89">
        <f t="shared" si="13"/>
        <v>58.632667005792818</v>
      </c>
      <c r="AO32" s="89">
        <f t="shared" si="13"/>
        <v>96.846407804949848</v>
      </c>
      <c r="AP32" s="89">
        <f t="shared" si="13"/>
        <v>97.926046168814281</v>
      </c>
      <c r="AQ32" s="89">
        <f t="shared" si="13"/>
        <v>97.926046168814281</v>
      </c>
      <c r="AR32" s="89">
        <f t="shared" si="13"/>
        <v>97.926046168814281</v>
      </c>
      <c r="AS32" s="89">
        <f t="shared" si="13"/>
        <v>97.926046168814281</v>
      </c>
      <c r="AT32" s="89">
        <f t="shared" si="13"/>
        <v>97.926046168814281</v>
      </c>
      <c r="AU32" s="89">
        <f t="shared" si="13"/>
        <v>67.285751682208243</v>
      </c>
      <c r="AV32" s="89">
        <f t="shared" si="13"/>
        <v>92.880035487503562</v>
      </c>
      <c r="AW32" s="89">
        <f t="shared" si="13"/>
        <v>0</v>
      </c>
      <c r="AX32" s="89">
        <f t="shared" si="13"/>
        <v>0</v>
      </c>
      <c r="AY32" s="89">
        <f t="shared" si="13"/>
        <v>0</v>
      </c>
      <c r="AZ32" s="89">
        <f t="shared" si="13"/>
        <v>0</v>
      </c>
      <c r="BA32" s="89">
        <f t="shared" si="13"/>
        <v>0</v>
      </c>
      <c r="BB32" s="89">
        <f t="shared" si="13"/>
        <v>0</v>
      </c>
      <c r="BC32" s="89">
        <f t="shared" si="13"/>
        <v>0</v>
      </c>
      <c r="BD32" s="89">
        <f t="shared" si="13"/>
        <v>0</v>
      </c>
      <c r="BE32" s="89">
        <f t="shared" si="13"/>
        <v>0</v>
      </c>
      <c r="BF32" s="89">
        <f t="shared" si="13"/>
        <v>0</v>
      </c>
      <c r="BG32" s="89">
        <f t="shared" si="13"/>
        <v>0</v>
      </c>
      <c r="BH32" s="89">
        <f t="shared" si="13"/>
        <v>0</v>
      </c>
      <c r="BI32" s="89">
        <f t="shared" si="13"/>
        <v>0</v>
      </c>
      <c r="BJ32" s="89">
        <f t="shared" si="13"/>
        <v>0</v>
      </c>
      <c r="BK32" t="s">
        <v>102</v>
      </c>
    </row>
    <row r="33" spans="1:62" ht="11.25" customHeight="1" x14ac:dyDescent="0.25">
      <c r="A33" s="5"/>
      <c r="B33" s="5"/>
      <c r="C33" s="5"/>
      <c r="D33" s="5"/>
      <c r="E33" s="5"/>
      <c r="F33" s="302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90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83"/>
      <c r="AI33" s="83"/>
      <c r="AJ33" s="83"/>
      <c r="AK33" s="83"/>
      <c r="AL33" s="83"/>
      <c r="AM33" s="83"/>
      <c r="AN33" s="83"/>
      <c r="AO33" s="83"/>
      <c r="AP33" s="83"/>
      <c r="AQ33" s="83"/>
      <c r="AR33" s="83"/>
      <c r="AS33" s="83"/>
      <c r="AT33" s="83"/>
      <c r="AU33" s="83"/>
      <c r="AV33" s="83"/>
      <c r="AW33" s="83"/>
      <c r="AX33" s="83"/>
      <c r="AY33" s="83"/>
      <c r="AZ33" s="83"/>
      <c r="BA33" s="83"/>
      <c r="BB33" s="83"/>
      <c r="BC33" s="83"/>
      <c r="BD33" s="83"/>
      <c r="BE33" s="83"/>
      <c r="BF33" s="83"/>
      <c r="BG33" s="83"/>
      <c r="BH33" s="83"/>
      <c r="BI33" s="83"/>
      <c r="BJ33" s="83"/>
    </row>
    <row r="34" spans="1:62" ht="11.25" customHeight="1" x14ac:dyDescent="0.25">
      <c r="A34" s="5"/>
      <c r="B34" s="5"/>
      <c r="C34" s="5"/>
      <c r="D34" s="5"/>
      <c r="E34" s="5"/>
      <c r="F34" s="302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</row>
    <row r="35" spans="1:62" ht="11.25" customHeight="1" x14ac:dyDescent="0.25">
      <c r="A35" s="5"/>
      <c r="B35" s="5"/>
      <c r="C35" s="5"/>
      <c r="D35" s="5"/>
      <c r="E35" s="5"/>
      <c r="F35" s="302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</row>
    <row r="36" spans="1:62" ht="11.25" customHeight="1" x14ac:dyDescent="0.25">
      <c r="A36" s="5"/>
      <c r="B36" s="5"/>
      <c r="C36" s="5"/>
      <c r="D36" s="5"/>
      <c r="E36" s="5"/>
      <c r="F36" s="302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</row>
    <row r="37" spans="1:62" ht="11.25" customHeight="1" x14ac:dyDescent="0.25">
      <c r="A37" s="5"/>
      <c r="B37" s="5"/>
      <c r="C37" s="5"/>
      <c r="D37" s="5"/>
      <c r="E37" s="5"/>
      <c r="F37" s="302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</row>
    <row r="38" spans="1:62" ht="11.25" customHeight="1" x14ac:dyDescent="0.25">
      <c r="A38" s="5"/>
      <c r="B38" s="5"/>
      <c r="C38" s="5"/>
      <c r="D38" s="5"/>
      <c r="E38" s="5"/>
      <c r="F38" s="302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</row>
    <row r="39" spans="1:62" ht="11.25" customHeight="1" x14ac:dyDescent="0.25">
      <c r="A39" s="5"/>
      <c r="B39" s="5"/>
      <c r="C39" s="5"/>
      <c r="D39" s="5"/>
      <c r="E39" s="5"/>
      <c r="F39" s="302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</row>
    <row r="40" spans="1:62" ht="11.25" customHeight="1" x14ac:dyDescent="0.25">
      <c r="A40" s="5"/>
      <c r="B40" s="5"/>
      <c r="C40" s="5"/>
      <c r="D40" s="5"/>
      <c r="E40" s="5"/>
      <c r="F40" s="302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</row>
    <row r="41" spans="1:62" ht="11.25" customHeight="1" x14ac:dyDescent="0.25">
      <c r="A41" s="5"/>
      <c r="B41" s="5"/>
      <c r="C41" s="5"/>
      <c r="D41" s="5"/>
      <c r="E41" s="5"/>
      <c r="F41" s="302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</row>
    <row r="42" spans="1:62" ht="11.25" customHeight="1" x14ac:dyDescent="0.25">
      <c r="A42" s="5"/>
      <c r="B42" s="5"/>
      <c r="C42" s="5"/>
      <c r="D42" s="5"/>
      <c r="E42" s="5"/>
      <c r="F42" s="302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</row>
    <row r="43" spans="1:62" ht="11.25" customHeight="1" x14ac:dyDescent="0.25">
      <c r="A43" s="5"/>
      <c r="B43" s="5"/>
      <c r="C43" s="5"/>
      <c r="D43" s="5"/>
      <c r="E43" s="5"/>
      <c r="F43" s="302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</row>
    <row r="44" spans="1:62" ht="11.25" customHeight="1" x14ac:dyDescent="0.25">
      <c r="A44" s="5"/>
      <c r="B44" s="5"/>
      <c r="C44" s="5"/>
      <c r="D44" s="5"/>
      <c r="E44" s="5"/>
      <c r="F44" s="302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</row>
    <row r="45" spans="1:62" ht="11.25" customHeight="1" x14ac:dyDescent="0.25">
      <c r="A45" s="5"/>
      <c r="B45" s="5"/>
      <c r="C45" s="5"/>
      <c r="D45" s="5"/>
      <c r="E45" s="5"/>
      <c r="F45" s="302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</row>
    <row r="46" spans="1:62" ht="11.25" customHeight="1" x14ac:dyDescent="0.25">
      <c r="A46" s="5"/>
      <c r="B46" s="5"/>
      <c r="C46" s="5"/>
      <c r="D46" s="5"/>
      <c r="E46" s="5"/>
      <c r="F46" s="302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</row>
  </sheetData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1" tint="0.499984740745262"/>
  </sheetPr>
  <dimension ref="A1:BK46"/>
  <sheetViews>
    <sheetView zoomScale="120" zoomScaleNormal="120" workbookViewId="0">
      <pane xSplit="5" ySplit="3" topLeftCell="W4" activePane="bottomRight" state="frozen"/>
      <selection activeCell="K15" sqref="K15"/>
      <selection pane="topRight" activeCell="K15" sqref="K15"/>
      <selection pane="bottomLeft" activeCell="K15" sqref="K15"/>
      <selection pane="bottomRight" activeCell="AI50" sqref="AI50"/>
    </sheetView>
  </sheetViews>
  <sheetFormatPr defaultColWidth="8.7109375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customWidth="1"/>
    <col min="7" max="62" width="8.7109375" customWidth="1"/>
  </cols>
  <sheetData>
    <row r="1" spans="1:63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204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63" ht="11.25" customHeight="1" x14ac:dyDescent="0.25">
      <c r="A2" s="200" t="s">
        <v>244</v>
      </c>
      <c r="B2" s="201"/>
      <c r="C2" s="202"/>
      <c r="D2" s="200"/>
      <c r="E2" s="203" t="s">
        <v>22</v>
      </c>
      <c r="F2" s="204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63" ht="11.25" customHeight="1" x14ac:dyDescent="0.25">
      <c r="A3" s="200"/>
      <c r="B3" s="201"/>
      <c r="C3" s="202"/>
      <c r="D3" s="200"/>
      <c r="E3" s="203" t="s">
        <v>403</v>
      </c>
      <c r="F3" s="204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63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t="s">
        <v>102</v>
      </c>
    </row>
    <row r="5" spans="1:63" ht="11.25" customHeight="1" x14ac:dyDescent="0.25">
      <c r="A5" s="17"/>
      <c r="B5" s="18"/>
      <c r="C5" s="17"/>
      <c r="D5" s="17"/>
      <c r="E5" s="17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t="s">
        <v>102</v>
      </c>
    </row>
    <row r="6" spans="1:63" ht="11.25" customHeight="1" x14ac:dyDescent="0.25">
      <c r="A6" s="5" t="s">
        <v>26</v>
      </c>
      <c r="B6" s="3" t="s">
        <v>244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t="s">
        <v>102</v>
      </c>
    </row>
    <row r="7" spans="1:63" ht="11.25" customHeight="1" x14ac:dyDescent="0.25">
      <c r="A7" s="5"/>
      <c r="B7" s="12" t="s">
        <v>66</v>
      </c>
      <c r="C7" s="91" t="s">
        <v>108</v>
      </c>
      <c r="D7" s="22"/>
      <c r="E7" s="92">
        <f>SUM(G7:BJ7)</f>
        <v>351</v>
      </c>
      <c r="F7" s="12" t="s">
        <v>26</v>
      </c>
      <c r="G7" s="26">
        <f>Debt!G9</f>
        <v>0</v>
      </c>
      <c r="H7" s="26">
        <f>Debt!H9</f>
        <v>0</v>
      </c>
      <c r="I7" s="26">
        <f>Debt!I9</f>
        <v>0</v>
      </c>
      <c r="J7" s="26">
        <f>Debt!J9</f>
        <v>0</v>
      </c>
      <c r="K7" s="26">
        <f>Debt!K9</f>
        <v>0</v>
      </c>
      <c r="L7" s="26">
        <f>Debt!L9</f>
        <v>0</v>
      </c>
      <c r="M7" s="26">
        <f>Debt!M9</f>
        <v>0</v>
      </c>
      <c r="N7" s="26">
        <f>Debt!N9</f>
        <v>0</v>
      </c>
      <c r="O7" s="26">
        <f>Debt!O9</f>
        <v>0</v>
      </c>
      <c r="P7" s="26">
        <f>Debt!P9</f>
        <v>0</v>
      </c>
      <c r="Q7" s="26">
        <f>Debt!Q9</f>
        <v>0</v>
      </c>
      <c r="R7" s="26">
        <f>Debt!R9</f>
        <v>0</v>
      </c>
      <c r="S7" s="26">
        <f>Debt!S9</f>
        <v>0</v>
      </c>
      <c r="T7" s="26">
        <f>Debt!T9</f>
        <v>0</v>
      </c>
      <c r="U7" s="26">
        <f>Debt!U9</f>
        <v>0</v>
      </c>
      <c r="V7" s="26">
        <f>Debt!V9</f>
        <v>0</v>
      </c>
      <c r="W7" s="26">
        <f>Debt!W9</f>
        <v>1</v>
      </c>
      <c r="X7" s="26">
        <f>Debt!X9</f>
        <v>2</v>
      </c>
      <c r="Y7" s="26">
        <f>Debt!Y9</f>
        <v>3</v>
      </c>
      <c r="Z7" s="26">
        <f>Debt!Z9</f>
        <v>4</v>
      </c>
      <c r="AA7" s="26">
        <f>Debt!AA9</f>
        <v>5</v>
      </c>
      <c r="AB7" s="26">
        <f>Debt!AB9</f>
        <v>6</v>
      </c>
      <c r="AC7" s="26">
        <f>Debt!AC9</f>
        <v>7</v>
      </c>
      <c r="AD7" s="26">
        <f>Debt!AD9</f>
        <v>8</v>
      </c>
      <c r="AE7" s="26">
        <f>Debt!AE9</f>
        <v>9</v>
      </c>
      <c r="AF7" s="26">
        <f>Debt!AF9</f>
        <v>10</v>
      </c>
      <c r="AG7" s="26">
        <f>Debt!AG9</f>
        <v>11</v>
      </c>
      <c r="AH7" s="26">
        <f>Debt!AH9</f>
        <v>12</v>
      </c>
      <c r="AI7" s="26">
        <f>Debt!AI9</f>
        <v>13</v>
      </c>
      <c r="AJ7" s="26">
        <f>Debt!AJ9</f>
        <v>14</v>
      </c>
      <c r="AK7" s="26">
        <f>Debt!AK9</f>
        <v>15</v>
      </c>
      <c r="AL7" s="26">
        <f>Debt!AL9</f>
        <v>16</v>
      </c>
      <c r="AM7" s="26">
        <f>Debt!AM9</f>
        <v>17</v>
      </c>
      <c r="AN7" s="26">
        <f>Debt!AN9</f>
        <v>18</v>
      </c>
      <c r="AO7" s="26">
        <f>Debt!AO9</f>
        <v>19</v>
      </c>
      <c r="AP7" s="26">
        <f>Debt!AP9</f>
        <v>20</v>
      </c>
      <c r="AQ7" s="26">
        <f>Debt!AQ9</f>
        <v>21</v>
      </c>
      <c r="AR7" s="26">
        <f>Debt!AR9</f>
        <v>22</v>
      </c>
      <c r="AS7" s="26">
        <f>Debt!AS9</f>
        <v>23</v>
      </c>
      <c r="AT7" s="26">
        <f>Debt!AT9</f>
        <v>24</v>
      </c>
      <c r="AU7" s="26">
        <f>Debt!AU9</f>
        <v>25</v>
      </c>
      <c r="AV7" s="26">
        <f>Debt!AV9</f>
        <v>26</v>
      </c>
      <c r="AW7" s="26">
        <f>Debt!AW9</f>
        <v>0</v>
      </c>
      <c r="AX7" s="26">
        <f>Debt!AX9</f>
        <v>0</v>
      </c>
      <c r="AY7" s="26">
        <f>Debt!AY9</f>
        <v>0</v>
      </c>
      <c r="AZ7" s="26">
        <f>Debt!AZ9</f>
        <v>0</v>
      </c>
      <c r="BA7" s="26">
        <f>Debt!BA9</f>
        <v>0</v>
      </c>
      <c r="BB7" s="26">
        <f>Debt!BB9</f>
        <v>0</v>
      </c>
      <c r="BC7" s="26">
        <f>Debt!BC9</f>
        <v>0</v>
      </c>
      <c r="BD7" s="26">
        <f>Debt!BD9</f>
        <v>0</v>
      </c>
      <c r="BE7" s="26">
        <f>Debt!BE9</f>
        <v>0</v>
      </c>
      <c r="BF7" s="26">
        <f>Debt!BF9</f>
        <v>0</v>
      </c>
      <c r="BG7" s="26">
        <f>Debt!BG9</f>
        <v>0</v>
      </c>
      <c r="BH7" s="26">
        <f>Debt!BH9</f>
        <v>0</v>
      </c>
      <c r="BI7" s="26">
        <f>Debt!BI9</f>
        <v>0</v>
      </c>
      <c r="BJ7" s="26">
        <f>Debt!BJ9</f>
        <v>0</v>
      </c>
      <c r="BK7" t="s">
        <v>102</v>
      </c>
    </row>
    <row r="8" spans="1:63" ht="11.25" customHeight="1" x14ac:dyDescent="0.25">
      <c r="A8" s="5"/>
      <c r="B8" s="5" t="s">
        <v>215</v>
      </c>
      <c r="C8" s="93" t="s">
        <v>1</v>
      </c>
      <c r="D8" s="22"/>
      <c r="E8" s="92">
        <f>SUM(G8:BJ8)</f>
        <v>878393.29141799652</v>
      </c>
      <c r="F8" s="12" t="s">
        <v>26</v>
      </c>
      <c r="G8" s="26">
        <f>IF(G7&gt;0,CF!G19,0)</f>
        <v>0</v>
      </c>
      <c r="H8" s="26">
        <f>IF(H7&gt;0,CF!H19,0)</f>
        <v>0</v>
      </c>
      <c r="I8" s="26">
        <f>IF(I7&gt;0,CF!I19,0)</f>
        <v>0</v>
      </c>
      <c r="J8" s="26">
        <f>IF(J7&gt;0,CF!J19,0)</f>
        <v>0</v>
      </c>
      <c r="K8" s="26">
        <f>IF(K7&gt;0,CF!K19,0)</f>
        <v>0</v>
      </c>
      <c r="L8" s="26">
        <f>IF(L7&gt;0,CF!L19,0)</f>
        <v>0</v>
      </c>
      <c r="M8" s="26">
        <f>IF(M7&gt;0,CF!M19,0)</f>
        <v>0</v>
      </c>
      <c r="N8" s="26">
        <f>IF(N7&gt;0,CF!N19,0)</f>
        <v>0</v>
      </c>
      <c r="O8" s="26">
        <f>IF(O7&gt;0,CF!O19,0)</f>
        <v>0</v>
      </c>
      <c r="P8" s="26">
        <f>IF(P7&gt;0,CF!P19,0)</f>
        <v>0</v>
      </c>
      <c r="Q8" s="26">
        <f>IF(Q7&gt;0,CF!Q19,0)</f>
        <v>0</v>
      </c>
      <c r="R8" s="26">
        <f>IF(R7&gt;0,CF!R19,0)</f>
        <v>0</v>
      </c>
      <c r="S8" s="26">
        <f>IF(S7&gt;0,CF!S19,0)</f>
        <v>0</v>
      </c>
      <c r="T8" s="26">
        <f>IF(T7&gt;0,CF!T19,0)</f>
        <v>0</v>
      </c>
      <c r="U8" s="26">
        <f>IF(U7&gt;0,CF!U19,0)</f>
        <v>0</v>
      </c>
      <c r="V8" s="26">
        <f>IF(V7&gt;0,CF!V19,0)</f>
        <v>0</v>
      </c>
      <c r="W8" s="26">
        <f>IF(W7&gt;0,CF!W19,0)</f>
        <v>37981.003015992872</v>
      </c>
      <c r="X8" s="26">
        <f>IF(X7&gt;0,CF!X19,0)</f>
        <v>38875.797955001108</v>
      </c>
      <c r="Y8" s="26">
        <f>IF(Y7&gt;0,CF!Y19,0)</f>
        <v>38118.479381379861</v>
      </c>
      <c r="Z8" s="26">
        <f>IF(Z7&gt;0,CF!Z19,0)</f>
        <v>39331.923635796367</v>
      </c>
      <c r="AA8" s="26">
        <f>IF(AA7&gt;0,CF!AA19,0)</f>
        <v>38563.297502779802</v>
      </c>
      <c r="AB8" s="26">
        <f>IF(AB7&gt;0,CF!AB19,0)</f>
        <v>39782.717753159006</v>
      </c>
      <c r="AC8" s="26">
        <f>IF(AC7&gt;0,CF!AC19,0)</f>
        <v>39014.453473406706</v>
      </c>
      <c r="AD8" s="26">
        <f>IF(AD7&gt;0,CF!AD19,0)</f>
        <v>23423.323696896507</v>
      </c>
      <c r="AE8" s="26">
        <f>IF(AE7&gt;0,CF!AE19,0)</f>
        <v>41391.957425576853</v>
      </c>
      <c r="AF8" s="26">
        <f>IF(AF7&gt;0,CF!AF19,0)</f>
        <v>41498.481236919761</v>
      </c>
      <c r="AG8" s="26">
        <f>IF(AG7&gt;0,CF!AG19,0)</f>
        <v>40703.936916985826</v>
      </c>
      <c r="AH8" s="26">
        <f>IF(AH7&gt;0,CF!AH19,0)</f>
        <v>41169.436459091623</v>
      </c>
      <c r="AI8" s="26">
        <f>IF(AI7&gt;0,CF!AI19,0)</f>
        <v>40370.271857958985</v>
      </c>
      <c r="AJ8" s="26">
        <f>IF(AJ7&gt;0,CF!AJ19,0)</f>
        <v>41796.921559180897</v>
      </c>
      <c r="AK8" s="26">
        <f>IF(AK7&gt;0,CF!AK19,0)</f>
        <v>24059.276841480008</v>
      </c>
      <c r="AL8" s="26">
        <f>IF(AL7&gt;0,CF!AL19,0)</f>
        <v>12427.800263078287</v>
      </c>
      <c r="AM8" s="26">
        <f>IF(AM7&gt;0,CF!AM19,0)</f>
        <v>31527.243216645351</v>
      </c>
      <c r="AN8" s="26">
        <f>IF(AN7&gt;0,CF!AN19,0)</f>
        <v>32171.325577546144</v>
      </c>
      <c r="AO8" s="26">
        <f>IF(AO7&gt;0,CF!AO19,0)</f>
        <v>31914.760291416344</v>
      </c>
      <c r="AP8" s="26">
        <f>IF(AP7&gt;0,CF!AP19,0)</f>
        <v>31940.401524283268</v>
      </c>
      <c r="AQ8" s="26">
        <f>IF(AQ7&gt;0,CF!AQ19,0)</f>
        <v>31676.914537971141</v>
      </c>
      <c r="AR8" s="26">
        <f>IF(AR7&gt;0,CF!AR19,0)</f>
        <v>31631.166371079787</v>
      </c>
      <c r="AS8" s="26">
        <f>IF(AS7&gt;0,CF!AS19,0)</f>
        <v>31360.311048780146</v>
      </c>
      <c r="AT8" s="26">
        <f>IF(AT7&gt;0,CF!AT19,0)</f>
        <v>11977.394052200019</v>
      </c>
      <c r="AU8" s="26">
        <f>IF(AU7&gt;0,CF!AU19,0)</f>
        <v>32988.115504145069</v>
      </c>
      <c r="AV8" s="26">
        <f>IF(AV7&gt;0,CF!AV19,0)</f>
        <v>32696.580319244895</v>
      </c>
      <c r="AW8" s="26">
        <f>IF(AW7&gt;0,CF!AW19,0)</f>
        <v>0</v>
      </c>
      <c r="AX8" s="26">
        <f>IF(AX7&gt;0,CF!AX19,0)</f>
        <v>0</v>
      </c>
      <c r="AY8" s="26">
        <f>IF(AY7&gt;0,CF!AY19,0)</f>
        <v>0</v>
      </c>
      <c r="AZ8" s="26">
        <f>IF(AZ7&gt;0,CF!AZ19,0)</f>
        <v>0</v>
      </c>
      <c r="BA8" s="26">
        <f>IF(BA7&gt;0,CF!BA19,0)</f>
        <v>0</v>
      </c>
      <c r="BB8" s="26">
        <f>IF(BB7&gt;0,CF!BB19,0)</f>
        <v>0</v>
      </c>
      <c r="BC8" s="26">
        <f>IF(BC7&gt;0,CF!BC19,0)</f>
        <v>0</v>
      </c>
      <c r="BD8" s="26">
        <f>IF(BD7&gt;0,CF!BD19,0)</f>
        <v>0</v>
      </c>
      <c r="BE8" s="26">
        <f>IF(BE7&gt;0,CF!BE19,0)</f>
        <v>0</v>
      </c>
      <c r="BF8" s="26">
        <f>IF(BF7&gt;0,CF!BF19,0)</f>
        <v>0</v>
      </c>
      <c r="BG8" s="26">
        <f>IF(BG7&gt;0,CF!BG19,0)</f>
        <v>0</v>
      </c>
      <c r="BH8" s="26">
        <f>IF(BH7&gt;0,CF!BH19,0)</f>
        <v>0</v>
      </c>
      <c r="BI8" s="26">
        <f>IF(BI7&gt;0,CF!BI19,0)</f>
        <v>0</v>
      </c>
      <c r="BJ8" s="26">
        <f>IF(BJ7&gt;0,CF!BJ19,0)</f>
        <v>0</v>
      </c>
      <c r="BK8" t="s">
        <v>102</v>
      </c>
    </row>
    <row r="9" spans="1:63" ht="11.25" customHeight="1" x14ac:dyDescent="0.25">
      <c r="A9" s="5"/>
      <c r="B9" s="12" t="s">
        <v>216</v>
      </c>
      <c r="C9" s="93" t="s">
        <v>1</v>
      </c>
      <c r="D9" s="22"/>
      <c r="E9" s="92">
        <f>SUM(G9:BJ9)</f>
        <v>2404.3482684293476</v>
      </c>
      <c r="F9" s="12" t="s">
        <v>26</v>
      </c>
      <c r="G9" s="26">
        <f>IF(G7&gt;0,Reserves!G32,0)</f>
        <v>0</v>
      </c>
      <c r="H9" s="26">
        <f>IF(H7&gt;0,Reserves!H32,0)</f>
        <v>0</v>
      </c>
      <c r="I9" s="26">
        <f>IF(I7&gt;0,Reserves!I32,0)</f>
        <v>0</v>
      </c>
      <c r="J9" s="26">
        <f>IF(J7&gt;0,Reserves!J32,0)</f>
        <v>0</v>
      </c>
      <c r="K9" s="26">
        <f>IF(K7&gt;0,Reserves!K32,0)</f>
        <v>0</v>
      </c>
      <c r="L9" s="26">
        <f>IF(L7&gt;0,Reserves!L32,0)</f>
        <v>0</v>
      </c>
      <c r="M9" s="26">
        <f>IF(M7&gt;0,Reserves!M32,0)</f>
        <v>0</v>
      </c>
      <c r="N9" s="26">
        <f>IF(N7&gt;0,Reserves!N32,0)</f>
        <v>0</v>
      </c>
      <c r="O9" s="26">
        <f>IF(O7&gt;0,Reserves!O32,0)</f>
        <v>0</v>
      </c>
      <c r="P9" s="26">
        <f>IF(P7&gt;0,Reserves!P32,0)</f>
        <v>0</v>
      </c>
      <c r="Q9" s="26">
        <f>IF(Q7&gt;0,Reserves!Q32,0)</f>
        <v>0</v>
      </c>
      <c r="R9" s="26">
        <f>IF(R7&gt;0,Reserves!R32,0)</f>
        <v>0</v>
      </c>
      <c r="S9" s="26">
        <f>IF(S7&gt;0,Reserves!S32,0)</f>
        <v>0</v>
      </c>
      <c r="T9" s="26">
        <f>IF(T7&gt;0,Reserves!T32,0)</f>
        <v>0</v>
      </c>
      <c r="U9" s="26">
        <f>IF(U7&gt;0,Reserves!U32,0)</f>
        <v>0</v>
      </c>
      <c r="V9" s="26">
        <f>IF(V7&gt;0,Reserves!V32,0)</f>
        <v>0</v>
      </c>
      <c r="W9" s="26">
        <f>IF(W7&gt;0,Reserves!W32,0)</f>
        <v>97.926046168814281</v>
      </c>
      <c r="X9" s="26">
        <f>IF(X7&gt;0,Reserves!X32,0)</f>
        <v>97.926046168814281</v>
      </c>
      <c r="Y9" s="26">
        <f>IF(Y7&gt;0,Reserves!Y32,0)</f>
        <v>97.926046168814281</v>
      </c>
      <c r="Z9" s="26">
        <f>IF(Z7&gt;0,Reserves!Z32,0)</f>
        <v>97.926046168814281</v>
      </c>
      <c r="AA9" s="26">
        <f>IF(AA7&gt;0,Reserves!AA32,0)</f>
        <v>97.926046168814281</v>
      </c>
      <c r="AB9" s="26">
        <f>IF(AB7&gt;0,Reserves!AB32,0)</f>
        <v>97.926046168814281</v>
      </c>
      <c r="AC9" s="26">
        <f>IF(AC7&gt;0,Reserves!AC32,0)</f>
        <v>97.926046168814281</v>
      </c>
      <c r="AD9" s="26">
        <f>IF(AD7&gt;0,Reserves!AD32,0)</f>
        <v>97.926046168814281</v>
      </c>
      <c r="AE9" s="26">
        <f>IF(AE7&gt;0,Reserves!AE32,0)</f>
        <v>97.926046168814281</v>
      </c>
      <c r="AF9" s="26">
        <f>IF(AF7&gt;0,Reserves!AF32,0)</f>
        <v>97.926046168814281</v>
      </c>
      <c r="AG9" s="26">
        <f>IF(AG7&gt;0,Reserves!AG32,0)</f>
        <v>97.926046168814281</v>
      </c>
      <c r="AH9" s="26">
        <f>IF(AH7&gt;0,Reserves!AH32,0)</f>
        <v>97.926046168814281</v>
      </c>
      <c r="AI9" s="26">
        <f>IF(AI7&gt;0,Reserves!AI32,0)</f>
        <v>97.926046168814281</v>
      </c>
      <c r="AJ9" s="26">
        <f>IF(AJ7&gt;0,Reserves!AJ32,0)</f>
        <v>97.926046168814281</v>
      </c>
      <c r="AK9" s="26">
        <f>IF(AK7&gt;0,Reserves!AK32,0)</f>
        <v>97.926046168814281</v>
      </c>
      <c r="AL9" s="26">
        <f>IF(AL7&gt;0,Reserves!AL32,0)</f>
        <v>97.926046168814281</v>
      </c>
      <c r="AM9" s="26">
        <f>IF(AM7&gt;0,Reserves!AM32,0)</f>
        <v>32.256436903793414</v>
      </c>
      <c r="AN9" s="26">
        <f>IF(AN7&gt;0,Reserves!AN32,0)</f>
        <v>58.632667005792818</v>
      </c>
      <c r="AO9" s="26">
        <f>IF(AO7&gt;0,Reserves!AO32,0)</f>
        <v>96.846407804949848</v>
      </c>
      <c r="AP9" s="26">
        <f>IF(AP7&gt;0,Reserves!AP32,0)</f>
        <v>97.926046168814281</v>
      </c>
      <c r="AQ9" s="26">
        <f>IF(AQ7&gt;0,Reserves!AQ32,0)</f>
        <v>97.926046168814281</v>
      </c>
      <c r="AR9" s="26">
        <f>IF(AR7&gt;0,Reserves!AR32,0)</f>
        <v>97.926046168814281</v>
      </c>
      <c r="AS9" s="26">
        <f>IF(AS7&gt;0,Reserves!AS32,0)</f>
        <v>97.926046168814281</v>
      </c>
      <c r="AT9" s="26">
        <f>IF(AT7&gt;0,Reserves!AT32,0)</f>
        <v>97.926046168814281</v>
      </c>
      <c r="AU9" s="26">
        <f>IF(AU7&gt;0,Reserves!AU32,0)</f>
        <v>67.285751682208243</v>
      </c>
      <c r="AV9" s="26">
        <f>IF(AV7&gt;0,Reserves!AV32,0)</f>
        <v>92.880035487503562</v>
      </c>
      <c r="AW9" s="26">
        <f>IF(AW7&gt;0,Reserves!AW32,0)</f>
        <v>0</v>
      </c>
      <c r="AX9" s="26">
        <f>IF(AX7&gt;0,Reserves!AX32,0)</f>
        <v>0</v>
      </c>
      <c r="AY9" s="26">
        <f>IF(AY7&gt;0,Reserves!AY32,0)</f>
        <v>0</v>
      </c>
      <c r="AZ9" s="26">
        <f>IF(AZ7&gt;0,Reserves!AZ32,0)</f>
        <v>0</v>
      </c>
      <c r="BA9" s="26">
        <f>IF(BA7&gt;0,Reserves!BA32,0)</f>
        <v>0</v>
      </c>
      <c r="BB9" s="26">
        <f>IF(BB7&gt;0,Reserves!BB32,0)</f>
        <v>0</v>
      </c>
      <c r="BC9" s="26">
        <f>IF(BC7&gt;0,Reserves!BC32,0)</f>
        <v>0</v>
      </c>
      <c r="BD9" s="26">
        <f>IF(BD7&gt;0,Reserves!BD32,0)</f>
        <v>0</v>
      </c>
      <c r="BE9" s="26">
        <f>IF(BE7&gt;0,Reserves!BE32,0)</f>
        <v>0</v>
      </c>
      <c r="BF9" s="26">
        <f>IF(BF7&gt;0,Reserves!BF32,0)</f>
        <v>0</v>
      </c>
      <c r="BG9" s="26">
        <f>IF(BG7&gt;0,Reserves!BG32,0)</f>
        <v>0</v>
      </c>
      <c r="BH9" s="26">
        <f>IF(BH7&gt;0,Reserves!BH32,0)</f>
        <v>0</v>
      </c>
      <c r="BI9" s="26">
        <f>IF(BI7&gt;0,Reserves!BI32,0)</f>
        <v>0</v>
      </c>
      <c r="BJ9" s="26">
        <f>IF(BJ7&gt;0,Reserves!BJ32,0)</f>
        <v>0</v>
      </c>
      <c r="BK9" t="s">
        <v>102</v>
      </c>
    </row>
    <row r="10" spans="1:63" ht="11.25" customHeight="1" x14ac:dyDescent="0.25">
      <c r="A10" s="5"/>
      <c r="B10" s="12" t="s">
        <v>245</v>
      </c>
      <c r="C10" s="93" t="s">
        <v>1</v>
      </c>
      <c r="D10" s="22"/>
      <c r="E10" s="92">
        <f>SUM(G10:BJ10)</f>
        <v>7846.2251967855918</v>
      </c>
      <c r="F10" s="12" t="s">
        <v>26</v>
      </c>
      <c r="G10" s="26">
        <f>IF(G7&gt;0,'Working Capital'!G23,0)</f>
        <v>0</v>
      </c>
      <c r="H10" s="26">
        <f>IF(H7&gt;0,'Working Capital'!H23,0)</f>
        <v>0</v>
      </c>
      <c r="I10" s="26">
        <f>IF(I7&gt;0,'Working Capital'!I23,0)</f>
        <v>0</v>
      </c>
      <c r="J10" s="26">
        <f>IF(J7&gt;0,'Working Capital'!J23,0)</f>
        <v>0</v>
      </c>
      <c r="K10" s="26">
        <f>IF(K7&gt;0,'Working Capital'!K23,0)</f>
        <v>0</v>
      </c>
      <c r="L10" s="26">
        <f>IF(L7&gt;0,'Working Capital'!L23,0)</f>
        <v>0</v>
      </c>
      <c r="M10" s="26">
        <f>IF(M7&gt;0,'Working Capital'!M23,0)</f>
        <v>0</v>
      </c>
      <c r="N10" s="26">
        <f>IF(N7&gt;0,'Working Capital'!N23,0)</f>
        <v>0</v>
      </c>
      <c r="O10" s="26">
        <f>IF(O7&gt;0,'Working Capital'!O23,0)</f>
        <v>0</v>
      </c>
      <c r="P10" s="26">
        <f>IF(P7&gt;0,'Working Capital'!P23,0)</f>
        <v>0</v>
      </c>
      <c r="Q10" s="26">
        <f>IF(Q7&gt;0,'Working Capital'!Q23,0)</f>
        <v>0</v>
      </c>
      <c r="R10" s="26">
        <f>IF(R7&gt;0,'Working Capital'!R23,0)</f>
        <v>0</v>
      </c>
      <c r="S10" s="26">
        <f>IF(S7&gt;0,'Working Capital'!S23,0)</f>
        <v>0</v>
      </c>
      <c r="T10" s="26">
        <f>IF(T7&gt;0,'Working Capital'!T23,0)</f>
        <v>0</v>
      </c>
      <c r="U10" s="26">
        <f>IF(U7&gt;0,'Working Capital'!U23,0)</f>
        <v>0</v>
      </c>
      <c r="V10" s="26">
        <f>IF(V7&gt;0,'Working Capital'!V23,0)</f>
        <v>0</v>
      </c>
      <c r="W10" s="26">
        <f>IF(W7&gt;0,'Working Capital'!W23,0)</f>
        <v>0</v>
      </c>
      <c r="X10" s="26">
        <f>IF(X7&gt;0,'Working Capital'!X23,0)</f>
        <v>639.20437580240105</v>
      </c>
      <c r="Y10" s="26">
        <f>IF(Y7&gt;0,'Working Capital'!Y23,0)</f>
        <v>-550.84938760258956</v>
      </c>
      <c r="Z10" s="26">
        <f>IF(Z7&gt;0,'Working Capital'!Z23,0)</f>
        <v>637.30042588987635</v>
      </c>
      <c r="AA10" s="26">
        <f>IF(AA7&gt;0,'Working Capital'!AA23,0)</f>
        <v>-447.06128351162988</v>
      </c>
      <c r="AB10" s="26">
        <f>IF(AB7&gt;0,'Working Capital'!AB23,0)</f>
        <v>753.19242539520928</v>
      </c>
      <c r="AC10" s="26">
        <f>IF(AC7&gt;0,'Working Capital'!AC23,0)</f>
        <v>-561.08144882543274</v>
      </c>
      <c r="AD10" s="26">
        <f>IF(AD7&gt;0,'Working Capital'!AD23,0)</f>
        <v>-898.88726832953762</v>
      </c>
      <c r="AE10" s="26">
        <f>IF(AE7&gt;0,'Working Capital'!AE23,0)</f>
        <v>1882.45169044063</v>
      </c>
      <c r="AF10" s="26">
        <f>IF(AF7&gt;0,'Working Capital'!AF23,0)</f>
        <v>397.969149325123</v>
      </c>
      <c r="AG10" s="26">
        <f>IF(AG7&gt;0,'Working Capital'!AG23,0)</f>
        <v>-583.0926335011427</v>
      </c>
      <c r="AH10" s="26">
        <f>IF(AH7&gt;0,'Working Capital'!AH23,0)</f>
        <v>400.9742111634223</v>
      </c>
      <c r="AI10" s="26">
        <f>IF(AI7&gt;0,'Working Capital'!AI23,0)</f>
        <v>-467.64997572594075</v>
      </c>
      <c r="AJ10" s="26">
        <f>IF(AJ7&gt;0,'Working Capital'!AJ23,0)</f>
        <v>837.59369211490775</v>
      </c>
      <c r="AK10" s="26">
        <f>IF(AK7&gt;0,'Working Capital'!AK23,0)</f>
        <v>562.57342846773099</v>
      </c>
      <c r="AL10" s="26">
        <f>IF(AL7&gt;0,'Working Capital'!AL23,0)</f>
        <v>497.38342952810854</v>
      </c>
      <c r="AM10" s="26">
        <f>IF(AM7&gt;0,'Working Capital'!AM23,0)</f>
        <v>2611.5431869422137</v>
      </c>
      <c r="AN10" s="26">
        <f>IF(AN7&gt;0,'Working Capital'!AN23,0)</f>
        <v>625.05318283195811</v>
      </c>
      <c r="AO10" s="26">
        <f>IF(AO7&gt;0,'Working Capital'!AO23,0)</f>
        <v>-350.14999930900376</v>
      </c>
      <c r="AP10" s="26">
        <f>IF(AP7&gt;0,'Working Capital'!AP23,0)</f>
        <v>280.63230809769448</v>
      </c>
      <c r="AQ10" s="26">
        <f>IF(AQ7&gt;0,'Working Capital'!AQ23,0)</f>
        <v>-211.39257455470943</v>
      </c>
      <c r="AR10" s="26">
        <f>IF(AR7&gt;0,'Working Capital'!AR23,0)</f>
        <v>396.7057760063326</v>
      </c>
      <c r="AS10" s="26">
        <f>IF(AS7&gt;0,'Working Capital'!AS23,0)</f>
        <v>-353.15399342049932</v>
      </c>
      <c r="AT10" s="26">
        <f>IF(AT7&gt;0,'Working Capital'!AT23,0)</f>
        <v>-1546.4969102280229</v>
      </c>
      <c r="AU10" s="26">
        <f>IF(AU7&gt;0,'Working Capital'!AU23,0)</f>
        <v>2786.4868978047343</v>
      </c>
      <c r="AV10" s="26">
        <f>IF(AV7&gt;0,'Working Capital'!AV23,0)</f>
        <v>506.97649198375802</v>
      </c>
      <c r="AW10" s="26">
        <f>IF(AW7&gt;0,'Working Capital'!AW23,0)</f>
        <v>0</v>
      </c>
      <c r="AX10" s="26">
        <f>IF(AX7&gt;0,'Working Capital'!AX23,0)</f>
        <v>0</v>
      </c>
      <c r="AY10" s="26">
        <f>IF(AY7&gt;0,'Working Capital'!AY23,0)</f>
        <v>0</v>
      </c>
      <c r="AZ10" s="26">
        <f>IF(AZ7&gt;0,'Working Capital'!AZ23,0)</f>
        <v>0</v>
      </c>
      <c r="BA10" s="26">
        <f>IF(BA7&gt;0,'Working Capital'!BA23,0)</f>
        <v>0</v>
      </c>
      <c r="BB10" s="26">
        <f>IF(BB7&gt;0,'Working Capital'!BB23,0)</f>
        <v>0</v>
      </c>
      <c r="BC10" s="26">
        <f>IF(BC7&gt;0,'Working Capital'!BC23,0)</f>
        <v>0</v>
      </c>
      <c r="BD10" s="26">
        <f>IF(BD7&gt;0,'Working Capital'!BD23,0)</f>
        <v>0</v>
      </c>
      <c r="BE10" s="26">
        <f>IF(BE7&gt;0,'Working Capital'!BE23,0)</f>
        <v>0</v>
      </c>
      <c r="BF10" s="26">
        <f>IF(BF7&gt;0,'Working Capital'!BF23,0)</f>
        <v>0</v>
      </c>
      <c r="BG10" s="26">
        <f>IF(BG7&gt;0,'Working Capital'!BG23,0)</f>
        <v>0</v>
      </c>
      <c r="BH10" s="26">
        <f>IF(BH7&gt;0,'Working Capital'!BH23,0)</f>
        <v>0</v>
      </c>
      <c r="BI10" s="26">
        <f>IF(BI7&gt;0,'Working Capital'!BI23,0)</f>
        <v>0</v>
      </c>
      <c r="BJ10" s="26">
        <f>IF(BJ7&gt;0,'Working Capital'!BJ23,0)</f>
        <v>0</v>
      </c>
      <c r="BK10" t="s">
        <v>102</v>
      </c>
    </row>
    <row r="11" spans="1:63" ht="11.25" customHeight="1" x14ac:dyDescent="0.25">
      <c r="A11" s="5"/>
      <c r="B11" s="12" t="s">
        <v>115</v>
      </c>
      <c r="C11" s="93" t="s">
        <v>1</v>
      </c>
      <c r="D11" s="22"/>
      <c r="E11" s="92">
        <f>SUM(G11:BJ11)</f>
        <v>6365.6924570898354</v>
      </c>
      <c r="F11" s="26" t="s">
        <v>26</v>
      </c>
      <c r="G11" s="26">
        <f>IF(G7&gt;0,CapEx!G13,0)</f>
        <v>0</v>
      </c>
      <c r="H11" s="26">
        <f>IF(H7&gt;0,CapEx!H13,0)</f>
        <v>0</v>
      </c>
      <c r="I11" s="26">
        <f>IF(I7&gt;0,CapEx!I13,0)</f>
        <v>0</v>
      </c>
      <c r="J11" s="26">
        <f>IF(J7&gt;0,CapEx!J13,0)</f>
        <v>0</v>
      </c>
      <c r="K11" s="26">
        <f>IF(K7&gt;0,CapEx!K13,0)</f>
        <v>0</v>
      </c>
      <c r="L11" s="26">
        <f>IF(L7&gt;0,CapEx!L13,0)</f>
        <v>0</v>
      </c>
      <c r="M11" s="26">
        <f>IF(M7&gt;0,CapEx!M13,0)</f>
        <v>0</v>
      </c>
      <c r="N11" s="26">
        <f>IF(N7&gt;0,CapEx!N13,0)</f>
        <v>0</v>
      </c>
      <c r="O11" s="26">
        <f>IF(O7&gt;0,CapEx!O13,0)</f>
        <v>0</v>
      </c>
      <c r="P11" s="26">
        <f>IF(P7&gt;0,CapEx!P13,0)</f>
        <v>0</v>
      </c>
      <c r="Q11" s="26">
        <f>IF(Q7&gt;0,CapEx!Q13,0)</f>
        <v>0</v>
      </c>
      <c r="R11" s="26">
        <f>IF(R7&gt;0,CapEx!R13,0)</f>
        <v>0</v>
      </c>
      <c r="S11" s="26">
        <f>IF(S7&gt;0,CapEx!S13,0)</f>
        <v>0</v>
      </c>
      <c r="T11" s="26">
        <f>IF(T7&gt;0,CapEx!T13,0)</f>
        <v>0</v>
      </c>
      <c r="U11" s="26">
        <f>IF(U7&gt;0,CapEx!U13,0)</f>
        <v>0</v>
      </c>
      <c r="V11" s="26">
        <f>IF(V7&gt;0,CapEx!V13,0)</f>
        <v>0</v>
      </c>
      <c r="W11" s="26">
        <f>IF(W7&gt;0,CapEx!W13,0)</f>
        <v>0</v>
      </c>
      <c r="X11" s="26">
        <f>IF(X7&gt;0,CapEx!X13,0)</f>
        <v>0</v>
      </c>
      <c r="Y11" s="26">
        <f>IF(Y7&gt;0,CapEx!Y13,0)</f>
        <v>0</v>
      </c>
      <c r="Z11" s="26">
        <f>IF(Z7&gt;0,CapEx!Z13,0)</f>
        <v>0</v>
      </c>
      <c r="AA11" s="26">
        <f>IF(AA7&gt;0,CapEx!AA13,0)</f>
        <v>0</v>
      </c>
      <c r="AB11" s="26">
        <f>IF(AB7&gt;0,CapEx!AB13,0)</f>
        <v>0</v>
      </c>
      <c r="AC11" s="26">
        <f>IF(AC7&gt;0,CapEx!AC13,0)</f>
        <v>0</v>
      </c>
      <c r="AD11" s="26">
        <f>IF(AD7&gt;0,CapEx!AD13,0)</f>
        <v>0</v>
      </c>
      <c r="AE11" s="26">
        <f>IF(AE7&gt;0,CapEx!AE13,0)</f>
        <v>0</v>
      </c>
      <c r="AF11" s="26">
        <f>IF(AF7&gt;0,CapEx!AF13,0)</f>
        <v>0</v>
      </c>
      <c r="AG11" s="26">
        <f>IF(AG7&gt;0,CapEx!AG13,0)</f>
        <v>0</v>
      </c>
      <c r="AH11" s="26">
        <f>IF(AH7&gt;0,CapEx!AH13,0)</f>
        <v>0</v>
      </c>
      <c r="AI11" s="26">
        <f>IF(AI7&gt;0,CapEx!AI13,0)</f>
        <v>0</v>
      </c>
      <c r="AJ11" s="26">
        <f>IF(AJ7&gt;0,CapEx!AJ13,0)</f>
        <v>0</v>
      </c>
      <c r="AK11" s="26">
        <f>IF(AK7&gt;0,CapEx!AK13,0)</f>
        <v>0</v>
      </c>
      <c r="AL11" s="26">
        <f>IF(AL7&gt;0,CapEx!AL13,0)</f>
        <v>6365.6924570898354</v>
      </c>
      <c r="AM11" s="26">
        <f>IF(AM7&gt;0,CapEx!AM13,0)</f>
        <v>0</v>
      </c>
      <c r="AN11" s="26">
        <f>IF(AN7&gt;0,CapEx!AN13,0)</f>
        <v>0</v>
      </c>
      <c r="AO11" s="26">
        <f>IF(AO7&gt;0,CapEx!AO13,0)</f>
        <v>0</v>
      </c>
      <c r="AP11" s="26">
        <f>IF(AP7&gt;0,CapEx!AP13,0)</f>
        <v>0</v>
      </c>
      <c r="AQ11" s="26">
        <f>IF(AQ7&gt;0,CapEx!AQ13,0)</f>
        <v>0</v>
      </c>
      <c r="AR11" s="26">
        <f>IF(AR7&gt;0,CapEx!AR13,0)</f>
        <v>0</v>
      </c>
      <c r="AS11" s="26">
        <f>IF(AS7&gt;0,CapEx!AS13,0)</f>
        <v>0</v>
      </c>
      <c r="AT11" s="26">
        <f>IF(AT7&gt;0,CapEx!AT13,0)</f>
        <v>0</v>
      </c>
      <c r="AU11" s="26">
        <f>IF(AU7&gt;0,CapEx!AU13,0)</f>
        <v>0</v>
      </c>
      <c r="AV11" s="26">
        <f>IF(AV7&gt;0,CapEx!AV13,0)</f>
        <v>0</v>
      </c>
      <c r="AW11" s="26">
        <f>IF(AW7&gt;0,CapEx!AW13,0)</f>
        <v>0</v>
      </c>
      <c r="AX11" s="26">
        <f>IF(AX7&gt;0,CapEx!AX13,0)</f>
        <v>0</v>
      </c>
      <c r="AY11" s="26">
        <f>IF(AY7&gt;0,CapEx!AY13,0)</f>
        <v>0</v>
      </c>
      <c r="AZ11" s="26">
        <f>IF(AZ7&gt;0,CapEx!AZ13,0)</f>
        <v>0</v>
      </c>
      <c r="BA11" s="26">
        <f>IF(BA7&gt;0,CapEx!BA13,0)</f>
        <v>0</v>
      </c>
      <c r="BB11" s="26">
        <f>IF(BB7&gt;0,CapEx!BB13,0)</f>
        <v>0</v>
      </c>
      <c r="BC11" s="26">
        <f>IF(BC7&gt;0,CapEx!BC13,0)</f>
        <v>0</v>
      </c>
      <c r="BD11" s="26">
        <f>IF(BD7&gt;0,CapEx!BD13,0)</f>
        <v>0</v>
      </c>
      <c r="BE11" s="26">
        <f>IF(BE7&gt;0,CapEx!BE13,0)</f>
        <v>0</v>
      </c>
      <c r="BF11" s="26">
        <f>IF(BF7&gt;0,CapEx!BF13,0)</f>
        <v>0</v>
      </c>
      <c r="BG11" s="26">
        <f>IF(BG7&gt;0,CapEx!BG13,0)</f>
        <v>0</v>
      </c>
      <c r="BH11" s="26">
        <f>IF(BH7&gt;0,CapEx!BH13,0)</f>
        <v>0</v>
      </c>
      <c r="BI11" s="26">
        <f>IF(BI7&gt;0,CapEx!BI13,0)</f>
        <v>0</v>
      </c>
      <c r="BJ11" s="26">
        <f>IF(BJ7&gt;0,CapEx!BJ13,0)</f>
        <v>0</v>
      </c>
      <c r="BK11" t="s">
        <v>102</v>
      </c>
    </row>
    <row r="12" spans="1:63" ht="11.25" customHeight="1" x14ac:dyDescent="0.25">
      <c r="A12" s="5"/>
      <c r="B12" s="63" t="s">
        <v>246</v>
      </c>
      <c r="C12" s="170" t="s">
        <v>1</v>
      </c>
      <c r="D12" s="110"/>
      <c r="E12" s="171">
        <f t="shared" ref="E12:E13" si="0">SUM(G12:BJ12)</f>
        <v>116328.08790223821</v>
      </c>
      <c r="F12" s="171" t="s">
        <v>26</v>
      </c>
      <c r="G12" s="171">
        <f>IF(G7&gt;0,Tax!G14,0)</f>
        <v>0</v>
      </c>
      <c r="H12" s="171">
        <f>IF(H7&gt;0,Tax!H14,0)</f>
        <v>0</v>
      </c>
      <c r="I12" s="171">
        <f>IF(I7&gt;0,Tax!I14,0)</f>
        <v>0</v>
      </c>
      <c r="J12" s="171">
        <f>IF(J7&gt;0,Tax!J14,0)</f>
        <v>0</v>
      </c>
      <c r="K12" s="171">
        <f>IF(K7&gt;0,Tax!K14,0)</f>
        <v>0</v>
      </c>
      <c r="L12" s="171">
        <f>IF(L7&gt;0,Tax!L14,0)</f>
        <v>0</v>
      </c>
      <c r="M12" s="171">
        <f>IF(M7&gt;0,Tax!M14,0)</f>
        <v>0</v>
      </c>
      <c r="N12" s="171">
        <f>IF(N7&gt;0,Tax!N14,0)</f>
        <v>0</v>
      </c>
      <c r="O12" s="171">
        <f>IF(O7&gt;0,Tax!O14,0)</f>
        <v>0</v>
      </c>
      <c r="P12" s="171">
        <f>IF(P7&gt;0,Tax!P14,0)</f>
        <v>0</v>
      </c>
      <c r="Q12" s="171">
        <f>IF(Q7&gt;0,Tax!Q14,0)</f>
        <v>0</v>
      </c>
      <c r="R12" s="171">
        <f>IF(R7&gt;0,Tax!R14,0)</f>
        <v>0</v>
      </c>
      <c r="S12" s="171">
        <f>IF(S7&gt;0,Tax!S14,0)</f>
        <v>0</v>
      </c>
      <c r="T12" s="171">
        <f>IF(T7&gt;0,Tax!T14,0)</f>
        <v>0</v>
      </c>
      <c r="U12" s="171">
        <f>IF(U7&gt;0,Tax!U14,0)</f>
        <v>0</v>
      </c>
      <c r="V12" s="171">
        <f>IF(V7&gt;0,Tax!V14,0)</f>
        <v>0</v>
      </c>
      <c r="W12" s="171">
        <f>IF(W7&gt;0,Tax!W14,0)</f>
        <v>4404.7111782174261</v>
      </c>
      <c r="X12" s="171">
        <f>IF(X7&gt;0,Tax!X14,0)</f>
        <v>4698.5083130223866</v>
      </c>
      <c r="Y12" s="171">
        <f>IF(Y7&gt;0,Tax!Y14,0)</f>
        <v>4581.7410284318375</v>
      </c>
      <c r="Z12" s="171">
        <f>IF(Z7&gt;0,Tax!Z14,0)</f>
        <v>4960.2150177630647</v>
      </c>
      <c r="AA12" s="171">
        <f>IF(AA7&gt;0,Tax!AA14,0)</f>
        <v>4845.8116295753316</v>
      </c>
      <c r="AB12" s="171">
        <f>IF(AB7&gt;0,Tax!AB14,0)</f>
        <v>5231.1528602856251</v>
      </c>
      <c r="AC12" s="171">
        <f>IF(AC7&gt;0,Tax!AC14,0)</f>
        <v>5122.4020472723023</v>
      </c>
      <c r="AD12" s="171">
        <f>IF(AD7&gt;0,Tax!AD14,0)</f>
        <v>1310.8633913504086</v>
      </c>
      <c r="AE12" s="171">
        <f>IF(AE7&gt;0,Tax!AE14,0)</f>
        <v>5892.2970808815826</v>
      </c>
      <c r="AF12" s="171">
        <f>IF(AF7&gt;0,Tax!AF14,0)</f>
        <v>6011.3413163746372</v>
      </c>
      <c r="AG12" s="171">
        <f>IF(AG7&gt;0,Tax!AG14,0)</f>
        <v>5908.366845933886</v>
      </c>
      <c r="AH12" s="171">
        <f>IF(AH7&gt;0,Tax!AH14,0)</f>
        <v>6123.7658465784971</v>
      </c>
      <c r="AI12" s="171">
        <f>IF(AI7&gt;0,Tax!AI14,0)</f>
        <v>6026.4795090599</v>
      </c>
      <c r="AJ12" s="171">
        <f>IF(AJ7&gt;0,Tax!AJ14,0)</f>
        <v>6489.2497912986164</v>
      </c>
      <c r="AK12" s="171">
        <f>IF(AK7&gt;0,Tax!AK14,0)</f>
        <v>2164.6761599778347</v>
      </c>
      <c r="AL12" s="171">
        <f>IF(AL7&gt;0,Tax!AL14,0)</f>
        <v>-788.63695812952892</v>
      </c>
      <c r="AM12" s="171">
        <f>IF(AM7&gt;0,Tax!AM14,0)</f>
        <v>4087.5012124441937</v>
      </c>
      <c r="AN12" s="171">
        <f>IF(AN7&gt;0,Tax!AN14,0)</f>
        <v>4376.9476681257156</v>
      </c>
      <c r="AO12" s="171">
        <f>IF(AO7&gt;0,Tax!AO14,0)</f>
        <v>4448.4739777726463</v>
      </c>
      <c r="AP12" s="171">
        <f>IF(AP7&gt;0,Tax!AP14,0)</f>
        <v>4585.7013055486186</v>
      </c>
      <c r="AQ12" s="171">
        <f>IF(AQ7&gt;0,Tax!AQ14,0)</f>
        <v>4654.9653998542462</v>
      </c>
      <c r="AR12" s="171">
        <f>IF(AR7&gt;0,Tax!AR14,0)</f>
        <v>4783.4142238221275</v>
      </c>
      <c r="AS12" s="171">
        <f>IF(AS7&gt;0,Tax!AS14,0)</f>
        <v>4860.503247116967</v>
      </c>
      <c r="AT12" s="171">
        <f>IF(AT7&gt;0,Tax!AT14,0)</f>
        <v>164.66667215520556</v>
      </c>
      <c r="AU12" s="171">
        <f>IF(AU7&gt;0,Tax!AU14,0)</f>
        <v>5564.84836320063</v>
      </c>
      <c r="AV12" s="171">
        <f>IF(AV7&gt;0,Tax!AV14,0)</f>
        <v>5818.1207743040486</v>
      </c>
      <c r="AW12" s="171">
        <f>IF(AW7&gt;0,Tax!AW14,0)</f>
        <v>0</v>
      </c>
      <c r="AX12" s="171">
        <f>IF(AX7&gt;0,Tax!AX14,0)</f>
        <v>0</v>
      </c>
      <c r="AY12" s="171">
        <f>IF(AY7&gt;0,Tax!AY14,0)</f>
        <v>0</v>
      </c>
      <c r="AZ12" s="171">
        <f>IF(AZ7&gt;0,Tax!AZ14,0)</f>
        <v>0</v>
      </c>
      <c r="BA12" s="171">
        <f>IF(BA7&gt;0,Tax!BA14,0)</f>
        <v>0</v>
      </c>
      <c r="BB12" s="171">
        <f>IF(BB7&gt;0,Tax!BB14,0)</f>
        <v>0</v>
      </c>
      <c r="BC12" s="171">
        <f>IF(BC7&gt;0,Tax!BC14,0)</f>
        <v>0</v>
      </c>
      <c r="BD12" s="171">
        <f>IF(BD7&gt;0,Tax!BD14,0)</f>
        <v>0</v>
      </c>
      <c r="BE12" s="171">
        <f>IF(BE7&gt;0,Tax!BE14,0)</f>
        <v>0</v>
      </c>
      <c r="BF12" s="171">
        <f>IF(BF7&gt;0,Tax!BF14,0)</f>
        <v>0</v>
      </c>
      <c r="BG12" s="171">
        <f>IF(BG7&gt;0,Tax!BG14,0)</f>
        <v>0</v>
      </c>
      <c r="BH12" s="171">
        <f>IF(BH7&gt;0,Tax!BH14,0)</f>
        <v>0</v>
      </c>
      <c r="BI12" s="171">
        <f>IF(BI7&gt;0,Tax!BI14,0)</f>
        <v>0</v>
      </c>
      <c r="BJ12" s="171">
        <f>IF(BJ7&gt;0,Tax!BJ14,0)</f>
        <v>0</v>
      </c>
      <c r="BK12" t="s">
        <v>102</v>
      </c>
    </row>
    <row r="13" spans="1:63" ht="11.25" customHeight="1" x14ac:dyDescent="0.25">
      <c r="A13" s="5"/>
      <c r="B13" s="5" t="s">
        <v>247</v>
      </c>
      <c r="C13" s="94" t="s">
        <v>1</v>
      </c>
      <c r="D13" s="5"/>
      <c r="E13" s="1">
        <f t="shared" si="0"/>
        <v>750257.63413031248</v>
      </c>
      <c r="F13" s="1" t="s">
        <v>26</v>
      </c>
      <c r="G13" s="1">
        <f>G8+G9-G10-G11-G12</f>
        <v>0</v>
      </c>
      <c r="H13" s="1">
        <f t="shared" ref="H13:BJ13" si="1">H8+H9-H10-H11-H12</f>
        <v>0</v>
      </c>
      <c r="I13" s="1">
        <f t="shared" si="1"/>
        <v>0</v>
      </c>
      <c r="J13" s="1">
        <f t="shared" si="1"/>
        <v>0</v>
      </c>
      <c r="K13" s="1">
        <f t="shared" si="1"/>
        <v>0</v>
      </c>
      <c r="L13" s="1">
        <f t="shared" si="1"/>
        <v>0</v>
      </c>
      <c r="M13" s="1">
        <f t="shared" si="1"/>
        <v>0</v>
      </c>
      <c r="N13" s="1">
        <f t="shared" si="1"/>
        <v>0</v>
      </c>
      <c r="O13" s="1">
        <f t="shared" si="1"/>
        <v>0</v>
      </c>
      <c r="P13" s="1">
        <f t="shared" si="1"/>
        <v>0</v>
      </c>
      <c r="Q13" s="1">
        <f t="shared" si="1"/>
        <v>0</v>
      </c>
      <c r="R13" s="1">
        <f t="shared" si="1"/>
        <v>0</v>
      </c>
      <c r="S13" s="1">
        <f t="shared" si="1"/>
        <v>0</v>
      </c>
      <c r="T13" s="1">
        <f t="shared" si="1"/>
        <v>0</v>
      </c>
      <c r="U13" s="1">
        <f t="shared" si="1"/>
        <v>0</v>
      </c>
      <c r="V13" s="1">
        <f t="shared" si="1"/>
        <v>0</v>
      </c>
      <c r="W13" s="1">
        <f t="shared" si="1"/>
        <v>33674.217883944264</v>
      </c>
      <c r="X13" s="1">
        <f t="shared" si="1"/>
        <v>33636.011312345137</v>
      </c>
      <c r="Y13" s="1">
        <f t="shared" si="1"/>
        <v>34185.513786719428</v>
      </c>
      <c r="Z13" s="1">
        <f t="shared" si="1"/>
        <v>33832.334238312236</v>
      </c>
      <c r="AA13" s="1">
        <f t="shared" si="1"/>
        <v>34262.473202884925</v>
      </c>
      <c r="AB13" s="1">
        <f t="shared" si="1"/>
        <v>33896.298513646987</v>
      </c>
      <c r="AC13" s="1">
        <f t="shared" si="1"/>
        <v>34551.058921128657</v>
      </c>
      <c r="AD13" s="1">
        <f t="shared" si="1"/>
        <v>23109.273620044449</v>
      </c>
      <c r="AE13" s="1">
        <f t="shared" si="1"/>
        <v>33715.134700423463</v>
      </c>
      <c r="AF13" s="1">
        <f t="shared" si="1"/>
        <v>35187.096817388818</v>
      </c>
      <c r="AG13" s="1">
        <f t="shared" si="1"/>
        <v>35476.588750721894</v>
      </c>
      <c r="AH13" s="1">
        <f t="shared" si="1"/>
        <v>34742.622447518523</v>
      </c>
      <c r="AI13" s="1">
        <f t="shared" si="1"/>
        <v>34909.36837079384</v>
      </c>
      <c r="AJ13" s="1">
        <f t="shared" si="1"/>
        <v>34568.004121936188</v>
      </c>
      <c r="AK13" s="1">
        <f t="shared" si="1"/>
        <v>21429.953299203255</v>
      </c>
      <c r="AL13" s="1">
        <f t="shared" si="1"/>
        <v>6451.2873807586857</v>
      </c>
      <c r="AM13" s="1">
        <f t="shared" si="1"/>
        <v>24860.455254162738</v>
      </c>
      <c r="AN13" s="1">
        <f t="shared" si="1"/>
        <v>27227.957393594264</v>
      </c>
      <c r="AO13" s="1">
        <f t="shared" si="1"/>
        <v>27913.282720757652</v>
      </c>
      <c r="AP13" s="1">
        <f t="shared" si="1"/>
        <v>27171.993956805767</v>
      </c>
      <c r="AQ13" s="1">
        <f t="shared" si="1"/>
        <v>27331.267758840419</v>
      </c>
      <c r="AR13" s="1">
        <f t="shared" si="1"/>
        <v>26548.97241742014</v>
      </c>
      <c r="AS13" s="1">
        <f t="shared" si="1"/>
        <v>26950.887841252494</v>
      </c>
      <c r="AT13" s="1">
        <f t="shared" si="1"/>
        <v>13457.150336441649</v>
      </c>
      <c r="AU13" s="1">
        <f t="shared" si="1"/>
        <v>24704.065994821918</v>
      </c>
      <c r="AV13" s="1">
        <f t="shared" si="1"/>
        <v>26464.363088444596</v>
      </c>
      <c r="AW13" s="1">
        <f t="shared" si="1"/>
        <v>0</v>
      </c>
      <c r="AX13" s="1">
        <f t="shared" si="1"/>
        <v>0</v>
      </c>
      <c r="AY13" s="1">
        <f t="shared" si="1"/>
        <v>0</v>
      </c>
      <c r="AZ13" s="1">
        <f t="shared" si="1"/>
        <v>0</v>
      </c>
      <c r="BA13" s="1">
        <f t="shared" si="1"/>
        <v>0</v>
      </c>
      <c r="BB13" s="1">
        <f t="shared" si="1"/>
        <v>0</v>
      </c>
      <c r="BC13" s="1">
        <f t="shared" si="1"/>
        <v>0</v>
      </c>
      <c r="BD13" s="1">
        <f t="shared" si="1"/>
        <v>0</v>
      </c>
      <c r="BE13" s="1">
        <f t="shared" si="1"/>
        <v>0</v>
      </c>
      <c r="BF13" s="1">
        <f t="shared" si="1"/>
        <v>0</v>
      </c>
      <c r="BG13" s="1">
        <f t="shared" si="1"/>
        <v>0</v>
      </c>
      <c r="BH13" s="1">
        <f t="shared" si="1"/>
        <v>0</v>
      </c>
      <c r="BI13" s="1">
        <f t="shared" si="1"/>
        <v>0</v>
      </c>
      <c r="BJ13" s="1">
        <f t="shared" si="1"/>
        <v>0</v>
      </c>
      <c r="BK13" t="s">
        <v>102</v>
      </c>
    </row>
    <row r="14" spans="1:63" ht="11.25" customHeight="1" x14ac:dyDescent="0.25">
      <c r="A14" s="5"/>
      <c r="B14" s="5"/>
      <c r="C14" s="94"/>
      <c r="D14" s="5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t="s">
        <v>102</v>
      </c>
    </row>
    <row r="15" spans="1:63" ht="11.25" customHeight="1" x14ac:dyDescent="0.25">
      <c r="A15" s="5"/>
      <c r="B15" s="161" t="s">
        <v>231</v>
      </c>
      <c r="C15" s="172" t="s">
        <v>1</v>
      </c>
      <c r="D15" s="161"/>
      <c r="E15" s="111">
        <f>SUM(G15:BJ15)</f>
        <v>18576.007097500711</v>
      </c>
      <c r="F15" s="111" t="s">
        <v>26</v>
      </c>
      <c r="G15" s="111">
        <f>Reserves!G10</f>
        <v>0</v>
      </c>
      <c r="H15" s="111">
        <f>Reserves!H10</f>
        <v>0</v>
      </c>
      <c r="I15" s="111">
        <f>Reserves!I10</f>
        <v>0</v>
      </c>
      <c r="J15" s="111">
        <f>Reserves!J10</f>
        <v>0</v>
      </c>
      <c r="K15" s="111">
        <f>Reserves!K10</f>
        <v>0</v>
      </c>
      <c r="L15" s="111">
        <f>Reserves!L10</f>
        <v>0</v>
      </c>
      <c r="M15" s="111">
        <f>Reserves!M10</f>
        <v>0</v>
      </c>
      <c r="N15" s="111">
        <f>Reserves!N10</f>
        <v>0</v>
      </c>
      <c r="O15" s="111">
        <f>Reserves!O10</f>
        <v>0</v>
      </c>
      <c r="P15" s="111">
        <f>Reserves!P10</f>
        <v>0</v>
      </c>
      <c r="Q15" s="111">
        <f>Reserves!Q10</f>
        <v>0</v>
      </c>
      <c r="R15" s="111">
        <f>Reserves!R10</f>
        <v>0</v>
      </c>
      <c r="S15" s="111">
        <f>Reserves!S10</f>
        <v>0</v>
      </c>
      <c r="T15" s="111">
        <f>Reserves!T10</f>
        <v>0</v>
      </c>
      <c r="U15" s="111">
        <f>Reserves!U10</f>
        <v>0</v>
      </c>
      <c r="V15" s="111">
        <f>Reserves!V10</f>
        <v>0</v>
      </c>
      <c r="W15" s="111">
        <f>Reserves!W10</f>
        <v>0</v>
      </c>
      <c r="X15" s="111">
        <f>Reserves!X10</f>
        <v>0</v>
      </c>
      <c r="Y15" s="111">
        <f>Reserves!Y10</f>
        <v>0</v>
      </c>
      <c r="Z15" s="111">
        <f>Reserves!Z10</f>
        <v>0</v>
      </c>
      <c r="AA15" s="111">
        <f>Reserves!AA10</f>
        <v>0</v>
      </c>
      <c r="AB15" s="111">
        <f>Reserves!AB10</f>
        <v>0</v>
      </c>
      <c r="AC15" s="111">
        <f>Reserves!AC10</f>
        <v>0</v>
      </c>
      <c r="AD15" s="111">
        <f>Reserves!AD10</f>
        <v>0</v>
      </c>
      <c r="AE15" s="111">
        <f>Reserves!AE10</f>
        <v>0</v>
      </c>
      <c r="AF15" s="111">
        <f>Reserves!AF10</f>
        <v>0</v>
      </c>
      <c r="AG15" s="111">
        <f>Reserves!AG10</f>
        <v>0</v>
      </c>
      <c r="AH15" s="111">
        <f>Reserves!AH10</f>
        <v>0</v>
      </c>
      <c r="AI15" s="111">
        <f>Reserves!AI10</f>
        <v>0</v>
      </c>
      <c r="AJ15" s="111">
        <f>Reserves!AJ10</f>
        <v>0</v>
      </c>
      <c r="AK15" s="111">
        <f>Reserves!AK10</f>
        <v>0</v>
      </c>
      <c r="AL15" s="111">
        <f>Reserves!AL10</f>
        <v>0</v>
      </c>
      <c r="AM15" s="111">
        <f>Reserves!AM10</f>
        <v>0</v>
      </c>
      <c r="AN15" s="111">
        <f>Reserves!AN10</f>
        <v>0</v>
      </c>
      <c r="AO15" s="111">
        <f>Reserves!AO10</f>
        <v>0</v>
      </c>
      <c r="AP15" s="111">
        <f>Reserves!AP10</f>
        <v>0</v>
      </c>
      <c r="AQ15" s="111">
        <f>Reserves!AQ10</f>
        <v>0</v>
      </c>
      <c r="AR15" s="111">
        <f>Reserves!AR10</f>
        <v>0</v>
      </c>
      <c r="AS15" s="111">
        <f>Reserves!AS10</f>
        <v>0</v>
      </c>
      <c r="AT15" s="111">
        <f>Reserves!AT10</f>
        <v>0</v>
      </c>
      <c r="AU15" s="111">
        <f>Reserves!AU10</f>
        <v>0</v>
      </c>
      <c r="AV15" s="111">
        <f>Reserves!AV10</f>
        <v>18576.007097500711</v>
      </c>
      <c r="AW15" s="111">
        <f>Reserves!AW10</f>
        <v>0</v>
      </c>
      <c r="AX15" s="111">
        <f>Reserves!AX10</f>
        <v>0</v>
      </c>
      <c r="AY15" s="111">
        <f>Reserves!AY10</f>
        <v>0</v>
      </c>
      <c r="AZ15" s="111">
        <f>Reserves!AZ10</f>
        <v>0</v>
      </c>
      <c r="BA15" s="111">
        <f>Reserves!BA10</f>
        <v>0</v>
      </c>
      <c r="BB15" s="111">
        <f>Reserves!BB10</f>
        <v>0</v>
      </c>
      <c r="BC15" s="111">
        <f>Reserves!BC10</f>
        <v>0</v>
      </c>
      <c r="BD15" s="111">
        <f>Reserves!BD10</f>
        <v>0</v>
      </c>
      <c r="BE15" s="111">
        <f>Reserves!BE10</f>
        <v>0</v>
      </c>
      <c r="BF15" s="111">
        <f>Reserves!BF10</f>
        <v>0</v>
      </c>
      <c r="BG15" s="111">
        <f>Reserves!BG10</f>
        <v>0</v>
      </c>
      <c r="BH15" s="111">
        <f>Reserves!BH10</f>
        <v>0</v>
      </c>
      <c r="BI15" s="111">
        <f>Reserves!BI10</f>
        <v>0</v>
      </c>
      <c r="BJ15" s="111">
        <f>Reserves!BJ10</f>
        <v>0</v>
      </c>
      <c r="BK15" t="s">
        <v>102</v>
      </c>
    </row>
    <row r="16" spans="1:63" ht="11.25" customHeight="1" x14ac:dyDescent="0.25">
      <c r="A16" s="5"/>
      <c r="B16" s="5" t="s">
        <v>232</v>
      </c>
      <c r="C16" s="94" t="s">
        <v>1</v>
      </c>
      <c r="D16" s="5"/>
      <c r="E16" s="83">
        <f>SUM(G16:BJ16)</f>
        <v>768833.6412278132</v>
      </c>
      <c r="F16" s="83" t="s">
        <v>26</v>
      </c>
      <c r="G16" s="83">
        <f>SUM(G13,G15)</f>
        <v>0</v>
      </c>
      <c r="H16" s="83">
        <f t="shared" ref="H16:BJ16" si="2">SUM(H13,H15)</f>
        <v>0</v>
      </c>
      <c r="I16" s="83">
        <f t="shared" si="2"/>
        <v>0</v>
      </c>
      <c r="J16" s="83">
        <f t="shared" si="2"/>
        <v>0</v>
      </c>
      <c r="K16" s="83">
        <f t="shared" si="2"/>
        <v>0</v>
      </c>
      <c r="L16" s="83">
        <f t="shared" si="2"/>
        <v>0</v>
      </c>
      <c r="M16" s="83">
        <f t="shared" si="2"/>
        <v>0</v>
      </c>
      <c r="N16" s="83">
        <f t="shared" si="2"/>
        <v>0</v>
      </c>
      <c r="O16" s="83">
        <f t="shared" si="2"/>
        <v>0</v>
      </c>
      <c r="P16" s="83">
        <f t="shared" si="2"/>
        <v>0</v>
      </c>
      <c r="Q16" s="83">
        <f t="shared" si="2"/>
        <v>0</v>
      </c>
      <c r="R16" s="83">
        <f t="shared" si="2"/>
        <v>0</v>
      </c>
      <c r="S16" s="83">
        <f t="shared" si="2"/>
        <v>0</v>
      </c>
      <c r="T16" s="83">
        <f t="shared" si="2"/>
        <v>0</v>
      </c>
      <c r="U16" s="83">
        <f t="shared" si="2"/>
        <v>0</v>
      </c>
      <c r="V16" s="83">
        <f t="shared" si="2"/>
        <v>0</v>
      </c>
      <c r="W16" s="83">
        <f t="shared" si="2"/>
        <v>33674.217883944264</v>
      </c>
      <c r="X16" s="83">
        <f t="shared" si="2"/>
        <v>33636.011312345137</v>
      </c>
      <c r="Y16" s="83">
        <f t="shared" si="2"/>
        <v>34185.513786719428</v>
      </c>
      <c r="Z16" s="83">
        <f t="shared" si="2"/>
        <v>33832.334238312236</v>
      </c>
      <c r="AA16" s="83">
        <f t="shared" si="2"/>
        <v>34262.473202884925</v>
      </c>
      <c r="AB16" s="83">
        <f t="shared" si="2"/>
        <v>33896.298513646987</v>
      </c>
      <c r="AC16" s="83">
        <f t="shared" si="2"/>
        <v>34551.058921128657</v>
      </c>
      <c r="AD16" s="83">
        <f t="shared" si="2"/>
        <v>23109.273620044449</v>
      </c>
      <c r="AE16" s="83">
        <f t="shared" si="2"/>
        <v>33715.134700423463</v>
      </c>
      <c r="AF16" s="83">
        <f t="shared" si="2"/>
        <v>35187.096817388818</v>
      </c>
      <c r="AG16" s="83">
        <f t="shared" si="2"/>
        <v>35476.588750721894</v>
      </c>
      <c r="AH16" s="83">
        <f t="shared" si="2"/>
        <v>34742.622447518523</v>
      </c>
      <c r="AI16" s="83">
        <f t="shared" si="2"/>
        <v>34909.36837079384</v>
      </c>
      <c r="AJ16" s="83">
        <f t="shared" si="2"/>
        <v>34568.004121936188</v>
      </c>
      <c r="AK16" s="83">
        <f t="shared" si="2"/>
        <v>21429.953299203255</v>
      </c>
      <c r="AL16" s="83">
        <f t="shared" si="2"/>
        <v>6451.2873807586857</v>
      </c>
      <c r="AM16" s="83">
        <f t="shared" si="2"/>
        <v>24860.455254162738</v>
      </c>
      <c r="AN16" s="83">
        <f t="shared" si="2"/>
        <v>27227.957393594264</v>
      </c>
      <c r="AO16" s="83">
        <f t="shared" si="2"/>
        <v>27913.282720757652</v>
      </c>
      <c r="AP16" s="83">
        <f t="shared" si="2"/>
        <v>27171.993956805767</v>
      </c>
      <c r="AQ16" s="83">
        <f t="shared" si="2"/>
        <v>27331.267758840419</v>
      </c>
      <c r="AR16" s="83">
        <f t="shared" si="2"/>
        <v>26548.97241742014</v>
      </c>
      <c r="AS16" s="83">
        <f t="shared" si="2"/>
        <v>26950.887841252494</v>
      </c>
      <c r="AT16" s="83">
        <f t="shared" si="2"/>
        <v>13457.150336441649</v>
      </c>
      <c r="AU16" s="83">
        <f t="shared" si="2"/>
        <v>24704.065994821918</v>
      </c>
      <c r="AV16" s="83">
        <f t="shared" si="2"/>
        <v>45040.370185945307</v>
      </c>
      <c r="AW16" s="83">
        <f t="shared" si="2"/>
        <v>0</v>
      </c>
      <c r="AX16" s="83">
        <f t="shared" si="2"/>
        <v>0</v>
      </c>
      <c r="AY16" s="83">
        <f t="shared" si="2"/>
        <v>0</v>
      </c>
      <c r="AZ16" s="83">
        <f t="shared" si="2"/>
        <v>0</v>
      </c>
      <c r="BA16" s="83">
        <f t="shared" si="2"/>
        <v>0</v>
      </c>
      <c r="BB16" s="83">
        <f t="shared" si="2"/>
        <v>0</v>
      </c>
      <c r="BC16" s="83">
        <f t="shared" si="2"/>
        <v>0</v>
      </c>
      <c r="BD16" s="83">
        <f t="shared" si="2"/>
        <v>0</v>
      </c>
      <c r="BE16" s="83">
        <f t="shared" si="2"/>
        <v>0</v>
      </c>
      <c r="BF16" s="83">
        <f t="shared" si="2"/>
        <v>0</v>
      </c>
      <c r="BG16" s="83">
        <f t="shared" si="2"/>
        <v>0</v>
      </c>
      <c r="BH16" s="83">
        <f t="shared" si="2"/>
        <v>0</v>
      </c>
      <c r="BI16" s="83">
        <f t="shared" si="2"/>
        <v>0</v>
      </c>
      <c r="BJ16" s="83">
        <f t="shared" si="2"/>
        <v>0</v>
      </c>
      <c r="BK16" t="s">
        <v>102</v>
      </c>
    </row>
    <row r="17" spans="1:63" ht="11.25" customHeight="1" x14ac:dyDescent="0.25">
      <c r="A17" s="5"/>
      <c r="B17" s="5"/>
      <c r="C17" s="94"/>
      <c r="D17" s="5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  <c r="BH17" s="83"/>
      <c r="BI17" s="83"/>
      <c r="BJ17" s="83"/>
      <c r="BK17" t="s">
        <v>102</v>
      </c>
    </row>
    <row r="18" spans="1:63" ht="11.25" customHeight="1" x14ac:dyDescent="0.25">
      <c r="A18" s="5"/>
      <c r="B18" s="5" t="s">
        <v>248</v>
      </c>
      <c r="C18" s="94" t="s">
        <v>1</v>
      </c>
      <c r="D18" s="5"/>
      <c r="E18" s="1">
        <f>SUM(G18:BJ18)</f>
        <v>509215.44007783453</v>
      </c>
      <c r="F18" s="1" t="s">
        <v>26</v>
      </c>
      <c r="G18" s="1">
        <f>-Debt!G19</f>
        <v>0</v>
      </c>
      <c r="H18" s="1">
        <f>-Debt!H19</f>
        <v>0</v>
      </c>
      <c r="I18" s="1">
        <f>-Debt!I19</f>
        <v>0</v>
      </c>
      <c r="J18" s="1">
        <f>-Debt!J19</f>
        <v>0</v>
      </c>
      <c r="K18" s="1">
        <f>-Debt!K19</f>
        <v>0</v>
      </c>
      <c r="L18" s="1">
        <f>-Debt!L19</f>
        <v>0</v>
      </c>
      <c r="M18" s="1">
        <f>-Debt!M19</f>
        <v>0</v>
      </c>
      <c r="N18" s="1">
        <f>-Debt!N19</f>
        <v>0</v>
      </c>
      <c r="O18" s="1">
        <f>-Debt!O19</f>
        <v>0</v>
      </c>
      <c r="P18" s="1">
        <f>-Debt!P19</f>
        <v>0</v>
      </c>
      <c r="Q18" s="1">
        <f>-Debt!Q19</f>
        <v>0</v>
      </c>
      <c r="R18" s="1">
        <f>-Debt!R19</f>
        <v>0</v>
      </c>
      <c r="S18" s="1">
        <f>-Debt!S19</f>
        <v>0</v>
      </c>
      <c r="T18" s="1">
        <f>-Debt!T19</f>
        <v>0</v>
      </c>
      <c r="U18" s="1">
        <f>-Debt!U19</f>
        <v>0</v>
      </c>
      <c r="V18" s="1">
        <f>-Debt!V19</f>
        <v>0</v>
      </c>
      <c r="W18" s="1">
        <f>-Debt!W19</f>
        <v>19585.209233762856</v>
      </c>
      <c r="X18" s="1">
        <f>-Debt!X19</f>
        <v>19585.209233762856</v>
      </c>
      <c r="Y18" s="1">
        <f>-Debt!Y19</f>
        <v>19585.209233762856</v>
      </c>
      <c r="Z18" s="1">
        <f>-Debt!Z19</f>
        <v>19585.209233762856</v>
      </c>
      <c r="AA18" s="1">
        <f>-Debt!AA19</f>
        <v>19585.209233762856</v>
      </c>
      <c r="AB18" s="1">
        <f>-Debt!AB19</f>
        <v>19585.209233762856</v>
      </c>
      <c r="AC18" s="1">
        <f>-Debt!AC19</f>
        <v>19585.209233762856</v>
      </c>
      <c r="AD18" s="1">
        <f>-Debt!AD19</f>
        <v>19585.209233762856</v>
      </c>
      <c r="AE18" s="1">
        <f>-Debt!AE19</f>
        <v>19585.209233762856</v>
      </c>
      <c r="AF18" s="1">
        <f>-Debt!AF19</f>
        <v>19585.209233762856</v>
      </c>
      <c r="AG18" s="1">
        <f>-Debt!AG19</f>
        <v>19585.209233762856</v>
      </c>
      <c r="AH18" s="1">
        <f>-Debt!AH19</f>
        <v>19585.209233762856</v>
      </c>
      <c r="AI18" s="1">
        <f>-Debt!AI19</f>
        <v>19585.209233762856</v>
      </c>
      <c r="AJ18" s="1">
        <f>-Debt!AJ19</f>
        <v>19585.209233762856</v>
      </c>
      <c r="AK18" s="1">
        <f>-Debt!AK19</f>
        <v>19585.209233762856</v>
      </c>
      <c r="AL18" s="1">
        <f>-Debt!AL19</f>
        <v>19585.20923376286</v>
      </c>
      <c r="AM18" s="1">
        <f>-Debt!AM19</f>
        <v>19585.209233762856</v>
      </c>
      <c r="AN18" s="1">
        <f>-Debt!AN19</f>
        <v>19585.209233762856</v>
      </c>
      <c r="AO18" s="1">
        <f>-Debt!AO19</f>
        <v>19585.209233762856</v>
      </c>
      <c r="AP18" s="1">
        <f>-Debt!AP19</f>
        <v>19585.209233762856</v>
      </c>
      <c r="AQ18" s="1">
        <f>-Debt!AQ19</f>
        <v>19585.20923376286</v>
      </c>
      <c r="AR18" s="1">
        <f>-Debt!AR19</f>
        <v>19585.20923376286</v>
      </c>
      <c r="AS18" s="1">
        <f>-Debt!AS19</f>
        <v>19585.209233762856</v>
      </c>
      <c r="AT18" s="1">
        <f>-Debt!AT19</f>
        <v>19585.209233762856</v>
      </c>
      <c r="AU18" s="1">
        <f>-Debt!AU19</f>
        <v>19585.209233762856</v>
      </c>
      <c r="AV18" s="1">
        <f>-Debt!AV19</f>
        <v>19585.209233762856</v>
      </c>
      <c r="AW18" s="1">
        <f>-Debt!AW19</f>
        <v>0</v>
      </c>
      <c r="AX18" s="1">
        <f>-Debt!AX19</f>
        <v>0</v>
      </c>
      <c r="AY18" s="1">
        <f>-Debt!AY19</f>
        <v>0</v>
      </c>
      <c r="AZ18" s="1">
        <f>-Debt!AZ19</f>
        <v>0</v>
      </c>
      <c r="BA18" s="1">
        <f>-Debt!BA19</f>
        <v>0</v>
      </c>
      <c r="BB18" s="1">
        <f>-Debt!BB19</f>
        <v>0</v>
      </c>
      <c r="BC18" s="1">
        <f>-Debt!BC19</f>
        <v>0</v>
      </c>
      <c r="BD18" s="1">
        <f>-Debt!BD19</f>
        <v>0</v>
      </c>
      <c r="BE18" s="1">
        <f>-Debt!BE19</f>
        <v>0</v>
      </c>
      <c r="BF18" s="1">
        <f>-Debt!BF19</f>
        <v>0</v>
      </c>
      <c r="BG18" s="1">
        <f>-Debt!BG19</f>
        <v>0</v>
      </c>
      <c r="BH18" s="1">
        <f>-Debt!BH19</f>
        <v>0</v>
      </c>
      <c r="BI18" s="1">
        <f>-Debt!BI19</f>
        <v>0</v>
      </c>
      <c r="BJ18" s="1">
        <f>-Debt!BJ19</f>
        <v>0</v>
      </c>
      <c r="BK18" t="s">
        <v>102</v>
      </c>
    </row>
    <row r="19" spans="1:63" ht="11.25" customHeight="1" x14ac:dyDescent="0.25">
      <c r="A19" s="5"/>
      <c r="B19" s="5"/>
      <c r="C19" s="94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83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t="s">
        <v>102</v>
      </c>
    </row>
    <row r="20" spans="1:63" ht="11.25" customHeight="1" x14ac:dyDescent="0.25">
      <c r="A20" s="5"/>
      <c r="B20" s="5" t="s">
        <v>238</v>
      </c>
      <c r="C20" s="94" t="s">
        <v>1</v>
      </c>
      <c r="D20" s="5"/>
      <c r="E20" s="1">
        <f>SUM(G20:BJ20)</f>
        <v>278880.18190030422</v>
      </c>
      <c r="F20" s="83" t="s">
        <v>26</v>
      </c>
      <c r="G20" s="83">
        <f t="shared" ref="G20" si="3">IF(G16-G18&gt;0,G16-G18,0)</f>
        <v>0</v>
      </c>
      <c r="H20" s="83">
        <f>IF(H16-H18&gt;0,H16-H18,0)</f>
        <v>0</v>
      </c>
      <c r="I20" s="83">
        <f t="shared" ref="I20:BJ20" si="4">IF(I16-I18&gt;0,I16-I18,0)</f>
        <v>0</v>
      </c>
      <c r="J20" s="83">
        <f t="shared" si="4"/>
        <v>0</v>
      </c>
      <c r="K20" s="83">
        <f t="shared" si="4"/>
        <v>0</v>
      </c>
      <c r="L20" s="83">
        <f t="shared" si="4"/>
        <v>0</v>
      </c>
      <c r="M20" s="83">
        <f t="shared" si="4"/>
        <v>0</v>
      </c>
      <c r="N20" s="83">
        <f t="shared" si="4"/>
        <v>0</v>
      </c>
      <c r="O20" s="83">
        <f t="shared" si="4"/>
        <v>0</v>
      </c>
      <c r="P20" s="83">
        <f t="shared" si="4"/>
        <v>0</v>
      </c>
      <c r="Q20" s="83">
        <f t="shared" si="4"/>
        <v>0</v>
      </c>
      <c r="R20" s="83">
        <f t="shared" si="4"/>
        <v>0</v>
      </c>
      <c r="S20" s="83">
        <f t="shared" si="4"/>
        <v>0</v>
      </c>
      <c r="T20" s="83">
        <f t="shared" si="4"/>
        <v>0</v>
      </c>
      <c r="U20" s="83">
        <f t="shared" si="4"/>
        <v>0</v>
      </c>
      <c r="V20" s="83">
        <f t="shared" si="4"/>
        <v>0</v>
      </c>
      <c r="W20" s="83">
        <f t="shared" si="4"/>
        <v>14089.008650181408</v>
      </c>
      <c r="X20" s="83">
        <f t="shared" si="4"/>
        <v>14050.802078582281</v>
      </c>
      <c r="Y20" s="83">
        <f t="shared" si="4"/>
        <v>14600.304552956572</v>
      </c>
      <c r="Z20" s="83">
        <f t="shared" si="4"/>
        <v>14247.12500454938</v>
      </c>
      <c r="AA20" s="83">
        <f t="shared" si="4"/>
        <v>14677.263969122068</v>
      </c>
      <c r="AB20" s="83">
        <f t="shared" si="4"/>
        <v>14311.089279884131</v>
      </c>
      <c r="AC20" s="83">
        <f t="shared" si="4"/>
        <v>14965.8496873658</v>
      </c>
      <c r="AD20" s="83">
        <f t="shared" si="4"/>
        <v>3524.0643862815923</v>
      </c>
      <c r="AE20" s="83">
        <f t="shared" si="4"/>
        <v>14129.925466660607</v>
      </c>
      <c r="AF20" s="83">
        <f t="shared" si="4"/>
        <v>15601.887583625961</v>
      </c>
      <c r="AG20" s="83">
        <f t="shared" si="4"/>
        <v>15891.379516959038</v>
      </c>
      <c r="AH20" s="83">
        <f t="shared" si="4"/>
        <v>15157.413213755666</v>
      </c>
      <c r="AI20" s="83">
        <f t="shared" si="4"/>
        <v>15324.159137030983</v>
      </c>
      <c r="AJ20" s="83">
        <f t="shared" si="4"/>
        <v>14982.794888173332</v>
      </c>
      <c r="AK20" s="83">
        <f t="shared" si="4"/>
        <v>1844.7440654403981</v>
      </c>
      <c r="AL20" s="83">
        <f t="shared" si="4"/>
        <v>0</v>
      </c>
      <c r="AM20" s="83">
        <f t="shared" si="4"/>
        <v>5275.2460203998817</v>
      </c>
      <c r="AN20" s="83">
        <f t="shared" si="4"/>
        <v>7642.748159831408</v>
      </c>
      <c r="AO20" s="83">
        <f t="shared" si="4"/>
        <v>8328.0734869947955</v>
      </c>
      <c r="AP20" s="83">
        <f t="shared" si="4"/>
        <v>7586.7847230429106</v>
      </c>
      <c r="AQ20" s="83">
        <f t="shared" si="4"/>
        <v>7746.0585250775584</v>
      </c>
      <c r="AR20" s="83">
        <f t="shared" si="4"/>
        <v>6963.76318365728</v>
      </c>
      <c r="AS20" s="83">
        <f t="shared" si="4"/>
        <v>7365.6786074896372</v>
      </c>
      <c r="AT20" s="83">
        <f t="shared" si="4"/>
        <v>0</v>
      </c>
      <c r="AU20" s="83">
        <f t="shared" si="4"/>
        <v>5118.8567610590617</v>
      </c>
      <c r="AV20" s="83">
        <f t="shared" si="4"/>
        <v>25455.16095218245</v>
      </c>
      <c r="AW20" s="83">
        <f t="shared" si="4"/>
        <v>0</v>
      </c>
      <c r="AX20" s="83">
        <f t="shared" si="4"/>
        <v>0</v>
      </c>
      <c r="AY20" s="83">
        <f t="shared" si="4"/>
        <v>0</v>
      </c>
      <c r="AZ20" s="83">
        <f t="shared" si="4"/>
        <v>0</v>
      </c>
      <c r="BA20" s="83">
        <f t="shared" si="4"/>
        <v>0</v>
      </c>
      <c r="BB20" s="83">
        <f t="shared" si="4"/>
        <v>0</v>
      </c>
      <c r="BC20" s="83">
        <f t="shared" si="4"/>
        <v>0</v>
      </c>
      <c r="BD20" s="83">
        <f t="shared" si="4"/>
        <v>0</v>
      </c>
      <c r="BE20" s="83">
        <f t="shared" si="4"/>
        <v>0</v>
      </c>
      <c r="BF20" s="83">
        <f t="shared" si="4"/>
        <v>0</v>
      </c>
      <c r="BG20" s="83">
        <f t="shared" si="4"/>
        <v>0</v>
      </c>
      <c r="BH20" s="83">
        <f t="shared" si="4"/>
        <v>0</v>
      </c>
      <c r="BI20" s="83">
        <f t="shared" si="4"/>
        <v>0</v>
      </c>
      <c r="BJ20" s="83">
        <f t="shared" si="4"/>
        <v>0</v>
      </c>
      <c r="BK20" t="s">
        <v>102</v>
      </c>
    </row>
    <row r="21" spans="1:63" ht="11.25" customHeight="1" x14ac:dyDescent="0.25">
      <c r="A21" s="5"/>
      <c r="B21" s="161" t="s">
        <v>239</v>
      </c>
      <c r="C21" s="172" t="s">
        <v>1</v>
      </c>
      <c r="D21" s="161"/>
      <c r="E21" s="111">
        <f t="shared" ref="E21:E22" si="5">SUM(G21:BJ21)</f>
        <v>18252.778614063238</v>
      </c>
      <c r="F21" s="111" t="s">
        <v>26</v>
      </c>
      <c r="G21" s="111">
        <f>IF(Reserves!G23&gt;0,Reserves!G23,0)</f>
        <v>0</v>
      </c>
      <c r="H21" s="111">
        <f>IF(Reserves!H23&gt;0,Reserves!H23,0)</f>
        <v>0</v>
      </c>
      <c r="I21" s="111">
        <f>IF(Reserves!I23&gt;0,Reserves!I23,0)</f>
        <v>0</v>
      </c>
      <c r="J21" s="111">
        <f>IF(Reserves!J23&gt;0,Reserves!J23,0)</f>
        <v>0</v>
      </c>
      <c r="K21" s="111">
        <f>IF(Reserves!K23&gt;0,Reserves!K23,0)</f>
        <v>0</v>
      </c>
      <c r="L21" s="111">
        <f>IF(Reserves!L23&gt;0,Reserves!L23,0)</f>
        <v>0</v>
      </c>
      <c r="M21" s="111">
        <f>IF(Reserves!M23&gt;0,Reserves!M23,0)</f>
        <v>0</v>
      </c>
      <c r="N21" s="111">
        <f>IF(Reserves!N23&gt;0,Reserves!N23,0)</f>
        <v>0</v>
      </c>
      <c r="O21" s="111">
        <f>IF(Reserves!O23&gt;0,Reserves!O23,0)</f>
        <v>0</v>
      </c>
      <c r="P21" s="111">
        <f>IF(Reserves!P23&gt;0,Reserves!P23,0)</f>
        <v>0</v>
      </c>
      <c r="Q21" s="111">
        <f>IF(Reserves!Q23&gt;0,Reserves!Q23,0)</f>
        <v>0</v>
      </c>
      <c r="R21" s="111">
        <f>IF(Reserves!R23&gt;0,Reserves!R23,0)</f>
        <v>0</v>
      </c>
      <c r="S21" s="111">
        <f>IF(Reserves!S23&gt;0,Reserves!S23,0)</f>
        <v>0</v>
      </c>
      <c r="T21" s="111">
        <f>IF(Reserves!T23&gt;0,Reserves!T23,0)</f>
        <v>0</v>
      </c>
      <c r="U21" s="111">
        <f>IF(Reserves!U23&gt;0,Reserves!U23,0)</f>
        <v>0</v>
      </c>
      <c r="V21" s="111">
        <f>IF(Reserves!V23&gt;0,Reserves!V23,0)</f>
        <v>0</v>
      </c>
      <c r="W21" s="111">
        <f>IF(Reserves!W23&gt;0,Reserves!W23,0)</f>
        <v>0</v>
      </c>
      <c r="X21" s="111">
        <f>IF(Reserves!X23&gt;0,Reserves!X23,0)</f>
        <v>0</v>
      </c>
      <c r="Y21" s="111">
        <f>IF(Reserves!Y23&gt;0,Reserves!Y23,0)</f>
        <v>0</v>
      </c>
      <c r="Z21" s="111">
        <f>IF(Reserves!Z23&gt;0,Reserves!Z23,0)</f>
        <v>0</v>
      </c>
      <c r="AA21" s="111">
        <f>IF(Reserves!AA23&gt;0,Reserves!AA23,0)</f>
        <v>0</v>
      </c>
      <c r="AB21" s="111">
        <f>IF(Reserves!AB23&gt;0,Reserves!AB23,0)</f>
        <v>0</v>
      </c>
      <c r="AC21" s="111">
        <f>IF(Reserves!AC23&gt;0,Reserves!AC23,0)</f>
        <v>0</v>
      </c>
      <c r="AD21" s="111">
        <f>IF(Reserves!AD23&gt;0,Reserves!AD23,0)</f>
        <v>0</v>
      </c>
      <c r="AE21" s="111">
        <f>IF(Reserves!AE23&gt;0,Reserves!AE23,0)</f>
        <v>0</v>
      </c>
      <c r="AF21" s="111">
        <f>IF(Reserves!AF23&gt;0,Reserves!AF23,0)</f>
        <v>0</v>
      </c>
      <c r="AG21" s="111">
        <f>IF(Reserves!AG23&gt;0,Reserves!AG23,0)</f>
        <v>0</v>
      </c>
      <c r="AH21" s="111">
        <f>IF(Reserves!AH23&gt;0,Reserves!AH23,0)</f>
        <v>0</v>
      </c>
      <c r="AI21" s="111">
        <f>IF(Reserves!AI23&gt;0,Reserves!AI23,0)</f>
        <v>0</v>
      </c>
      <c r="AJ21" s="111">
        <f>IF(Reserves!AJ23&gt;0,Reserves!AJ23,0)</f>
        <v>0</v>
      </c>
      <c r="AK21" s="111">
        <f>IF(Reserves!AK23&gt;0,Reserves!AK23,0)</f>
        <v>0</v>
      </c>
      <c r="AL21" s="111">
        <f>IF(Reserves!AL23&gt;0,Reserves!AL23,0)</f>
        <v>0</v>
      </c>
      <c r="AM21" s="111">
        <f>IF(Reserves!AM23&gt;0,Reserves!AM23,0)</f>
        <v>5275.2460203998817</v>
      </c>
      <c r="AN21" s="111">
        <f>IF(Reserves!AN23&gt;0,Reserves!AN23,0)</f>
        <v>7642.748159831408</v>
      </c>
      <c r="AO21" s="111">
        <f>IF(Reserves!AO23&gt;0,Reserves!AO23,0)</f>
        <v>215.92767277288658</v>
      </c>
      <c r="AP21" s="111">
        <f>IF(Reserves!AP23&gt;0,Reserves!AP23,0)</f>
        <v>0</v>
      </c>
      <c r="AQ21" s="111">
        <f>IF(Reserves!AQ23&gt;0,Reserves!AQ23,0)</f>
        <v>0</v>
      </c>
      <c r="AR21" s="111">
        <f>IF(Reserves!AR23&gt;0,Reserves!AR23,0)</f>
        <v>0</v>
      </c>
      <c r="AS21" s="111">
        <f>IF(Reserves!AS23&gt;0,Reserves!AS23,0)</f>
        <v>0</v>
      </c>
      <c r="AT21" s="111">
        <f>IF(Reserves!AT23&gt;0,Reserves!AT23,0)</f>
        <v>0</v>
      </c>
      <c r="AU21" s="111">
        <f>IF(Reserves!AU23&gt;0,Reserves!AU23,0)</f>
        <v>5118.8567610590617</v>
      </c>
      <c r="AV21" s="111">
        <f>IF(Reserves!AV23&gt;0,Reserves!AV23,0)</f>
        <v>0</v>
      </c>
      <c r="AW21" s="111">
        <f>IF(Reserves!AW23&gt;0,Reserves!AW23,0)</f>
        <v>0</v>
      </c>
      <c r="AX21" s="111">
        <f>IF(Reserves!AX23&gt;0,Reserves!AX23,0)</f>
        <v>0</v>
      </c>
      <c r="AY21" s="111">
        <f>IF(Reserves!AY23&gt;0,Reserves!AY23,0)</f>
        <v>0</v>
      </c>
      <c r="AZ21" s="111">
        <f>IF(Reserves!AZ23&gt;0,Reserves!AZ23,0)</f>
        <v>0</v>
      </c>
      <c r="BA21" s="111">
        <f>IF(Reserves!BA23&gt;0,Reserves!BA23,0)</f>
        <v>0</v>
      </c>
      <c r="BB21" s="111">
        <f>IF(Reserves!BB23&gt;0,Reserves!BB23,0)</f>
        <v>0</v>
      </c>
      <c r="BC21" s="111">
        <f>IF(Reserves!BC23&gt;0,Reserves!BC23,0)</f>
        <v>0</v>
      </c>
      <c r="BD21" s="111">
        <f>IF(Reserves!BD23&gt;0,Reserves!BD23,0)</f>
        <v>0</v>
      </c>
      <c r="BE21" s="111">
        <f>IF(Reserves!BE23&gt;0,Reserves!BE23,0)</f>
        <v>0</v>
      </c>
      <c r="BF21" s="111">
        <f>IF(Reserves!BF23&gt;0,Reserves!BF23,0)</f>
        <v>0</v>
      </c>
      <c r="BG21" s="111">
        <f>IF(Reserves!BG23&gt;0,Reserves!BG23,0)</f>
        <v>0</v>
      </c>
      <c r="BH21" s="111">
        <f>IF(Reserves!BH23&gt;0,Reserves!BH23,0)</f>
        <v>0</v>
      </c>
      <c r="BI21" s="111">
        <f>IF(Reserves!BI23&gt;0,Reserves!BI23,0)</f>
        <v>0</v>
      </c>
      <c r="BJ21" s="111">
        <f>IF(Reserves!BJ23&gt;0,Reserves!BJ23,0)</f>
        <v>0</v>
      </c>
      <c r="BK21" t="s">
        <v>102</v>
      </c>
    </row>
    <row r="22" spans="1:63" ht="11.25" customHeight="1" x14ac:dyDescent="0.25">
      <c r="A22" s="5"/>
      <c r="B22" s="5" t="s">
        <v>241</v>
      </c>
      <c r="C22" s="94" t="s">
        <v>1</v>
      </c>
      <c r="D22" s="5"/>
      <c r="E22" s="1">
        <f t="shared" si="5"/>
        <v>260627.40328624097</v>
      </c>
      <c r="F22" s="1" t="s">
        <v>26</v>
      </c>
      <c r="G22" s="1">
        <f>G20-G21</f>
        <v>0</v>
      </c>
      <c r="H22" s="1">
        <f t="shared" ref="H22:BJ22" si="6">H20-H21</f>
        <v>0</v>
      </c>
      <c r="I22" s="1">
        <f t="shared" si="6"/>
        <v>0</v>
      </c>
      <c r="J22" s="1">
        <f t="shared" si="6"/>
        <v>0</v>
      </c>
      <c r="K22" s="1">
        <f t="shared" si="6"/>
        <v>0</v>
      </c>
      <c r="L22" s="1">
        <f t="shared" si="6"/>
        <v>0</v>
      </c>
      <c r="M22" s="1">
        <f t="shared" si="6"/>
        <v>0</v>
      </c>
      <c r="N22" s="1">
        <f t="shared" si="6"/>
        <v>0</v>
      </c>
      <c r="O22" s="1">
        <f t="shared" si="6"/>
        <v>0</v>
      </c>
      <c r="P22" s="1">
        <f t="shared" si="6"/>
        <v>0</v>
      </c>
      <c r="Q22" s="1">
        <f t="shared" si="6"/>
        <v>0</v>
      </c>
      <c r="R22" s="1">
        <f t="shared" si="6"/>
        <v>0</v>
      </c>
      <c r="S22" s="1">
        <f t="shared" si="6"/>
        <v>0</v>
      </c>
      <c r="T22" s="1">
        <f t="shared" si="6"/>
        <v>0</v>
      </c>
      <c r="U22" s="1">
        <f t="shared" si="6"/>
        <v>0</v>
      </c>
      <c r="V22" s="1">
        <f t="shared" si="6"/>
        <v>0</v>
      </c>
      <c r="W22" s="1">
        <f t="shared" si="6"/>
        <v>14089.008650181408</v>
      </c>
      <c r="X22" s="1">
        <f t="shared" si="6"/>
        <v>14050.802078582281</v>
      </c>
      <c r="Y22" s="1">
        <f t="shared" si="6"/>
        <v>14600.304552956572</v>
      </c>
      <c r="Z22" s="1">
        <f t="shared" si="6"/>
        <v>14247.12500454938</v>
      </c>
      <c r="AA22" s="1">
        <f t="shared" si="6"/>
        <v>14677.263969122068</v>
      </c>
      <c r="AB22" s="1">
        <f t="shared" si="6"/>
        <v>14311.089279884131</v>
      </c>
      <c r="AC22" s="1">
        <f t="shared" si="6"/>
        <v>14965.8496873658</v>
      </c>
      <c r="AD22" s="1">
        <f t="shared" si="6"/>
        <v>3524.0643862815923</v>
      </c>
      <c r="AE22" s="1">
        <f t="shared" si="6"/>
        <v>14129.925466660607</v>
      </c>
      <c r="AF22" s="1">
        <f t="shared" si="6"/>
        <v>15601.887583625961</v>
      </c>
      <c r="AG22" s="1">
        <f t="shared" si="6"/>
        <v>15891.379516959038</v>
      </c>
      <c r="AH22" s="1">
        <f t="shared" si="6"/>
        <v>15157.413213755666</v>
      </c>
      <c r="AI22" s="1">
        <f t="shared" si="6"/>
        <v>15324.159137030983</v>
      </c>
      <c r="AJ22" s="1">
        <f t="shared" si="6"/>
        <v>14982.794888173332</v>
      </c>
      <c r="AK22" s="1">
        <f t="shared" si="6"/>
        <v>1844.7440654403981</v>
      </c>
      <c r="AL22" s="1">
        <f t="shared" si="6"/>
        <v>0</v>
      </c>
      <c r="AM22" s="1">
        <f t="shared" si="6"/>
        <v>0</v>
      </c>
      <c r="AN22" s="1">
        <f t="shared" si="6"/>
        <v>0</v>
      </c>
      <c r="AO22" s="1">
        <f t="shared" si="6"/>
        <v>8112.1458142219089</v>
      </c>
      <c r="AP22" s="1">
        <f t="shared" si="6"/>
        <v>7586.7847230429106</v>
      </c>
      <c r="AQ22" s="1">
        <f t="shared" si="6"/>
        <v>7746.0585250775584</v>
      </c>
      <c r="AR22" s="1">
        <f t="shared" si="6"/>
        <v>6963.76318365728</v>
      </c>
      <c r="AS22" s="1">
        <f t="shared" si="6"/>
        <v>7365.6786074896372</v>
      </c>
      <c r="AT22" s="1">
        <f t="shared" si="6"/>
        <v>0</v>
      </c>
      <c r="AU22" s="1">
        <f t="shared" si="6"/>
        <v>0</v>
      </c>
      <c r="AV22" s="1">
        <f t="shared" si="6"/>
        <v>25455.16095218245</v>
      </c>
      <c r="AW22" s="1">
        <f t="shared" si="6"/>
        <v>0</v>
      </c>
      <c r="AX22" s="1">
        <f t="shared" si="6"/>
        <v>0</v>
      </c>
      <c r="AY22" s="1">
        <f t="shared" si="6"/>
        <v>0</v>
      </c>
      <c r="AZ22" s="1">
        <f t="shared" si="6"/>
        <v>0</v>
      </c>
      <c r="BA22" s="1">
        <f t="shared" si="6"/>
        <v>0</v>
      </c>
      <c r="BB22" s="1">
        <f t="shared" si="6"/>
        <v>0</v>
      </c>
      <c r="BC22" s="1">
        <f t="shared" si="6"/>
        <v>0</v>
      </c>
      <c r="BD22" s="1">
        <f t="shared" si="6"/>
        <v>0</v>
      </c>
      <c r="BE22" s="1">
        <f t="shared" si="6"/>
        <v>0</v>
      </c>
      <c r="BF22" s="1">
        <f t="shared" si="6"/>
        <v>0</v>
      </c>
      <c r="BG22" s="1">
        <f t="shared" si="6"/>
        <v>0</v>
      </c>
      <c r="BH22" s="1">
        <f t="shared" si="6"/>
        <v>0</v>
      </c>
      <c r="BI22" s="1">
        <f t="shared" si="6"/>
        <v>0</v>
      </c>
      <c r="BJ22" s="1">
        <f t="shared" si="6"/>
        <v>0</v>
      </c>
      <c r="BK22" t="s">
        <v>102</v>
      </c>
    </row>
    <row r="23" spans="1:63" ht="11.25" customHeight="1" x14ac:dyDescent="0.25">
      <c r="A23" s="5"/>
      <c r="B23" s="5"/>
      <c r="C23" s="94"/>
      <c r="D23" s="5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t="s">
        <v>102</v>
      </c>
    </row>
    <row r="24" spans="1:63" ht="11.2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t="s">
        <v>102</v>
      </c>
    </row>
    <row r="25" spans="1:63" ht="11.25" customHeight="1" x14ac:dyDescent="0.25">
      <c r="A25" s="5" t="s">
        <v>26</v>
      </c>
      <c r="B25" s="3" t="s">
        <v>398</v>
      </c>
      <c r="C25" s="94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t="s">
        <v>102</v>
      </c>
    </row>
    <row r="26" spans="1:63" ht="11.25" customHeight="1" x14ac:dyDescent="0.25">
      <c r="A26" s="5"/>
      <c r="B26" s="5" t="s">
        <v>408</v>
      </c>
      <c r="C26" s="94" t="s">
        <v>102</v>
      </c>
      <c r="D26" s="5"/>
      <c r="E26" s="143">
        <f>SUM(G26:BJ26)</f>
        <v>38.307358638627491</v>
      </c>
      <c r="F26" s="12" t="s">
        <v>26</v>
      </c>
      <c r="G26" s="95">
        <f>IF(G7&gt;0,IF(G15&gt;0,(G16-G15)/G18,G16/G18),0)</f>
        <v>0</v>
      </c>
      <c r="H26" s="95">
        <f>IF(H7&gt;0,IF(H15&gt;0,(H16-H15)/H18,H16/H18),0)</f>
        <v>0</v>
      </c>
      <c r="I26" s="95">
        <f t="shared" ref="I26:BJ26" si="7">IF(I7&gt;0,IF(I15&gt;0,(I16-I15)/I18,I16/I18),0)</f>
        <v>0</v>
      </c>
      <c r="J26" s="95">
        <f t="shared" si="7"/>
        <v>0</v>
      </c>
      <c r="K26" s="95">
        <f t="shared" si="7"/>
        <v>0</v>
      </c>
      <c r="L26" s="95">
        <f t="shared" si="7"/>
        <v>0</v>
      </c>
      <c r="M26" s="95">
        <f t="shared" si="7"/>
        <v>0</v>
      </c>
      <c r="N26" s="95">
        <f t="shared" si="7"/>
        <v>0</v>
      </c>
      <c r="O26" s="95">
        <f t="shared" si="7"/>
        <v>0</v>
      </c>
      <c r="P26" s="95">
        <f t="shared" si="7"/>
        <v>0</v>
      </c>
      <c r="Q26" s="95">
        <f t="shared" si="7"/>
        <v>0</v>
      </c>
      <c r="R26" s="95">
        <f t="shared" si="7"/>
        <v>0</v>
      </c>
      <c r="S26" s="95">
        <f t="shared" si="7"/>
        <v>0</v>
      </c>
      <c r="T26" s="95">
        <f t="shared" si="7"/>
        <v>0</v>
      </c>
      <c r="U26" s="95">
        <f t="shared" si="7"/>
        <v>0</v>
      </c>
      <c r="V26" s="95">
        <f t="shared" si="7"/>
        <v>0</v>
      </c>
      <c r="W26" s="95">
        <f t="shared" si="7"/>
        <v>1.719369830672701</v>
      </c>
      <c r="X26" s="95">
        <f t="shared" si="7"/>
        <v>1.7174190436709844</v>
      </c>
      <c r="Y26" s="95">
        <f t="shared" si="7"/>
        <v>1.7454760568902767</v>
      </c>
      <c r="Z26" s="95">
        <f t="shared" si="7"/>
        <v>1.7274430839364647</v>
      </c>
      <c r="AA26" s="95">
        <f t="shared" si="7"/>
        <v>1.7494055230117225</v>
      </c>
      <c r="AB26" s="95">
        <f t="shared" si="7"/>
        <v>1.7307090319573051</v>
      </c>
      <c r="AC26" s="95">
        <f t="shared" si="7"/>
        <v>1.7641404035432124</v>
      </c>
      <c r="AD26" s="95">
        <f t="shared" si="7"/>
        <v>1.1799349878890482</v>
      </c>
      <c r="AE26" s="95">
        <f t="shared" si="7"/>
        <v>1.7214589999019305</v>
      </c>
      <c r="AF26" s="95">
        <f t="shared" si="7"/>
        <v>1.7966158235741456</v>
      </c>
      <c r="AG26" s="95">
        <f t="shared" si="7"/>
        <v>1.8113969744864384</v>
      </c>
      <c r="AH26" s="95">
        <f t="shared" si="7"/>
        <v>1.7739214339168696</v>
      </c>
      <c r="AI26" s="95">
        <f t="shared" si="7"/>
        <v>1.7824353038114973</v>
      </c>
      <c r="AJ26" s="95">
        <f t="shared" si="7"/>
        <v>1.7650056075144991</v>
      </c>
      <c r="AK26" s="95">
        <f t="shared" si="7"/>
        <v>1.0941906743717729</v>
      </c>
      <c r="AL26" s="95">
        <f t="shared" si="7"/>
        <v>0.32939588767003514</v>
      </c>
      <c r="AM26" s="95">
        <f t="shared" si="7"/>
        <v>1.2693484638043033</v>
      </c>
      <c r="AN26" s="95">
        <f t="shared" si="7"/>
        <v>1.3902306106924867</v>
      </c>
      <c r="AO26" s="95">
        <f t="shared" si="7"/>
        <v>1.4252225946423931</v>
      </c>
      <c r="AP26" s="95">
        <f t="shared" si="7"/>
        <v>1.3873731769974704</v>
      </c>
      <c r="AQ26" s="95">
        <f t="shared" si="7"/>
        <v>1.3955055283108317</v>
      </c>
      <c r="AR26" s="95">
        <f t="shared" si="7"/>
        <v>1.3555623583358241</v>
      </c>
      <c r="AS26" s="95">
        <f t="shared" si="7"/>
        <v>1.3760837333712002</v>
      </c>
      <c r="AT26" s="95">
        <f t="shared" si="7"/>
        <v>0.68710781568996093</v>
      </c>
      <c r="AU26" s="95">
        <f t="shared" si="7"/>
        <v>1.2613633941798634</v>
      </c>
      <c r="AV26" s="95">
        <f t="shared" si="7"/>
        <v>1.3512422957842491</v>
      </c>
      <c r="AW26" s="95">
        <f t="shared" si="7"/>
        <v>0</v>
      </c>
      <c r="AX26" s="95">
        <f t="shared" si="7"/>
        <v>0</v>
      </c>
      <c r="AY26" s="95">
        <f t="shared" si="7"/>
        <v>0</v>
      </c>
      <c r="AZ26" s="95">
        <f t="shared" si="7"/>
        <v>0</v>
      </c>
      <c r="BA26" s="95">
        <f t="shared" si="7"/>
        <v>0</v>
      </c>
      <c r="BB26" s="95">
        <f t="shared" si="7"/>
        <v>0</v>
      </c>
      <c r="BC26" s="95">
        <f t="shared" si="7"/>
        <v>0</v>
      </c>
      <c r="BD26" s="95">
        <f t="shared" si="7"/>
        <v>0</v>
      </c>
      <c r="BE26" s="95">
        <f t="shared" si="7"/>
        <v>0</v>
      </c>
      <c r="BF26" s="95">
        <f t="shared" si="7"/>
        <v>0</v>
      </c>
      <c r="BG26" s="95">
        <f t="shared" si="7"/>
        <v>0</v>
      </c>
      <c r="BH26" s="95">
        <f t="shared" si="7"/>
        <v>0</v>
      </c>
      <c r="BI26" s="95">
        <f t="shared" si="7"/>
        <v>0</v>
      </c>
      <c r="BJ26" s="95">
        <f t="shared" si="7"/>
        <v>0</v>
      </c>
      <c r="BK26" t="s">
        <v>102</v>
      </c>
    </row>
    <row r="27" spans="1:63" ht="11.25" customHeight="1" x14ac:dyDescent="0.25">
      <c r="A27" s="5"/>
      <c r="B27" s="3" t="s">
        <v>409</v>
      </c>
      <c r="C27" s="96" t="s">
        <v>102</v>
      </c>
      <c r="D27" s="3"/>
      <c r="E27" s="299">
        <f>AVERAGE(W26:AV26)</f>
        <v>1.4733599476395189</v>
      </c>
      <c r="F27" s="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  <c r="AC27" s="95"/>
      <c r="AD27" s="95"/>
      <c r="AE27" s="95"/>
      <c r="AF27" s="95"/>
      <c r="AG27" s="95"/>
      <c r="AH27" s="95"/>
      <c r="AI27" s="95"/>
      <c r="AJ27" s="95"/>
      <c r="AK27" s="95"/>
      <c r="AL27" s="95"/>
      <c r="AM27" s="95"/>
      <c r="AN27" s="95"/>
      <c r="AO27" s="95"/>
      <c r="AP27" s="95"/>
      <c r="AQ27" s="95"/>
      <c r="AR27" s="95"/>
      <c r="AS27" s="95"/>
      <c r="AT27" s="95"/>
      <c r="AU27" s="95"/>
      <c r="AV27" s="95"/>
      <c r="AW27" s="95"/>
      <c r="AX27" s="95"/>
      <c r="AY27" s="95"/>
      <c r="AZ27" s="95"/>
      <c r="BA27" s="95"/>
      <c r="BB27" s="95"/>
      <c r="BC27" s="95"/>
      <c r="BD27" s="95"/>
      <c r="BE27" s="95"/>
      <c r="BF27" s="95"/>
      <c r="BG27" s="95"/>
      <c r="BH27" s="95"/>
      <c r="BI27" s="95"/>
      <c r="BJ27" s="95"/>
      <c r="BK27" t="s">
        <v>102</v>
      </c>
    </row>
    <row r="28" spans="1:63" ht="11.25" customHeight="1" x14ac:dyDescent="0.25">
      <c r="A28" s="5"/>
      <c r="B28" s="3" t="s">
        <v>410</v>
      </c>
      <c r="C28" s="96" t="s">
        <v>102</v>
      </c>
      <c r="D28" s="3"/>
      <c r="E28" s="299">
        <f>SMALL(G26:BJ26,COUNTIF(G26:BJ26,0)+1)</f>
        <v>0.32939588767003514</v>
      </c>
      <c r="F28" s="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5"/>
      <c r="AL28" s="95"/>
      <c r="AM28" s="95"/>
      <c r="AN28" s="95"/>
      <c r="AO28" s="95"/>
      <c r="AP28" s="95"/>
      <c r="AQ28" s="95"/>
      <c r="AR28" s="95"/>
      <c r="AS28" s="95"/>
      <c r="AT28" s="95"/>
      <c r="AU28" s="95"/>
      <c r="AV28" s="95"/>
      <c r="AW28" s="95"/>
      <c r="AX28" s="95"/>
      <c r="AY28" s="95"/>
      <c r="AZ28" s="95"/>
      <c r="BA28" s="95"/>
      <c r="BB28" s="95"/>
      <c r="BC28" s="95"/>
      <c r="BD28" s="95"/>
      <c r="BE28" s="95"/>
      <c r="BF28" s="95"/>
      <c r="BG28" s="95"/>
      <c r="BH28" s="95"/>
      <c r="BI28" s="95"/>
      <c r="BJ28" s="95"/>
      <c r="BK28" t="s">
        <v>102</v>
      </c>
    </row>
    <row r="29" spans="1:63" ht="11.25" customHeight="1" x14ac:dyDescent="0.25">
      <c r="A29" s="5"/>
      <c r="B29" s="3"/>
      <c r="C29" s="96"/>
      <c r="D29" s="3"/>
      <c r="E29" s="97"/>
      <c r="F29" s="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  <c r="AC29" s="95"/>
      <c r="AD29" s="95"/>
      <c r="AE29" s="95"/>
      <c r="AF29" s="95"/>
      <c r="AG29" s="95"/>
      <c r="AH29" s="95"/>
      <c r="AI29" s="95"/>
      <c r="AJ29" s="95"/>
      <c r="AK29" s="95"/>
      <c r="AL29" s="95"/>
      <c r="AM29" s="95"/>
      <c r="AN29" s="95"/>
      <c r="AO29" s="95"/>
      <c r="AP29" s="95"/>
      <c r="AQ29" s="95"/>
      <c r="AR29" s="95"/>
      <c r="AS29" s="95"/>
      <c r="AT29" s="95"/>
      <c r="AU29" s="95"/>
      <c r="AV29" s="95"/>
      <c r="AW29" s="95"/>
      <c r="AX29" s="95"/>
      <c r="AY29" s="95"/>
      <c r="AZ29" s="95"/>
      <c r="BA29" s="95"/>
      <c r="BB29" s="95"/>
      <c r="BC29" s="95"/>
      <c r="BD29" s="95"/>
      <c r="BE29" s="95"/>
      <c r="BF29" s="95"/>
      <c r="BG29" s="95"/>
      <c r="BH29" s="95"/>
      <c r="BI29" s="95"/>
      <c r="BJ29" s="95"/>
      <c r="BK29" t="s">
        <v>102</v>
      </c>
    </row>
    <row r="30" spans="1:63" ht="11.25" customHeight="1" x14ac:dyDescent="0.25">
      <c r="A30" s="5"/>
      <c r="B30" s="5" t="str">
        <f>Reserves!B17</f>
        <v>DSRA release for shortfall</v>
      </c>
      <c r="C30" s="7" t="str">
        <f>Reserves!C17</f>
        <v>000 $</v>
      </c>
      <c r="D30" s="5"/>
      <c r="E30" s="1"/>
      <c r="F30" s="12" t="s">
        <v>26</v>
      </c>
      <c r="G30" s="83">
        <f>Reserves!G17</f>
        <v>0</v>
      </c>
      <c r="H30" s="83">
        <f>Reserves!H17</f>
        <v>0</v>
      </c>
      <c r="I30" s="83">
        <f>Reserves!I17</f>
        <v>0</v>
      </c>
      <c r="J30" s="83">
        <f>Reserves!J17</f>
        <v>0</v>
      </c>
      <c r="K30" s="83">
        <f>Reserves!K17</f>
        <v>0</v>
      </c>
      <c r="L30" s="83">
        <f>Reserves!L17</f>
        <v>0</v>
      </c>
      <c r="M30" s="83">
        <f>Reserves!M17</f>
        <v>0</v>
      </c>
      <c r="N30" s="83">
        <f>Reserves!N17</f>
        <v>0</v>
      </c>
      <c r="O30" s="83">
        <f>Reserves!O17</f>
        <v>0</v>
      </c>
      <c r="P30" s="83">
        <f>Reserves!P17</f>
        <v>0</v>
      </c>
      <c r="Q30" s="83">
        <f>Reserves!Q17</f>
        <v>0</v>
      </c>
      <c r="R30" s="83">
        <f>Reserves!R17</f>
        <v>0</v>
      </c>
      <c r="S30" s="83">
        <f>Reserves!S17</f>
        <v>0</v>
      </c>
      <c r="T30" s="83">
        <f>Reserves!T17</f>
        <v>0</v>
      </c>
      <c r="U30" s="83">
        <f>Reserves!U17</f>
        <v>0</v>
      </c>
      <c r="V30" s="83">
        <f>Reserves!V17</f>
        <v>0</v>
      </c>
      <c r="W30" s="83">
        <f>Reserves!W17</f>
        <v>0</v>
      </c>
      <c r="X30" s="83">
        <f>Reserves!X17</f>
        <v>0</v>
      </c>
      <c r="Y30" s="83">
        <f>Reserves!Y17</f>
        <v>0</v>
      </c>
      <c r="Z30" s="83">
        <f>Reserves!Z17</f>
        <v>0</v>
      </c>
      <c r="AA30" s="83">
        <f>Reserves!AA17</f>
        <v>0</v>
      </c>
      <c r="AB30" s="83">
        <f>Reserves!AB17</f>
        <v>0</v>
      </c>
      <c r="AC30" s="83">
        <f>Reserves!AC17</f>
        <v>0</v>
      </c>
      <c r="AD30" s="83">
        <f>Reserves!AD17</f>
        <v>0</v>
      </c>
      <c r="AE30" s="83">
        <f>Reserves!AE17</f>
        <v>0</v>
      </c>
      <c r="AF30" s="83">
        <f>Reserves!AF17</f>
        <v>0</v>
      </c>
      <c r="AG30" s="83">
        <f>Reserves!AG17</f>
        <v>0</v>
      </c>
      <c r="AH30" s="83">
        <f>Reserves!AH17</f>
        <v>0</v>
      </c>
      <c r="AI30" s="83">
        <f>Reserves!AI17</f>
        <v>0</v>
      </c>
      <c r="AJ30" s="83">
        <f>Reserves!AJ17</f>
        <v>0</v>
      </c>
      <c r="AK30" s="83">
        <f>Reserves!AK17</f>
        <v>0</v>
      </c>
      <c r="AL30" s="83">
        <f>Reserves!AL17</f>
        <v>13133.921853004174</v>
      </c>
      <c r="AM30" s="83">
        <f>Reserves!AM17</f>
        <v>0</v>
      </c>
      <c r="AN30" s="83">
        <f>Reserves!AN17</f>
        <v>0</v>
      </c>
      <c r="AO30" s="83">
        <f>Reserves!AO17</f>
        <v>0</v>
      </c>
      <c r="AP30" s="83">
        <f>Reserves!AP17</f>
        <v>0</v>
      </c>
      <c r="AQ30" s="83">
        <f>Reserves!AQ17</f>
        <v>0</v>
      </c>
      <c r="AR30" s="83">
        <f>Reserves!AR17</f>
        <v>0</v>
      </c>
      <c r="AS30" s="83">
        <f>Reserves!AS17</f>
        <v>0</v>
      </c>
      <c r="AT30" s="83">
        <f>Reserves!AT17</f>
        <v>6128.058897321207</v>
      </c>
      <c r="AU30" s="83">
        <f>Reserves!AU17</f>
        <v>0</v>
      </c>
      <c r="AV30" s="83">
        <f>Reserves!AV17</f>
        <v>0</v>
      </c>
      <c r="AW30" s="83">
        <f>Reserves!AW17</f>
        <v>0</v>
      </c>
      <c r="AX30" s="83">
        <f>Reserves!AX17</f>
        <v>0</v>
      </c>
      <c r="AY30" s="83">
        <f>Reserves!AY17</f>
        <v>0</v>
      </c>
      <c r="AZ30" s="83">
        <f>Reserves!AZ17</f>
        <v>0</v>
      </c>
      <c r="BA30" s="83">
        <f>Reserves!BA17</f>
        <v>0</v>
      </c>
      <c r="BB30" s="83">
        <f>Reserves!BB17</f>
        <v>0</v>
      </c>
      <c r="BC30" s="83">
        <f>Reserves!BC17</f>
        <v>0</v>
      </c>
      <c r="BD30" s="83">
        <f>Reserves!BD17</f>
        <v>0</v>
      </c>
      <c r="BE30" s="83">
        <f>Reserves!BE17</f>
        <v>0</v>
      </c>
      <c r="BF30" s="83">
        <f>Reserves!BF17</f>
        <v>0</v>
      </c>
      <c r="BG30" s="83">
        <f>Reserves!BG17</f>
        <v>0</v>
      </c>
      <c r="BH30" s="83">
        <f>Reserves!BH17</f>
        <v>0</v>
      </c>
      <c r="BI30" s="83">
        <f>Reserves!BI17</f>
        <v>0</v>
      </c>
      <c r="BJ30" s="83">
        <f>Reserves!BJ17</f>
        <v>0</v>
      </c>
      <c r="BK30" t="s">
        <v>102</v>
      </c>
    </row>
    <row r="31" spans="1:63" ht="11.25" customHeight="1" x14ac:dyDescent="0.25">
      <c r="A31" s="5"/>
      <c r="B31" s="5" t="s">
        <v>406</v>
      </c>
      <c r="C31" s="94" t="s">
        <v>102</v>
      </c>
      <c r="D31" s="3"/>
      <c r="E31" s="97"/>
      <c r="F31" s="5" t="s">
        <v>26</v>
      </c>
      <c r="G31" s="95">
        <f>IF(G7&gt;0,IF(G30&gt;0,1,(G16-G30)/G18),0)</f>
        <v>0</v>
      </c>
      <c r="H31" s="95">
        <f>IF(H7&gt;0,IF(H30&gt;0,1,(H16-H30)/H18),0)</f>
        <v>0</v>
      </c>
      <c r="I31" s="95">
        <f t="shared" ref="I31:BJ31" si="8">IF(I7&gt;0,IF(I30&gt;0,1,(I16-I30)/I18),0)</f>
        <v>0</v>
      </c>
      <c r="J31" s="95">
        <f t="shared" si="8"/>
        <v>0</v>
      </c>
      <c r="K31" s="95">
        <f t="shared" si="8"/>
        <v>0</v>
      </c>
      <c r="L31" s="95">
        <f t="shared" si="8"/>
        <v>0</v>
      </c>
      <c r="M31" s="95">
        <f t="shared" si="8"/>
        <v>0</v>
      </c>
      <c r="N31" s="95">
        <f t="shared" si="8"/>
        <v>0</v>
      </c>
      <c r="O31" s="95">
        <f t="shared" si="8"/>
        <v>0</v>
      </c>
      <c r="P31" s="95">
        <f t="shared" si="8"/>
        <v>0</v>
      </c>
      <c r="Q31" s="95">
        <f t="shared" si="8"/>
        <v>0</v>
      </c>
      <c r="R31" s="95">
        <f t="shared" si="8"/>
        <v>0</v>
      </c>
      <c r="S31" s="95">
        <f t="shared" si="8"/>
        <v>0</v>
      </c>
      <c r="T31" s="95">
        <f t="shared" si="8"/>
        <v>0</v>
      </c>
      <c r="U31" s="95">
        <f t="shared" si="8"/>
        <v>0</v>
      </c>
      <c r="V31" s="95">
        <f t="shared" si="8"/>
        <v>0</v>
      </c>
      <c r="W31" s="95">
        <f t="shared" si="8"/>
        <v>1.719369830672701</v>
      </c>
      <c r="X31" s="95">
        <f t="shared" si="8"/>
        <v>1.7174190436709844</v>
      </c>
      <c r="Y31" s="95">
        <f t="shared" si="8"/>
        <v>1.7454760568902767</v>
      </c>
      <c r="Z31" s="95">
        <f t="shared" si="8"/>
        <v>1.7274430839364647</v>
      </c>
      <c r="AA31" s="95">
        <f t="shared" si="8"/>
        <v>1.7494055230117225</v>
      </c>
      <c r="AB31" s="95">
        <f t="shared" si="8"/>
        <v>1.7307090319573051</v>
      </c>
      <c r="AC31" s="95">
        <f t="shared" si="8"/>
        <v>1.7641404035432124</v>
      </c>
      <c r="AD31" s="95">
        <f t="shared" si="8"/>
        <v>1.1799349878890482</v>
      </c>
      <c r="AE31" s="95">
        <f t="shared" si="8"/>
        <v>1.7214589999019305</v>
      </c>
      <c r="AF31" s="95">
        <f t="shared" si="8"/>
        <v>1.7966158235741456</v>
      </c>
      <c r="AG31" s="95">
        <f t="shared" si="8"/>
        <v>1.8113969744864384</v>
      </c>
      <c r="AH31" s="95">
        <f t="shared" si="8"/>
        <v>1.7739214339168696</v>
      </c>
      <c r="AI31" s="95">
        <f t="shared" si="8"/>
        <v>1.7824353038114973</v>
      </c>
      <c r="AJ31" s="95">
        <f t="shared" si="8"/>
        <v>1.7650056075144991</v>
      </c>
      <c r="AK31" s="95">
        <f t="shared" si="8"/>
        <v>1.0941906743717729</v>
      </c>
      <c r="AL31" s="95">
        <f t="shared" si="8"/>
        <v>1</v>
      </c>
      <c r="AM31" s="95">
        <f t="shared" si="8"/>
        <v>1.2693484638043033</v>
      </c>
      <c r="AN31" s="95">
        <f t="shared" si="8"/>
        <v>1.3902306106924867</v>
      </c>
      <c r="AO31" s="95">
        <f t="shared" si="8"/>
        <v>1.4252225946423931</v>
      </c>
      <c r="AP31" s="95">
        <f t="shared" si="8"/>
        <v>1.3873731769974704</v>
      </c>
      <c r="AQ31" s="95">
        <f t="shared" si="8"/>
        <v>1.3955055283108317</v>
      </c>
      <c r="AR31" s="95">
        <f t="shared" si="8"/>
        <v>1.3555623583358241</v>
      </c>
      <c r="AS31" s="95">
        <f t="shared" si="8"/>
        <v>1.3760837333712002</v>
      </c>
      <c r="AT31" s="95">
        <f t="shared" si="8"/>
        <v>1</v>
      </c>
      <c r="AU31" s="95">
        <f t="shared" si="8"/>
        <v>1.2613633941798634</v>
      </c>
      <c r="AV31" s="95">
        <f t="shared" si="8"/>
        <v>2.2997135056540734</v>
      </c>
      <c r="AW31" s="95">
        <f t="shared" si="8"/>
        <v>0</v>
      </c>
      <c r="AX31" s="95">
        <f t="shared" si="8"/>
        <v>0</v>
      </c>
      <c r="AY31" s="95">
        <f t="shared" si="8"/>
        <v>0</v>
      </c>
      <c r="AZ31" s="95">
        <f t="shared" si="8"/>
        <v>0</v>
      </c>
      <c r="BA31" s="95">
        <f t="shared" si="8"/>
        <v>0</v>
      </c>
      <c r="BB31" s="95">
        <f t="shared" si="8"/>
        <v>0</v>
      </c>
      <c r="BC31" s="95">
        <f t="shared" si="8"/>
        <v>0</v>
      </c>
      <c r="BD31" s="95">
        <f t="shared" si="8"/>
        <v>0</v>
      </c>
      <c r="BE31" s="95">
        <f t="shared" si="8"/>
        <v>0</v>
      </c>
      <c r="BF31" s="95">
        <f t="shared" si="8"/>
        <v>0</v>
      </c>
      <c r="BG31" s="95">
        <f t="shared" si="8"/>
        <v>0</v>
      </c>
      <c r="BH31" s="95">
        <f t="shared" si="8"/>
        <v>0</v>
      </c>
      <c r="BI31" s="95">
        <f t="shared" si="8"/>
        <v>0</v>
      </c>
      <c r="BJ31" s="95">
        <f t="shared" si="8"/>
        <v>0</v>
      </c>
      <c r="BK31" t="s">
        <v>102</v>
      </c>
    </row>
    <row r="32" spans="1:63" ht="11.25" customHeight="1" x14ac:dyDescent="0.25">
      <c r="A32" s="5"/>
      <c r="B32" s="3" t="s">
        <v>404</v>
      </c>
      <c r="C32" s="96" t="s">
        <v>102</v>
      </c>
      <c r="D32" s="3"/>
      <c r="E32" s="299">
        <f>AVERAGE(W31:AV31)</f>
        <v>1.5476663901975896</v>
      </c>
      <c r="F32" s="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K32" t="s">
        <v>102</v>
      </c>
    </row>
    <row r="33" spans="1:63" ht="11.25" customHeight="1" x14ac:dyDescent="0.25">
      <c r="A33" s="5"/>
      <c r="B33" s="3" t="s">
        <v>405</v>
      </c>
      <c r="C33" s="96" t="s">
        <v>102</v>
      </c>
      <c r="D33" s="3"/>
      <c r="E33" s="299">
        <f>SMALL(G31:BJ31,COUNTIF(G31:BJ31,0)+1)</f>
        <v>1</v>
      </c>
      <c r="F33" s="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5"/>
      <c r="AJ33" s="95"/>
      <c r="AK33" s="95"/>
      <c r="AL33" s="95"/>
      <c r="AM33" s="95"/>
      <c r="AN33" s="95"/>
      <c r="AO33" s="95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  <c r="BJ33" s="95"/>
      <c r="BK33" t="s">
        <v>102</v>
      </c>
    </row>
    <row r="34" spans="1:63" ht="11.25" customHeight="1" x14ac:dyDescent="0.25">
      <c r="A34" s="5"/>
      <c r="B34" s="3"/>
      <c r="C34" s="96"/>
      <c r="D34" s="3"/>
      <c r="E34" s="97"/>
      <c r="F34" s="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5"/>
      <c r="AO34" s="95"/>
      <c r="AP34" s="95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K34" t="s">
        <v>102</v>
      </c>
    </row>
    <row r="35" spans="1:63" ht="11.25" customHeight="1" x14ac:dyDescent="0.25">
      <c r="A35" s="5"/>
      <c r="B35" s="5" t="s">
        <v>77</v>
      </c>
      <c r="C35" s="94" t="s">
        <v>1</v>
      </c>
      <c r="D35" s="5"/>
      <c r="E35" s="83">
        <f>SUM(G35:BJ35)</f>
        <v>2538932.6402517054</v>
      </c>
      <c r="F35" s="12" t="s">
        <v>26</v>
      </c>
      <c r="G35" s="1">
        <f>IF(G7&gt;0,Revenues!G35,0)</f>
        <v>0</v>
      </c>
      <c r="H35" s="1">
        <f>IF(H7&gt;0,Revenues!H35,0)</f>
        <v>0</v>
      </c>
      <c r="I35" s="1">
        <f>IF(I7&gt;0,Revenues!I35,0)</f>
        <v>0</v>
      </c>
      <c r="J35" s="1">
        <f>IF(J7&gt;0,Revenues!J35,0)</f>
        <v>0</v>
      </c>
      <c r="K35" s="1">
        <f>IF(K7&gt;0,Revenues!K35,0)</f>
        <v>0</v>
      </c>
      <c r="L35" s="1">
        <f>IF(L7&gt;0,Revenues!L35,0)</f>
        <v>0</v>
      </c>
      <c r="M35" s="1">
        <f>IF(M7&gt;0,Revenues!M35,0)</f>
        <v>0</v>
      </c>
      <c r="N35" s="1">
        <f>IF(N7&gt;0,Revenues!N35,0)</f>
        <v>0</v>
      </c>
      <c r="O35" s="1">
        <f>IF(O7&gt;0,Revenues!O35,0)</f>
        <v>0</v>
      </c>
      <c r="P35" s="1">
        <f>IF(P7&gt;0,Revenues!P35,0)</f>
        <v>0</v>
      </c>
      <c r="Q35" s="1">
        <f>IF(Q7&gt;0,Revenues!Q35,0)</f>
        <v>0</v>
      </c>
      <c r="R35" s="1">
        <f>IF(R7&gt;0,Revenues!R35,0)</f>
        <v>0</v>
      </c>
      <c r="S35" s="1">
        <f>IF(S7&gt;0,Revenues!S35,0)</f>
        <v>0</v>
      </c>
      <c r="T35" s="1">
        <f>IF(T7&gt;0,Revenues!T35,0)</f>
        <v>0</v>
      </c>
      <c r="U35" s="1">
        <f>IF(U7&gt;0,Revenues!U35,0)</f>
        <v>0</v>
      </c>
      <c r="V35" s="1">
        <f>IF(V7&gt;0,Revenues!V35,0)</f>
        <v>0</v>
      </c>
      <c r="W35" s="1">
        <f>IF(W7&gt;0,Revenues!W35,0)</f>
        <v>77255.968276576561</v>
      </c>
      <c r="X35" s="1">
        <f>IF(X7&gt;0,Revenues!X35,0)</f>
        <v>78299.405889897258</v>
      </c>
      <c r="Y35" s="1">
        <f>IF(Y7&gt;0,Revenues!Y35,0)</f>
        <v>77673.010642778085</v>
      </c>
      <c r="Z35" s="1">
        <f>IF(Z7&gt;0,Revenues!Z35,0)</f>
        <v>79040.017679904617</v>
      </c>
      <c r="AA35" s="1">
        <f>IF(AA7&gt;0,Revenues!AA35,0)</f>
        <v>78407.697538465392</v>
      </c>
      <c r="AB35" s="1">
        <f>IF(AB7&gt;0,Revenues!AB35,0)</f>
        <v>79786.300968129493</v>
      </c>
      <c r="AC35" s="1">
        <f>IF(AC7&gt;0,Revenues!AC35,0)</f>
        <v>79148.010560384457</v>
      </c>
      <c r="AD35" s="1">
        <f>IF(AD7&gt;0,Revenues!AD35,0)</f>
        <v>74129.752311313263</v>
      </c>
      <c r="AE35" s="1">
        <f>IF(AE7&gt;0,Revenues!AE35,0)</f>
        <v>82789.334972221506</v>
      </c>
      <c r="AF35" s="1">
        <f>IF(AF7&gt;0,Revenues!AF35,0)</f>
        <v>83032.734732281999</v>
      </c>
      <c r="AG35" s="1">
        <f>IF(AG7&gt;0,Revenues!AG35,0)</f>
        <v>82368.472854423744</v>
      </c>
      <c r="AH35" s="1">
        <f>IF(AH7&gt;0,Revenues!AH35,0)</f>
        <v>82979.516076454704</v>
      </c>
      <c r="AI35" s="1">
        <f>IF(AI7&gt;0,Revenues!AI35,0)</f>
        <v>82315.679947843048</v>
      </c>
      <c r="AJ35" s="1">
        <f>IF(AJ7&gt;0,Revenues!AJ35,0)</f>
        <v>83902.726257237475</v>
      </c>
      <c r="AK35" s="1">
        <f>IF(AK7&gt;0,Revenues!AK35,0)</f>
        <v>106989.2222775643</v>
      </c>
      <c r="AL35" s="1">
        <f>IF(AL7&gt;0,Revenues!AL35,0)</f>
        <v>104671.66171020181</v>
      </c>
      <c r="AM35" s="1">
        <f>IF(AM7&gt;0,Revenues!AM35,0)</f>
        <v>118495.50580560003</v>
      </c>
      <c r="AN35" s="1">
        <f>IF(AN7&gt;0,Revenues!AN35,0)</f>
        <v>119140.93842011748</v>
      </c>
      <c r="AO35" s="1">
        <f>IF(AO7&gt;0,Revenues!AO35,0)</f>
        <v>119801.87190181589</v>
      </c>
      <c r="AP35" s="1">
        <f>IF(AP7&gt;0,Revenues!AP35,0)</f>
        <v>119813.48522220481</v>
      </c>
      <c r="AQ35" s="1">
        <f>IF(AQ7&gt;0,Revenues!AQ35,0)</f>
        <v>120478.14965235304</v>
      </c>
      <c r="AR35" s="1">
        <f>IF(AR7&gt;0,Revenues!AR35,0)</f>
        <v>120408.10911263601</v>
      </c>
      <c r="AS35" s="1">
        <f>IF(AS7&gt;0,Revenues!AS35,0)</f>
        <v>121076.07221445339</v>
      </c>
      <c r="AT35" s="1">
        <f>IF(AT7&gt;0,Revenues!AT35,0)</f>
        <v>112196.3797400217</v>
      </c>
      <c r="AU35" s="1">
        <f>IF(AU7&gt;0,Revenues!AU35,0)</f>
        <v>127014.00311824113</v>
      </c>
      <c r="AV35" s="1">
        <f>IF(AV7&gt;0,Revenues!AV35,0)</f>
        <v>127718.61236858439</v>
      </c>
      <c r="AW35" s="1">
        <f>IF(AW7&gt;0,Revenues!AW35,0)</f>
        <v>0</v>
      </c>
      <c r="AX35" s="1">
        <f>IF(AX7&gt;0,Revenues!AX35,0)</f>
        <v>0</v>
      </c>
      <c r="AY35" s="1">
        <f>IF(AY7&gt;0,Revenues!AY35,0)</f>
        <v>0</v>
      </c>
      <c r="AZ35" s="1">
        <f>IF(AZ7&gt;0,Revenues!AZ35,0)</f>
        <v>0</v>
      </c>
      <c r="BA35" s="1">
        <f>IF(BA7&gt;0,Revenues!BA35,0)</f>
        <v>0</v>
      </c>
      <c r="BB35" s="1">
        <f>IF(BB7&gt;0,Revenues!BB35,0)</f>
        <v>0</v>
      </c>
      <c r="BC35" s="1">
        <f>IF(BC7&gt;0,Revenues!BC35,0)</f>
        <v>0</v>
      </c>
      <c r="BD35" s="1">
        <f>IF(BD7&gt;0,Revenues!BD35,0)</f>
        <v>0</v>
      </c>
      <c r="BE35" s="1">
        <f>IF(BE7&gt;0,Revenues!BE35,0)</f>
        <v>0</v>
      </c>
      <c r="BF35" s="1">
        <f>IF(BF7&gt;0,Revenues!BF35,0)</f>
        <v>0</v>
      </c>
      <c r="BG35" s="1">
        <f>IF(BG7&gt;0,Revenues!BG35,0)</f>
        <v>0</v>
      </c>
      <c r="BH35" s="1">
        <f>IF(BH7&gt;0,Revenues!BH35,0)</f>
        <v>0</v>
      </c>
      <c r="BI35" s="1">
        <f>IF(BI7&gt;0,Revenues!BI35,0)</f>
        <v>0</v>
      </c>
      <c r="BJ35" s="1">
        <f>IF(BJ7&gt;0,Revenues!BJ35,0)</f>
        <v>0</v>
      </c>
      <c r="BK35" t="s">
        <v>102</v>
      </c>
    </row>
    <row r="36" spans="1:63" ht="11.25" customHeight="1" x14ac:dyDescent="0.25">
      <c r="A36" s="5"/>
      <c r="B36" s="5" t="s">
        <v>397</v>
      </c>
      <c r="C36" s="94" t="s">
        <v>101</v>
      </c>
      <c r="D36" s="5"/>
      <c r="E36" s="5"/>
      <c r="F36" s="12" t="s">
        <v>26</v>
      </c>
      <c r="G36" s="1">
        <f>'Time &amp; Technical'!G26</f>
        <v>0</v>
      </c>
      <c r="H36" s="1">
        <f>'Time &amp; Technical'!H26</f>
        <v>0</v>
      </c>
      <c r="I36" s="1">
        <f>'Time &amp; Technical'!I26</f>
        <v>0</v>
      </c>
      <c r="J36" s="1">
        <f>'Time &amp; Technical'!J26</f>
        <v>0</v>
      </c>
      <c r="K36" s="1">
        <f>'Time &amp; Technical'!K26</f>
        <v>0</v>
      </c>
      <c r="L36" s="1">
        <f>'Time &amp; Technical'!L26</f>
        <v>0</v>
      </c>
      <c r="M36" s="1">
        <f>'Time &amp; Technical'!M26</f>
        <v>0</v>
      </c>
      <c r="N36" s="1">
        <f>'Time &amp; Technical'!N26</f>
        <v>0</v>
      </c>
      <c r="O36" s="1">
        <f>'Time &amp; Technical'!O26</f>
        <v>0</v>
      </c>
      <c r="P36" s="1">
        <f>'Time &amp; Technical'!P26</f>
        <v>0</v>
      </c>
      <c r="Q36" s="1">
        <f>'Time &amp; Technical'!Q26</f>
        <v>0</v>
      </c>
      <c r="R36" s="1">
        <f>'Time &amp; Technical'!R26</f>
        <v>0</v>
      </c>
      <c r="S36" s="1">
        <f>'Time &amp; Technical'!S26</f>
        <v>0</v>
      </c>
      <c r="T36" s="1">
        <f>'Time &amp; Technical'!T26</f>
        <v>0</v>
      </c>
      <c r="U36" s="1">
        <f>'Time &amp; Technical'!U26</f>
        <v>0</v>
      </c>
      <c r="V36" s="1">
        <f>'Time &amp; Technical'!V26</f>
        <v>0</v>
      </c>
      <c r="W36" s="1">
        <f>'Time &amp; Technical'!W26</f>
        <v>1</v>
      </c>
      <c r="X36" s="1">
        <f>'Time &amp; Technical'!X26</f>
        <v>1</v>
      </c>
      <c r="Y36" s="1">
        <f>'Time &amp; Technical'!Y26</f>
        <v>1</v>
      </c>
      <c r="Z36" s="1">
        <f>'Time &amp; Technical'!Z26</f>
        <v>1</v>
      </c>
      <c r="AA36" s="1">
        <f>'Time &amp; Technical'!AA26</f>
        <v>1</v>
      </c>
      <c r="AB36" s="1">
        <f>'Time &amp; Technical'!AB26</f>
        <v>1</v>
      </c>
      <c r="AC36" s="1">
        <f>'Time &amp; Technical'!AC26</f>
        <v>1</v>
      </c>
      <c r="AD36" s="1">
        <f>'Time &amp; Technical'!AD26</f>
        <v>1</v>
      </c>
      <c r="AE36" s="1">
        <f>'Time &amp; Technical'!AE26</f>
        <v>1</v>
      </c>
      <c r="AF36" s="1">
        <f>'Time &amp; Technical'!AF26</f>
        <v>1</v>
      </c>
      <c r="AG36" s="1">
        <f>'Time &amp; Technical'!AG26</f>
        <v>1</v>
      </c>
      <c r="AH36" s="1">
        <f>'Time &amp; Technical'!AH26</f>
        <v>1</v>
      </c>
      <c r="AI36" s="1">
        <f>'Time &amp; Technical'!AI26</f>
        <v>1</v>
      </c>
      <c r="AJ36" s="1">
        <f>'Time &amp; Technical'!AJ26</f>
        <v>1</v>
      </c>
      <c r="AK36" s="1">
        <f>'Time &amp; Technical'!AK26</f>
        <v>1</v>
      </c>
      <c r="AL36" s="1">
        <f>'Time &amp; Technical'!AL26</f>
        <v>1</v>
      </c>
      <c r="AM36" s="1">
        <f>'Time &amp; Technical'!AM26</f>
        <v>1</v>
      </c>
      <c r="AN36" s="1">
        <f>'Time &amp; Technical'!AN26</f>
        <v>1</v>
      </c>
      <c r="AO36" s="1">
        <f>'Time &amp; Technical'!AO26</f>
        <v>1</v>
      </c>
      <c r="AP36" s="1">
        <f>'Time &amp; Technical'!AP26</f>
        <v>1</v>
      </c>
      <c r="AQ36" s="1">
        <f>'Time &amp; Technical'!AQ26</f>
        <v>1</v>
      </c>
      <c r="AR36" s="1">
        <f>'Time &amp; Technical'!AR26</f>
        <v>1</v>
      </c>
      <c r="AS36" s="1">
        <f>'Time &amp; Technical'!AS26</f>
        <v>1</v>
      </c>
      <c r="AT36" s="1">
        <f>'Time &amp; Technical'!AT26</f>
        <v>1</v>
      </c>
      <c r="AU36" s="1">
        <f>'Time &amp; Technical'!AU26</f>
        <v>1</v>
      </c>
      <c r="AV36" s="1">
        <f>'Time &amp; Technical'!AV26</f>
        <v>1</v>
      </c>
      <c r="AW36" s="1">
        <f>'Time &amp; Technical'!AW26</f>
        <v>1</v>
      </c>
      <c r="AX36" s="1">
        <f>'Time &amp; Technical'!AX26</f>
        <v>1</v>
      </c>
      <c r="AY36" s="1">
        <f>'Time &amp; Technical'!AY26</f>
        <v>1</v>
      </c>
      <c r="AZ36" s="1">
        <f>'Time &amp; Technical'!AZ26</f>
        <v>1</v>
      </c>
      <c r="BA36" s="1">
        <f>'Time &amp; Technical'!BA26</f>
        <v>1</v>
      </c>
      <c r="BB36" s="1">
        <f>'Time &amp; Technical'!BB26</f>
        <v>1</v>
      </c>
      <c r="BC36" s="1">
        <f>'Time &amp; Technical'!BC26</f>
        <v>1</v>
      </c>
      <c r="BD36" s="1">
        <f>'Time &amp; Technical'!BD26</f>
        <v>1</v>
      </c>
      <c r="BE36" s="1">
        <f>'Time &amp; Technical'!BE26</f>
        <v>1</v>
      </c>
      <c r="BF36" s="1">
        <f>'Time &amp; Technical'!BF26</f>
        <v>1</v>
      </c>
      <c r="BG36" s="1">
        <f>'Time &amp; Technical'!BG26</f>
        <v>1</v>
      </c>
      <c r="BH36" s="1">
        <f>'Time &amp; Technical'!BH26</f>
        <v>1</v>
      </c>
      <c r="BI36" s="1">
        <f>'Time &amp; Technical'!BI26</f>
        <v>1</v>
      </c>
      <c r="BJ36" s="1">
        <f>'Time &amp; Technical'!BJ26</f>
        <v>1</v>
      </c>
      <c r="BK36" t="s">
        <v>102</v>
      </c>
    </row>
    <row r="37" spans="1:63" ht="11.25" customHeight="1" x14ac:dyDescent="0.25">
      <c r="A37" s="5"/>
      <c r="B37" s="5" t="s">
        <v>118</v>
      </c>
      <c r="C37" s="94" t="s">
        <v>101</v>
      </c>
      <c r="D37" s="5"/>
      <c r="E37" s="5"/>
      <c r="F37" s="12" t="s">
        <v>26</v>
      </c>
      <c r="G37" s="1">
        <f>Revenues!G18</f>
        <v>0</v>
      </c>
      <c r="H37" s="1">
        <f>Revenues!H18</f>
        <v>0</v>
      </c>
      <c r="I37" s="1">
        <f>Revenues!I18</f>
        <v>0</v>
      </c>
      <c r="J37" s="1">
        <f>Revenues!J18</f>
        <v>0</v>
      </c>
      <c r="K37" s="1">
        <f>Revenues!K18</f>
        <v>0</v>
      </c>
      <c r="L37" s="1">
        <f>Revenues!L18</f>
        <v>0</v>
      </c>
      <c r="M37" s="1">
        <f>Revenues!M18</f>
        <v>0</v>
      </c>
      <c r="N37" s="1">
        <f>Revenues!N18</f>
        <v>0</v>
      </c>
      <c r="O37" s="1">
        <f>Revenues!O18</f>
        <v>0</v>
      </c>
      <c r="P37" s="1">
        <f>Revenues!P18</f>
        <v>0</v>
      </c>
      <c r="Q37" s="1">
        <f>Revenues!Q18</f>
        <v>0</v>
      </c>
      <c r="R37" s="1">
        <f>Revenues!R18</f>
        <v>0</v>
      </c>
      <c r="S37" s="1">
        <f>Revenues!S18</f>
        <v>0</v>
      </c>
      <c r="T37" s="1">
        <f>Revenues!T18</f>
        <v>0</v>
      </c>
      <c r="U37" s="1">
        <f>Revenues!U18</f>
        <v>0</v>
      </c>
      <c r="V37" s="1">
        <f>Revenues!V18</f>
        <v>0</v>
      </c>
      <c r="W37" s="1">
        <f>Revenues!W18</f>
        <v>1</v>
      </c>
      <c r="X37" s="1">
        <f>Revenues!X18</f>
        <v>1</v>
      </c>
      <c r="Y37" s="1">
        <f>Revenues!Y18</f>
        <v>1</v>
      </c>
      <c r="Z37" s="1">
        <f>Revenues!Z18</f>
        <v>1</v>
      </c>
      <c r="AA37" s="1">
        <f>Revenues!AA18</f>
        <v>1</v>
      </c>
      <c r="AB37" s="1">
        <f>Revenues!AB18</f>
        <v>1</v>
      </c>
      <c r="AC37" s="1">
        <f>Revenues!AC18</f>
        <v>1</v>
      </c>
      <c r="AD37" s="1">
        <f>Revenues!AD18</f>
        <v>1</v>
      </c>
      <c r="AE37" s="1">
        <f>Revenues!AE18</f>
        <v>1</v>
      </c>
      <c r="AF37" s="1">
        <f>Revenues!AF18</f>
        <v>1</v>
      </c>
      <c r="AG37" s="1">
        <f>Revenues!AG18</f>
        <v>1</v>
      </c>
      <c r="AH37" s="1">
        <f>Revenues!AH18</f>
        <v>1</v>
      </c>
      <c r="AI37" s="1">
        <f>Revenues!AI18</f>
        <v>1</v>
      </c>
      <c r="AJ37" s="1">
        <f>Revenues!AJ18</f>
        <v>1</v>
      </c>
      <c r="AK37" s="1">
        <f>Revenues!AK18</f>
        <v>0</v>
      </c>
      <c r="AL37" s="1">
        <f>Revenues!AL18</f>
        <v>0</v>
      </c>
      <c r="AM37" s="1">
        <f>Revenues!AM18</f>
        <v>0</v>
      </c>
      <c r="AN37" s="1">
        <f>Revenues!AN18</f>
        <v>0</v>
      </c>
      <c r="AO37" s="1">
        <f>Revenues!AO18</f>
        <v>0</v>
      </c>
      <c r="AP37" s="1">
        <f>Revenues!AP18</f>
        <v>0</v>
      </c>
      <c r="AQ37" s="1">
        <f>Revenues!AQ18</f>
        <v>0</v>
      </c>
      <c r="AR37" s="1">
        <f>Revenues!AR18</f>
        <v>0</v>
      </c>
      <c r="AS37" s="1">
        <f>Revenues!AS18</f>
        <v>0</v>
      </c>
      <c r="AT37" s="1">
        <f>Revenues!AT18</f>
        <v>0</v>
      </c>
      <c r="AU37" s="1">
        <f>Revenues!AU18</f>
        <v>0</v>
      </c>
      <c r="AV37" s="1">
        <f>Revenues!AV18</f>
        <v>0</v>
      </c>
      <c r="AW37" s="1">
        <f>Revenues!AW18</f>
        <v>0</v>
      </c>
      <c r="AX37" s="1">
        <f>Revenues!AX18</f>
        <v>0</v>
      </c>
      <c r="AY37" s="1">
        <f>Revenues!AY18</f>
        <v>0</v>
      </c>
      <c r="AZ37" s="1">
        <f>Revenues!AZ18</f>
        <v>0</v>
      </c>
      <c r="BA37" s="1">
        <f>Revenues!BA18</f>
        <v>0</v>
      </c>
      <c r="BB37" s="1">
        <f>Revenues!BB18</f>
        <v>0</v>
      </c>
      <c r="BC37" s="1">
        <f>Revenues!BC18</f>
        <v>0</v>
      </c>
      <c r="BD37" s="1">
        <f>Revenues!BD18</f>
        <v>0</v>
      </c>
      <c r="BE37" s="1">
        <f>Revenues!BE18</f>
        <v>0</v>
      </c>
      <c r="BF37" s="1">
        <f>Revenues!BF18</f>
        <v>0</v>
      </c>
      <c r="BG37" s="1">
        <f>Revenues!BG18</f>
        <v>0</v>
      </c>
      <c r="BH37" s="1">
        <f>Revenues!BH18</f>
        <v>0</v>
      </c>
      <c r="BI37" s="1">
        <f>Revenues!BI18</f>
        <v>0</v>
      </c>
      <c r="BJ37" s="1">
        <f>Revenues!BJ18</f>
        <v>0</v>
      </c>
      <c r="BK37" t="s">
        <v>102</v>
      </c>
    </row>
    <row r="38" spans="1:63" ht="11.25" customHeight="1" x14ac:dyDescent="0.25">
      <c r="A38" s="5"/>
      <c r="B38" s="5"/>
      <c r="C38" s="94"/>
      <c r="D38" s="5"/>
      <c r="E38" s="5"/>
      <c r="F38" s="5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t="s">
        <v>102</v>
      </c>
    </row>
    <row r="39" spans="1:63" ht="11.25" customHeight="1" x14ac:dyDescent="0.25">
      <c r="A39" s="5" t="s">
        <v>26</v>
      </c>
      <c r="B39" s="5" t="s">
        <v>249</v>
      </c>
      <c r="C39" s="94" t="s">
        <v>34</v>
      </c>
      <c r="D39" s="5"/>
      <c r="E39" s="5"/>
      <c r="F39" s="12" t="s">
        <v>26</v>
      </c>
      <c r="G39" s="2">
        <f>IF(AND(G35&gt;0,G36=1,G37=0),IF(G20&gt;0,Reserves!G20/G35,-G30/G35),0)</f>
        <v>0</v>
      </c>
      <c r="H39" s="2">
        <f>IF(AND(H35&gt;0,H36=1,H37=0),IF(H20&gt;0,Reserves!H20/H35,-H30/H35),0)</f>
        <v>0</v>
      </c>
      <c r="I39" s="2">
        <f>IF(AND(I35&gt;0,I36=1,I37=0),IF(I20&gt;0,Reserves!I20/I35,-I30/I35),0)</f>
        <v>0</v>
      </c>
      <c r="J39" s="2">
        <f>IF(AND(J35&gt;0,J36=1,J37=0),IF(J20&gt;0,Reserves!J20/J35,-J30/J35),0)</f>
        <v>0</v>
      </c>
      <c r="K39" s="2">
        <f>IF(AND(K35&gt;0,K36=1,K37=0),IF(K20&gt;0,Reserves!K20/K35,-K30/K35),0)</f>
        <v>0</v>
      </c>
      <c r="L39" s="2">
        <f>IF(AND(L35&gt;0,L36=1,L37=0),IF(L20&gt;0,Reserves!L20/L35,-L30/L35),0)</f>
        <v>0</v>
      </c>
      <c r="M39" s="2">
        <f>IF(AND(M35&gt;0,M36=1,M37=0),IF(M20&gt;0,Reserves!M20/M35,-M30/M35),0)</f>
        <v>0</v>
      </c>
      <c r="N39" s="2">
        <f>IF(AND(N35&gt;0,N36=1,N37=0),IF(N20&gt;0,Reserves!N20/N35,-N30/N35),0)</f>
        <v>0</v>
      </c>
      <c r="O39" s="2">
        <f>IF(AND(O35&gt;0,O36=1,O37=0),IF(O20&gt;0,Reserves!O20/O35,-O30/O35),0)</f>
        <v>0</v>
      </c>
      <c r="P39" s="2">
        <f>IF(AND(P35&gt;0,P36=1,P37=0),IF(P20&gt;0,Reserves!P20/P35,-P30/P35),0)</f>
        <v>0</v>
      </c>
      <c r="Q39" s="2">
        <f>IF(AND(Q35&gt;0,Q36=1,Q37=0),IF(Q20&gt;0,Reserves!Q20/Q35,-Q30/Q35),0)</f>
        <v>0</v>
      </c>
      <c r="R39" s="2">
        <f>IF(AND(R35&gt;0,R36=1,R37=0),IF(R20&gt;0,Reserves!R20/R35,-R30/R35),0)</f>
        <v>0</v>
      </c>
      <c r="S39" s="2">
        <f>IF(AND(S35&gt;0,S36=1,S37=0),IF(S20&gt;0,Reserves!S20/S35,-S30/S35),0)</f>
        <v>0</v>
      </c>
      <c r="T39" s="2">
        <f>IF(AND(T35&gt;0,T36=1,T37=0),IF(T20&gt;0,Reserves!T20/T35,-T30/T35),0)</f>
        <v>0</v>
      </c>
      <c r="U39" s="2">
        <f>IF(AND(U35&gt;0,U36=1,U37=0),IF(U20&gt;0,Reserves!U20/U35,-U30/U35),0)</f>
        <v>0</v>
      </c>
      <c r="V39" s="2">
        <f>IF(AND(V35&gt;0,V36=1,V37=0),IF(V20&gt;0,Reserves!V20/V35,-V30/V35),0)</f>
        <v>0</v>
      </c>
      <c r="W39" s="2">
        <f>IF(AND(W35&gt;0,W36=1,W37=0),IF(W20&gt;0,Reserves!W20/W35,-W30/W35),0)</f>
        <v>0</v>
      </c>
      <c r="X39" s="2">
        <f>IF(AND(X35&gt;0,X36=1,X37=0),IF(X20&gt;0,Reserves!X20/X35,-X30/X35),0)</f>
        <v>0</v>
      </c>
      <c r="Y39" s="2">
        <f>IF(AND(Y35&gt;0,Y36=1,Y37=0),IF(Y20&gt;0,Reserves!Y20/Y35,-Y30/Y35),0)</f>
        <v>0</v>
      </c>
      <c r="Z39" s="2">
        <f>IF(AND(Z35&gt;0,Z36=1,Z37=0),IF(Z20&gt;0,Reserves!Z20/Z35,-Z30/Z35),0)</f>
        <v>0</v>
      </c>
      <c r="AA39" s="2">
        <f>IF(AND(AA35&gt;0,AA36=1,AA37=0),IF(AA20&gt;0,Reserves!AA20/AA35,-AA30/AA35),0)</f>
        <v>0</v>
      </c>
      <c r="AB39" s="2">
        <f>IF(AND(AB35&gt;0,AB36=1,AB37=0),IF(AB20&gt;0,Reserves!AB20/AB35,-AB30/AB35),0)</f>
        <v>0</v>
      </c>
      <c r="AC39" s="2">
        <f>IF(AND(AC35&gt;0,AC36=1,AC37=0),IF(AC20&gt;0,Reserves!AC20/AC35,-AC30/AC35),0)</f>
        <v>0</v>
      </c>
      <c r="AD39" s="2">
        <f>IF(AND(AD35&gt;0,AD36=1,AD37=0),IF(AD20&gt;0,Reserves!AD20/AD35,-AD30/AD35),0)</f>
        <v>0</v>
      </c>
      <c r="AE39" s="2">
        <f>IF(AND(AE35&gt;0,AE36=1,AE37=0),IF(AE20&gt;0,Reserves!AE20/AE35,-AE30/AE35),0)</f>
        <v>0</v>
      </c>
      <c r="AF39" s="2">
        <f>IF(AND(AF35&gt;0,AF36=1,AF37=0),IF(AF20&gt;0,Reserves!AF20/AF35,-AF30/AF35),0)</f>
        <v>0</v>
      </c>
      <c r="AG39" s="2">
        <f>IF(AND(AG35&gt;0,AG36=1,AG37=0),IF(AG20&gt;0,Reserves!AG20/AG35,-AG30/AG35),0)</f>
        <v>0</v>
      </c>
      <c r="AH39" s="2">
        <f>IF(AND(AH35&gt;0,AH36=1,AH37=0),IF(AH20&gt;0,Reserves!AH20/AH35,-AH30/AH35),0)</f>
        <v>0</v>
      </c>
      <c r="AI39" s="2">
        <f>IF(AND(AI35&gt;0,AI36=1,AI37=0),IF(AI20&gt;0,Reserves!AI20/AI35,-AI30/AI35),0)</f>
        <v>0</v>
      </c>
      <c r="AJ39" s="2">
        <f>IF(AND(AJ35&gt;0,AJ36=1,AJ37=0),IF(AJ20&gt;0,Reserves!AJ20/AJ35,-AJ30/AJ35),0)</f>
        <v>0</v>
      </c>
      <c r="AK39" s="2">
        <f>IF(AND(AK35&gt;0,AK36=1,AK37=0),IF(AK20&gt;0,Reserves!AK20/AK35,-AK30/AK35),0)</f>
        <v>0</v>
      </c>
      <c r="AL39" s="2">
        <f>IF(AND(AL35&gt;0,AL36=1,AL37=0),IF(AL20&gt;0,Reserves!AL20/AL35,-AL30/AL35),0)</f>
        <v>-0.12547734160719912</v>
      </c>
      <c r="AM39" s="2">
        <f>IF(AND(AM35&gt;0,AM36=1,AM37=0),IF(AM20&gt;0,Reserves!AM20/AM35,-AM30/AM35),0)</f>
        <v>0.11083898721485075</v>
      </c>
      <c r="AN39" s="2">
        <f>IF(AND(AN35&gt;0,AN36=1,AN37=0),IF(AN20&gt;0,Reserves!AN20/AN35,-AN30/AN35),0)</f>
        <v>6.5961171171011357E-2</v>
      </c>
      <c r="AO39" s="2">
        <f>IF(AND(AO35&gt;0,AO36=1,AO37=0),IF(AO20&gt;0,Reserves!AO20/AO35,-AO30/AO35),0)</f>
        <v>1.8023731127494484E-3</v>
      </c>
      <c r="AP39" s="2">
        <f>IF(AND(AP35&gt;0,AP36=1,AP37=0),IF(AP20&gt;0,Reserves!AP20/AP35,-AP30/AP35),0)</f>
        <v>0</v>
      </c>
      <c r="AQ39" s="2">
        <f>IF(AND(AQ35&gt;0,AQ36=1,AQ37=0),IF(AQ20&gt;0,Reserves!AQ20/AQ35,-AQ30/AQ35),0)</f>
        <v>0</v>
      </c>
      <c r="AR39" s="2">
        <f>IF(AND(AR35&gt;0,AR36=1,AR37=0),IF(AR20&gt;0,Reserves!AR20/AR35,-AR30/AR35),0)</f>
        <v>0</v>
      </c>
      <c r="AS39" s="2">
        <f>IF(AND(AS35&gt;0,AS36=1,AS37=0),IF(AS20&gt;0,Reserves!AS20/AS35,-AS30/AS35),0)</f>
        <v>0</v>
      </c>
      <c r="AT39" s="2">
        <f>IF(AND(AT35&gt;0,AT36=1,AT37=0),IF(AT20&gt;0,Reserves!AT20/AT35,-AT30/AT35),0)</f>
        <v>-5.4619043070025727E-2</v>
      </c>
      <c r="AU39" s="2">
        <f>IF(AND(AU35&gt;0,AU36=1,AU37=0),IF(AU20&gt;0,Reserves!AU20/AU35,-AU30/AU35),0)</f>
        <v>4.8247112498425969E-2</v>
      </c>
      <c r="AV39" s="2">
        <f>IF(AND(AV35&gt;0,AV36=1,AV37=0),IF(AV20&gt;0,Reserves!AV20/AV35,-AV30/AV35),0)</f>
        <v>0</v>
      </c>
      <c r="AW39" s="2">
        <f>IF(AND(AW35&gt;0,AW36=1,AW37=0),IF(AW20&gt;0,Reserves!AW20/AW35,-AW30/AW35),0)</f>
        <v>0</v>
      </c>
      <c r="AX39" s="2">
        <f>IF(AND(AX35&gt;0,AX36=1,AX37=0),IF(AX20&gt;0,Reserves!AX20/AX35,-AX30/AX35),0)</f>
        <v>0</v>
      </c>
      <c r="AY39" s="2">
        <f>IF(AND(AY35&gt;0,AY36=1,AY37=0),IF(AY20&gt;0,Reserves!AY20/AY35,-AY30/AY35),0)</f>
        <v>0</v>
      </c>
      <c r="AZ39" s="2">
        <f>IF(AND(AZ35&gt;0,AZ36=1,AZ37=0),IF(AZ20&gt;0,Reserves!AZ20/AZ35,-AZ30/AZ35),0)</f>
        <v>0</v>
      </c>
      <c r="BA39" s="2">
        <f>IF(AND(BA35&gt;0,BA36=1,BA37=0),IF(BA20&gt;0,Reserves!BA20/BA35,-BA30/BA35),0)</f>
        <v>0</v>
      </c>
      <c r="BB39" s="2">
        <f>IF(AND(BB35&gt;0,BB36=1,BB37=0),IF(BB20&gt;0,Reserves!BB20/BB35,-BB30/BB35),0)</f>
        <v>0</v>
      </c>
      <c r="BC39" s="2">
        <f>IF(AND(BC35&gt;0,BC36=1,BC37=0),IF(BC20&gt;0,Reserves!BC20/BC35,-BC30/BC35),0)</f>
        <v>0</v>
      </c>
      <c r="BD39" s="2">
        <f>IF(AND(BD35&gt;0,BD36=1,BD37=0),IF(BD20&gt;0,Reserves!BD20/BD35,-BD30/BD35),0)</f>
        <v>0</v>
      </c>
      <c r="BE39" s="2">
        <f>IF(AND(BE35&gt;0,BE36=1,BE37=0),IF(BE20&gt;0,Reserves!BE20/BE35,-BE30/BE35),0)</f>
        <v>0</v>
      </c>
      <c r="BF39" s="2">
        <f>IF(AND(BF35&gt;0,BF36=1,BF37=0),IF(BF20&gt;0,Reserves!BF20/BF35,-BF30/BF35),0)</f>
        <v>0</v>
      </c>
      <c r="BG39" s="2">
        <f>IF(AND(BG35&gt;0,BG36=1,BG37=0),IF(BG20&gt;0,Reserves!BG20/BG35,-BG30/BG35),0)</f>
        <v>0</v>
      </c>
      <c r="BH39" s="2">
        <f>IF(AND(BH35&gt;0,BH36=1,BH37=0),IF(BH20&gt;0,Reserves!BH20/BH35,-BH30/BH35),0)</f>
        <v>0</v>
      </c>
      <c r="BI39" s="2">
        <f>IF(AND(BI35&gt;0,BI36=1,BI37=0),IF(BI20&gt;0,Reserves!BI20/BI35,-BI30/BI35),0)</f>
        <v>0</v>
      </c>
      <c r="BJ39" s="2">
        <f>IF(AND(BJ35&gt;0,BJ36=1,BJ37=0),IF(BJ20&gt;0,Reserves!BJ20/BJ35,-BJ30/BJ35),0)</f>
        <v>0</v>
      </c>
      <c r="BK39" t="s">
        <v>102</v>
      </c>
    </row>
    <row r="40" spans="1:63" ht="11.25" customHeight="1" x14ac:dyDescent="0.25">
      <c r="A40" s="5"/>
      <c r="B40" s="3" t="s">
        <v>14</v>
      </c>
      <c r="C40" s="96" t="s">
        <v>34</v>
      </c>
      <c r="D40" s="3"/>
      <c r="E40" s="415">
        <f>MIN(AL39:AO39)</f>
        <v>-0.12547734160719912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t="s">
        <v>102</v>
      </c>
    </row>
    <row r="41" spans="1:63" ht="11.25" customHeight="1" x14ac:dyDescent="0.25">
      <c r="A41" s="5"/>
      <c r="B41" s="5" t="s">
        <v>14</v>
      </c>
      <c r="C41" s="94" t="s">
        <v>250</v>
      </c>
      <c r="D41" s="5"/>
      <c r="E41" s="300"/>
      <c r="F41" s="5" t="s">
        <v>26</v>
      </c>
      <c r="G41" s="26">
        <f>IF(G39=$E$40,1,0)</f>
        <v>0</v>
      </c>
      <c r="H41" s="26">
        <f t="shared" ref="H41:BJ41" si="9">IF(H39=$E$40,1,0)</f>
        <v>0</v>
      </c>
      <c r="I41" s="26">
        <f t="shared" si="9"/>
        <v>0</v>
      </c>
      <c r="J41" s="26">
        <f t="shared" si="9"/>
        <v>0</v>
      </c>
      <c r="K41" s="26">
        <f t="shared" si="9"/>
        <v>0</v>
      </c>
      <c r="L41" s="26">
        <f t="shared" si="9"/>
        <v>0</v>
      </c>
      <c r="M41" s="26">
        <f t="shared" si="9"/>
        <v>0</v>
      </c>
      <c r="N41" s="26">
        <f t="shared" si="9"/>
        <v>0</v>
      </c>
      <c r="O41" s="26">
        <f t="shared" si="9"/>
        <v>0</v>
      </c>
      <c r="P41" s="26">
        <f t="shared" si="9"/>
        <v>0</v>
      </c>
      <c r="Q41" s="26">
        <f t="shared" si="9"/>
        <v>0</v>
      </c>
      <c r="R41" s="26">
        <f t="shared" si="9"/>
        <v>0</v>
      </c>
      <c r="S41" s="26">
        <f t="shared" si="9"/>
        <v>0</v>
      </c>
      <c r="T41" s="26">
        <f t="shared" si="9"/>
        <v>0</v>
      </c>
      <c r="U41" s="26">
        <f t="shared" si="9"/>
        <v>0</v>
      </c>
      <c r="V41" s="26">
        <f t="shared" si="9"/>
        <v>0</v>
      </c>
      <c r="W41" s="26">
        <f t="shared" si="9"/>
        <v>0</v>
      </c>
      <c r="X41" s="26">
        <f t="shared" si="9"/>
        <v>0</v>
      </c>
      <c r="Y41" s="26">
        <f t="shared" si="9"/>
        <v>0</v>
      </c>
      <c r="Z41" s="26">
        <f t="shared" si="9"/>
        <v>0</v>
      </c>
      <c r="AA41" s="26">
        <f t="shared" si="9"/>
        <v>0</v>
      </c>
      <c r="AB41" s="26">
        <f t="shared" si="9"/>
        <v>0</v>
      </c>
      <c r="AC41" s="26">
        <f t="shared" si="9"/>
        <v>0</v>
      </c>
      <c r="AD41" s="26">
        <f t="shared" si="9"/>
        <v>0</v>
      </c>
      <c r="AE41" s="26">
        <f t="shared" si="9"/>
        <v>0</v>
      </c>
      <c r="AF41" s="26">
        <f t="shared" si="9"/>
        <v>0</v>
      </c>
      <c r="AG41" s="26">
        <f t="shared" si="9"/>
        <v>0</v>
      </c>
      <c r="AH41" s="26">
        <f t="shared" si="9"/>
        <v>0</v>
      </c>
      <c r="AI41" s="26">
        <f t="shared" si="9"/>
        <v>0</v>
      </c>
      <c r="AJ41" s="26">
        <f t="shared" si="9"/>
        <v>0</v>
      </c>
      <c r="AK41" s="26">
        <f t="shared" si="9"/>
        <v>0</v>
      </c>
      <c r="AL41" s="26">
        <f t="shared" si="9"/>
        <v>1</v>
      </c>
      <c r="AM41" s="26">
        <f t="shared" si="9"/>
        <v>0</v>
      </c>
      <c r="AN41" s="26">
        <f t="shared" si="9"/>
        <v>0</v>
      </c>
      <c r="AO41" s="26">
        <f t="shared" si="9"/>
        <v>0</v>
      </c>
      <c r="AP41" s="26">
        <f t="shared" si="9"/>
        <v>0</v>
      </c>
      <c r="AQ41" s="26">
        <f t="shared" si="9"/>
        <v>0</v>
      </c>
      <c r="AR41" s="26">
        <f t="shared" si="9"/>
        <v>0</v>
      </c>
      <c r="AS41" s="26">
        <f t="shared" si="9"/>
        <v>0</v>
      </c>
      <c r="AT41" s="26">
        <f t="shared" si="9"/>
        <v>0</v>
      </c>
      <c r="AU41" s="26">
        <f t="shared" si="9"/>
        <v>0</v>
      </c>
      <c r="AV41" s="26">
        <f t="shared" si="9"/>
        <v>0</v>
      </c>
      <c r="AW41" s="26">
        <f t="shared" si="9"/>
        <v>0</v>
      </c>
      <c r="AX41" s="26">
        <f t="shared" si="9"/>
        <v>0</v>
      </c>
      <c r="AY41" s="26">
        <f t="shared" si="9"/>
        <v>0</v>
      </c>
      <c r="AZ41" s="26">
        <f t="shared" si="9"/>
        <v>0</v>
      </c>
      <c r="BA41" s="26">
        <f t="shared" si="9"/>
        <v>0</v>
      </c>
      <c r="BB41" s="26">
        <f t="shared" si="9"/>
        <v>0</v>
      </c>
      <c r="BC41" s="26">
        <f t="shared" si="9"/>
        <v>0</v>
      </c>
      <c r="BD41" s="26">
        <f t="shared" si="9"/>
        <v>0</v>
      </c>
      <c r="BE41" s="26">
        <f t="shared" si="9"/>
        <v>0</v>
      </c>
      <c r="BF41" s="26">
        <f t="shared" si="9"/>
        <v>0</v>
      </c>
      <c r="BG41" s="26">
        <f t="shared" si="9"/>
        <v>0</v>
      </c>
      <c r="BH41" s="26">
        <f t="shared" si="9"/>
        <v>0</v>
      </c>
      <c r="BI41" s="26">
        <f t="shared" si="9"/>
        <v>0</v>
      </c>
      <c r="BJ41" s="26">
        <f t="shared" si="9"/>
        <v>0</v>
      </c>
      <c r="BK41" t="s">
        <v>102</v>
      </c>
    </row>
    <row r="42" spans="1:63" ht="11.25" customHeight="1" x14ac:dyDescent="0.25">
      <c r="A42" s="5"/>
      <c r="B42" s="5" t="s">
        <v>13</v>
      </c>
      <c r="C42" s="94" t="s">
        <v>101</v>
      </c>
      <c r="D42" s="5"/>
      <c r="E42" s="300"/>
      <c r="F42" s="5" t="s">
        <v>26</v>
      </c>
      <c r="G42" s="26">
        <f>IF(G26=$E$28,1,0)</f>
        <v>0</v>
      </c>
      <c r="H42" s="26">
        <f t="shared" ref="H42:BJ42" si="10">IF(H26=$E$28,1,0)</f>
        <v>0</v>
      </c>
      <c r="I42" s="26">
        <f t="shared" si="10"/>
        <v>0</v>
      </c>
      <c r="J42" s="26">
        <f t="shared" si="10"/>
        <v>0</v>
      </c>
      <c r="K42" s="26">
        <f t="shared" si="10"/>
        <v>0</v>
      </c>
      <c r="L42" s="26">
        <f t="shared" si="10"/>
        <v>0</v>
      </c>
      <c r="M42" s="26">
        <f t="shared" si="10"/>
        <v>0</v>
      </c>
      <c r="N42" s="26">
        <f t="shared" si="10"/>
        <v>0</v>
      </c>
      <c r="O42" s="26">
        <f t="shared" si="10"/>
        <v>0</v>
      </c>
      <c r="P42" s="26">
        <f t="shared" si="10"/>
        <v>0</v>
      </c>
      <c r="Q42" s="26">
        <f t="shared" si="10"/>
        <v>0</v>
      </c>
      <c r="R42" s="26">
        <f t="shared" si="10"/>
        <v>0</v>
      </c>
      <c r="S42" s="26">
        <f t="shared" si="10"/>
        <v>0</v>
      </c>
      <c r="T42" s="26">
        <f t="shared" si="10"/>
        <v>0</v>
      </c>
      <c r="U42" s="26">
        <f t="shared" si="10"/>
        <v>0</v>
      </c>
      <c r="V42" s="26">
        <f t="shared" si="10"/>
        <v>0</v>
      </c>
      <c r="W42" s="26">
        <f t="shared" si="10"/>
        <v>0</v>
      </c>
      <c r="X42" s="26">
        <f t="shared" si="10"/>
        <v>0</v>
      </c>
      <c r="Y42" s="26">
        <f t="shared" si="10"/>
        <v>0</v>
      </c>
      <c r="Z42" s="26">
        <f t="shared" si="10"/>
        <v>0</v>
      </c>
      <c r="AA42" s="26">
        <f t="shared" si="10"/>
        <v>0</v>
      </c>
      <c r="AB42" s="26">
        <f t="shared" si="10"/>
        <v>0</v>
      </c>
      <c r="AC42" s="26">
        <f t="shared" si="10"/>
        <v>0</v>
      </c>
      <c r="AD42" s="26">
        <f t="shared" si="10"/>
        <v>0</v>
      </c>
      <c r="AE42" s="26">
        <f t="shared" si="10"/>
        <v>0</v>
      </c>
      <c r="AF42" s="26">
        <f t="shared" si="10"/>
        <v>0</v>
      </c>
      <c r="AG42" s="26">
        <f t="shared" si="10"/>
        <v>0</v>
      </c>
      <c r="AH42" s="26">
        <f t="shared" si="10"/>
        <v>0</v>
      </c>
      <c r="AI42" s="26">
        <f t="shared" si="10"/>
        <v>0</v>
      </c>
      <c r="AJ42" s="26">
        <f t="shared" si="10"/>
        <v>0</v>
      </c>
      <c r="AK42" s="26">
        <f t="shared" si="10"/>
        <v>0</v>
      </c>
      <c r="AL42" s="26">
        <f t="shared" si="10"/>
        <v>1</v>
      </c>
      <c r="AM42" s="26">
        <f t="shared" si="10"/>
        <v>0</v>
      </c>
      <c r="AN42" s="26">
        <f t="shared" si="10"/>
        <v>0</v>
      </c>
      <c r="AO42" s="26">
        <f t="shared" si="10"/>
        <v>0</v>
      </c>
      <c r="AP42" s="26">
        <f t="shared" si="10"/>
        <v>0</v>
      </c>
      <c r="AQ42" s="26">
        <f t="shared" si="10"/>
        <v>0</v>
      </c>
      <c r="AR42" s="26">
        <f t="shared" si="10"/>
        <v>0</v>
      </c>
      <c r="AS42" s="26">
        <f t="shared" si="10"/>
        <v>0</v>
      </c>
      <c r="AT42" s="26">
        <f t="shared" si="10"/>
        <v>0</v>
      </c>
      <c r="AU42" s="26">
        <f t="shared" si="10"/>
        <v>0</v>
      </c>
      <c r="AV42" s="26">
        <f t="shared" si="10"/>
        <v>0</v>
      </c>
      <c r="AW42" s="26">
        <f t="shared" si="10"/>
        <v>0</v>
      </c>
      <c r="AX42" s="26">
        <f t="shared" si="10"/>
        <v>0</v>
      </c>
      <c r="AY42" s="26">
        <f t="shared" si="10"/>
        <v>0</v>
      </c>
      <c r="AZ42" s="26">
        <f t="shared" si="10"/>
        <v>0</v>
      </c>
      <c r="BA42" s="26">
        <f t="shared" si="10"/>
        <v>0</v>
      </c>
      <c r="BB42" s="26">
        <f t="shared" si="10"/>
        <v>0</v>
      </c>
      <c r="BC42" s="26">
        <f t="shared" si="10"/>
        <v>0</v>
      </c>
      <c r="BD42" s="26">
        <f t="shared" si="10"/>
        <v>0</v>
      </c>
      <c r="BE42" s="26">
        <f t="shared" si="10"/>
        <v>0</v>
      </c>
      <c r="BF42" s="26">
        <f t="shared" si="10"/>
        <v>0</v>
      </c>
      <c r="BG42" s="26">
        <f t="shared" si="10"/>
        <v>0</v>
      </c>
      <c r="BH42" s="26">
        <f t="shared" si="10"/>
        <v>0</v>
      </c>
      <c r="BI42" s="26">
        <f t="shared" si="10"/>
        <v>0</v>
      </c>
      <c r="BJ42" s="26">
        <f t="shared" si="10"/>
        <v>0</v>
      </c>
      <c r="BK42" t="s">
        <v>102</v>
      </c>
    </row>
    <row r="43" spans="1:63" ht="11.25" customHeight="1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</row>
    <row r="46" spans="1:63" ht="11.25" customHeight="1" x14ac:dyDescent="0.25">
      <c r="E46" s="408"/>
    </row>
  </sheetData>
  <pageMargins left="0.7" right="0.7" top="0.75" bottom="0.75" header="0.3" footer="0.3"/>
  <pageSetup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theme="1" tint="0.499984740745262"/>
  </sheetPr>
  <dimension ref="A1:BK34"/>
  <sheetViews>
    <sheetView zoomScale="120" zoomScaleNormal="120" workbookViewId="0">
      <pane xSplit="5" ySplit="3" topLeftCell="V4" activePane="bottomRight" state="frozen"/>
      <selection activeCell="K15" sqref="K15"/>
      <selection pane="topRight" activeCell="K15" sqref="K15"/>
      <selection pane="bottomLeft" activeCell="K15" sqref="K15"/>
      <selection pane="bottomRight" activeCell="A35" sqref="A35"/>
    </sheetView>
  </sheetViews>
  <sheetFormatPr defaultColWidth="8.7109375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style="305" customWidth="1"/>
    <col min="7" max="62" width="8.7109375" customWidth="1"/>
  </cols>
  <sheetData>
    <row r="1" spans="1:63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63" ht="11.25" customHeight="1" x14ac:dyDescent="0.25">
      <c r="A2" s="200" t="s">
        <v>251</v>
      </c>
      <c r="B2" s="201"/>
      <c r="C2" s="202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63" ht="11.25" customHeight="1" x14ac:dyDescent="0.25">
      <c r="A3" s="200"/>
      <c r="B3" s="201"/>
      <c r="C3" s="202"/>
      <c r="D3" s="200"/>
      <c r="E3" s="203" t="s">
        <v>403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63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80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t="s">
        <v>102</v>
      </c>
    </row>
    <row r="5" spans="1:63" ht="11.25" customHeight="1" x14ac:dyDescent="0.25">
      <c r="A5" s="12"/>
      <c r="B5" s="12"/>
      <c r="C5" s="12"/>
      <c r="D5" s="12"/>
      <c r="E5" s="12"/>
      <c r="F5" s="80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t="s">
        <v>102</v>
      </c>
    </row>
    <row r="6" spans="1:63" ht="11.25" customHeight="1" x14ac:dyDescent="0.25">
      <c r="A6" s="12" t="s">
        <v>26</v>
      </c>
      <c r="B6" s="17" t="s">
        <v>294</v>
      </c>
      <c r="C6" s="12"/>
      <c r="D6" s="12"/>
      <c r="E6" s="12"/>
      <c r="F6" s="80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t="s">
        <v>102</v>
      </c>
    </row>
    <row r="7" spans="1:63" ht="11.25" customHeight="1" x14ac:dyDescent="0.25">
      <c r="A7" s="12"/>
      <c r="B7" s="12" t="s">
        <v>195</v>
      </c>
      <c r="C7" s="33" t="s">
        <v>1</v>
      </c>
      <c r="D7" s="12"/>
      <c r="E7" s="1">
        <f>SUM(G7:BJ7)</f>
        <v>4225852.0593254259</v>
      </c>
      <c r="F7" s="303" t="s">
        <v>26</v>
      </c>
      <c r="G7" s="1">
        <f>Revenues!G33</f>
        <v>0</v>
      </c>
      <c r="H7" s="1">
        <f>Revenues!H33</f>
        <v>0</v>
      </c>
      <c r="I7" s="1">
        <f>Revenues!I33</f>
        <v>0</v>
      </c>
      <c r="J7" s="1">
        <f>Revenues!J33</f>
        <v>0</v>
      </c>
      <c r="K7" s="1">
        <f>Revenues!K33</f>
        <v>0</v>
      </c>
      <c r="L7" s="1">
        <f>Revenues!L33</f>
        <v>0</v>
      </c>
      <c r="M7" s="1">
        <f>Revenues!M33</f>
        <v>0</v>
      </c>
      <c r="N7" s="1">
        <f>Revenues!N33</f>
        <v>0</v>
      </c>
      <c r="O7" s="1">
        <f>Revenues!O33</f>
        <v>0</v>
      </c>
      <c r="P7" s="1">
        <f>Revenues!P33</f>
        <v>0</v>
      </c>
      <c r="Q7" s="1">
        <f>Revenues!Q33</f>
        <v>0</v>
      </c>
      <c r="R7" s="1">
        <f>Revenues!R33</f>
        <v>0</v>
      </c>
      <c r="S7" s="1">
        <f>Revenues!S33</f>
        <v>0</v>
      </c>
      <c r="T7" s="1">
        <f>Revenues!T33</f>
        <v>0</v>
      </c>
      <c r="U7" s="1">
        <f>Revenues!U33</f>
        <v>0</v>
      </c>
      <c r="V7" s="1">
        <f>Revenues!V33</f>
        <v>0</v>
      </c>
      <c r="W7" s="1">
        <f>Revenues!W33</f>
        <v>64048.323387617595</v>
      </c>
      <c r="X7" s="1">
        <f>Revenues!X33</f>
        <v>64804.362648154536</v>
      </c>
      <c r="Y7" s="1">
        <f>Revenues!Y33</f>
        <v>64285.927746969312</v>
      </c>
      <c r="Z7" s="1">
        <f>Revenues!Z33</f>
        <v>65361.631860283051</v>
      </c>
      <c r="AA7" s="1">
        <f>Revenues!AA33</f>
        <v>64838.738805400797</v>
      </c>
      <c r="AB7" s="1">
        <f>Revenues!AB33</f>
        <v>65922.081693033411</v>
      </c>
      <c r="AC7" s="1">
        <f>Revenues!AC33</f>
        <v>65394.705039489141</v>
      </c>
      <c r="AD7" s="1">
        <f>Revenues!AD33</f>
        <v>61195.354232421072</v>
      </c>
      <c r="AE7" s="1">
        <f>Revenues!AE33</f>
        <v>68343.985003690177</v>
      </c>
      <c r="AF7" s="1">
        <f>Revenues!AF33</f>
        <v>68308.878416357373</v>
      </c>
      <c r="AG7" s="1">
        <f>Revenues!AG33</f>
        <v>67762.407389026514</v>
      </c>
      <c r="AH7" s="1">
        <f>Revenues!AH33</f>
        <v>68091.84566888462</v>
      </c>
      <c r="AI7" s="1">
        <f>Revenues!AI33</f>
        <v>67547.110903533525</v>
      </c>
      <c r="AJ7" s="1">
        <f>Revenues!AJ33</f>
        <v>68849.41920175367</v>
      </c>
      <c r="AK7" s="1">
        <f>Revenues!AK33</f>
        <v>106989.2222775643</v>
      </c>
      <c r="AL7" s="1">
        <f>Revenues!AL33</f>
        <v>104671.66171020181</v>
      </c>
      <c r="AM7" s="1">
        <f>Revenues!AM33</f>
        <v>118495.50580560003</v>
      </c>
      <c r="AN7" s="1">
        <f>Revenues!AN33</f>
        <v>119140.93842011748</v>
      </c>
      <c r="AO7" s="1">
        <f>Revenues!AO33</f>
        <v>119801.87190181589</v>
      </c>
      <c r="AP7" s="1">
        <f>Revenues!AP33</f>
        <v>119813.48522220481</v>
      </c>
      <c r="AQ7" s="1">
        <f>Revenues!AQ33</f>
        <v>120478.14965235304</v>
      </c>
      <c r="AR7" s="1">
        <f>Revenues!AR33</f>
        <v>120408.10911263601</v>
      </c>
      <c r="AS7" s="1">
        <f>Revenues!AS33</f>
        <v>121076.07221445339</v>
      </c>
      <c r="AT7" s="1">
        <f>Revenues!AT33</f>
        <v>112196.3797400217</v>
      </c>
      <c r="AU7" s="1">
        <f>Revenues!AU33</f>
        <v>127014.00311824113</v>
      </c>
      <c r="AV7" s="1">
        <f>Revenues!AV33</f>
        <v>127718.61236858439</v>
      </c>
      <c r="AW7" s="1">
        <f>Revenues!AW33</f>
        <v>128427.13043357397</v>
      </c>
      <c r="AX7" s="1">
        <f>Revenues!AX33</f>
        <v>129139.57899733033</v>
      </c>
      <c r="AY7" s="1">
        <f>Revenues!AY33</f>
        <v>129855.97986426664</v>
      </c>
      <c r="AZ7" s="1">
        <f>Revenues!AZ33</f>
        <v>130576.35495975573</v>
      </c>
      <c r="BA7" s="1">
        <f>Revenues!BA33</f>
        <v>131300.72633080132</v>
      </c>
      <c r="BB7" s="1">
        <f>Revenues!BB33</f>
        <v>121671.15997501519</v>
      </c>
      <c r="BC7" s="1">
        <f>Revenues!BC33</f>
        <v>137740.10470102538</v>
      </c>
      <c r="BD7" s="1">
        <f>Revenues!BD33</f>
        <v>138504.21692119722</v>
      </c>
      <c r="BE7" s="1">
        <f>Revenues!BE33</f>
        <v>139272.56804830389</v>
      </c>
      <c r="BF7" s="1">
        <f>Revenues!BF33</f>
        <v>140045.18159765043</v>
      </c>
      <c r="BG7" s="1">
        <f>Revenues!BG33</f>
        <v>140822.08121499303</v>
      </c>
      <c r="BH7" s="1">
        <f>Revenues!BH33</f>
        <v>141603.29067726227</v>
      </c>
      <c r="BI7" s="1">
        <f>Revenues!BI33</f>
        <v>142388.83389329145</v>
      </c>
      <c r="BJ7" s="1">
        <f>Revenues!BJ33</f>
        <v>131946.06817054914</v>
      </c>
      <c r="BK7" t="s">
        <v>102</v>
      </c>
    </row>
    <row r="8" spans="1:63" ht="11.25" customHeight="1" x14ac:dyDescent="0.25">
      <c r="A8" s="12"/>
      <c r="B8" s="12" t="s">
        <v>190</v>
      </c>
      <c r="C8" s="33" t="s">
        <v>1</v>
      </c>
      <c r="D8" s="12"/>
      <c r="E8" s="1">
        <f>SUM(G8:BJ8)</f>
        <v>196373.85671129683</v>
      </c>
      <c r="F8" s="303" t="s">
        <v>26</v>
      </c>
      <c r="G8" s="1">
        <f>Revenues!G14</f>
        <v>0</v>
      </c>
      <c r="H8" s="1">
        <f>Revenues!H14</f>
        <v>0</v>
      </c>
      <c r="I8" s="1">
        <f>Revenues!I14</f>
        <v>0</v>
      </c>
      <c r="J8" s="1">
        <f>Revenues!J14</f>
        <v>0</v>
      </c>
      <c r="K8" s="1">
        <f>Revenues!K14</f>
        <v>0</v>
      </c>
      <c r="L8" s="1">
        <f>Revenues!L14</f>
        <v>0</v>
      </c>
      <c r="M8" s="1">
        <f>Revenues!M14</f>
        <v>0</v>
      </c>
      <c r="N8" s="1">
        <f>Revenues!N14</f>
        <v>0</v>
      </c>
      <c r="O8" s="1">
        <f>Revenues!O14</f>
        <v>0</v>
      </c>
      <c r="P8" s="1">
        <f>Revenues!P14</f>
        <v>0</v>
      </c>
      <c r="Q8" s="1">
        <f>Revenues!Q14</f>
        <v>0</v>
      </c>
      <c r="R8" s="1">
        <f>Revenues!R14</f>
        <v>0</v>
      </c>
      <c r="S8" s="1">
        <f>Revenues!S14</f>
        <v>0</v>
      </c>
      <c r="T8" s="1">
        <f>Revenues!T14</f>
        <v>0</v>
      </c>
      <c r="U8" s="1">
        <f>Revenues!U14</f>
        <v>0</v>
      </c>
      <c r="V8" s="1">
        <f>Revenues!V14</f>
        <v>0</v>
      </c>
      <c r="W8" s="1">
        <f>Revenues!W14</f>
        <v>13207.64488895897</v>
      </c>
      <c r="X8" s="1">
        <f>Revenues!X14</f>
        <v>13495.043241742716</v>
      </c>
      <c r="Y8" s="1">
        <f>Revenues!Y14</f>
        <v>13387.082895808775</v>
      </c>
      <c r="Z8" s="1">
        <f>Revenues!Z14</f>
        <v>13678.385819621571</v>
      </c>
      <c r="AA8" s="1">
        <f>Revenues!AA14</f>
        <v>13568.958733064599</v>
      </c>
      <c r="AB8" s="1">
        <f>Revenues!AB14</f>
        <v>13864.219275096084</v>
      </c>
      <c r="AC8" s="1">
        <f>Revenues!AC14</f>
        <v>13753.305520895314</v>
      </c>
      <c r="AD8" s="1">
        <f>Revenues!AD14</f>
        <v>12934.398078892198</v>
      </c>
      <c r="AE8" s="1">
        <f>Revenues!AE14</f>
        <v>14445.349968531333</v>
      </c>
      <c r="AF8" s="1">
        <f>Revenues!AF14</f>
        <v>14723.856315924621</v>
      </c>
      <c r="AG8" s="1">
        <f>Revenues!AG14</f>
        <v>14606.065465397223</v>
      </c>
      <c r="AH8" s="1">
        <f>Revenues!AH14</f>
        <v>14887.670407570082</v>
      </c>
      <c r="AI8" s="1">
        <f>Revenues!AI14</f>
        <v>14768.569044309519</v>
      </c>
      <c r="AJ8" s="1">
        <f>Revenues!AJ14</f>
        <v>15053.30705548381</v>
      </c>
      <c r="AK8" s="1">
        <f>Revenues!AK14</f>
        <v>0</v>
      </c>
      <c r="AL8" s="1">
        <f>Revenues!AL14</f>
        <v>0</v>
      </c>
      <c r="AM8" s="1">
        <f>Revenues!AM14</f>
        <v>0</v>
      </c>
      <c r="AN8" s="1">
        <f>Revenues!AN14</f>
        <v>0</v>
      </c>
      <c r="AO8" s="1">
        <f>Revenues!AO14</f>
        <v>0</v>
      </c>
      <c r="AP8" s="1">
        <f>Revenues!AP14</f>
        <v>0</v>
      </c>
      <c r="AQ8" s="1">
        <f>Revenues!AQ14</f>
        <v>0</v>
      </c>
      <c r="AR8" s="1">
        <f>Revenues!AR14</f>
        <v>0</v>
      </c>
      <c r="AS8" s="1">
        <f>Revenues!AS14</f>
        <v>0</v>
      </c>
      <c r="AT8" s="1">
        <f>Revenues!AT14</f>
        <v>0</v>
      </c>
      <c r="AU8" s="1">
        <f>Revenues!AU14</f>
        <v>0</v>
      </c>
      <c r="AV8" s="1">
        <f>Revenues!AV14</f>
        <v>0</v>
      </c>
      <c r="AW8" s="1">
        <f>Revenues!AW14</f>
        <v>0</v>
      </c>
      <c r="AX8" s="1">
        <f>Revenues!AX14</f>
        <v>0</v>
      </c>
      <c r="AY8" s="1">
        <f>Revenues!AY14</f>
        <v>0</v>
      </c>
      <c r="AZ8" s="1">
        <f>Revenues!AZ14</f>
        <v>0</v>
      </c>
      <c r="BA8" s="1">
        <f>Revenues!BA14</f>
        <v>0</v>
      </c>
      <c r="BB8" s="1">
        <f>Revenues!BB14</f>
        <v>0</v>
      </c>
      <c r="BC8" s="1">
        <f>Revenues!BC14</f>
        <v>0</v>
      </c>
      <c r="BD8" s="1">
        <f>Revenues!BD14</f>
        <v>0</v>
      </c>
      <c r="BE8" s="1">
        <f>Revenues!BE14</f>
        <v>0</v>
      </c>
      <c r="BF8" s="1">
        <f>Revenues!BF14</f>
        <v>0</v>
      </c>
      <c r="BG8" s="1">
        <f>Revenues!BG14</f>
        <v>0</v>
      </c>
      <c r="BH8" s="1">
        <f>Revenues!BH14</f>
        <v>0</v>
      </c>
      <c r="BI8" s="1">
        <f>Revenues!BI14</f>
        <v>0</v>
      </c>
      <c r="BJ8" s="1">
        <f>Revenues!BJ14</f>
        <v>0</v>
      </c>
      <c r="BK8" t="s">
        <v>102</v>
      </c>
    </row>
    <row r="9" spans="1:63" ht="11.25" customHeight="1" x14ac:dyDescent="0.25">
      <c r="A9" s="12"/>
      <c r="B9" s="56" t="s">
        <v>207</v>
      </c>
      <c r="C9" s="98" t="s">
        <v>1</v>
      </c>
      <c r="D9" s="56"/>
      <c r="E9" s="1">
        <f>SUM(G9:BJ9)</f>
        <v>4422225.9160367223</v>
      </c>
      <c r="F9" s="316" t="s">
        <v>26</v>
      </c>
      <c r="G9" s="58">
        <f>SUM(G7:G8)</f>
        <v>0</v>
      </c>
      <c r="H9" s="58">
        <f t="shared" ref="H9:BJ9" si="0">SUM(H7:H8)</f>
        <v>0</v>
      </c>
      <c r="I9" s="58">
        <f t="shared" si="0"/>
        <v>0</v>
      </c>
      <c r="J9" s="58">
        <f t="shared" si="0"/>
        <v>0</v>
      </c>
      <c r="K9" s="58">
        <f t="shared" si="0"/>
        <v>0</v>
      </c>
      <c r="L9" s="58">
        <f t="shared" si="0"/>
        <v>0</v>
      </c>
      <c r="M9" s="58">
        <f t="shared" si="0"/>
        <v>0</v>
      </c>
      <c r="N9" s="58">
        <f t="shared" si="0"/>
        <v>0</v>
      </c>
      <c r="O9" s="58">
        <f t="shared" si="0"/>
        <v>0</v>
      </c>
      <c r="P9" s="58">
        <f t="shared" si="0"/>
        <v>0</v>
      </c>
      <c r="Q9" s="58">
        <f t="shared" si="0"/>
        <v>0</v>
      </c>
      <c r="R9" s="58">
        <f t="shared" si="0"/>
        <v>0</v>
      </c>
      <c r="S9" s="58">
        <f t="shared" si="0"/>
        <v>0</v>
      </c>
      <c r="T9" s="58">
        <f t="shared" si="0"/>
        <v>0</v>
      </c>
      <c r="U9" s="58">
        <f t="shared" si="0"/>
        <v>0</v>
      </c>
      <c r="V9" s="58">
        <f t="shared" si="0"/>
        <v>0</v>
      </c>
      <c r="W9" s="58">
        <f t="shared" si="0"/>
        <v>77255.968276576561</v>
      </c>
      <c r="X9" s="58">
        <f t="shared" si="0"/>
        <v>78299.405889897258</v>
      </c>
      <c r="Y9" s="58">
        <f t="shared" si="0"/>
        <v>77673.010642778085</v>
      </c>
      <c r="Z9" s="58">
        <f t="shared" si="0"/>
        <v>79040.017679904617</v>
      </c>
      <c r="AA9" s="58">
        <f t="shared" si="0"/>
        <v>78407.697538465392</v>
      </c>
      <c r="AB9" s="58">
        <f t="shared" si="0"/>
        <v>79786.300968129493</v>
      </c>
      <c r="AC9" s="58">
        <f t="shared" si="0"/>
        <v>79148.010560384457</v>
      </c>
      <c r="AD9" s="58">
        <f t="shared" si="0"/>
        <v>74129.752311313263</v>
      </c>
      <c r="AE9" s="58">
        <f t="shared" si="0"/>
        <v>82789.334972221506</v>
      </c>
      <c r="AF9" s="58">
        <f t="shared" si="0"/>
        <v>83032.734732281999</v>
      </c>
      <c r="AG9" s="58">
        <f t="shared" si="0"/>
        <v>82368.472854423744</v>
      </c>
      <c r="AH9" s="58">
        <f t="shared" si="0"/>
        <v>82979.516076454704</v>
      </c>
      <c r="AI9" s="58">
        <f t="shared" si="0"/>
        <v>82315.679947843048</v>
      </c>
      <c r="AJ9" s="58">
        <f t="shared" si="0"/>
        <v>83902.726257237475</v>
      </c>
      <c r="AK9" s="58">
        <f t="shared" si="0"/>
        <v>106989.2222775643</v>
      </c>
      <c r="AL9" s="58">
        <f t="shared" si="0"/>
        <v>104671.66171020181</v>
      </c>
      <c r="AM9" s="58">
        <f t="shared" si="0"/>
        <v>118495.50580560003</v>
      </c>
      <c r="AN9" s="58">
        <f t="shared" si="0"/>
        <v>119140.93842011748</v>
      </c>
      <c r="AO9" s="58">
        <f t="shared" si="0"/>
        <v>119801.87190181589</v>
      </c>
      <c r="AP9" s="58">
        <f t="shared" si="0"/>
        <v>119813.48522220481</v>
      </c>
      <c r="AQ9" s="58">
        <f t="shared" si="0"/>
        <v>120478.14965235304</v>
      </c>
      <c r="AR9" s="58">
        <f t="shared" si="0"/>
        <v>120408.10911263601</v>
      </c>
      <c r="AS9" s="58">
        <f t="shared" si="0"/>
        <v>121076.07221445339</v>
      </c>
      <c r="AT9" s="58">
        <f t="shared" si="0"/>
        <v>112196.3797400217</v>
      </c>
      <c r="AU9" s="58">
        <f t="shared" si="0"/>
        <v>127014.00311824113</v>
      </c>
      <c r="AV9" s="58">
        <f t="shared" si="0"/>
        <v>127718.61236858439</v>
      </c>
      <c r="AW9" s="58">
        <f t="shared" si="0"/>
        <v>128427.13043357397</v>
      </c>
      <c r="AX9" s="58">
        <f t="shared" si="0"/>
        <v>129139.57899733033</v>
      </c>
      <c r="AY9" s="58">
        <f t="shared" si="0"/>
        <v>129855.97986426664</v>
      </c>
      <c r="AZ9" s="58">
        <f t="shared" si="0"/>
        <v>130576.35495975573</v>
      </c>
      <c r="BA9" s="58">
        <f t="shared" si="0"/>
        <v>131300.72633080132</v>
      </c>
      <c r="BB9" s="58">
        <f t="shared" si="0"/>
        <v>121671.15997501519</v>
      </c>
      <c r="BC9" s="58">
        <f t="shared" si="0"/>
        <v>137740.10470102538</v>
      </c>
      <c r="BD9" s="58">
        <f t="shared" si="0"/>
        <v>138504.21692119722</v>
      </c>
      <c r="BE9" s="58">
        <f t="shared" si="0"/>
        <v>139272.56804830389</v>
      </c>
      <c r="BF9" s="58">
        <f t="shared" si="0"/>
        <v>140045.18159765043</v>
      </c>
      <c r="BG9" s="58">
        <f t="shared" si="0"/>
        <v>140822.08121499303</v>
      </c>
      <c r="BH9" s="58">
        <f t="shared" si="0"/>
        <v>141603.29067726227</v>
      </c>
      <c r="BI9" s="58">
        <f t="shared" si="0"/>
        <v>142388.83389329145</v>
      </c>
      <c r="BJ9" s="58">
        <f t="shared" si="0"/>
        <v>131946.06817054914</v>
      </c>
      <c r="BK9" t="s">
        <v>102</v>
      </c>
    </row>
    <row r="10" spans="1:63" ht="11.25" customHeight="1" x14ac:dyDescent="0.25">
      <c r="A10" s="12"/>
      <c r="B10" s="12"/>
      <c r="C10" s="33"/>
      <c r="D10" s="12"/>
      <c r="E10" s="12"/>
      <c r="F10" s="80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t="s">
        <v>102</v>
      </c>
    </row>
    <row r="11" spans="1:63" ht="11.25" customHeight="1" x14ac:dyDescent="0.25">
      <c r="A11" s="12" t="s">
        <v>26</v>
      </c>
      <c r="B11" s="17" t="s">
        <v>315</v>
      </c>
      <c r="C11" s="33"/>
      <c r="D11" s="12"/>
      <c r="E11" s="12"/>
      <c r="F11" s="80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t="s">
        <v>102</v>
      </c>
    </row>
    <row r="12" spans="1:63" ht="11.25" customHeight="1" x14ac:dyDescent="0.25">
      <c r="A12" s="12"/>
      <c r="B12" s="12" t="s">
        <v>418</v>
      </c>
      <c r="C12" s="33" t="s">
        <v>1</v>
      </c>
      <c r="D12" s="12"/>
      <c r="E12" s="1">
        <f>SUM(G12:BJ12)</f>
        <v>2618466.4017558298</v>
      </c>
      <c r="F12" s="303" t="s">
        <v>26</v>
      </c>
      <c r="G12" s="1">
        <f>Costs!G31</f>
        <v>0</v>
      </c>
      <c r="H12" s="1">
        <f>Costs!H31</f>
        <v>0</v>
      </c>
      <c r="I12" s="1">
        <f>Costs!I31</f>
        <v>0</v>
      </c>
      <c r="J12" s="1">
        <f>Costs!J31</f>
        <v>0</v>
      </c>
      <c r="K12" s="1">
        <f>Costs!K31</f>
        <v>0</v>
      </c>
      <c r="L12" s="1">
        <f>Costs!L31</f>
        <v>0</v>
      </c>
      <c r="M12" s="1">
        <f>Costs!M31</f>
        <v>0</v>
      </c>
      <c r="N12" s="1">
        <f>Costs!N31</f>
        <v>0</v>
      </c>
      <c r="O12" s="1">
        <f>Costs!O31</f>
        <v>0</v>
      </c>
      <c r="P12" s="1">
        <f>Costs!P31</f>
        <v>0</v>
      </c>
      <c r="Q12" s="1">
        <f>Costs!Q31</f>
        <v>0</v>
      </c>
      <c r="R12" s="1">
        <f>Costs!R31</f>
        <v>0</v>
      </c>
      <c r="S12" s="1">
        <f>Costs!S31</f>
        <v>0</v>
      </c>
      <c r="T12" s="1">
        <f>Costs!T31</f>
        <v>0</v>
      </c>
      <c r="U12" s="1">
        <f>Costs!U31</f>
        <v>0</v>
      </c>
      <c r="V12" s="1">
        <f>Costs!V31</f>
        <v>0</v>
      </c>
      <c r="W12" s="1">
        <f>Costs!W31</f>
        <v>30090.623261969744</v>
      </c>
      <c r="X12" s="1">
        <f>Costs!X31</f>
        <v>30156.655440620671</v>
      </c>
      <c r="Y12" s="1">
        <f>Costs!Y31</f>
        <v>30224.289970092403</v>
      </c>
      <c r="Z12" s="1">
        <f>Costs!Z31</f>
        <v>30293.544304803658</v>
      </c>
      <c r="AA12" s="1">
        <f>Costs!AA31</f>
        <v>30364.436117795842</v>
      </c>
      <c r="AB12" s="1">
        <f>Costs!AB31</f>
        <v>30436.983303386885</v>
      </c>
      <c r="AC12" s="1">
        <f>Costs!AC31</f>
        <v>30504.755409899131</v>
      </c>
      <c r="AD12" s="1">
        <f>Costs!AD31</f>
        <v>28035.378484285931</v>
      </c>
      <c r="AE12" s="1">
        <f>Costs!AE31</f>
        <v>31478.711858793427</v>
      </c>
      <c r="AF12" s="1">
        <f>Costs!AF31</f>
        <v>31546.24333767566</v>
      </c>
      <c r="AG12" s="1">
        <f>Costs!AG31</f>
        <v>31615.251014234407</v>
      </c>
      <c r="AH12" s="1">
        <f>Costs!AH31</f>
        <v>31685.749150934822</v>
      </c>
      <c r="AI12" s="1">
        <f>Costs!AI31</f>
        <v>31757.752171941709</v>
      </c>
      <c r="AJ12" s="1">
        <f>Costs!AJ31</f>
        <v>31831.27466488109</v>
      </c>
      <c r="AK12" s="1">
        <f>Costs!AK31</f>
        <v>72388.390934751063</v>
      </c>
      <c r="AL12" s="1">
        <f>Costs!AL31</f>
        <v>67120.460723417535</v>
      </c>
      <c r="AM12" s="1">
        <f>Costs!AM31</f>
        <v>76031.655184653093</v>
      </c>
      <c r="AN12" s="1">
        <f>Costs!AN31</f>
        <v>75992.808256504402</v>
      </c>
      <c r="AO12" s="1">
        <f>Costs!AO31</f>
        <v>76827.015442850825</v>
      </c>
      <c r="AP12" s="1">
        <f>Costs!AP31</f>
        <v>76777.617106532562</v>
      </c>
      <c r="AQ12" s="1">
        <f>Costs!AQ31</f>
        <v>77620.439492101417</v>
      </c>
      <c r="AR12" s="1">
        <f>Costs!AR31</f>
        <v>77560.042825463286</v>
      </c>
      <c r="AS12" s="1">
        <f>Costs!AS31</f>
        <v>78411.454249554168</v>
      </c>
      <c r="AT12" s="1">
        <f>Costs!AT31</f>
        <v>72705.206833056815</v>
      </c>
      <c r="AU12" s="1">
        <f>Costs!AU31</f>
        <v>82357.855659522334</v>
      </c>
      <c r="AV12" s="1">
        <f>Costs!AV31</f>
        <v>83261.934829900623</v>
      </c>
      <c r="AW12" s="1">
        <f>Costs!AW31</f>
        <v>84175.938483374863</v>
      </c>
      <c r="AX12" s="1">
        <f>Costs!AX31</f>
        <v>85099.975565453293</v>
      </c>
      <c r="AY12" s="1">
        <f>Costs!AY31</f>
        <v>86034.156217587952</v>
      </c>
      <c r="AZ12" s="1">
        <f>Costs!AZ31</f>
        <v>86978.591790303122</v>
      </c>
      <c r="BA12" s="1">
        <f>Costs!BA31</f>
        <v>87933.394856467639</v>
      </c>
      <c r="BB12" s="1">
        <f>Costs!BB31</f>
        <v>81534.205962117878</v>
      </c>
      <c r="BC12" s="1">
        <f>Costs!BC31</f>
        <v>92359.029819701667</v>
      </c>
      <c r="BD12" s="1">
        <f>Costs!BD31</f>
        <v>93372.896370593124</v>
      </c>
      <c r="BE12" s="1">
        <f>Costs!BE31</f>
        <v>94397.892589964496</v>
      </c>
      <c r="BF12" s="1">
        <f>Costs!BF31</f>
        <v>95434.140653185226</v>
      </c>
      <c r="BG12" s="1">
        <f>Costs!BG31</f>
        <v>96481.764076798747</v>
      </c>
      <c r="BH12" s="1">
        <f>Costs!BH31</f>
        <v>97540.887733244948</v>
      </c>
      <c r="BI12" s="1">
        <f>Costs!BI31</f>
        <v>98611.63786574472</v>
      </c>
      <c r="BJ12" s="1">
        <f>Costs!BJ31</f>
        <v>91435.359741669716</v>
      </c>
      <c r="BK12" t="s">
        <v>102</v>
      </c>
    </row>
    <row r="13" spans="1:63" ht="11.25" customHeight="1" x14ac:dyDescent="0.25">
      <c r="A13" s="12"/>
      <c r="B13" s="12" t="s">
        <v>253</v>
      </c>
      <c r="C13" s="33" t="s">
        <v>1</v>
      </c>
      <c r="D13" s="12"/>
      <c r="E13" s="1">
        <f>SUM(G13:BJ13)</f>
        <v>147119.63432681991</v>
      </c>
      <c r="F13" s="303" t="s">
        <v>26</v>
      </c>
      <c r="G13" s="1">
        <f>Costs!G43</f>
        <v>0</v>
      </c>
      <c r="H13" s="1">
        <f>Costs!H43</f>
        <v>0</v>
      </c>
      <c r="I13" s="1">
        <f>Costs!I43</f>
        <v>0</v>
      </c>
      <c r="J13" s="1">
        <f>Costs!J43</f>
        <v>0</v>
      </c>
      <c r="K13" s="1">
        <f>Costs!K43</f>
        <v>0</v>
      </c>
      <c r="L13" s="1">
        <f>Costs!L43</f>
        <v>0</v>
      </c>
      <c r="M13" s="1">
        <f>Costs!M43</f>
        <v>0</v>
      </c>
      <c r="N13" s="1">
        <f>Costs!N43</f>
        <v>0</v>
      </c>
      <c r="O13" s="1">
        <f>Costs!O43</f>
        <v>0</v>
      </c>
      <c r="P13" s="1">
        <f>Costs!P43</f>
        <v>0</v>
      </c>
      <c r="Q13" s="1">
        <f>Costs!Q43</f>
        <v>0</v>
      </c>
      <c r="R13" s="1">
        <f>Costs!R43</f>
        <v>0</v>
      </c>
      <c r="S13" s="1">
        <f>Costs!S43</f>
        <v>0</v>
      </c>
      <c r="T13" s="1">
        <f>Costs!T43</f>
        <v>0</v>
      </c>
      <c r="U13" s="1">
        <f>Costs!U43</f>
        <v>0</v>
      </c>
      <c r="V13" s="1">
        <f>Costs!V43</f>
        <v>0</v>
      </c>
      <c r="W13" s="1">
        <f>Costs!W43</f>
        <v>3141.6871284624285</v>
      </c>
      <c r="X13" s="1">
        <f>Costs!X43</f>
        <v>3163.0154941133169</v>
      </c>
      <c r="Y13" s="1">
        <f>Costs!Y43</f>
        <v>3184.4292458314935</v>
      </c>
      <c r="Z13" s="1">
        <f>Costs!Z43</f>
        <v>3205.9879695751001</v>
      </c>
      <c r="AA13" s="1">
        <f>Costs!AA43</f>
        <v>3227.6926468110196</v>
      </c>
      <c r="AB13" s="1">
        <f>Costs!AB43</f>
        <v>3249.5442656507093</v>
      </c>
      <c r="AC13" s="1">
        <f>Costs!AC43</f>
        <v>3269.5490682618884</v>
      </c>
      <c r="AD13" s="1">
        <f>Costs!AD43</f>
        <v>3029.7610595725514</v>
      </c>
      <c r="AE13" s="1">
        <f>Costs!AE43</f>
        <v>3429.8974847474792</v>
      </c>
      <c r="AF13" s="1">
        <f>Costs!AF43</f>
        <v>3448.9248158775158</v>
      </c>
      <c r="AG13" s="1">
        <f>Costs!AG43</f>
        <v>3468.0577009873841</v>
      </c>
      <c r="AH13" s="1">
        <f>Costs!AH43</f>
        <v>3487.2967256370143</v>
      </c>
      <c r="AI13" s="1">
        <f>Costs!AI43</f>
        <v>3506.6424786347216</v>
      </c>
      <c r="AJ13" s="1">
        <f>Costs!AJ43</f>
        <v>3526.0955520552366</v>
      </c>
      <c r="AK13" s="1">
        <f>Costs!AK43</f>
        <v>3509.7612556882764</v>
      </c>
      <c r="AL13" s="1">
        <f>Costs!AL43</f>
        <v>3252.35613806945</v>
      </c>
      <c r="AM13" s="1">
        <f>Costs!AM43</f>
        <v>3681.8903927167275</v>
      </c>
      <c r="AN13" s="1">
        <f>Costs!AN43</f>
        <v>3660.243883874577</v>
      </c>
      <c r="AO13" s="1">
        <f>Costs!AO43</f>
        <v>3680.5490599636214</v>
      </c>
      <c r="AP13" s="1">
        <f>Costs!AP43</f>
        <v>3658.4270296856425</v>
      </c>
      <c r="AQ13" s="1">
        <f>Costs!AQ43</f>
        <v>3678.722126789406</v>
      </c>
      <c r="AR13" s="1">
        <f>Costs!AR43</f>
        <v>3656.1166734606072</v>
      </c>
      <c r="AS13" s="1">
        <f>Costs!AS43</f>
        <v>3676.3989538801634</v>
      </c>
      <c r="AT13" s="1">
        <f>Costs!AT43</f>
        <v>3406.7726641706995</v>
      </c>
      <c r="AU13" s="1">
        <f>Costs!AU43</f>
        <v>3856.7004995417346</v>
      </c>
      <c r="AV13" s="1">
        <f>Costs!AV43</f>
        <v>3878.0955172647086</v>
      </c>
      <c r="AW13" s="1">
        <f>Costs!AW43</f>
        <v>3899.6092236915174</v>
      </c>
      <c r="AX13" s="1">
        <f>Costs!AX43</f>
        <v>3921.2422772468726</v>
      </c>
      <c r="AY13" s="1">
        <f>Costs!AY43</f>
        <v>3942.9953400080967</v>
      </c>
      <c r="AZ13" s="1">
        <f>Costs!AZ43</f>
        <v>3964.869077725376</v>
      </c>
      <c r="BA13" s="1">
        <f>Costs!BA43</f>
        <v>3986.864159842145</v>
      </c>
      <c r="BB13" s="1">
        <f>Costs!BB43</f>
        <v>3694.4684202939829</v>
      </c>
      <c r="BC13" s="1">
        <f>Costs!BC43</f>
        <v>4182.3918431485445</v>
      </c>
      <c r="BD13" s="1">
        <f>Costs!BD43</f>
        <v>4205.5936312104423</v>
      </c>
      <c r="BE13" s="1">
        <f>Costs!BE43</f>
        <v>4228.9241310213729</v>
      </c>
      <c r="BF13" s="1">
        <f>Costs!BF43</f>
        <v>4252.3840566088184</v>
      </c>
      <c r="BG13" s="1">
        <f>Costs!BG43</f>
        <v>4275.9741259613256</v>
      </c>
      <c r="BH13" s="1">
        <f>Costs!BH43</f>
        <v>4299.6950610504737</v>
      </c>
      <c r="BI13" s="1">
        <f>Costs!BI43</f>
        <v>4323.5475878529796</v>
      </c>
      <c r="BJ13" s="1">
        <f>Costs!BJ43</f>
        <v>4006.4595598344877</v>
      </c>
      <c r="BK13" t="s">
        <v>102</v>
      </c>
    </row>
    <row r="14" spans="1:63" ht="11.25" customHeight="1" x14ac:dyDescent="0.25">
      <c r="A14" s="12"/>
      <c r="B14" s="12" t="s">
        <v>254</v>
      </c>
      <c r="C14" s="33" t="s">
        <v>1</v>
      </c>
      <c r="D14" s="12"/>
      <c r="E14" s="1">
        <f>SUM(G14:BJ14)</f>
        <v>204714.50231872965</v>
      </c>
      <c r="F14" s="303" t="s">
        <v>26</v>
      </c>
      <c r="G14" s="1">
        <f>Costs!G47</f>
        <v>0</v>
      </c>
      <c r="H14" s="1">
        <f>Costs!H47</f>
        <v>0</v>
      </c>
      <c r="I14" s="1">
        <f>Costs!I47</f>
        <v>0</v>
      </c>
      <c r="J14" s="1">
        <f>Costs!J47</f>
        <v>0</v>
      </c>
      <c r="K14" s="1">
        <f>Costs!K47</f>
        <v>0</v>
      </c>
      <c r="L14" s="1">
        <f>Costs!L47</f>
        <v>0</v>
      </c>
      <c r="M14" s="1">
        <f>Costs!M47</f>
        <v>0</v>
      </c>
      <c r="N14" s="1">
        <f>Costs!N47</f>
        <v>0</v>
      </c>
      <c r="O14" s="1">
        <f>Costs!O47</f>
        <v>0</v>
      </c>
      <c r="P14" s="1">
        <f>Costs!P47</f>
        <v>0</v>
      </c>
      <c r="Q14" s="1">
        <f>Costs!Q47</f>
        <v>0</v>
      </c>
      <c r="R14" s="1">
        <f>Costs!R47</f>
        <v>0</v>
      </c>
      <c r="S14" s="1">
        <f>Costs!S47</f>
        <v>0</v>
      </c>
      <c r="T14" s="1">
        <f>Costs!T47</f>
        <v>0</v>
      </c>
      <c r="U14" s="1">
        <f>Costs!U47</f>
        <v>0</v>
      </c>
      <c r="V14" s="1">
        <f>Costs!V47</f>
        <v>0</v>
      </c>
      <c r="W14" s="1">
        <f>Costs!W47</f>
        <v>3856.3736686616958</v>
      </c>
      <c r="X14" s="1">
        <f>Costs!X47</f>
        <v>3913.8648351936818</v>
      </c>
      <c r="Y14" s="1">
        <f>Costs!Y47</f>
        <v>3972.1389812808193</v>
      </c>
      <c r="Z14" s="1">
        <f>Costs!Z47</f>
        <v>4031.2807802494904</v>
      </c>
      <c r="AA14" s="1">
        <f>Costs!AA47</f>
        <v>4091.3031507192431</v>
      </c>
      <c r="AB14" s="1">
        <f>Costs!AB47</f>
        <v>4152.2192036569741</v>
      </c>
      <c r="AC14" s="1">
        <f>Costs!AC47</f>
        <v>4211.4728247085877</v>
      </c>
      <c r="AD14" s="1">
        <f>Costs!AD47</f>
        <v>4268.9878420386203</v>
      </c>
      <c r="AE14" s="1">
        <f>Costs!AE47</f>
        <v>4327.2883273880743</v>
      </c>
      <c r="AF14" s="1">
        <f>Costs!AF47</f>
        <v>4386.3850076946828</v>
      </c>
      <c r="AG14" s="1">
        <f>Costs!AG47</f>
        <v>4446.2887563912473</v>
      </c>
      <c r="AH14" s="1">
        <f>Costs!AH47</f>
        <v>4507.0105954062874</v>
      </c>
      <c r="AI14" s="1">
        <f>Costs!AI47</f>
        <v>4568.5616971920072</v>
      </c>
      <c r="AJ14" s="1">
        <f>Costs!AJ47</f>
        <v>4630.9533867799601</v>
      </c>
      <c r="AK14" s="1">
        <f>Costs!AK47</f>
        <v>4694.197143864787</v>
      </c>
      <c r="AL14" s="1">
        <f>Costs!AL47</f>
        <v>4758.3046049164104</v>
      </c>
      <c r="AM14" s="1">
        <f>Costs!AM47</f>
        <v>4823.2875653210685</v>
      </c>
      <c r="AN14" s="1">
        <f>Costs!AN47</f>
        <v>4889.1579815516106</v>
      </c>
      <c r="AO14" s="1">
        <f>Costs!AO47</f>
        <v>4955.9279733673975</v>
      </c>
      <c r="AP14" s="1">
        <f>Costs!AP47</f>
        <v>5023.6098260442786</v>
      </c>
      <c r="AQ14" s="1">
        <f>Costs!AQ47</f>
        <v>5092.2159926350023</v>
      </c>
      <c r="AR14" s="1">
        <f>Costs!AR47</f>
        <v>5161.7590962604972</v>
      </c>
      <c r="AS14" s="1">
        <f>Costs!AS47</f>
        <v>5232.2519324324649</v>
      </c>
      <c r="AT14" s="1">
        <f>Costs!AT47</f>
        <v>5303.7074714076616</v>
      </c>
      <c r="AU14" s="1">
        <f>Costs!AU47</f>
        <v>5376.1388605743578</v>
      </c>
      <c r="AV14" s="1">
        <f>Costs!AV47</f>
        <v>5449.559426871373</v>
      </c>
      <c r="AW14" s="1">
        <f>Costs!AW47</f>
        <v>5523.9826792401527</v>
      </c>
      <c r="AX14" s="1">
        <f>Costs!AX47</f>
        <v>5599.4223111103356</v>
      </c>
      <c r="AY14" s="1">
        <f>Costs!AY47</f>
        <v>5675.892202919259</v>
      </c>
      <c r="AZ14" s="1">
        <f>Costs!AZ47</f>
        <v>5753.4064246658709</v>
      </c>
      <c r="BA14" s="1">
        <f>Costs!BA47</f>
        <v>5831.979238499539</v>
      </c>
      <c r="BB14" s="1">
        <f>Costs!BB47</f>
        <v>5911.6251013441824</v>
      </c>
      <c r="BC14" s="1">
        <f>Costs!BC47</f>
        <v>5992.3586675582774</v>
      </c>
      <c r="BD14" s="1">
        <f>Costs!BD47</f>
        <v>6074.1947916311483</v>
      </c>
      <c r="BE14" s="1">
        <f>Costs!BE47</f>
        <v>6157.1485309161299</v>
      </c>
      <c r="BF14" s="1">
        <f>Costs!BF47</f>
        <v>6241.235148401006</v>
      </c>
      <c r="BG14" s="1">
        <f>Costs!BG47</f>
        <v>6326.4701155163248</v>
      </c>
      <c r="BH14" s="1">
        <f>Costs!BH47</f>
        <v>6412.8691149820334</v>
      </c>
      <c r="BI14" s="1">
        <f>Costs!BI47</f>
        <v>6500.4480436930226</v>
      </c>
      <c r="BJ14" s="1">
        <f>Costs!BJ47</f>
        <v>6589.2230156440392</v>
      </c>
      <c r="BK14" t="s">
        <v>102</v>
      </c>
    </row>
    <row r="15" spans="1:63" ht="11.25" customHeight="1" x14ac:dyDescent="0.25">
      <c r="A15" s="12"/>
      <c r="B15" s="12" t="s">
        <v>82</v>
      </c>
      <c r="C15" s="33" t="s">
        <v>1</v>
      </c>
      <c r="D15" s="12"/>
      <c r="E15" s="1">
        <f>SUM(G15:BJ15)</f>
        <v>83507.111945816127</v>
      </c>
      <c r="F15" s="303" t="s">
        <v>26</v>
      </c>
      <c r="G15" s="1">
        <f>Costs!G50</f>
        <v>0</v>
      </c>
      <c r="H15" s="1">
        <f>Costs!H50</f>
        <v>0</v>
      </c>
      <c r="I15" s="1">
        <f>Costs!I50</f>
        <v>0</v>
      </c>
      <c r="J15" s="1">
        <f>Costs!J50</f>
        <v>0</v>
      </c>
      <c r="K15" s="1">
        <f>Costs!K50</f>
        <v>0</v>
      </c>
      <c r="L15" s="1">
        <f>Costs!L50</f>
        <v>0</v>
      </c>
      <c r="M15" s="1">
        <f>Costs!M50</f>
        <v>0</v>
      </c>
      <c r="N15" s="1">
        <f>Costs!N50</f>
        <v>0</v>
      </c>
      <c r="O15" s="1">
        <f>Costs!O50</f>
        <v>0</v>
      </c>
      <c r="P15" s="1">
        <f>Costs!P50</f>
        <v>0</v>
      </c>
      <c r="Q15" s="1">
        <f>Costs!Q50</f>
        <v>0</v>
      </c>
      <c r="R15" s="1">
        <f>Costs!R50</f>
        <v>0</v>
      </c>
      <c r="S15" s="1">
        <f>Costs!S50</f>
        <v>0</v>
      </c>
      <c r="T15" s="1">
        <f>Costs!T50</f>
        <v>0</v>
      </c>
      <c r="U15" s="1">
        <f>Costs!U50</f>
        <v>0</v>
      </c>
      <c r="V15" s="1">
        <f>Costs!V50</f>
        <v>0</v>
      </c>
      <c r="W15" s="1">
        <f>Costs!W50</f>
        <v>0</v>
      </c>
      <c r="X15" s="1">
        <f>Costs!X50</f>
        <v>0</v>
      </c>
      <c r="Y15" s="1">
        <f>Costs!Y50</f>
        <v>0</v>
      </c>
      <c r="Z15" s="1">
        <f>Costs!Z50</f>
        <v>0</v>
      </c>
      <c r="AA15" s="1">
        <f>Costs!AA50</f>
        <v>0</v>
      </c>
      <c r="AB15" s="1">
        <f>Costs!AB50</f>
        <v>0</v>
      </c>
      <c r="AC15" s="1">
        <f>Costs!AC50</f>
        <v>0</v>
      </c>
      <c r="AD15" s="1">
        <f>Costs!AD50</f>
        <v>13286.108550956707</v>
      </c>
      <c r="AE15" s="1">
        <f>Costs!AE50</f>
        <v>0</v>
      </c>
      <c r="AF15" s="1">
        <f>Costs!AF50</f>
        <v>0</v>
      </c>
      <c r="AG15" s="1">
        <f>Costs!AG50</f>
        <v>0</v>
      </c>
      <c r="AH15" s="1">
        <f>Costs!AH50</f>
        <v>0</v>
      </c>
      <c r="AI15" s="1">
        <f>Costs!AI50</f>
        <v>0</v>
      </c>
      <c r="AJ15" s="1">
        <f>Costs!AJ50</f>
        <v>0</v>
      </c>
      <c r="AK15" s="1">
        <f>Costs!AK50</f>
        <v>0</v>
      </c>
      <c r="AL15" s="1">
        <f>Costs!AL50</f>
        <v>14808.979045779319</v>
      </c>
      <c r="AM15" s="1">
        <f>Costs!AM50</f>
        <v>0</v>
      </c>
      <c r="AN15" s="1">
        <f>Costs!AN50</f>
        <v>0</v>
      </c>
      <c r="AO15" s="1">
        <f>Costs!AO50</f>
        <v>0</v>
      </c>
      <c r="AP15" s="1">
        <f>Costs!AP50</f>
        <v>0</v>
      </c>
      <c r="AQ15" s="1">
        <f>Costs!AQ50</f>
        <v>0</v>
      </c>
      <c r="AR15" s="1">
        <f>Costs!AR50</f>
        <v>0</v>
      </c>
      <c r="AS15" s="1">
        <f>Costs!AS50</f>
        <v>0</v>
      </c>
      <c r="AT15" s="1">
        <f>Costs!AT50</f>
        <v>16506.402874643019</v>
      </c>
      <c r="AU15" s="1">
        <f>Costs!AU50</f>
        <v>0</v>
      </c>
      <c r="AV15" s="1">
        <f>Costs!AV50</f>
        <v>0</v>
      </c>
      <c r="AW15" s="1">
        <f>Costs!AW50</f>
        <v>0</v>
      </c>
      <c r="AX15" s="1">
        <f>Costs!AX50</f>
        <v>0</v>
      </c>
      <c r="AY15" s="1">
        <f>Costs!AY50</f>
        <v>0</v>
      </c>
      <c r="AZ15" s="1">
        <f>Costs!AZ50</f>
        <v>0</v>
      </c>
      <c r="BA15" s="1">
        <f>Costs!BA50</f>
        <v>0</v>
      </c>
      <c r="BB15" s="1">
        <f>Costs!BB50</f>
        <v>18398.387560530518</v>
      </c>
      <c r="BC15" s="1">
        <f>Costs!BC50</f>
        <v>0</v>
      </c>
      <c r="BD15" s="1">
        <f>Costs!BD50</f>
        <v>0</v>
      </c>
      <c r="BE15" s="1">
        <f>Costs!BE50</f>
        <v>0</v>
      </c>
      <c r="BF15" s="1">
        <f>Costs!BF50</f>
        <v>0</v>
      </c>
      <c r="BG15" s="1">
        <f>Costs!BG50</f>
        <v>0</v>
      </c>
      <c r="BH15" s="1">
        <f>Costs!BH50</f>
        <v>0</v>
      </c>
      <c r="BI15" s="1">
        <f>Costs!BI50</f>
        <v>0</v>
      </c>
      <c r="BJ15" s="1">
        <f>Costs!BJ50</f>
        <v>20507.233913906563</v>
      </c>
      <c r="BK15" t="s">
        <v>102</v>
      </c>
    </row>
    <row r="16" spans="1:63" ht="11.25" customHeight="1" x14ac:dyDescent="0.25">
      <c r="A16" s="12"/>
      <c r="B16" s="12" t="s">
        <v>83</v>
      </c>
      <c r="C16" s="33" t="s">
        <v>1</v>
      </c>
      <c r="D16" s="12"/>
      <c r="E16" s="1">
        <f>SUM(G16:BJ16)</f>
        <v>48602.995772821567</v>
      </c>
      <c r="F16" s="303" t="s">
        <v>26</v>
      </c>
      <c r="G16" s="1">
        <f>Costs!G52</f>
        <v>0</v>
      </c>
      <c r="H16" s="1">
        <f>Costs!H52</f>
        <v>0</v>
      </c>
      <c r="I16" s="1">
        <f>Costs!I52</f>
        <v>0</v>
      </c>
      <c r="J16" s="1">
        <f>Costs!J52</f>
        <v>0</v>
      </c>
      <c r="K16" s="1">
        <f>Costs!K52</f>
        <v>0</v>
      </c>
      <c r="L16" s="1">
        <f>Costs!L52</f>
        <v>0</v>
      </c>
      <c r="M16" s="1">
        <f>Costs!M52</f>
        <v>0</v>
      </c>
      <c r="N16" s="1">
        <f>Costs!N52</f>
        <v>0</v>
      </c>
      <c r="O16" s="1">
        <f>Costs!O52</f>
        <v>0</v>
      </c>
      <c r="P16" s="1">
        <f>Costs!P52</f>
        <v>0</v>
      </c>
      <c r="Q16" s="1">
        <f>Costs!Q52</f>
        <v>0</v>
      </c>
      <c r="R16" s="1">
        <f>Costs!R52</f>
        <v>0</v>
      </c>
      <c r="S16" s="1">
        <f>Costs!S52</f>
        <v>0</v>
      </c>
      <c r="T16" s="1">
        <f>Costs!T52</f>
        <v>0</v>
      </c>
      <c r="U16" s="1">
        <f>Costs!U52</f>
        <v>0</v>
      </c>
      <c r="V16" s="1">
        <f>Costs!V52</f>
        <v>0</v>
      </c>
      <c r="W16" s="1">
        <f>Costs!W52</f>
        <v>1413.7215187240497</v>
      </c>
      <c r="X16" s="1">
        <f>Costs!X52</f>
        <v>1407.078106069514</v>
      </c>
      <c r="Y16" s="1">
        <f>Costs!Y52</f>
        <v>1396.9429577657309</v>
      </c>
      <c r="Z16" s="1">
        <f>Costs!Z52</f>
        <v>1386.8808126809561</v>
      </c>
      <c r="AA16" s="1">
        <f>Costs!AA52</f>
        <v>1376.8911449748348</v>
      </c>
      <c r="AB16" s="1">
        <f>Costs!AB52</f>
        <v>1366.9734325946265</v>
      </c>
      <c r="AC16" s="1">
        <f>Costs!AC52</f>
        <v>1356.2996785042963</v>
      </c>
      <c r="AD16" s="1">
        <f>Costs!AD52</f>
        <v>1344.8951544498141</v>
      </c>
      <c r="AE16" s="1">
        <f>Costs!AE52</f>
        <v>1333.5865259934587</v>
      </c>
      <c r="AF16" s="1">
        <f>Costs!AF52</f>
        <v>1322.3729867915638</v>
      </c>
      <c r="AG16" s="1">
        <f>Costs!AG52</f>
        <v>1311.2537372806498</v>
      </c>
      <c r="AH16" s="1">
        <f>Costs!AH52</f>
        <v>1300.2279846204131</v>
      </c>
      <c r="AI16" s="1">
        <f>Costs!AI52</f>
        <v>1289.2949426371938</v>
      </c>
      <c r="AJ16" s="1">
        <f>Costs!AJ52</f>
        <v>1278.453831767918</v>
      </c>
      <c r="AK16" s="1">
        <f>Costs!AK52</f>
        <v>1267.7038790045137</v>
      </c>
      <c r="AL16" s="1">
        <f>Costs!AL52</f>
        <v>1257.0443178387904</v>
      </c>
      <c r="AM16" s="1">
        <f>Costs!AM52</f>
        <v>1246.4743882077871</v>
      </c>
      <c r="AN16" s="1">
        <f>Costs!AN52</f>
        <v>1235.9933364395761</v>
      </c>
      <c r="AO16" s="1">
        <f>Costs!AO52</f>
        <v>1225.6004151995228</v>
      </c>
      <c r="AP16" s="1">
        <f>Costs!AP52</f>
        <v>1215.2948834369995</v>
      </c>
      <c r="AQ16" s="1">
        <f>Costs!AQ52</f>
        <v>1205.0760063325451</v>
      </c>
      <c r="AR16" s="1">
        <f>Costs!AR52</f>
        <v>1194.9430552454708</v>
      </c>
      <c r="AS16" s="1">
        <f>Costs!AS52</f>
        <v>1184.8953076619046</v>
      </c>
      <c r="AT16" s="1">
        <f>Costs!AT52</f>
        <v>1174.9320471432738</v>
      </c>
      <c r="AU16" s="1">
        <f>Costs!AU52</f>
        <v>1165.0525632752222</v>
      </c>
      <c r="AV16" s="1">
        <f>Costs!AV52</f>
        <v>1155.2561516169512</v>
      </c>
      <c r="AW16" s="1">
        <f>Costs!AW52</f>
        <v>1145.5421136509958</v>
      </c>
      <c r="AX16" s="1">
        <f>Costs!AX52</f>
        <v>1135.909756733414</v>
      </c>
      <c r="AY16" s="1">
        <f>Costs!AY52</f>
        <v>1126.3583940444005</v>
      </c>
      <c r="AZ16" s="1">
        <f>Costs!AZ52</f>
        <v>1116.887344539314</v>
      </c>
      <c r="BA16" s="1">
        <f>Costs!BA52</f>
        <v>1107.4959329001163</v>
      </c>
      <c r="BB16" s="1">
        <f>Costs!BB52</f>
        <v>1098.1834894872202</v>
      </c>
      <c r="BC16" s="1">
        <f>Costs!BC52</f>
        <v>1088.9493502917412</v>
      </c>
      <c r="BD16" s="1">
        <f>Costs!BD52</f>
        <v>1079.7928568881521</v>
      </c>
      <c r="BE16" s="1">
        <f>Costs!BE52</f>
        <v>1070.713356387334</v>
      </c>
      <c r="BF16" s="1">
        <f>Costs!BF52</f>
        <v>1061.7102013900251</v>
      </c>
      <c r="BG16" s="1">
        <f>Costs!BG52</f>
        <v>1052.7827499406562</v>
      </c>
      <c r="BH16" s="1">
        <f>Costs!BH52</f>
        <v>1043.9303654815797</v>
      </c>
      <c r="BI16" s="1">
        <f>Costs!BI52</f>
        <v>1035.1524168076789</v>
      </c>
      <c r="BJ16" s="1">
        <f>Costs!BJ52</f>
        <v>1026.4482780213618</v>
      </c>
      <c r="BK16" t="s">
        <v>102</v>
      </c>
    </row>
    <row r="17" spans="1:63" ht="11.25" customHeight="1" x14ac:dyDescent="0.25">
      <c r="A17" s="12"/>
      <c r="B17" s="12" t="s">
        <v>255</v>
      </c>
      <c r="C17" s="33" t="s">
        <v>1</v>
      </c>
      <c r="D17" s="12"/>
      <c r="E17" s="1">
        <f t="shared" ref="E17:E19" si="1">SUM(G17:BJ17)</f>
        <v>44222.259160367204</v>
      </c>
      <c r="F17" s="303" t="s">
        <v>26</v>
      </c>
      <c r="G17" s="1">
        <f>Costs!G55</f>
        <v>0</v>
      </c>
      <c r="H17" s="1">
        <f>Costs!H55</f>
        <v>0</v>
      </c>
      <c r="I17" s="1">
        <f>Costs!I55</f>
        <v>0</v>
      </c>
      <c r="J17" s="1">
        <f>Costs!J55</f>
        <v>0</v>
      </c>
      <c r="K17" s="1">
        <f>Costs!K55</f>
        <v>0</v>
      </c>
      <c r="L17" s="1">
        <f>Costs!L55</f>
        <v>0</v>
      </c>
      <c r="M17" s="1">
        <f>Costs!M55</f>
        <v>0</v>
      </c>
      <c r="N17" s="1">
        <f>Costs!N55</f>
        <v>0</v>
      </c>
      <c r="O17" s="1">
        <f>Costs!O55</f>
        <v>0</v>
      </c>
      <c r="P17" s="1">
        <f>Costs!P55</f>
        <v>0</v>
      </c>
      <c r="Q17" s="1">
        <f>Costs!Q55</f>
        <v>0</v>
      </c>
      <c r="R17" s="1">
        <f>Costs!R55</f>
        <v>0</v>
      </c>
      <c r="S17" s="1">
        <f>Costs!S55</f>
        <v>0</v>
      </c>
      <c r="T17" s="1">
        <f>Costs!T55</f>
        <v>0</v>
      </c>
      <c r="U17" s="1">
        <f>Costs!U55</f>
        <v>0</v>
      </c>
      <c r="V17" s="1">
        <f>Costs!V55</f>
        <v>0</v>
      </c>
      <c r="W17" s="1">
        <f>Costs!W55</f>
        <v>772.55968276576561</v>
      </c>
      <c r="X17" s="1">
        <f>Costs!X55</f>
        <v>782.99405889897264</v>
      </c>
      <c r="Y17" s="1">
        <f>Costs!Y55</f>
        <v>776.73010642778081</v>
      </c>
      <c r="Z17" s="1">
        <f>Costs!Z55</f>
        <v>790.40017679904622</v>
      </c>
      <c r="AA17" s="1">
        <f>Costs!AA55</f>
        <v>784.07697538465391</v>
      </c>
      <c r="AB17" s="1">
        <f>Costs!AB55</f>
        <v>797.8630096812949</v>
      </c>
      <c r="AC17" s="1">
        <f>Costs!AC55</f>
        <v>791.48010560384455</v>
      </c>
      <c r="AD17" s="1">
        <f>Costs!AD55</f>
        <v>741.29752311313268</v>
      </c>
      <c r="AE17" s="1">
        <f>Costs!AE55</f>
        <v>827.89334972221513</v>
      </c>
      <c r="AF17" s="1">
        <f>Costs!AF55</f>
        <v>830.32734732282006</v>
      </c>
      <c r="AG17" s="1">
        <f>Costs!AG55</f>
        <v>823.68472854423749</v>
      </c>
      <c r="AH17" s="1">
        <f>Costs!AH55</f>
        <v>829.79516076454706</v>
      </c>
      <c r="AI17" s="1">
        <f>Costs!AI55</f>
        <v>823.15679947843046</v>
      </c>
      <c r="AJ17" s="1">
        <f>Costs!AJ55</f>
        <v>839.02726257237475</v>
      </c>
      <c r="AK17" s="1">
        <f>Costs!AK55</f>
        <v>1069.8922227756429</v>
      </c>
      <c r="AL17" s="1">
        <f>Costs!AL55</f>
        <v>1046.7166171020181</v>
      </c>
      <c r="AM17" s="1">
        <f>Costs!AM55</f>
        <v>1184.9550580560003</v>
      </c>
      <c r="AN17" s="1">
        <f>Costs!AN55</f>
        <v>1191.4093842011748</v>
      </c>
      <c r="AO17" s="1">
        <f>Costs!AO55</f>
        <v>1198.0187190181589</v>
      </c>
      <c r="AP17" s="1">
        <f>Costs!AP55</f>
        <v>1198.134852222048</v>
      </c>
      <c r="AQ17" s="1">
        <f>Costs!AQ55</f>
        <v>1204.7814965235304</v>
      </c>
      <c r="AR17" s="1">
        <f>Costs!AR55</f>
        <v>1204.0810911263602</v>
      </c>
      <c r="AS17" s="1">
        <f>Costs!AS55</f>
        <v>1210.7607221445339</v>
      </c>
      <c r="AT17" s="1">
        <f>Costs!AT55</f>
        <v>1121.9637974002171</v>
      </c>
      <c r="AU17" s="1">
        <f>Costs!AU55</f>
        <v>1270.1400311824113</v>
      </c>
      <c r="AV17" s="1">
        <f>Costs!AV55</f>
        <v>1277.186123685844</v>
      </c>
      <c r="AW17" s="1">
        <f>Costs!AW55</f>
        <v>1284.2713043357396</v>
      </c>
      <c r="AX17" s="1">
        <f>Costs!AX55</f>
        <v>1291.3957899733034</v>
      </c>
      <c r="AY17" s="1">
        <f>Costs!AY55</f>
        <v>1298.5597986426665</v>
      </c>
      <c r="AZ17" s="1">
        <f>Costs!AZ55</f>
        <v>1305.7635495975574</v>
      </c>
      <c r="BA17" s="1">
        <f>Costs!BA55</f>
        <v>1313.0072633080133</v>
      </c>
      <c r="BB17" s="1">
        <f>Costs!BB55</f>
        <v>1216.7115997501519</v>
      </c>
      <c r="BC17" s="1">
        <f>Costs!BC55</f>
        <v>1377.4010470102539</v>
      </c>
      <c r="BD17" s="1">
        <f>Costs!BD55</f>
        <v>1385.0421692119724</v>
      </c>
      <c r="BE17" s="1">
        <f>Costs!BE55</f>
        <v>1392.725680483039</v>
      </c>
      <c r="BF17" s="1">
        <f>Costs!BF55</f>
        <v>1400.4518159765043</v>
      </c>
      <c r="BG17" s="1">
        <f>Costs!BG55</f>
        <v>1408.2208121499302</v>
      </c>
      <c r="BH17" s="1">
        <f>Costs!BH55</f>
        <v>1416.0329067726227</v>
      </c>
      <c r="BI17" s="1">
        <f>Costs!BI55</f>
        <v>1423.8883389329146</v>
      </c>
      <c r="BJ17" s="1">
        <f>Costs!BJ55</f>
        <v>1319.4606817054914</v>
      </c>
      <c r="BK17" t="s">
        <v>102</v>
      </c>
    </row>
    <row r="18" spans="1:63" ht="11.25" customHeight="1" thickBot="1" x14ac:dyDescent="0.3">
      <c r="A18" s="12"/>
      <c r="B18" s="99" t="s">
        <v>209</v>
      </c>
      <c r="C18" s="100" t="s">
        <v>1</v>
      </c>
      <c r="D18" s="99"/>
      <c r="E18" s="101">
        <f t="shared" si="1"/>
        <v>3146632.9052803847</v>
      </c>
      <c r="F18" s="315" t="s">
        <v>26</v>
      </c>
      <c r="G18" s="101">
        <f>SUM(G12:G17)</f>
        <v>0</v>
      </c>
      <c r="H18" s="101">
        <f t="shared" ref="H18:BJ18" si="2">SUM(H12:H17)</f>
        <v>0</v>
      </c>
      <c r="I18" s="101">
        <f t="shared" si="2"/>
        <v>0</v>
      </c>
      <c r="J18" s="101">
        <f t="shared" si="2"/>
        <v>0</v>
      </c>
      <c r="K18" s="101">
        <f t="shared" si="2"/>
        <v>0</v>
      </c>
      <c r="L18" s="101">
        <f t="shared" si="2"/>
        <v>0</v>
      </c>
      <c r="M18" s="101">
        <f t="shared" si="2"/>
        <v>0</v>
      </c>
      <c r="N18" s="101">
        <f t="shared" si="2"/>
        <v>0</v>
      </c>
      <c r="O18" s="101">
        <f t="shared" si="2"/>
        <v>0</v>
      </c>
      <c r="P18" s="101">
        <f t="shared" si="2"/>
        <v>0</v>
      </c>
      <c r="Q18" s="101">
        <f t="shared" si="2"/>
        <v>0</v>
      </c>
      <c r="R18" s="101">
        <f t="shared" si="2"/>
        <v>0</v>
      </c>
      <c r="S18" s="101">
        <f t="shared" si="2"/>
        <v>0</v>
      </c>
      <c r="T18" s="101">
        <f t="shared" si="2"/>
        <v>0</v>
      </c>
      <c r="U18" s="101">
        <f t="shared" si="2"/>
        <v>0</v>
      </c>
      <c r="V18" s="101">
        <f t="shared" si="2"/>
        <v>0</v>
      </c>
      <c r="W18" s="101">
        <f t="shared" si="2"/>
        <v>39274.965260583689</v>
      </c>
      <c r="X18" s="101">
        <f t="shared" si="2"/>
        <v>39423.60793489615</v>
      </c>
      <c r="Y18" s="101">
        <f t="shared" si="2"/>
        <v>39554.531261398224</v>
      </c>
      <c r="Z18" s="101">
        <f t="shared" si="2"/>
        <v>39708.094044108249</v>
      </c>
      <c r="AA18" s="101">
        <f t="shared" si="2"/>
        <v>39844.40003568559</v>
      </c>
      <c r="AB18" s="101">
        <f t="shared" si="2"/>
        <v>40003.583214970487</v>
      </c>
      <c r="AC18" s="101">
        <f t="shared" si="2"/>
        <v>40133.557086977751</v>
      </c>
      <c r="AD18" s="101">
        <f t="shared" si="2"/>
        <v>50706.428614416756</v>
      </c>
      <c r="AE18" s="101">
        <f t="shared" si="2"/>
        <v>41397.377546644653</v>
      </c>
      <c r="AF18" s="101">
        <f t="shared" si="2"/>
        <v>41534.253495362238</v>
      </c>
      <c r="AG18" s="101">
        <f t="shared" si="2"/>
        <v>41664.535937437919</v>
      </c>
      <c r="AH18" s="101">
        <f t="shared" si="2"/>
        <v>41810.079617363081</v>
      </c>
      <c r="AI18" s="101">
        <f t="shared" si="2"/>
        <v>41945.408089884062</v>
      </c>
      <c r="AJ18" s="101">
        <f t="shared" si="2"/>
        <v>42105.804698056578</v>
      </c>
      <c r="AK18" s="101">
        <f t="shared" si="2"/>
        <v>82929.945436084294</v>
      </c>
      <c r="AL18" s="101">
        <f t="shared" si="2"/>
        <v>92243.86144712352</v>
      </c>
      <c r="AM18" s="101">
        <f t="shared" si="2"/>
        <v>86968.262588954676</v>
      </c>
      <c r="AN18" s="101">
        <f t="shared" si="2"/>
        <v>86969.61284257134</v>
      </c>
      <c r="AO18" s="101">
        <f t="shared" si="2"/>
        <v>87887.111610399545</v>
      </c>
      <c r="AP18" s="101">
        <f t="shared" si="2"/>
        <v>87873.083697921538</v>
      </c>
      <c r="AQ18" s="101">
        <f t="shared" si="2"/>
        <v>88801.235114381896</v>
      </c>
      <c r="AR18" s="101">
        <f t="shared" si="2"/>
        <v>88776.942741556224</v>
      </c>
      <c r="AS18" s="101">
        <f t="shared" si="2"/>
        <v>89715.761165673248</v>
      </c>
      <c r="AT18" s="101">
        <f t="shared" si="2"/>
        <v>100218.98568782168</v>
      </c>
      <c r="AU18" s="101">
        <f t="shared" si="2"/>
        <v>94025.887614096064</v>
      </c>
      <c r="AV18" s="101">
        <f t="shared" si="2"/>
        <v>95022.032049339497</v>
      </c>
      <c r="AW18" s="101">
        <f t="shared" si="2"/>
        <v>96029.343804293268</v>
      </c>
      <c r="AX18" s="101">
        <f t="shared" si="2"/>
        <v>97047.945700517215</v>
      </c>
      <c r="AY18" s="101">
        <f t="shared" si="2"/>
        <v>98077.961953202379</v>
      </c>
      <c r="AZ18" s="101">
        <f t="shared" si="2"/>
        <v>99119.518186831236</v>
      </c>
      <c r="BA18" s="101">
        <f t="shared" si="2"/>
        <v>100172.74145101744</v>
      </c>
      <c r="BB18" s="101">
        <f t="shared" si="2"/>
        <v>111853.58213352393</v>
      </c>
      <c r="BC18" s="101">
        <f t="shared" si="2"/>
        <v>105000.13072771049</v>
      </c>
      <c r="BD18" s="101">
        <f t="shared" si="2"/>
        <v>106117.51981953483</v>
      </c>
      <c r="BE18" s="101">
        <f t="shared" si="2"/>
        <v>107247.40428877238</v>
      </c>
      <c r="BF18" s="101">
        <f t="shared" si="2"/>
        <v>108389.92187556157</v>
      </c>
      <c r="BG18" s="101">
        <f t="shared" si="2"/>
        <v>109545.21188036697</v>
      </c>
      <c r="BH18" s="101">
        <f t="shared" si="2"/>
        <v>110713.41518153166</v>
      </c>
      <c r="BI18" s="101">
        <f t="shared" si="2"/>
        <v>111894.67425303131</v>
      </c>
      <c r="BJ18" s="101">
        <f t="shared" si="2"/>
        <v>124884.18519078165</v>
      </c>
      <c r="BK18" t="s">
        <v>102</v>
      </c>
    </row>
    <row r="19" spans="1:63" ht="11.25" customHeight="1" thickTop="1" x14ac:dyDescent="0.25">
      <c r="A19" s="12" t="s">
        <v>26</v>
      </c>
      <c r="B19" s="228" t="s">
        <v>215</v>
      </c>
      <c r="C19" s="236" t="s">
        <v>1</v>
      </c>
      <c r="D19" s="228"/>
      <c r="E19" s="230">
        <f t="shared" si="1"/>
        <v>1275593.0107563359</v>
      </c>
      <c r="F19" s="312" t="s">
        <v>26</v>
      </c>
      <c r="G19" s="230">
        <f>G9-G18</f>
        <v>0</v>
      </c>
      <c r="H19" s="230">
        <f t="shared" ref="H19:BJ19" si="3">H9-H18</f>
        <v>0</v>
      </c>
      <c r="I19" s="230">
        <f t="shared" si="3"/>
        <v>0</v>
      </c>
      <c r="J19" s="230">
        <f t="shared" si="3"/>
        <v>0</v>
      </c>
      <c r="K19" s="230">
        <f t="shared" si="3"/>
        <v>0</v>
      </c>
      <c r="L19" s="230">
        <f t="shared" si="3"/>
        <v>0</v>
      </c>
      <c r="M19" s="230">
        <f t="shared" si="3"/>
        <v>0</v>
      </c>
      <c r="N19" s="230">
        <f t="shared" si="3"/>
        <v>0</v>
      </c>
      <c r="O19" s="230">
        <f t="shared" si="3"/>
        <v>0</v>
      </c>
      <c r="P19" s="230">
        <f t="shared" si="3"/>
        <v>0</v>
      </c>
      <c r="Q19" s="230">
        <f t="shared" si="3"/>
        <v>0</v>
      </c>
      <c r="R19" s="230">
        <f t="shared" si="3"/>
        <v>0</v>
      </c>
      <c r="S19" s="230">
        <f t="shared" si="3"/>
        <v>0</v>
      </c>
      <c r="T19" s="230">
        <f t="shared" si="3"/>
        <v>0</v>
      </c>
      <c r="U19" s="230">
        <f t="shared" si="3"/>
        <v>0</v>
      </c>
      <c r="V19" s="230">
        <f t="shared" si="3"/>
        <v>0</v>
      </c>
      <c r="W19" s="230">
        <f t="shared" si="3"/>
        <v>37981.003015992872</v>
      </c>
      <c r="X19" s="230">
        <f t="shared" si="3"/>
        <v>38875.797955001108</v>
      </c>
      <c r="Y19" s="230">
        <f t="shared" si="3"/>
        <v>38118.479381379861</v>
      </c>
      <c r="Z19" s="230">
        <f t="shared" si="3"/>
        <v>39331.923635796367</v>
      </c>
      <c r="AA19" s="230">
        <f t="shared" si="3"/>
        <v>38563.297502779802</v>
      </c>
      <c r="AB19" s="230">
        <f t="shared" si="3"/>
        <v>39782.717753159006</v>
      </c>
      <c r="AC19" s="230">
        <f t="shared" si="3"/>
        <v>39014.453473406706</v>
      </c>
      <c r="AD19" s="230">
        <f t="shared" si="3"/>
        <v>23423.323696896507</v>
      </c>
      <c r="AE19" s="230">
        <f t="shared" si="3"/>
        <v>41391.957425576853</v>
      </c>
      <c r="AF19" s="230">
        <f t="shared" si="3"/>
        <v>41498.481236919761</v>
      </c>
      <c r="AG19" s="230">
        <f t="shared" si="3"/>
        <v>40703.936916985826</v>
      </c>
      <c r="AH19" s="230">
        <f t="shared" si="3"/>
        <v>41169.436459091623</v>
      </c>
      <c r="AI19" s="230">
        <f t="shared" si="3"/>
        <v>40370.271857958985</v>
      </c>
      <c r="AJ19" s="230">
        <f t="shared" si="3"/>
        <v>41796.921559180897</v>
      </c>
      <c r="AK19" s="230">
        <f t="shared" si="3"/>
        <v>24059.276841480008</v>
      </c>
      <c r="AL19" s="230">
        <f t="shared" si="3"/>
        <v>12427.800263078287</v>
      </c>
      <c r="AM19" s="230">
        <f t="shared" si="3"/>
        <v>31527.243216645351</v>
      </c>
      <c r="AN19" s="230">
        <f t="shared" si="3"/>
        <v>32171.325577546144</v>
      </c>
      <c r="AO19" s="230">
        <f t="shared" si="3"/>
        <v>31914.760291416344</v>
      </c>
      <c r="AP19" s="230">
        <f t="shared" si="3"/>
        <v>31940.401524283268</v>
      </c>
      <c r="AQ19" s="230">
        <f t="shared" si="3"/>
        <v>31676.914537971141</v>
      </c>
      <c r="AR19" s="230">
        <f t="shared" si="3"/>
        <v>31631.166371079787</v>
      </c>
      <c r="AS19" s="230">
        <f t="shared" si="3"/>
        <v>31360.311048780146</v>
      </c>
      <c r="AT19" s="230">
        <f t="shared" si="3"/>
        <v>11977.394052200019</v>
      </c>
      <c r="AU19" s="230">
        <f t="shared" si="3"/>
        <v>32988.115504145069</v>
      </c>
      <c r="AV19" s="230">
        <f t="shared" si="3"/>
        <v>32696.580319244895</v>
      </c>
      <c r="AW19" s="230">
        <f t="shared" si="3"/>
        <v>32397.786629280701</v>
      </c>
      <c r="AX19" s="230">
        <f t="shared" si="3"/>
        <v>32091.633296813117</v>
      </c>
      <c r="AY19" s="230">
        <f t="shared" si="3"/>
        <v>31778.017911064264</v>
      </c>
      <c r="AZ19" s="230">
        <f t="shared" si="3"/>
        <v>31456.836772924493</v>
      </c>
      <c r="BA19" s="230">
        <f t="shared" si="3"/>
        <v>31127.984879783879</v>
      </c>
      <c r="BB19" s="230">
        <f t="shared" si="3"/>
        <v>9817.5778414912638</v>
      </c>
      <c r="BC19" s="230">
        <f t="shared" si="3"/>
        <v>32739.973973314889</v>
      </c>
      <c r="BD19" s="230">
        <f t="shared" si="3"/>
        <v>32386.697101662387</v>
      </c>
      <c r="BE19" s="230">
        <f t="shared" si="3"/>
        <v>32025.163759531511</v>
      </c>
      <c r="BF19" s="230">
        <f t="shared" si="3"/>
        <v>31655.259722088857</v>
      </c>
      <c r="BG19" s="230">
        <f t="shared" si="3"/>
        <v>31276.869334626055</v>
      </c>
      <c r="BH19" s="230">
        <f t="shared" si="3"/>
        <v>30889.875495730608</v>
      </c>
      <c r="BI19" s="230">
        <f t="shared" si="3"/>
        <v>30494.159640260143</v>
      </c>
      <c r="BJ19" s="230">
        <f t="shared" si="3"/>
        <v>7061.8829797674989</v>
      </c>
      <c r="BK19" t="s">
        <v>102</v>
      </c>
    </row>
    <row r="20" spans="1:63" ht="11.25" customHeight="1" x14ac:dyDescent="0.25">
      <c r="A20" s="12"/>
      <c r="B20" s="17"/>
      <c r="C20" s="102"/>
      <c r="D20" s="17"/>
      <c r="E20" s="59"/>
      <c r="F20" s="317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t="s">
        <v>102</v>
      </c>
    </row>
    <row r="21" spans="1:63" ht="11.25" customHeight="1" x14ac:dyDescent="0.25">
      <c r="A21" s="12"/>
      <c r="B21" s="12" t="s">
        <v>399</v>
      </c>
      <c r="C21" s="67" t="s">
        <v>1</v>
      </c>
      <c r="D21" s="17"/>
      <c r="E21" s="1">
        <f t="shared" ref="E21:E31" si="4">SUM(G21:BJ21)</f>
        <v>2404.3482684293476</v>
      </c>
      <c r="F21" s="303" t="s">
        <v>26</v>
      </c>
      <c r="G21" s="1">
        <f>Reserves!G32</f>
        <v>0</v>
      </c>
      <c r="H21" s="1">
        <f>Reserves!H32</f>
        <v>0</v>
      </c>
      <c r="I21" s="1">
        <f>Reserves!I32</f>
        <v>0</v>
      </c>
      <c r="J21" s="1">
        <f>Reserves!J32</f>
        <v>0</v>
      </c>
      <c r="K21" s="1">
        <f>Reserves!K32</f>
        <v>0</v>
      </c>
      <c r="L21" s="1">
        <f>Reserves!L32</f>
        <v>0</v>
      </c>
      <c r="M21" s="1">
        <f>Reserves!M32</f>
        <v>0</v>
      </c>
      <c r="N21" s="1">
        <f>Reserves!N32</f>
        <v>0</v>
      </c>
      <c r="O21" s="1">
        <f>Reserves!O32</f>
        <v>0</v>
      </c>
      <c r="P21" s="1">
        <f>Reserves!P32</f>
        <v>0</v>
      </c>
      <c r="Q21" s="1">
        <f>Reserves!Q32</f>
        <v>0</v>
      </c>
      <c r="R21" s="1">
        <f>Reserves!R32</f>
        <v>0</v>
      </c>
      <c r="S21" s="1">
        <f>Reserves!S32</f>
        <v>0</v>
      </c>
      <c r="T21" s="1">
        <f>Reserves!T32</f>
        <v>0</v>
      </c>
      <c r="U21" s="1">
        <f>Reserves!U32</f>
        <v>0</v>
      </c>
      <c r="V21" s="1">
        <f>Reserves!V32</f>
        <v>0</v>
      </c>
      <c r="W21" s="1">
        <f>Reserves!W32</f>
        <v>97.926046168814281</v>
      </c>
      <c r="X21" s="1">
        <f>Reserves!X32</f>
        <v>97.926046168814281</v>
      </c>
      <c r="Y21" s="1">
        <f>Reserves!Y32</f>
        <v>97.926046168814281</v>
      </c>
      <c r="Z21" s="1">
        <f>Reserves!Z32</f>
        <v>97.926046168814281</v>
      </c>
      <c r="AA21" s="1">
        <f>Reserves!AA32</f>
        <v>97.926046168814281</v>
      </c>
      <c r="AB21" s="1">
        <f>Reserves!AB32</f>
        <v>97.926046168814281</v>
      </c>
      <c r="AC21" s="1">
        <f>Reserves!AC32</f>
        <v>97.926046168814281</v>
      </c>
      <c r="AD21" s="1">
        <f>Reserves!AD32</f>
        <v>97.926046168814281</v>
      </c>
      <c r="AE21" s="1">
        <f>Reserves!AE32</f>
        <v>97.926046168814281</v>
      </c>
      <c r="AF21" s="1">
        <f>Reserves!AF32</f>
        <v>97.926046168814281</v>
      </c>
      <c r="AG21" s="1">
        <f>Reserves!AG32</f>
        <v>97.926046168814281</v>
      </c>
      <c r="AH21" s="1">
        <f>Reserves!AH32</f>
        <v>97.926046168814281</v>
      </c>
      <c r="AI21" s="1">
        <f>Reserves!AI32</f>
        <v>97.926046168814281</v>
      </c>
      <c r="AJ21" s="1">
        <f>Reserves!AJ32</f>
        <v>97.926046168814281</v>
      </c>
      <c r="AK21" s="1">
        <f>Reserves!AK32</f>
        <v>97.926046168814281</v>
      </c>
      <c r="AL21" s="1">
        <f>Reserves!AL32</f>
        <v>97.926046168814281</v>
      </c>
      <c r="AM21" s="1">
        <f>Reserves!AM32</f>
        <v>32.256436903793414</v>
      </c>
      <c r="AN21" s="1">
        <f>Reserves!AN32</f>
        <v>58.632667005792818</v>
      </c>
      <c r="AO21" s="1">
        <f>Reserves!AO32</f>
        <v>96.846407804949848</v>
      </c>
      <c r="AP21" s="1">
        <f>Reserves!AP32</f>
        <v>97.926046168814281</v>
      </c>
      <c r="AQ21" s="1">
        <f>Reserves!AQ32</f>
        <v>97.926046168814281</v>
      </c>
      <c r="AR21" s="1">
        <f>Reserves!AR32</f>
        <v>97.926046168814281</v>
      </c>
      <c r="AS21" s="1">
        <f>Reserves!AS32</f>
        <v>97.926046168814281</v>
      </c>
      <c r="AT21" s="1">
        <f>Reserves!AT32</f>
        <v>97.926046168814281</v>
      </c>
      <c r="AU21" s="1">
        <f>Reserves!AU32</f>
        <v>67.285751682208243</v>
      </c>
      <c r="AV21" s="1">
        <f>Reserves!AV32</f>
        <v>92.880035487503562</v>
      </c>
      <c r="AW21" s="1">
        <f>Reserves!AW32</f>
        <v>0</v>
      </c>
      <c r="AX21" s="1">
        <f>Reserves!AX32</f>
        <v>0</v>
      </c>
      <c r="AY21" s="1">
        <f>Reserves!AY32</f>
        <v>0</v>
      </c>
      <c r="AZ21" s="1">
        <f>Reserves!AZ32</f>
        <v>0</v>
      </c>
      <c r="BA21" s="1">
        <f>Reserves!BA32</f>
        <v>0</v>
      </c>
      <c r="BB21" s="1">
        <f>Reserves!BB32</f>
        <v>0</v>
      </c>
      <c r="BC21" s="1">
        <f>Reserves!BC32</f>
        <v>0</v>
      </c>
      <c r="BD21" s="1">
        <f>Reserves!BD32</f>
        <v>0</v>
      </c>
      <c r="BE21" s="1">
        <f>Reserves!BE32</f>
        <v>0</v>
      </c>
      <c r="BF21" s="1">
        <f>Reserves!BF32</f>
        <v>0</v>
      </c>
      <c r="BG21" s="1">
        <f>Reserves!BG32</f>
        <v>0</v>
      </c>
      <c r="BH21" s="1">
        <f>Reserves!BH32</f>
        <v>0</v>
      </c>
      <c r="BI21" s="1">
        <f>Reserves!BI32</f>
        <v>0</v>
      </c>
      <c r="BJ21" s="1">
        <f>Reserves!BJ32</f>
        <v>0</v>
      </c>
      <c r="BK21" t="s">
        <v>102</v>
      </c>
    </row>
    <row r="22" spans="1:63" ht="11.25" customHeight="1" x14ac:dyDescent="0.25">
      <c r="A22" s="12"/>
      <c r="B22" s="12" t="s">
        <v>217</v>
      </c>
      <c r="C22" s="67"/>
      <c r="D22" s="17"/>
      <c r="E22" s="1">
        <f t="shared" si="4"/>
        <v>0</v>
      </c>
      <c r="F22" s="303" t="s">
        <v>26</v>
      </c>
      <c r="G22" s="1">
        <f>Costs!G71</f>
        <v>0</v>
      </c>
      <c r="H22" s="1">
        <f>Costs!H71</f>
        <v>0</v>
      </c>
      <c r="I22" s="1">
        <f>Costs!I71</f>
        <v>0</v>
      </c>
      <c r="J22" s="1">
        <f>Costs!J71</f>
        <v>0</v>
      </c>
      <c r="K22" s="1">
        <f>Costs!K71</f>
        <v>0</v>
      </c>
      <c r="L22" s="1">
        <f>Costs!L71</f>
        <v>0</v>
      </c>
      <c r="M22" s="1">
        <f>Costs!M71</f>
        <v>0</v>
      </c>
      <c r="N22" s="1">
        <f>Costs!N71</f>
        <v>0</v>
      </c>
      <c r="O22" s="1">
        <f>Costs!O71</f>
        <v>0</v>
      </c>
      <c r="P22" s="1">
        <f>Costs!P71</f>
        <v>0</v>
      </c>
      <c r="Q22" s="1">
        <f>Costs!Q71</f>
        <v>0</v>
      </c>
      <c r="R22" s="1">
        <f>Costs!R71</f>
        <v>0</v>
      </c>
      <c r="S22" s="1">
        <f>Costs!S71</f>
        <v>0</v>
      </c>
      <c r="T22" s="1">
        <f>Costs!T71</f>
        <v>0</v>
      </c>
      <c r="U22" s="1">
        <f>Costs!U71</f>
        <v>0</v>
      </c>
      <c r="V22" s="1">
        <f>Costs!V71</f>
        <v>0</v>
      </c>
      <c r="W22" s="1">
        <f>Costs!W71</f>
        <v>0</v>
      </c>
      <c r="X22" s="1">
        <f>Costs!X71</f>
        <v>0</v>
      </c>
      <c r="Y22" s="1">
        <f>Costs!Y71</f>
        <v>0</v>
      </c>
      <c r="Z22" s="1">
        <f>Costs!Z71</f>
        <v>0</v>
      </c>
      <c r="AA22" s="1">
        <f>Costs!AA71</f>
        <v>0</v>
      </c>
      <c r="AB22" s="1">
        <f>Costs!AB71</f>
        <v>0</v>
      </c>
      <c r="AC22" s="1">
        <f>Costs!AC71</f>
        <v>0</v>
      </c>
      <c r="AD22" s="1">
        <f>Costs!AD71</f>
        <v>0</v>
      </c>
      <c r="AE22" s="1">
        <f>Costs!AE71</f>
        <v>0</v>
      </c>
      <c r="AF22" s="1">
        <f>Costs!AF71</f>
        <v>0</v>
      </c>
      <c r="AG22" s="1">
        <f>Costs!AG71</f>
        <v>0</v>
      </c>
      <c r="AH22" s="1">
        <f>Costs!AH71</f>
        <v>0</v>
      </c>
      <c r="AI22" s="1">
        <f>Costs!AI71</f>
        <v>0</v>
      </c>
      <c r="AJ22" s="1">
        <f>Costs!AJ71</f>
        <v>0</v>
      </c>
      <c r="AK22" s="1">
        <f>Costs!AK71</f>
        <v>0</v>
      </c>
      <c r="AL22" s="1">
        <f>Costs!AL71</f>
        <v>0</v>
      </c>
      <c r="AM22" s="1">
        <f>Costs!AM71</f>
        <v>0</v>
      </c>
      <c r="AN22" s="1">
        <f>Costs!AN71</f>
        <v>0</v>
      </c>
      <c r="AO22" s="1">
        <f>Costs!AO71</f>
        <v>0</v>
      </c>
      <c r="AP22" s="1">
        <f>Costs!AP71</f>
        <v>0</v>
      </c>
      <c r="AQ22" s="1">
        <f>Costs!AQ71</f>
        <v>0</v>
      </c>
      <c r="AR22" s="1">
        <f>Costs!AR71</f>
        <v>0</v>
      </c>
      <c r="AS22" s="1">
        <f>Costs!AS71</f>
        <v>0</v>
      </c>
      <c r="AT22" s="1">
        <f>Costs!AT71</f>
        <v>0</v>
      </c>
      <c r="AU22" s="1">
        <f>Costs!AU71</f>
        <v>0</v>
      </c>
      <c r="AV22" s="1">
        <f>Costs!AV71</f>
        <v>0</v>
      </c>
      <c r="AW22" s="1">
        <f>Costs!AW71</f>
        <v>0</v>
      </c>
      <c r="AX22" s="1">
        <f>Costs!AX71</f>
        <v>0</v>
      </c>
      <c r="AY22" s="1">
        <f>Costs!AY71</f>
        <v>0</v>
      </c>
      <c r="AZ22" s="1">
        <f>Costs!AZ71</f>
        <v>0</v>
      </c>
      <c r="BA22" s="1">
        <f>Costs!BA71</f>
        <v>0</v>
      </c>
      <c r="BB22" s="1">
        <f>Costs!BB71</f>
        <v>0</v>
      </c>
      <c r="BC22" s="1">
        <f>Costs!BC71</f>
        <v>0</v>
      </c>
      <c r="BD22" s="1">
        <f>Costs!BD71</f>
        <v>0</v>
      </c>
      <c r="BE22" s="1">
        <f>Costs!BE71</f>
        <v>0</v>
      </c>
      <c r="BF22" s="1">
        <f>Costs!BF71</f>
        <v>0</v>
      </c>
      <c r="BG22" s="1">
        <f>Costs!BG71</f>
        <v>0</v>
      </c>
      <c r="BH22" s="1">
        <f>Costs!BH71</f>
        <v>0</v>
      </c>
      <c r="BI22" s="1">
        <f>Costs!BI71</f>
        <v>0</v>
      </c>
      <c r="BJ22" s="1">
        <f>Costs!BJ71</f>
        <v>0</v>
      </c>
      <c r="BK22" t="s">
        <v>102</v>
      </c>
    </row>
    <row r="23" spans="1:63" ht="11.25" customHeight="1" x14ac:dyDescent="0.25">
      <c r="A23" s="12"/>
      <c r="B23" s="12" t="s">
        <v>245</v>
      </c>
      <c r="C23" s="67" t="s">
        <v>1</v>
      </c>
      <c r="D23" s="12"/>
      <c r="E23" s="1">
        <f t="shared" si="4"/>
        <v>-7682.7101239929798</v>
      </c>
      <c r="F23" s="303" t="s">
        <v>26</v>
      </c>
      <c r="G23" s="1">
        <f>-'Working Capital'!G23</f>
        <v>0</v>
      </c>
      <c r="H23" s="1">
        <f>-'Working Capital'!H23</f>
        <v>0</v>
      </c>
      <c r="I23" s="1">
        <f>-'Working Capital'!I23</f>
        <v>0</v>
      </c>
      <c r="J23" s="1">
        <f>-'Working Capital'!J23</f>
        <v>0</v>
      </c>
      <c r="K23" s="1">
        <f>-'Working Capital'!K23</f>
        <v>0</v>
      </c>
      <c r="L23" s="1">
        <f>-'Working Capital'!L23</f>
        <v>0</v>
      </c>
      <c r="M23" s="1">
        <f>-'Working Capital'!M23</f>
        <v>0</v>
      </c>
      <c r="N23" s="1">
        <f>-'Working Capital'!N23</f>
        <v>0</v>
      </c>
      <c r="O23" s="1">
        <f>-'Working Capital'!O23</f>
        <v>0</v>
      </c>
      <c r="P23" s="1">
        <f>-'Working Capital'!P23</f>
        <v>0</v>
      </c>
      <c r="Q23" s="1">
        <f>-'Working Capital'!Q23</f>
        <v>0</v>
      </c>
      <c r="R23" s="1">
        <f>-'Working Capital'!R23</f>
        <v>0</v>
      </c>
      <c r="S23" s="1">
        <f>-'Working Capital'!S23</f>
        <v>0</v>
      </c>
      <c r="T23" s="1">
        <f>-'Working Capital'!T23</f>
        <v>0</v>
      </c>
      <c r="U23" s="1">
        <f>-'Working Capital'!U23</f>
        <v>0</v>
      </c>
      <c r="V23" s="1">
        <f>-'Working Capital'!V23</f>
        <v>0</v>
      </c>
      <c r="W23" s="1">
        <f>-'Working Capital'!W23</f>
        <v>0</v>
      </c>
      <c r="X23" s="1">
        <f>-'Working Capital'!X23</f>
        <v>-639.20437580240105</v>
      </c>
      <c r="Y23" s="1">
        <f>-'Working Capital'!Y23</f>
        <v>550.84938760258956</v>
      </c>
      <c r="Z23" s="1">
        <f>-'Working Capital'!Z23</f>
        <v>-637.30042588987635</v>
      </c>
      <c r="AA23" s="1">
        <f>-'Working Capital'!AA23</f>
        <v>447.06128351162988</v>
      </c>
      <c r="AB23" s="1">
        <f>-'Working Capital'!AB23</f>
        <v>-753.19242539520928</v>
      </c>
      <c r="AC23" s="1">
        <f>-'Working Capital'!AC23</f>
        <v>561.08144882543274</v>
      </c>
      <c r="AD23" s="1">
        <f>-'Working Capital'!AD23</f>
        <v>898.88726832953762</v>
      </c>
      <c r="AE23" s="1">
        <f>-'Working Capital'!AE23</f>
        <v>-1882.45169044063</v>
      </c>
      <c r="AF23" s="1">
        <f>-'Working Capital'!AF23</f>
        <v>-397.969149325123</v>
      </c>
      <c r="AG23" s="1">
        <f>-'Working Capital'!AG23</f>
        <v>583.0926335011427</v>
      </c>
      <c r="AH23" s="1">
        <f>-'Working Capital'!AH23</f>
        <v>-400.9742111634223</v>
      </c>
      <c r="AI23" s="1">
        <f>-'Working Capital'!AI23</f>
        <v>467.64997572594075</v>
      </c>
      <c r="AJ23" s="1">
        <f>-'Working Capital'!AJ23</f>
        <v>-837.59369211490775</v>
      </c>
      <c r="AK23" s="1">
        <f>-'Working Capital'!AK23</f>
        <v>-562.57342846773099</v>
      </c>
      <c r="AL23" s="1">
        <f>-'Working Capital'!AL23</f>
        <v>-497.38342952810854</v>
      </c>
      <c r="AM23" s="1">
        <f>-'Working Capital'!AM23</f>
        <v>-2611.5431869422137</v>
      </c>
      <c r="AN23" s="1">
        <f>-'Working Capital'!AN23</f>
        <v>-625.05318283195811</v>
      </c>
      <c r="AO23" s="1">
        <f>-'Working Capital'!AO23</f>
        <v>350.14999930900376</v>
      </c>
      <c r="AP23" s="1">
        <f>-'Working Capital'!AP23</f>
        <v>-280.63230809769448</v>
      </c>
      <c r="AQ23" s="1">
        <f>-'Working Capital'!AQ23</f>
        <v>211.39257455470943</v>
      </c>
      <c r="AR23" s="1">
        <f>-'Working Capital'!AR23</f>
        <v>-396.7057760063326</v>
      </c>
      <c r="AS23" s="1">
        <f>-'Working Capital'!AS23</f>
        <v>353.15399342049932</v>
      </c>
      <c r="AT23" s="1">
        <f>-'Working Capital'!AT23</f>
        <v>1546.4969102280229</v>
      </c>
      <c r="AU23" s="1">
        <f>-'Working Capital'!AU23</f>
        <v>-2786.4868978047343</v>
      </c>
      <c r="AV23" s="1">
        <f>-'Working Capital'!AV23</f>
        <v>-506.97649198375802</v>
      </c>
      <c r="AW23" s="1">
        <f>-'Working Capital'!AW23</f>
        <v>373.70161198415735</v>
      </c>
      <c r="AX23" s="1">
        <f>-'Working Capital'!AX23</f>
        <v>-359.05966483811426</v>
      </c>
      <c r="AY23" s="1">
        <f>-'Working Capital'!AY23</f>
        <v>227.94246584193388</v>
      </c>
      <c r="AZ23" s="1">
        <f>-'Working Capital'!AZ23</f>
        <v>-509.13816939985554</v>
      </c>
      <c r="BA23" s="1">
        <f>-'Working Capital'!BA23</f>
        <v>380.28516307778773</v>
      </c>
      <c r="BB23" s="1">
        <f>-'Working Capital'!BB23</f>
        <v>1650.7350845259862</v>
      </c>
      <c r="BC23" s="1">
        <f>-'Working Capital'!BC23</f>
        <v>-2970.9331277078818</v>
      </c>
      <c r="BD23" s="1">
        <f>-'Working Capital'!BD23</f>
        <v>-535.20973130074708</v>
      </c>
      <c r="BE23" s="1">
        <f>-'Working Capital'!BE23</f>
        <v>402.3713987360461</v>
      </c>
      <c r="BF23" s="1">
        <f>-'Working Capital'!BF23</f>
        <v>-377.49574799123729</v>
      </c>
      <c r="BG23" s="1">
        <f>-'Working Capital'!BG23</f>
        <v>247.25934576234067</v>
      </c>
      <c r="BH23" s="1">
        <f>-'Working Capital'!BH23</f>
        <v>-536.89417821223105</v>
      </c>
      <c r="BI23" s="1">
        <f>-'Working Capital'!BI23</f>
        <v>409.38110578030683</v>
      </c>
      <c r="BJ23" s="1">
        <f>-'Working Capital'!BJ23</f>
        <v>1760.5695165341203</v>
      </c>
      <c r="BK23" t="s">
        <v>102</v>
      </c>
    </row>
    <row r="24" spans="1:63" ht="11.25" customHeight="1" x14ac:dyDescent="0.25">
      <c r="A24" s="12"/>
      <c r="B24" s="12" t="s">
        <v>115</v>
      </c>
      <c r="C24" s="67" t="s">
        <v>1</v>
      </c>
      <c r="D24" s="12"/>
      <c r="E24" s="1">
        <f t="shared" si="4"/>
        <v>-14274.304965395349</v>
      </c>
      <c r="F24" s="303" t="s">
        <v>26</v>
      </c>
      <c r="G24" s="1">
        <f>-CapEx!G13</f>
        <v>0</v>
      </c>
      <c r="H24" s="1">
        <f>-CapEx!H13</f>
        <v>0</v>
      </c>
      <c r="I24" s="1">
        <f>-CapEx!I13</f>
        <v>0</v>
      </c>
      <c r="J24" s="1">
        <f>-CapEx!J13</f>
        <v>0</v>
      </c>
      <c r="K24" s="1">
        <f>-CapEx!K13</f>
        <v>0</v>
      </c>
      <c r="L24" s="1">
        <f>-CapEx!L13</f>
        <v>0</v>
      </c>
      <c r="M24" s="1">
        <f>-CapEx!M13</f>
        <v>0</v>
      </c>
      <c r="N24" s="1">
        <f>-CapEx!N13</f>
        <v>0</v>
      </c>
      <c r="O24" s="1">
        <f>-CapEx!O13</f>
        <v>0</v>
      </c>
      <c r="P24" s="1">
        <f>-CapEx!P13</f>
        <v>0</v>
      </c>
      <c r="Q24" s="1">
        <f>-CapEx!Q13</f>
        <v>0</v>
      </c>
      <c r="R24" s="1">
        <f>-CapEx!R13</f>
        <v>0</v>
      </c>
      <c r="S24" s="1">
        <f>-CapEx!S13</f>
        <v>0</v>
      </c>
      <c r="T24" s="1">
        <f>-CapEx!T13</f>
        <v>0</v>
      </c>
      <c r="U24" s="1">
        <f>-CapEx!U13</f>
        <v>0</v>
      </c>
      <c r="V24" s="1">
        <f>-CapEx!V13</f>
        <v>0</v>
      </c>
      <c r="W24" s="1">
        <f>-CapEx!W13</f>
        <v>0</v>
      </c>
      <c r="X24" s="1">
        <f>-CapEx!X13</f>
        <v>0</v>
      </c>
      <c r="Y24" s="1">
        <f>-CapEx!Y13</f>
        <v>0</v>
      </c>
      <c r="Z24" s="1">
        <f>-CapEx!Z13</f>
        <v>0</v>
      </c>
      <c r="AA24" s="1">
        <f>-CapEx!AA13</f>
        <v>0</v>
      </c>
      <c r="AB24" s="1">
        <f>-CapEx!AB13</f>
        <v>0</v>
      </c>
      <c r="AC24" s="1">
        <f>-CapEx!AC13</f>
        <v>0</v>
      </c>
      <c r="AD24" s="1">
        <f>-CapEx!AD13</f>
        <v>0</v>
      </c>
      <c r="AE24" s="1">
        <f>-CapEx!AE13</f>
        <v>0</v>
      </c>
      <c r="AF24" s="1">
        <f>-CapEx!AF13</f>
        <v>0</v>
      </c>
      <c r="AG24" s="1">
        <f>-CapEx!AG13</f>
        <v>0</v>
      </c>
      <c r="AH24" s="1">
        <f>-CapEx!AH13</f>
        <v>0</v>
      </c>
      <c r="AI24" s="1">
        <f>-CapEx!AI13</f>
        <v>0</v>
      </c>
      <c r="AJ24" s="1">
        <f>-CapEx!AJ13</f>
        <v>0</v>
      </c>
      <c r="AK24" s="1">
        <f>-CapEx!AK13</f>
        <v>0</v>
      </c>
      <c r="AL24" s="1">
        <f>-CapEx!AL13</f>
        <v>-6365.6924570898354</v>
      </c>
      <c r="AM24" s="1">
        <f>-CapEx!AM13</f>
        <v>0</v>
      </c>
      <c r="AN24" s="1">
        <f>-CapEx!AN13</f>
        <v>0</v>
      </c>
      <c r="AO24" s="1">
        <f>-CapEx!AO13</f>
        <v>0</v>
      </c>
      <c r="AP24" s="1">
        <f>-CapEx!AP13</f>
        <v>0</v>
      </c>
      <c r="AQ24" s="1">
        <f>-CapEx!AQ13</f>
        <v>0</v>
      </c>
      <c r="AR24" s="1">
        <f>-CapEx!AR13</f>
        <v>0</v>
      </c>
      <c r="AS24" s="1">
        <f>-CapEx!AS13</f>
        <v>0</v>
      </c>
      <c r="AT24" s="1">
        <f>-CapEx!AT13</f>
        <v>0</v>
      </c>
      <c r="AU24" s="1">
        <f>-CapEx!AU13</f>
        <v>0</v>
      </c>
      <c r="AV24" s="1">
        <f>-CapEx!AV13</f>
        <v>0</v>
      </c>
      <c r="AW24" s="1">
        <f>-CapEx!AW13</f>
        <v>0</v>
      </c>
      <c r="AX24" s="1">
        <f>-CapEx!AX13</f>
        <v>0</v>
      </c>
      <c r="AY24" s="1">
        <f>-CapEx!AY13</f>
        <v>0</v>
      </c>
      <c r="AZ24" s="1">
        <f>-CapEx!AZ13</f>
        <v>0</v>
      </c>
      <c r="BA24" s="1">
        <f>-CapEx!BA13</f>
        <v>0</v>
      </c>
      <c r="BB24" s="1">
        <f>-CapEx!BB13</f>
        <v>-7908.612508305514</v>
      </c>
      <c r="BC24" s="1">
        <f>-CapEx!BC13</f>
        <v>0</v>
      </c>
      <c r="BD24" s="1">
        <f>-CapEx!BD13</f>
        <v>0</v>
      </c>
      <c r="BE24" s="1">
        <f>-CapEx!BE13</f>
        <v>0</v>
      </c>
      <c r="BF24" s="1">
        <f>-CapEx!BF13</f>
        <v>0</v>
      </c>
      <c r="BG24" s="1">
        <f>-CapEx!BG13</f>
        <v>0</v>
      </c>
      <c r="BH24" s="1">
        <f>-CapEx!BH13</f>
        <v>0</v>
      </c>
      <c r="BI24" s="1">
        <f>-CapEx!BI13</f>
        <v>0</v>
      </c>
      <c r="BJ24" s="1">
        <f>-CapEx!BJ13</f>
        <v>0</v>
      </c>
      <c r="BK24" t="s">
        <v>102</v>
      </c>
    </row>
    <row r="25" spans="1:63" ht="11.25" customHeight="1" x14ac:dyDescent="0.25">
      <c r="A25" s="12"/>
      <c r="B25" s="12" t="s">
        <v>256</v>
      </c>
      <c r="C25" s="67" t="s">
        <v>1</v>
      </c>
      <c r="D25" s="12"/>
      <c r="E25" s="1">
        <f t="shared" si="4"/>
        <v>18576.007097500711</v>
      </c>
      <c r="F25" s="303" t="s">
        <v>26</v>
      </c>
      <c r="G25" s="1">
        <f>Reserves!G10</f>
        <v>0</v>
      </c>
      <c r="H25" s="1">
        <f>Reserves!H10</f>
        <v>0</v>
      </c>
      <c r="I25" s="1">
        <f>Reserves!I10</f>
        <v>0</v>
      </c>
      <c r="J25" s="1">
        <f>Reserves!J10</f>
        <v>0</v>
      </c>
      <c r="K25" s="1">
        <f>Reserves!K10</f>
        <v>0</v>
      </c>
      <c r="L25" s="1">
        <f>Reserves!L10</f>
        <v>0</v>
      </c>
      <c r="M25" s="1">
        <f>Reserves!M10</f>
        <v>0</v>
      </c>
      <c r="N25" s="1">
        <f>Reserves!N10</f>
        <v>0</v>
      </c>
      <c r="O25" s="1">
        <f>Reserves!O10</f>
        <v>0</v>
      </c>
      <c r="P25" s="1">
        <f>Reserves!P10</f>
        <v>0</v>
      </c>
      <c r="Q25" s="1">
        <f>Reserves!Q10</f>
        <v>0</v>
      </c>
      <c r="R25" s="1">
        <f>Reserves!R10</f>
        <v>0</v>
      </c>
      <c r="S25" s="1">
        <f>Reserves!S10</f>
        <v>0</v>
      </c>
      <c r="T25" s="1">
        <f>Reserves!T10</f>
        <v>0</v>
      </c>
      <c r="U25" s="1">
        <f>Reserves!U10</f>
        <v>0</v>
      </c>
      <c r="V25" s="1">
        <f>Reserves!V10</f>
        <v>0</v>
      </c>
      <c r="W25" s="1">
        <f>Reserves!W10</f>
        <v>0</v>
      </c>
      <c r="X25" s="1">
        <f>Reserves!X10</f>
        <v>0</v>
      </c>
      <c r="Y25" s="1">
        <f>Reserves!Y10</f>
        <v>0</v>
      </c>
      <c r="Z25" s="1">
        <f>Reserves!Z10</f>
        <v>0</v>
      </c>
      <c r="AA25" s="1">
        <f>Reserves!AA10</f>
        <v>0</v>
      </c>
      <c r="AB25" s="1">
        <f>Reserves!AB10</f>
        <v>0</v>
      </c>
      <c r="AC25" s="1">
        <f>Reserves!AC10</f>
        <v>0</v>
      </c>
      <c r="AD25" s="1">
        <f>Reserves!AD10</f>
        <v>0</v>
      </c>
      <c r="AE25" s="1">
        <f>Reserves!AE10</f>
        <v>0</v>
      </c>
      <c r="AF25" s="1">
        <f>Reserves!AF10</f>
        <v>0</v>
      </c>
      <c r="AG25" s="1">
        <f>Reserves!AG10</f>
        <v>0</v>
      </c>
      <c r="AH25" s="1">
        <f>Reserves!AH10</f>
        <v>0</v>
      </c>
      <c r="AI25" s="1">
        <f>Reserves!AI10</f>
        <v>0</v>
      </c>
      <c r="AJ25" s="1">
        <f>Reserves!AJ10</f>
        <v>0</v>
      </c>
      <c r="AK25" s="1">
        <f>Reserves!AK10</f>
        <v>0</v>
      </c>
      <c r="AL25" s="1">
        <f>Reserves!AL10</f>
        <v>0</v>
      </c>
      <c r="AM25" s="1">
        <f>Reserves!AM10</f>
        <v>0</v>
      </c>
      <c r="AN25" s="1">
        <f>Reserves!AN10</f>
        <v>0</v>
      </c>
      <c r="AO25" s="1">
        <f>Reserves!AO10</f>
        <v>0</v>
      </c>
      <c r="AP25" s="1">
        <f>Reserves!AP10</f>
        <v>0</v>
      </c>
      <c r="AQ25" s="1">
        <f>Reserves!AQ10</f>
        <v>0</v>
      </c>
      <c r="AR25" s="1">
        <f>Reserves!AR10</f>
        <v>0</v>
      </c>
      <c r="AS25" s="1">
        <f>Reserves!AS10</f>
        <v>0</v>
      </c>
      <c r="AT25" s="1">
        <f>Reserves!AT10</f>
        <v>0</v>
      </c>
      <c r="AU25" s="1">
        <f>Reserves!AU10</f>
        <v>0</v>
      </c>
      <c r="AV25" s="1">
        <f>Reserves!AV10</f>
        <v>18576.007097500711</v>
      </c>
      <c r="AW25" s="1">
        <f>Reserves!AW10</f>
        <v>0</v>
      </c>
      <c r="AX25" s="1">
        <f>Reserves!AX10</f>
        <v>0</v>
      </c>
      <c r="AY25" s="1">
        <f>Reserves!AY10</f>
        <v>0</v>
      </c>
      <c r="AZ25" s="1">
        <f>Reserves!AZ10</f>
        <v>0</v>
      </c>
      <c r="BA25" s="1">
        <f>Reserves!BA10</f>
        <v>0</v>
      </c>
      <c r="BB25" s="1">
        <f>Reserves!BB10</f>
        <v>0</v>
      </c>
      <c r="BC25" s="1">
        <f>Reserves!BC10</f>
        <v>0</v>
      </c>
      <c r="BD25" s="1">
        <f>Reserves!BD10</f>
        <v>0</v>
      </c>
      <c r="BE25" s="1">
        <f>Reserves!BE10</f>
        <v>0</v>
      </c>
      <c r="BF25" s="1">
        <f>Reserves!BF10</f>
        <v>0</v>
      </c>
      <c r="BG25" s="1">
        <f>Reserves!BG10</f>
        <v>0</v>
      </c>
      <c r="BH25" s="1">
        <f>Reserves!BH10</f>
        <v>0</v>
      </c>
      <c r="BI25" s="1">
        <f>Reserves!BI10</f>
        <v>0</v>
      </c>
      <c r="BJ25" s="1">
        <f>Reserves!BJ10</f>
        <v>0</v>
      </c>
      <c r="BK25" t="s">
        <v>102</v>
      </c>
    </row>
    <row r="26" spans="1:63" ht="11.25" customHeight="1" x14ac:dyDescent="0.25">
      <c r="A26" s="12"/>
      <c r="B26" s="12" t="s">
        <v>419</v>
      </c>
      <c r="C26" s="67" t="s">
        <v>1</v>
      </c>
      <c r="D26" s="12"/>
      <c r="E26" s="1">
        <f t="shared" si="4"/>
        <v>19261.980750325383</v>
      </c>
      <c r="F26" s="303" t="s">
        <v>26</v>
      </c>
      <c r="G26" s="1">
        <f>Reserves!G15</f>
        <v>0</v>
      </c>
      <c r="H26" s="1">
        <f>Reserves!H15</f>
        <v>0</v>
      </c>
      <c r="I26" s="1">
        <f>Reserves!I15</f>
        <v>0</v>
      </c>
      <c r="J26" s="1">
        <f>Reserves!J15</f>
        <v>0</v>
      </c>
      <c r="K26" s="1">
        <f>Reserves!K15</f>
        <v>0</v>
      </c>
      <c r="L26" s="1">
        <f>Reserves!L15</f>
        <v>0</v>
      </c>
      <c r="M26" s="1">
        <f>Reserves!M15</f>
        <v>0</v>
      </c>
      <c r="N26" s="1">
        <f>Reserves!N15</f>
        <v>0</v>
      </c>
      <c r="O26" s="1">
        <f>Reserves!O15</f>
        <v>0</v>
      </c>
      <c r="P26" s="1">
        <f>Reserves!P15</f>
        <v>0</v>
      </c>
      <c r="Q26" s="1">
        <f>Reserves!Q15</f>
        <v>0</v>
      </c>
      <c r="R26" s="1">
        <f>Reserves!R15</f>
        <v>0</v>
      </c>
      <c r="S26" s="1">
        <f>Reserves!S15</f>
        <v>0</v>
      </c>
      <c r="T26" s="1">
        <f>Reserves!T15</f>
        <v>0</v>
      </c>
      <c r="U26" s="1">
        <f>Reserves!U15</f>
        <v>0</v>
      </c>
      <c r="V26" s="1">
        <f>Reserves!V15</f>
        <v>0</v>
      </c>
      <c r="W26" s="1">
        <f>Reserves!W15</f>
        <v>0</v>
      </c>
      <c r="X26" s="1">
        <f>Reserves!X15</f>
        <v>0</v>
      </c>
      <c r="Y26" s="1">
        <f>Reserves!Y15</f>
        <v>0</v>
      </c>
      <c r="Z26" s="1">
        <f>Reserves!Z15</f>
        <v>0</v>
      </c>
      <c r="AA26" s="1">
        <f>Reserves!AA15</f>
        <v>0</v>
      </c>
      <c r="AB26" s="1">
        <f>Reserves!AB15</f>
        <v>0</v>
      </c>
      <c r="AC26" s="1">
        <f>Reserves!AC15</f>
        <v>0</v>
      </c>
      <c r="AD26" s="1">
        <f>Reserves!AD15</f>
        <v>0</v>
      </c>
      <c r="AE26" s="1">
        <f>Reserves!AE15</f>
        <v>0</v>
      </c>
      <c r="AF26" s="1">
        <f>Reserves!AF15</f>
        <v>0</v>
      </c>
      <c r="AG26" s="1">
        <f>Reserves!AG15</f>
        <v>0</v>
      </c>
      <c r="AH26" s="1">
        <f>Reserves!AH15</f>
        <v>0</v>
      </c>
      <c r="AI26" s="1">
        <f>Reserves!AI15</f>
        <v>0</v>
      </c>
      <c r="AJ26" s="1">
        <f>Reserves!AJ15</f>
        <v>0</v>
      </c>
      <c r="AK26" s="1">
        <f>Reserves!AK15</f>
        <v>0</v>
      </c>
      <c r="AL26" s="1">
        <f>Reserves!AL15</f>
        <v>13133.921853004174</v>
      </c>
      <c r="AM26" s="1">
        <f>Reserves!AM15</f>
        <v>0</v>
      </c>
      <c r="AN26" s="1">
        <f>Reserves!AN15</f>
        <v>0</v>
      </c>
      <c r="AO26" s="1">
        <f>Reserves!AO15</f>
        <v>0</v>
      </c>
      <c r="AP26" s="1">
        <f>Reserves!AP15</f>
        <v>0</v>
      </c>
      <c r="AQ26" s="1">
        <f>Reserves!AQ15</f>
        <v>0</v>
      </c>
      <c r="AR26" s="1">
        <f>Reserves!AR15</f>
        <v>0</v>
      </c>
      <c r="AS26" s="1">
        <f>Reserves!AS15</f>
        <v>0</v>
      </c>
      <c r="AT26" s="1">
        <f>Reserves!AT15</f>
        <v>6128.058897321207</v>
      </c>
      <c r="AU26" s="1">
        <f>Reserves!AU15</f>
        <v>0</v>
      </c>
      <c r="AV26" s="1">
        <f>Reserves!AV15</f>
        <v>0</v>
      </c>
      <c r="AW26" s="1">
        <f>Reserves!AW15</f>
        <v>0</v>
      </c>
      <c r="AX26" s="1">
        <f>Reserves!AX15</f>
        <v>0</v>
      </c>
      <c r="AY26" s="1">
        <f>Reserves!AY15</f>
        <v>0</v>
      </c>
      <c r="AZ26" s="1">
        <f>Reserves!AZ15</f>
        <v>0</v>
      </c>
      <c r="BA26" s="1">
        <f>Reserves!BA15</f>
        <v>0</v>
      </c>
      <c r="BB26" s="1">
        <f>Reserves!BB15</f>
        <v>0</v>
      </c>
      <c r="BC26" s="1">
        <f>Reserves!BC15</f>
        <v>0</v>
      </c>
      <c r="BD26" s="1">
        <f>Reserves!BD15</f>
        <v>0</v>
      </c>
      <c r="BE26" s="1">
        <f>Reserves!BE15</f>
        <v>0</v>
      </c>
      <c r="BF26" s="1">
        <f>Reserves!BF15</f>
        <v>0</v>
      </c>
      <c r="BG26" s="1">
        <f>Reserves!BG15</f>
        <v>0</v>
      </c>
      <c r="BH26" s="1">
        <f>Reserves!BH15</f>
        <v>0</v>
      </c>
      <c r="BI26" s="1">
        <f>Reserves!BI15</f>
        <v>0</v>
      </c>
      <c r="BJ26" s="1">
        <f>Reserves!BJ15</f>
        <v>0</v>
      </c>
      <c r="BK26" t="s">
        <v>102</v>
      </c>
    </row>
    <row r="27" spans="1:63" ht="11.25" customHeight="1" x14ac:dyDescent="0.25">
      <c r="A27" s="12"/>
      <c r="B27" s="12" t="s">
        <v>257</v>
      </c>
      <c r="C27" s="67" t="s">
        <v>1</v>
      </c>
      <c r="D27" s="12"/>
      <c r="E27" s="1">
        <f t="shared" si="4"/>
        <v>-178969.32610163782</v>
      </c>
      <c r="F27" s="303" t="s">
        <v>26</v>
      </c>
      <c r="G27" s="1">
        <f>Debt!G18</f>
        <v>0</v>
      </c>
      <c r="H27" s="1">
        <f>Debt!H18</f>
        <v>0</v>
      </c>
      <c r="I27" s="1">
        <f>Debt!I18</f>
        <v>0</v>
      </c>
      <c r="J27" s="1">
        <f>Debt!J18</f>
        <v>0</v>
      </c>
      <c r="K27" s="1">
        <f>Debt!K18</f>
        <v>0</v>
      </c>
      <c r="L27" s="1">
        <f>Debt!L18</f>
        <v>0</v>
      </c>
      <c r="M27" s="1">
        <f>Debt!M18</f>
        <v>0</v>
      </c>
      <c r="N27" s="1">
        <f>Debt!N18</f>
        <v>0</v>
      </c>
      <c r="O27" s="1">
        <f>Debt!O18</f>
        <v>0</v>
      </c>
      <c r="P27" s="1">
        <f>Debt!P18</f>
        <v>0</v>
      </c>
      <c r="Q27" s="1">
        <f>Debt!Q18</f>
        <v>0</v>
      </c>
      <c r="R27" s="1">
        <f>Debt!R18</f>
        <v>0</v>
      </c>
      <c r="S27" s="1">
        <f>Debt!S18</f>
        <v>0</v>
      </c>
      <c r="T27" s="1">
        <f>Debt!T18</f>
        <v>0</v>
      </c>
      <c r="U27" s="1">
        <f>Debt!U18</f>
        <v>0</v>
      </c>
      <c r="V27" s="1">
        <f>Debt!V18</f>
        <v>0</v>
      </c>
      <c r="W27" s="1">
        <f>Debt!W18</f>
        <v>-11608.150906263309</v>
      </c>
      <c r="X27" s="1">
        <f>Debt!X18</f>
        <v>-11327.757306051701</v>
      </c>
      <c r="Y27" s="1">
        <f>Debt!Y18</f>
        <v>-11037.507870792653</v>
      </c>
      <c r="Z27" s="1">
        <f>Debt!Z18</f>
        <v>-10737.05616788425</v>
      </c>
      <c r="AA27" s="1">
        <f>Debt!AA18</f>
        <v>-10426.043587618617</v>
      </c>
      <c r="AB27" s="1">
        <f>Debt!AB18</f>
        <v>-10104.098915156646</v>
      </c>
      <c r="AC27" s="1">
        <f>Debt!AC18</f>
        <v>-9770.8378874576392</v>
      </c>
      <c r="AD27" s="1">
        <f>Debt!AD18</f>
        <v>-9425.8627346350095</v>
      </c>
      <c r="AE27" s="1">
        <f>Debt!AE18</f>
        <v>-9068.7617051906655</v>
      </c>
      <c r="AF27" s="1">
        <f>Debt!AF18</f>
        <v>-8699.1085745613527</v>
      </c>
      <c r="AG27" s="1">
        <f>Debt!AG18</f>
        <v>-8316.4621363904207</v>
      </c>
      <c r="AH27" s="1">
        <f>Debt!AH18</f>
        <v>-7920.3656759177793</v>
      </c>
      <c r="AI27" s="1">
        <f>Debt!AI18</f>
        <v>-7510.3464248595246</v>
      </c>
      <c r="AJ27" s="1">
        <f>Debt!AJ18</f>
        <v>-7085.9149971265724</v>
      </c>
      <c r="AK27" s="1">
        <f>Debt!AK18</f>
        <v>-6646.5648047088071</v>
      </c>
      <c r="AL27" s="1">
        <f>Debt!AL18</f>
        <v>-6191.7714530275571</v>
      </c>
      <c r="AM27" s="1">
        <f>Debt!AM18</f>
        <v>-5720.9921150347109</v>
      </c>
      <c r="AN27" s="1">
        <f>Debt!AN18</f>
        <v>-5233.6648833114168</v>
      </c>
      <c r="AO27" s="1">
        <f>Debt!AO18</f>
        <v>-4729.2080993930485</v>
      </c>
      <c r="AP27" s="1">
        <f>Debt!AP18</f>
        <v>-4207.0196595199495</v>
      </c>
      <c r="AQ27" s="1">
        <f>Debt!AQ18</f>
        <v>-3666.4762959853115</v>
      </c>
      <c r="AR27" s="1">
        <f>Debt!AR18</f>
        <v>-3106.9328332224309</v>
      </c>
      <c r="AS27" s="1">
        <f>Debt!AS18</f>
        <v>-2527.7214177434344</v>
      </c>
      <c r="AT27" s="1">
        <f>Debt!AT18</f>
        <v>-1928.1507210103518</v>
      </c>
      <c r="AU27" s="1">
        <f>Debt!AU18</f>
        <v>-1307.5051142871014</v>
      </c>
      <c r="AV27" s="1">
        <f>Debt!AV18</f>
        <v>-665.04381448752849</v>
      </c>
      <c r="AW27" s="1">
        <f>Debt!AW18</f>
        <v>0</v>
      </c>
      <c r="AX27" s="1">
        <f>Debt!AX18</f>
        <v>0</v>
      </c>
      <c r="AY27" s="1">
        <f>Debt!AY18</f>
        <v>0</v>
      </c>
      <c r="AZ27" s="1">
        <f>Debt!AZ18</f>
        <v>0</v>
      </c>
      <c r="BA27" s="1">
        <f>Debt!BA18</f>
        <v>0</v>
      </c>
      <c r="BB27" s="1">
        <f>Debt!BB18</f>
        <v>0</v>
      </c>
      <c r="BC27" s="1">
        <f>Debt!BC18</f>
        <v>0</v>
      </c>
      <c r="BD27" s="1">
        <f>Debt!BD18</f>
        <v>0</v>
      </c>
      <c r="BE27" s="1">
        <f>Debt!BE18</f>
        <v>0</v>
      </c>
      <c r="BF27" s="1">
        <f>Debt!BF18</f>
        <v>0</v>
      </c>
      <c r="BG27" s="1">
        <f>Debt!BG18</f>
        <v>0</v>
      </c>
      <c r="BH27" s="1">
        <f>Debt!BH18</f>
        <v>0</v>
      </c>
      <c r="BI27" s="1">
        <f>Debt!BI18</f>
        <v>0</v>
      </c>
      <c r="BJ27" s="1">
        <f>Debt!BJ18</f>
        <v>0</v>
      </c>
      <c r="BK27" t="s">
        <v>102</v>
      </c>
    </row>
    <row r="28" spans="1:63" ht="11.25" customHeight="1" x14ac:dyDescent="0.25">
      <c r="A28" s="12"/>
      <c r="B28" s="12" t="s">
        <v>258</v>
      </c>
      <c r="C28" s="67" t="s">
        <v>1</v>
      </c>
      <c r="D28" s="12"/>
      <c r="E28" s="1">
        <f t="shared" si="4"/>
        <v>-330246.11397619656</v>
      </c>
      <c r="F28" s="303" t="s">
        <v>26</v>
      </c>
      <c r="G28" s="1">
        <f>Debt!G16</f>
        <v>0</v>
      </c>
      <c r="H28" s="1">
        <f>Debt!H16</f>
        <v>0</v>
      </c>
      <c r="I28" s="1">
        <f>Debt!I16</f>
        <v>0</v>
      </c>
      <c r="J28" s="1">
        <f>Debt!J16</f>
        <v>0</v>
      </c>
      <c r="K28" s="1">
        <f>Debt!K16</f>
        <v>0</v>
      </c>
      <c r="L28" s="1">
        <f>Debt!L16</f>
        <v>0</v>
      </c>
      <c r="M28" s="1">
        <f>Debt!M16</f>
        <v>0</v>
      </c>
      <c r="N28" s="1">
        <f>Debt!N16</f>
        <v>0</v>
      </c>
      <c r="O28" s="1">
        <f>Debt!O16</f>
        <v>0</v>
      </c>
      <c r="P28" s="1">
        <f>Debt!P16</f>
        <v>0</v>
      </c>
      <c r="Q28" s="1">
        <f>Debt!Q16</f>
        <v>0</v>
      </c>
      <c r="R28" s="1">
        <f>Debt!R16</f>
        <v>0</v>
      </c>
      <c r="S28" s="1">
        <f>Debt!S16</f>
        <v>0</v>
      </c>
      <c r="T28" s="1">
        <f>Debt!T16</f>
        <v>0</v>
      </c>
      <c r="U28" s="1">
        <f>Debt!U16</f>
        <v>0</v>
      </c>
      <c r="V28" s="1">
        <f>Debt!V16</f>
        <v>0</v>
      </c>
      <c r="W28" s="1">
        <f>Debt!W16</f>
        <v>-7977.0583274995479</v>
      </c>
      <c r="X28" s="1">
        <f>Debt!X16</f>
        <v>-8257.4519277111558</v>
      </c>
      <c r="Y28" s="1">
        <f>Debt!Y16</f>
        <v>-8547.7013629702033</v>
      </c>
      <c r="Z28" s="1">
        <f>Debt!Z16</f>
        <v>-8848.1530658786069</v>
      </c>
      <c r="AA28" s="1">
        <f>Debt!AA16</f>
        <v>-9159.1656461442399</v>
      </c>
      <c r="AB28" s="1">
        <f>Debt!AB16</f>
        <v>-9481.1103186062101</v>
      </c>
      <c r="AC28" s="1">
        <f>Debt!AC16</f>
        <v>-9814.3713463052172</v>
      </c>
      <c r="AD28" s="1">
        <f>Debt!AD16</f>
        <v>-10159.346499127849</v>
      </c>
      <c r="AE28" s="1">
        <f>Debt!AE16</f>
        <v>-10516.447528572191</v>
      </c>
      <c r="AF28" s="1">
        <f>Debt!AF16</f>
        <v>-10886.100659201504</v>
      </c>
      <c r="AG28" s="1">
        <f>Debt!AG16</f>
        <v>-11268.747097372438</v>
      </c>
      <c r="AH28" s="1">
        <f>Debt!AH16</f>
        <v>-11664.843557845079</v>
      </c>
      <c r="AI28" s="1">
        <f>Debt!AI16</f>
        <v>-12074.862808903334</v>
      </c>
      <c r="AJ28" s="1">
        <f>Debt!AJ16</f>
        <v>-12499.294236636286</v>
      </c>
      <c r="AK28" s="1">
        <f>Debt!AK16</f>
        <v>-12938.644429054048</v>
      </c>
      <c r="AL28" s="1">
        <f>Debt!AL16</f>
        <v>-13393.437780735303</v>
      </c>
      <c r="AM28" s="1">
        <f>Debt!AM16</f>
        <v>-13864.217118728147</v>
      </c>
      <c r="AN28" s="1">
        <f>Debt!AN16</f>
        <v>-14351.544350451441</v>
      </c>
      <c r="AO28" s="1">
        <f>Debt!AO16</f>
        <v>-14856.00113436981</v>
      </c>
      <c r="AP28" s="1">
        <f>Debt!AP16</f>
        <v>-15378.189574242906</v>
      </c>
      <c r="AQ28" s="1">
        <f>Debt!AQ16</f>
        <v>-15918.73293777755</v>
      </c>
      <c r="AR28" s="1">
        <f>Debt!AR16</f>
        <v>-16478.276400540428</v>
      </c>
      <c r="AS28" s="1">
        <f>Debt!AS16</f>
        <v>-17057.487816019424</v>
      </c>
      <c r="AT28" s="1">
        <f>Debt!AT16</f>
        <v>-17657.058512752505</v>
      </c>
      <c r="AU28" s="1">
        <f>Debt!AU16</f>
        <v>-18277.704119475755</v>
      </c>
      <c r="AV28" s="1">
        <f>Debt!AV16</f>
        <v>-18920.165419275327</v>
      </c>
      <c r="AW28" s="1">
        <f>Debt!AW16</f>
        <v>0</v>
      </c>
      <c r="AX28" s="1">
        <f>Debt!AX16</f>
        <v>0</v>
      </c>
      <c r="AY28" s="1">
        <f>Debt!AY16</f>
        <v>0</v>
      </c>
      <c r="AZ28" s="1">
        <f>Debt!AZ16</f>
        <v>0</v>
      </c>
      <c r="BA28" s="1">
        <f>Debt!BA16</f>
        <v>0</v>
      </c>
      <c r="BB28" s="1">
        <f>Debt!BB16</f>
        <v>0</v>
      </c>
      <c r="BC28" s="1">
        <f>Debt!BC16</f>
        <v>0</v>
      </c>
      <c r="BD28" s="1">
        <f>Debt!BD16</f>
        <v>0</v>
      </c>
      <c r="BE28" s="1">
        <f>Debt!BE16</f>
        <v>0</v>
      </c>
      <c r="BF28" s="1">
        <f>Debt!BF16</f>
        <v>0</v>
      </c>
      <c r="BG28" s="1">
        <f>Debt!BG16</f>
        <v>0</v>
      </c>
      <c r="BH28" s="1">
        <f>Debt!BH16</f>
        <v>0</v>
      </c>
      <c r="BI28" s="1">
        <f>Debt!BI16</f>
        <v>0</v>
      </c>
      <c r="BJ28" s="1">
        <f>Debt!BJ16</f>
        <v>0</v>
      </c>
      <c r="BK28" t="s">
        <v>102</v>
      </c>
    </row>
    <row r="29" spans="1:63" ht="11.25" customHeight="1" x14ac:dyDescent="0.25">
      <c r="A29" s="12"/>
      <c r="B29" s="12" t="s">
        <v>246</v>
      </c>
      <c r="C29" s="67" t="s">
        <v>1</v>
      </c>
      <c r="D29" s="12"/>
      <c r="E29" s="1">
        <f t="shared" si="4"/>
        <v>-182866.812871854</v>
      </c>
      <c r="F29" s="303" t="s">
        <v>26</v>
      </c>
      <c r="G29" s="1">
        <f>-Tax!G14</f>
        <v>0</v>
      </c>
      <c r="H29" s="1">
        <f>-Tax!H14</f>
        <v>0</v>
      </c>
      <c r="I29" s="1">
        <f>-Tax!I14</f>
        <v>0</v>
      </c>
      <c r="J29" s="1">
        <f>-Tax!J14</f>
        <v>0</v>
      </c>
      <c r="K29" s="1">
        <f>-Tax!K14</f>
        <v>0</v>
      </c>
      <c r="L29" s="1">
        <f>-Tax!L14</f>
        <v>0</v>
      </c>
      <c r="M29" s="1">
        <f>-Tax!M14</f>
        <v>0</v>
      </c>
      <c r="N29" s="1">
        <f>-Tax!N14</f>
        <v>0</v>
      </c>
      <c r="O29" s="1">
        <f>-Tax!O14</f>
        <v>0</v>
      </c>
      <c r="P29" s="1">
        <f>-Tax!P14</f>
        <v>0</v>
      </c>
      <c r="Q29" s="1">
        <f>-Tax!Q14</f>
        <v>0</v>
      </c>
      <c r="R29" s="1">
        <f>-Tax!R14</f>
        <v>0</v>
      </c>
      <c r="S29" s="1">
        <f>-Tax!S14</f>
        <v>0</v>
      </c>
      <c r="T29" s="1">
        <f>-Tax!T14</f>
        <v>0</v>
      </c>
      <c r="U29" s="1">
        <f>-Tax!U14</f>
        <v>0</v>
      </c>
      <c r="V29" s="1">
        <f>-Tax!V14</f>
        <v>0</v>
      </c>
      <c r="W29" s="1">
        <f>-Tax!W14</f>
        <v>-4404.7111782174261</v>
      </c>
      <c r="X29" s="1">
        <f>-Tax!X14</f>
        <v>-4698.5083130223866</v>
      </c>
      <c r="Y29" s="1">
        <f>-Tax!Y14</f>
        <v>-4581.7410284318375</v>
      </c>
      <c r="Z29" s="1">
        <f>-Tax!Z14</f>
        <v>-4960.2150177630647</v>
      </c>
      <c r="AA29" s="1">
        <f>-Tax!AA14</f>
        <v>-4845.8116295753316</v>
      </c>
      <c r="AB29" s="1">
        <f>-Tax!AB14</f>
        <v>-5231.1528602856251</v>
      </c>
      <c r="AC29" s="1">
        <f>-Tax!AC14</f>
        <v>-5122.4020472723023</v>
      </c>
      <c r="AD29" s="1">
        <f>-Tax!AD14</f>
        <v>-1310.8633913504086</v>
      </c>
      <c r="AE29" s="1">
        <f>-Tax!AE14</f>
        <v>-5892.2970808815826</v>
      </c>
      <c r="AF29" s="1">
        <f>-Tax!AF14</f>
        <v>-6011.3413163746372</v>
      </c>
      <c r="AG29" s="1">
        <f>-Tax!AG14</f>
        <v>-5908.366845933886</v>
      </c>
      <c r="AH29" s="1">
        <f>-Tax!AH14</f>
        <v>-6123.7658465784971</v>
      </c>
      <c r="AI29" s="1">
        <f>-Tax!AI14</f>
        <v>-6026.4795090599</v>
      </c>
      <c r="AJ29" s="1">
        <f>-Tax!AJ14</f>
        <v>-6489.2497912986164</v>
      </c>
      <c r="AK29" s="1">
        <f>-Tax!AK14</f>
        <v>-2164.6761599778347</v>
      </c>
      <c r="AL29" s="1">
        <f>-Tax!AL14</f>
        <v>788.63695812952892</v>
      </c>
      <c r="AM29" s="1">
        <f>-Tax!AM14</f>
        <v>-4087.5012124441937</v>
      </c>
      <c r="AN29" s="1">
        <f>-Tax!AN14</f>
        <v>-4376.9476681257156</v>
      </c>
      <c r="AO29" s="1">
        <f>-Tax!AO14</f>
        <v>-4448.4739777726463</v>
      </c>
      <c r="AP29" s="1">
        <f>-Tax!AP14</f>
        <v>-4585.7013055486186</v>
      </c>
      <c r="AQ29" s="1">
        <f>-Tax!AQ14</f>
        <v>-4654.9653998542462</v>
      </c>
      <c r="AR29" s="1">
        <f>-Tax!AR14</f>
        <v>-4783.4142238221275</v>
      </c>
      <c r="AS29" s="1">
        <f>-Tax!AS14</f>
        <v>-4860.503247116967</v>
      </c>
      <c r="AT29" s="1">
        <f>-Tax!AT14</f>
        <v>-164.66667215520556</v>
      </c>
      <c r="AU29" s="1">
        <f>-Tax!AU14</f>
        <v>-5564.84836320063</v>
      </c>
      <c r="AV29" s="1">
        <f>-Tax!AV14</f>
        <v>-5818.1207743040486</v>
      </c>
      <c r="AW29" s="1">
        <f>-Tax!AW14</f>
        <v>-5886.4632965630062</v>
      </c>
      <c r="AX29" s="1">
        <f>-Tax!AX14</f>
        <v>-5809.9249634461103</v>
      </c>
      <c r="AY29" s="1">
        <f>-Tax!AY14</f>
        <v>-5731.5211170088969</v>
      </c>
      <c r="AZ29" s="1">
        <f>-Tax!AZ14</f>
        <v>-5651.2258324739541</v>
      </c>
      <c r="BA29" s="1">
        <f>-Tax!BA14</f>
        <v>-5569.0128591888006</v>
      </c>
      <c r="BB29" s="1">
        <f>-Tax!BB14</f>
        <v>-43.695786908008813</v>
      </c>
      <c r="BC29" s="1">
        <f>-Tax!BC14</f>
        <v>-5774.2948198639151</v>
      </c>
      <c r="BD29" s="1">
        <f>-Tax!BD14</f>
        <v>-5685.9756019507895</v>
      </c>
      <c r="BE29" s="1">
        <f>-Tax!BE14</f>
        <v>-5595.5922664180707</v>
      </c>
      <c r="BF29" s="1">
        <f>-Tax!BF14</f>
        <v>-5503.116257057407</v>
      </c>
      <c r="BG29" s="1">
        <f>-Tax!BG14</f>
        <v>-5408.5186601917067</v>
      </c>
      <c r="BH29" s="1">
        <f>-Tax!BH14</f>
        <v>-5311.7702004678449</v>
      </c>
      <c r="BI29" s="1">
        <f>-Tax!BI14</f>
        <v>-5212.8412366002285</v>
      </c>
      <c r="BJ29" s="1">
        <f>-Tax!BJ14</f>
        <v>645.22792852293242</v>
      </c>
      <c r="BK29" t="s">
        <v>102</v>
      </c>
    </row>
    <row r="30" spans="1:63" ht="11.25" customHeight="1" x14ac:dyDescent="0.25">
      <c r="A30" s="12"/>
      <c r="B30" s="12" t="s">
        <v>259</v>
      </c>
      <c r="C30" s="67" t="s">
        <v>1</v>
      </c>
      <c r="D30" s="12"/>
      <c r="E30" s="1">
        <f t="shared" si="4"/>
        <v>-18252.778614063238</v>
      </c>
      <c r="F30" s="303" t="s">
        <v>26</v>
      </c>
      <c r="G30" s="1">
        <f>-Reserves!G23</f>
        <v>0</v>
      </c>
      <c r="H30" s="1">
        <f>-Reserves!H23</f>
        <v>0</v>
      </c>
      <c r="I30" s="1">
        <f>-Reserves!I23</f>
        <v>0</v>
      </c>
      <c r="J30" s="1">
        <f>-Reserves!J23</f>
        <v>0</v>
      </c>
      <c r="K30" s="1">
        <f>-Reserves!K23</f>
        <v>0</v>
      </c>
      <c r="L30" s="1">
        <f>-Reserves!L23</f>
        <v>0</v>
      </c>
      <c r="M30" s="1">
        <f>-Reserves!M23</f>
        <v>0</v>
      </c>
      <c r="N30" s="1">
        <f>-Reserves!N23</f>
        <v>0</v>
      </c>
      <c r="O30" s="1">
        <f>-Reserves!O23</f>
        <v>0</v>
      </c>
      <c r="P30" s="1">
        <f>-Reserves!P23</f>
        <v>0</v>
      </c>
      <c r="Q30" s="1">
        <f>-Reserves!Q23</f>
        <v>0</v>
      </c>
      <c r="R30" s="1">
        <f>-Reserves!R23</f>
        <v>0</v>
      </c>
      <c r="S30" s="1">
        <f>-Reserves!S23</f>
        <v>0</v>
      </c>
      <c r="T30" s="1">
        <f>-Reserves!T23</f>
        <v>0</v>
      </c>
      <c r="U30" s="1">
        <f>-Reserves!U23</f>
        <v>0</v>
      </c>
      <c r="V30" s="1">
        <f>-Reserves!V23</f>
        <v>0</v>
      </c>
      <c r="W30" s="1">
        <f>-Reserves!W23</f>
        <v>0</v>
      </c>
      <c r="X30" s="1">
        <f>-Reserves!X23</f>
        <v>0</v>
      </c>
      <c r="Y30" s="1">
        <f>-Reserves!Y23</f>
        <v>0</v>
      </c>
      <c r="Z30" s="1">
        <f>-Reserves!Z23</f>
        <v>0</v>
      </c>
      <c r="AA30" s="1">
        <f>-Reserves!AA23</f>
        <v>0</v>
      </c>
      <c r="AB30" s="1">
        <f>-Reserves!AB23</f>
        <v>0</v>
      </c>
      <c r="AC30" s="1">
        <f>-Reserves!AC23</f>
        <v>0</v>
      </c>
      <c r="AD30" s="1">
        <f>-Reserves!AD23</f>
        <v>0</v>
      </c>
      <c r="AE30" s="1">
        <f>-Reserves!AE23</f>
        <v>0</v>
      </c>
      <c r="AF30" s="1">
        <f>-Reserves!AF23</f>
        <v>0</v>
      </c>
      <c r="AG30" s="1">
        <f>-Reserves!AG23</f>
        <v>0</v>
      </c>
      <c r="AH30" s="1">
        <f>-Reserves!AH23</f>
        <v>0</v>
      </c>
      <c r="AI30" s="1">
        <f>-Reserves!AI23</f>
        <v>0</v>
      </c>
      <c r="AJ30" s="1">
        <f>-Reserves!AJ23</f>
        <v>0</v>
      </c>
      <c r="AK30" s="1">
        <f>-Reserves!AK23</f>
        <v>0</v>
      </c>
      <c r="AL30" s="1">
        <f>-Reserves!AL23</f>
        <v>0</v>
      </c>
      <c r="AM30" s="1">
        <f>-Reserves!AM23</f>
        <v>-5275.2460203998817</v>
      </c>
      <c r="AN30" s="1">
        <f>-Reserves!AN23</f>
        <v>-7642.748159831408</v>
      </c>
      <c r="AO30" s="1">
        <f>-Reserves!AO23</f>
        <v>-215.92767277288658</v>
      </c>
      <c r="AP30" s="1">
        <f>-Reserves!AP23</f>
        <v>0</v>
      </c>
      <c r="AQ30" s="1">
        <f>-Reserves!AQ23</f>
        <v>0</v>
      </c>
      <c r="AR30" s="1">
        <f>-Reserves!AR23</f>
        <v>0</v>
      </c>
      <c r="AS30" s="1">
        <f>-Reserves!AS23</f>
        <v>0</v>
      </c>
      <c r="AT30" s="1">
        <f>-Reserves!AT23</f>
        <v>0</v>
      </c>
      <c r="AU30" s="1">
        <f>-Reserves!AU23</f>
        <v>-5118.8567610590617</v>
      </c>
      <c r="AV30" s="1">
        <f>-Reserves!AV23</f>
        <v>0</v>
      </c>
      <c r="AW30" s="1">
        <f>-Reserves!AW23</f>
        <v>0</v>
      </c>
      <c r="AX30" s="1">
        <f>-Reserves!AX23</f>
        <v>0</v>
      </c>
      <c r="AY30" s="1">
        <f>-Reserves!AY23</f>
        <v>0</v>
      </c>
      <c r="AZ30" s="1">
        <f>-Reserves!AZ23</f>
        <v>0</v>
      </c>
      <c r="BA30" s="1">
        <f>-Reserves!BA23</f>
        <v>0</v>
      </c>
      <c r="BB30" s="1">
        <f>-Reserves!BB23</f>
        <v>0</v>
      </c>
      <c r="BC30" s="1">
        <f>-Reserves!BC23</f>
        <v>0</v>
      </c>
      <c r="BD30" s="1">
        <f>-Reserves!BD23</f>
        <v>0</v>
      </c>
      <c r="BE30" s="1">
        <f>-Reserves!BE23</f>
        <v>0</v>
      </c>
      <c r="BF30" s="1">
        <f>-Reserves!BF23</f>
        <v>0</v>
      </c>
      <c r="BG30" s="1">
        <f>-Reserves!BG23</f>
        <v>0</v>
      </c>
      <c r="BH30" s="1">
        <f>-Reserves!BH23</f>
        <v>0</v>
      </c>
      <c r="BI30" s="1">
        <f>-Reserves!BI23</f>
        <v>0</v>
      </c>
      <c r="BJ30" s="1">
        <f>-Reserves!BJ23</f>
        <v>0</v>
      </c>
      <c r="BK30" t="s">
        <v>102</v>
      </c>
    </row>
    <row r="31" spans="1:63" ht="11.25" customHeight="1" x14ac:dyDescent="0.25">
      <c r="A31" s="12" t="s">
        <v>26</v>
      </c>
      <c r="B31" s="228" t="s">
        <v>260</v>
      </c>
      <c r="C31" s="236" t="s">
        <v>1</v>
      </c>
      <c r="D31" s="228"/>
      <c r="E31" s="230">
        <f t="shared" si="4"/>
        <v>583543.30021945189</v>
      </c>
      <c r="F31" s="312" t="s">
        <v>26</v>
      </c>
      <c r="G31" s="230">
        <f>SUM(G19,G21:G30)</f>
        <v>0</v>
      </c>
      <c r="H31" s="230">
        <f t="shared" ref="H31:BJ31" si="5">SUM(H19,H21:H30)</f>
        <v>0</v>
      </c>
      <c r="I31" s="230">
        <f t="shared" si="5"/>
        <v>0</v>
      </c>
      <c r="J31" s="230">
        <f t="shared" si="5"/>
        <v>0</v>
      </c>
      <c r="K31" s="230">
        <f t="shared" si="5"/>
        <v>0</v>
      </c>
      <c r="L31" s="230">
        <f t="shared" si="5"/>
        <v>0</v>
      </c>
      <c r="M31" s="230">
        <f t="shared" si="5"/>
        <v>0</v>
      </c>
      <c r="N31" s="230">
        <f t="shared" si="5"/>
        <v>0</v>
      </c>
      <c r="O31" s="230">
        <f t="shared" si="5"/>
        <v>0</v>
      </c>
      <c r="P31" s="230">
        <f t="shared" si="5"/>
        <v>0</v>
      </c>
      <c r="Q31" s="230">
        <f t="shared" si="5"/>
        <v>0</v>
      </c>
      <c r="R31" s="230">
        <f t="shared" si="5"/>
        <v>0</v>
      </c>
      <c r="S31" s="230">
        <f t="shared" si="5"/>
        <v>0</v>
      </c>
      <c r="T31" s="230">
        <f t="shared" si="5"/>
        <v>0</v>
      </c>
      <c r="U31" s="230">
        <f t="shared" si="5"/>
        <v>0</v>
      </c>
      <c r="V31" s="230">
        <f t="shared" si="5"/>
        <v>0</v>
      </c>
      <c r="W31" s="230">
        <f t="shared" si="5"/>
        <v>14089.008650181408</v>
      </c>
      <c r="X31" s="230">
        <f t="shared" si="5"/>
        <v>14050.802078582281</v>
      </c>
      <c r="Y31" s="230">
        <f t="shared" si="5"/>
        <v>14600.304552956573</v>
      </c>
      <c r="Z31" s="230">
        <f t="shared" si="5"/>
        <v>14247.125004549383</v>
      </c>
      <c r="AA31" s="230">
        <f t="shared" si="5"/>
        <v>14677.263969122065</v>
      </c>
      <c r="AB31" s="230">
        <f t="shared" si="5"/>
        <v>14311.089279884132</v>
      </c>
      <c r="AC31" s="230">
        <f t="shared" si="5"/>
        <v>14965.849687365797</v>
      </c>
      <c r="AD31" s="230">
        <f t="shared" si="5"/>
        <v>3524.0643862815909</v>
      </c>
      <c r="AE31" s="230">
        <f t="shared" si="5"/>
        <v>14129.925466660605</v>
      </c>
      <c r="AF31" s="230">
        <f t="shared" si="5"/>
        <v>15601.887583625961</v>
      </c>
      <c r="AG31" s="230">
        <f t="shared" si="5"/>
        <v>15891.379516959036</v>
      </c>
      <c r="AH31" s="230">
        <f t="shared" si="5"/>
        <v>15157.413213755661</v>
      </c>
      <c r="AI31" s="230">
        <f t="shared" si="5"/>
        <v>15324.15913703098</v>
      </c>
      <c r="AJ31" s="230">
        <f t="shared" si="5"/>
        <v>14982.79488817333</v>
      </c>
      <c r="AK31" s="230">
        <f t="shared" si="5"/>
        <v>1844.7440654404018</v>
      </c>
      <c r="AL31" s="230">
        <f t="shared" si="5"/>
        <v>-4.5474735088646412E-13</v>
      </c>
      <c r="AM31" s="230">
        <f t="shared" si="5"/>
        <v>0</v>
      </c>
      <c r="AN31" s="230">
        <f t="shared" si="5"/>
        <v>0</v>
      </c>
      <c r="AO31" s="230">
        <f t="shared" si="5"/>
        <v>8112.1458142219053</v>
      </c>
      <c r="AP31" s="230">
        <f t="shared" si="5"/>
        <v>7586.7847230429143</v>
      </c>
      <c r="AQ31" s="230">
        <f t="shared" si="5"/>
        <v>7746.0585250775575</v>
      </c>
      <c r="AR31" s="230">
        <f t="shared" si="5"/>
        <v>6963.7631836572809</v>
      </c>
      <c r="AS31" s="230">
        <f t="shared" si="5"/>
        <v>7365.6786074896354</v>
      </c>
      <c r="AT31" s="230">
        <f t="shared" si="5"/>
        <v>9.0949470177292824E-13</v>
      </c>
      <c r="AU31" s="230">
        <f t="shared" si="5"/>
        <v>0</v>
      </c>
      <c r="AV31" s="230">
        <f t="shared" si="5"/>
        <v>25455.16095218245</v>
      </c>
      <c r="AW31" s="230">
        <f t="shared" si="5"/>
        <v>26885.02494470185</v>
      </c>
      <c r="AX31" s="230">
        <f t="shared" si="5"/>
        <v>25922.648668528891</v>
      </c>
      <c r="AY31" s="230">
        <f t="shared" si="5"/>
        <v>26274.439259897299</v>
      </c>
      <c r="AZ31" s="230">
        <f t="shared" si="5"/>
        <v>25296.472771050685</v>
      </c>
      <c r="BA31" s="230">
        <f t="shared" si="5"/>
        <v>25939.257183672868</v>
      </c>
      <c r="BB31" s="230">
        <f t="shared" si="5"/>
        <v>3516.0046308037272</v>
      </c>
      <c r="BC31" s="230">
        <f t="shared" si="5"/>
        <v>23994.746025743094</v>
      </c>
      <c r="BD31" s="230">
        <f t="shared" si="5"/>
        <v>26165.511768410848</v>
      </c>
      <c r="BE31" s="230">
        <f t="shared" si="5"/>
        <v>26831.942891849489</v>
      </c>
      <c r="BF31" s="230">
        <f t="shared" si="5"/>
        <v>25774.647717040214</v>
      </c>
      <c r="BG31" s="230">
        <f t="shared" si="5"/>
        <v>26115.610020196691</v>
      </c>
      <c r="BH31" s="230">
        <f t="shared" si="5"/>
        <v>25041.21111705053</v>
      </c>
      <c r="BI31" s="230">
        <f t="shared" si="5"/>
        <v>25690.699509440223</v>
      </c>
      <c r="BJ31" s="230">
        <f t="shared" si="5"/>
        <v>9467.6804248245517</v>
      </c>
      <c r="BK31" t="s">
        <v>102</v>
      </c>
    </row>
    <row r="32" spans="1:63" ht="11.25" customHeight="1" x14ac:dyDescent="0.25">
      <c r="A32" s="12"/>
      <c r="B32" s="12"/>
      <c r="C32" s="12"/>
      <c r="D32" s="12"/>
      <c r="E32" s="12"/>
      <c r="F32" s="80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</row>
    <row r="34" spans="23:43" ht="11.25" customHeight="1" x14ac:dyDescent="0.25"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</row>
  </sheetData>
  <pageMargins left="0.7" right="0.7" top="0.75" bottom="0.75" header="0.3" footer="0.3"/>
  <pageSetup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>
    <tabColor theme="1" tint="0.499984740745262"/>
  </sheetPr>
  <dimension ref="A1:BK33"/>
  <sheetViews>
    <sheetView topLeftCell="B1" zoomScale="130" zoomScaleNormal="130" workbookViewId="0">
      <selection activeCell="G32" sqref="G32"/>
    </sheetView>
  </sheetViews>
  <sheetFormatPr defaultColWidth="8.7109375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style="305" customWidth="1"/>
    <col min="7" max="62" width="8.7109375" customWidth="1"/>
  </cols>
  <sheetData>
    <row r="1" spans="1:63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63" ht="11.25" customHeight="1" x14ac:dyDescent="0.25">
      <c r="A2" s="200" t="s">
        <v>261</v>
      </c>
      <c r="B2" s="201"/>
      <c r="C2" s="202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63" ht="11.25" customHeight="1" x14ac:dyDescent="0.25">
      <c r="A3" s="200"/>
      <c r="B3" s="201"/>
      <c r="C3" s="202"/>
      <c r="D3" s="200"/>
      <c r="E3" s="203" t="s">
        <v>403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63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80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t="s">
        <v>102</v>
      </c>
    </row>
    <row r="5" spans="1:63" ht="11.25" customHeight="1" x14ac:dyDescent="0.25">
      <c r="A5" s="12"/>
      <c r="B5" s="12"/>
      <c r="C5" s="12"/>
      <c r="D5" s="12"/>
      <c r="E5" s="12"/>
      <c r="F5" s="80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t="s">
        <v>102</v>
      </c>
    </row>
    <row r="6" spans="1:63" ht="11.25" customHeight="1" x14ac:dyDescent="0.25">
      <c r="A6" s="12" t="s">
        <v>26</v>
      </c>
      <c r="B6" s="17" t="s">
        <v>207</v>
      </c>
      <c r="C6" s="12"/>
      <c r="D6" s="12"/>
      <c r="E6" s="12"/>
      <c r="F6" s="80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t="s">
        <v>102</v>
      </c>
    </row>
    <row r="7" spans="1:63" ht="11.25" customHeight="1" x14ac:dyDescent="0.25">
      <c r="A7" s="12"/>
      <c r="B7" s="12" t="s">
        <v>195</v>
      </c>
      <c r="C7" s="33" t="s">
        <v>1</v>
      </c>
      <c r="D7" s="12"/>
      <c r="E7" s="1">
        <f>SUM(G7:BJ7)</f>
        <v>4225852.0593254259</v>
      </c>
      <c r="F7" s="80" t="s">
        <v>26</v>
      </c>
      <c r="G7" s="1">
        <f>Revenues!G33</f>
        <v>0</v>
      </c>
      <c r="H7" s="1">
        <f>Revenues!H33</f>
        <v>0</v>
      </c>
      <c r="I7" s="1">
        <f>Revenues!I33</f>
        <v>0</v>
      </c>
      <c r="J7" s="1">
        <f>Revenues!J33</f>
        <v>0</v>
      </c>
      <c r="K7" s="1">
        <f>Revenues!K33</f>
        <v>0</v>
      </c>
      <c r="L7" s="1">
        <f>Revenues!L33</f>
        <v>0</v>
      </c>
      <c r="M7" s="1">
        <f>Revenues!M33</f>
        <v>0</v>
      </c>
      <c r="N7" s="1">
        <f>Revenues!N33</f>
        <v>0</v>
      </c>
      <c r="O7" s="1">
        <f>Revenues!O33</f>
        <v>0</v>
      </c>
      <c r="P7" s="1">
        <f>Revenues!P33</f>
        <v>0</v>
      </c>
      <c r="Q7" s="1">
        <f>Revenues!Q33</f>
        <v>0</v>
      </c>
      <c r="R7" s="1">
        <f>Revenues!R33</f>
        <v>0</v>
      </c>
      <c r="S7" s="1">
        <f>Revenues!S33</f>
        <v>0</v>
      </c>
      <c r="T7" s="1">
        <f>Revenues!T33</f>
        <v>0</v>
      </c>
      <c r="U7" s="1">
        <f>Revenues!U33</f>
        <v>0</v>
      </c>
      <c r="V7" s="1">
        <f>Revenues!V33</f>
        <v>0</v>
      </c>
      <c r="W7" s="1">
        <f>Revenues!W33</f>
        <v>64048.323387617595</v>
      </c>
      <c r="X7" s="1">
        <f>Revenues!X33</f>
        <v>64804.362648154536</v>
      </c>
      <c r="Y7" s="1">
        <f>Revenues!Y33</f>
        <v>64285.927746969312</v>
      </c>
      <c r="Z7" s="1">
        <f>Revenues!Z33</f>
        <v>65361.631860283051</v>
      </c>
      <c r="AA7" s="1">
        <f>Revenues!AA33</f>
        <v>64838.738805400797</v>
      </c>
      <c r="AB7" s="1">
        <f>Revenues!AB33</f>
        <v>65922.081693033411</v>
      </c>
      <c r="AC7" s="1">
        <f>Revenues!AC33</f>
        <v>65394.705039489141</v>
      </c>
      <c r="AD7" s="1">
        <f>Revenues!AD33</f>
        <v>61195.354232421072</v>
      </c>
      <c r="AE7" s="1">
        <f>Revenues!AE33</f>
        <v>68343.985003690177</v>
      </c>
      <c r="AF7" s="1">
        <f>Revenues!AF33</f>
        <v>68308.878416357373</v>
      </c>
      <c r="AG7" s="1">
        <f>Revenues!AG33</f>
        <v>67762.407389026514</v>
      </c>
      <c r="AH7" s="1">
        <f>Revenues!AH33</f>
        <v>68091.84566888462</v>
      </c>
      <c r="AI7" s="1">
        <f>Revenues!AI33</f>
        <v>67547.110903533525</v>
      </c>
      <c r="AJ7" s="1">
        <f>Revenues!AJ33</f>
        <v>68849.41920175367</v>
      </c>
      <c r="AK7" s="1">
        <f>Revenues!AK33</f>
        <v>106989.2222775643</v>
      </c>
      <c r="AL7" s="1">
        <f>Revenues!AL33</f>
        <v>104671.66171020181</v>
      </c>
      <c r="AM7" s="1">
        <f>Revenues!AM33</f>
        <v>118495.50580560003</v>
      </c>
      <c r="AN7" s="1">
        <f>Revenues!AN33</f>
        <v>119140.93842011748</v>
      </c>
      <c r="AO7" s="1">
        <f>Revenues!AO33</f>
        <v>119801.87190181589</v>
      </c>
      <c r="AP7" s="1">
        <f>Revenues!AP33</f>
        <v>119813.48522220481</v>
      </c>
      <c r="AQ7" s="1">
        <f>Revenues!AQ33</f>
        <v>120478.14965235304</v>
      </c>
      <c r="AR7" s="1">
        <f>Revenues!AR33</f>
        <v>120408.10911263601</v>
      </c>
      <c r="AS7" s="1">
        <f>Revenues!AS33</f>
        <v>121076.07221445339</v>
      </c>
      <c r="AT7" s="1">
        <f>Revenues!AT33</f>
        <v>112196.3797400217</v>
      </c>
      <c r="AU7" s="1">
        <f>Revenues!AU33</f>
        <v>127014.00311824113</v>
      </c>
      <c r="AV7" s="1">
        <f>Revenues!AV33</f>
        <v>127718.61236858439</v>
      </c>
      <c r="AW7" s="1">
        <f>Revenues!AW33</f>
        <v>128427.13043357397</v>
      </c>
      <c r="AX7" s="1">
        <f>Revenues!AX33</f>
        <v>129139.57899733033</v>
      </c>
      <c r="AY7" s="1">
        <f>Revenues!AY33</f>
        <v>129855.97986426664</v>
      </c>
      <c r="AZ7" s="1">
        <f>Revenues!AZ33</f>
        <v>130576.35495975573</v>
      </c>
      <c r="BA7" s="1">
        <f>Revenues!BA33</f>
        <v>131300.72633080132</v>
      </c>
      <c r="BB7" s="1">
        <f>Revenues!BB33</f>
        <v>121671.15997501519</v>
      </c>
      <c r="BC7" s="1">
        <f>Revenues!BC33</f>
        <v>137740.10470102538</v>
      </c>
      <c r="BD7" s="1">
        <f>Revenues!BD33</f>
        <v>138504.21692119722</v>
      </c>
      <c r="BE7" s="1">
        <f>Revenues!BE33</f>
        <v>139272.56804830389</v>
      </c>
      <c r="BF7" s="1">
        <f>Revenues!BF33</f>
        <v>140045.18159765043</v>
      </c>
      <c r="BG7" s="1">
        <f>Revenues!BG33</f>
        <v>140822.08121499303</v>
      </c>
      <c r="BH7" s="1">
        <f>Revenues!BH33</f>
        <v>141603.29067726227</v>
      </c>
      <c r="BI7" s="1">
        <f>Revenues!BI33</f>
        <v>142388.83389329145</v>
      </c>
      <c r="BJ7" s="1">
        <f>Revenues!BJ33</f>
        <v>131946.06817054914</v>
      </c>
      <c r="BK7" t="s">
        <v>102</v>
      </c>
    </row>
    <row r="8" spans="1:63" ht="11.25" customHeight="1" x14ac:dyDescent="0.25">
      <c r="A8" s="12"/>
      <c r="B8" s="12" t="s">
        <v>190</v>
      </c>
      <c r="C8" s="33" t="s">
        <v>1</v>
      </c>
      <c r="D8" s="12"/>
      <c r="E8" s="1">
        <f>SUM(G8:BJ8)</f>
        <v>196373.85671129683</v>
      </c>
      <c r="F8" s="80" t="s">
        <v>26</v>
      </c>
      <c r="G8" s="1">
        <f>Revenues!G14</f>
        <v>0</v>
      </c>
      <c r="H8" s="1">
        <f>Revenues!H14</f>
        <v>0</v>
      </c>
      <c r="I8" s="1">
        <f>Revenues!I14</f>
        <v>0</v>
      </c>
      <c r="J8" s="1">
        <f>Revenues!J14</f>
        <v>0</v>
      </c>
      <c r="K8" s="1">
        <f>Revenues!K14</f>
        <v>0</v>
      </c>
      <c r="L8" s="1">
        <f>Revenues!L14</f>
        <v>0</v>
      </c>
      <c r="M8" s="1">
        <f>Revenues!M14</f>
        <v>0</v>
      </c>
      <c r="N8" s="1">
        <f>Revenues!N14</f>
        <v>0</v>
      </c>
      <c r="O8" s="1">
        <f>Revenues!O14</f>
        <v>0</v>
      </c>
      <c r="P8" s="1">
        <f>Revenues!P14</f>
        <v>0</v>
      </c>
      <c r="Q8" s="1">
        <f>Revenues!Q14</f>
        <v>0</v>
      </c>
      <c r="R8" s="1">
        <f>Revenues!R14</f>
        <v>0</v>
      </c>
      <c r="S8" s="1">
        <f>Revenues!S14</f>
        <v>0</v>
      </c>
      <c r="T8" s="1">
        <f>Revenues!T14</f>
        <v>0</v>
      </c>
      <c r="U8" s="1">
        <f>Revenues!U14</f>
        <v>0</v>
      </c>
      <c r="V8" s="1">
        <f>Revenues!V14</f>
        <v>0</v>
      </c>
      <c r="W8" s="1">
        <f>Revenues!W14</f>
        <v>13207.64488895897</v>
      </c>
      <c r="X8" s="1">
        <f>Revenues!X14</f>
        <v>13495.043241742716</v>
      </c>
      <c r="Y8" s="1">
        <f>Revenues!Y14</f>
        <v>13387.082895808775</v>
      </c>
      <c r="Z8" s="1">
        <f>Revenues!Z14</f>
        <v>13678.385819621571</v>
      </c>
      <c r="AA8" s="1">
        <f>Revenues!AA14</f>
        <v>13568.958733064599</v>
      </c>
      <c r="AB8" s="1">
        <f>Revenues!AB14</f>
        <v>13864.219275096084</v>
      </c>
      <c r="AC8" s="1">
        <f>Revenues!AC14</f>
        <v>13753.305520895314</v>
      </c>
      <c r="AD8" s="1">
        <f>Revenues!AD14</f>
        <v>12934.398078892198</v>
      </c>
      <c r="AE8" s="1">
        <f>Revenues!AE14</f>
        <v>14445.349968531333</v>
      </c>
      <c r="AF8" s="1">
        <f>Revenues!AF14</f>
        <v>14723.856315924621</v>
      </c>
      <c r="AG8" s="1">
        <f>Revenues!AG14</f>
        <v>14606.065465397223</v>
      </c>
      <c r="AH8" s="1">
        <f>Revenues!AH14</f>
        <v>14887.670407570082</v>
      </c>
      <c r="AI8" s="1">
        <f>Revenues!AI14</f>
        <v>14768.569044309519</v>
      </c>
      <c r="AJ8" s="1">
        <f>Revenues!AJ14</f>
        <v>15053.30705548381</v>
      </c>
      <c r="AK8" s="1">
        <f>Revenues!AK14</f>
        <v>0</v>
      </c>
      <c r="AL8" s="1">
        <f>Revenues!AL14</f>
        <v>0</v>
      </c>
      <c r="AM8" s="1">
        <f>Revenues!AM14</f>
        <v>0</v>
      </c>
      <c r="AN8" s="1">
        <f>Revenues!AN14</f>
        <v>0</v>
      </c>
      <c r="AO8" s="1">
        <f>Revenues!AO14</f>
        <v>0</v>
      </c>
      <c r="AP8" s="1">
        <f>Revenues!AP14</f>
        <v>0</v>
      </c>
      <c r="AQ8" s="1">
        <f>Revenues!AQ14</f>
        <v>0</v>
      </c>
      <c r="AR8" s="1">
        <f>Revenues!AR14</f>
        <v>0</v>
      </c>
      <c r="AS8" s="1">
        <f>Revenues!AS14</f>
        <v>0</v>
      </c>
      <c r="AT8" s="1">
        <f>Revenues!AT14</f>
        <v>0</v>
      </c>
      <c r="AU8" s="1">
        <f>Revenues!AU14</f>
        <v>0</v>
      </c>
      <c r="AV8" s="1">
        <f>Revenues!AV14</f>
        <v>0</v>
      </c>
      <c r="AW8" s="1">
        <f>Revenues!AW14</f>
        <v>0</v>
      </c>
      <c r="AX8" s="1">
        <f>Revenues!AX14</f>
        <v>0</v>
      </c>
      <c r="AY8" s="1">
        <f>Revenues!AY14</f>
        <v>0</v>
      </c>
      <c r="AZ8" s="1">
        <f>Revenues!AZ14</f>
        <v>0</v>
      </c>
      <c r="BA8" s="1">
        <f>Revenues!BA14</f>
        <v>0</v>
      </c>
      <c r="BB8" s="1">
        <f>Revenues!BB14</f>
        <v>0</v>
      </c>
      <c r="BC8" s="1">
        <f>Revenues!BC14</f>
        <v>0</v>
      </c>
      <c r="BD8" s="1">
        <f>Revenues!BD14</f>
        <v>0</v>
      </c>
      <c r="BE8" s="1">
        <f>Revenues!BE14</f>
        <v>0</v>
      </c>
      <c r="BF8" s="1">
        <f>Revenues!BF14</f>
        <v>0</v>
      </c>
      <c r="BG8" s="1">
        <f>Revenues!BG14</f>
        <v>0</v>
      </c>
      <c r="BH8" s="1">
        <f>Revenues!BH14</f>
        <v>0</v>
      </c>
      <c r="BI8" s="1">
        <f>Revenues!BI14</f>
        <v>0</v>
      </c>
      <c r="BJ8" s="1">
        <f>Revenues!BJ14</f>
        <v>0</v>
      </c>
      <c r="BK8" t="s">
        <v>102</v>
      </c>
    </row>
    <row r="9" spans="1:63" ht="11.25" customHeight="1" x14ac:dyDescent="0.25">
      <c r="A9" s="12"/>
      <c r="B9" s="56" t="s">
        <v>196</v>
      </c>
      <c r="C9" s="98" t="s">
        <v>1</v>
      </c>
      <c r="D9" s="56"/>
      <c r="E9" s="58">
        <f>SUM(G9:BJ9)</f>
        <v>4422225.9160367223</v>
      </c>
      <c r="F9" s="314" t="s">
        <v>26</v>
      </c>
      <c r="G9" s="58">
        <f>Revenues!G35</f>
        <v>0</v>
      </c>
      <c r="H9" s="58">
        <f>Revenues!H35</f>
        <v>0</v>
      </c>
      <c r="I9" s="58">
        <f>Revenues!I35</f>
        <v>0</v>
      </c>
      <c r="J9" s="58">
        <f>Revenues!J35</f>
        <v>0</v>
      </c>
      <c r="K9" s="58">
        <f>Revenues!K35</f>
        <v>0</v>
      </c>
      <c r="L9" s="58">
        <f>Revenues!L35</f>
        <v>0</v>
      </c>
      <c r="M9" s="58">
        <f>Revenues!M35</f>
        <v>0</v>
      </c>
      <c r="N9" s="58">
        <f>Revenues!N35</f>
        <v>0</v>
      </c>
      <c r="O9" s="58">
        <f>Revenues!O35</f>
        <v>0</v>
      </c>
      <c r="P9" s="58">
        <f>Revenues!P35</f>
        <v>0</v>
      </c>
      <c r="Q9" s="58">
        <f>Revenues!Q35</f>
        <v>0</v>
      </c>
      <c r="R9" s="58">
        <f>Revenues!R35</f>
        <v>0</v>
      </c>
      <c r="S9" s="58">
        <f>Revenues!S35</f>
        <v>0</v>
      </c>
      <c r="T9" s="58">
        <f>Revenues!T35</f>
        <v>0</v>
      </c>
      <c r="U9" s="58">
        <f>Revenues!U35</f>
        <v>0</v>
      </c>
      <c r="V9" s="58">
        <f>Revenues!V35</f>
        <v>0</v>
      </c>
      <c r="W9" s="58">
        <f>Revenues!W35</f>
        <v>77255.968276576561</v>
      </c>
      <c r="X9" s="58">
        <f>Revenues!X35</f>
        <v>78299.405889897258</v>
      </c>
      <c r="Y9" s="58">
        <f>Revenues!Y35</f>
        <v>77673.010642778085</v>
      </c>
      <c r="Z9" s="58">
        <f>Revenues!Z35</f>
        <v>79040.017679904617</v>
      </c>
      <c r="AA9" s="58">
        <f>Revenues!AA35</f>
        <v>78407.697538465392</v>
      </c>
      <c r="AB9" s="58">
        <f>Revenues!AB35</f>
        <v>79786.300968129493</v>
      </c>
      <c r="AC9" s="58">
        <f>Revenues!AC35</f>
        <v>79148.010560384457</v>
      </c>
      <c r="AD9" s="58">
        <f>Revenues!AD35</f>
        <v>74129.752311313263</v>
      </c>
      <c r="AE9" s="58">
        <f>Revenues!AE35</f>
        <v>82789.334972221506</v>
      </c>
      <c r="AF9" s="58">
        <f>Revenues!AF35</f>
        <v>83032.734732281999</v>
      </c>
      <c r="AG9" s="58">
        <f>Revenues!AG35</f>
        <v>82368.472854423744</v>
      </c>
      <c r="AH9" s="58">
        <f>Revenues!AH35</f>
        <v>82979.516076454704</v>
      </c>
      <c r="AI9" s="58">
        <f>Revenues!AI35</f>
        <v>82315.679947843048</v>
      </c>
      <c r="AJ9" s="58">
        <f>Revenues!AJ35</f>
        <v>83902.726257237475</v>
      </c>
      <c r="AK9" s="58">
        <f>Revenues!AK35</f>
        <v>106989.2222775643</v>
      </c>
      <c r="AL9" s="58">
        <f>Revenues!AL35</f>
        <v>104671.66171020181</v>
      </c>
      <c r="AM9" s="58">
        <f>Revenues!AM35</f>
        <v>118495.50580560003</v>
      </c>
      <c r="AN9" s="58">
        <f>Revenues!AN35</f>
        <v>119140.93842011748</v>
      </c>
      <c r="AO9" s="58">
        <f>Revenues!AO35</f>
        <v>119801.87190181589</v>
      </c>
      <c r="AP9" s="58">
        <f>Revenues!AP35</f>
        <v>119813.48522220481</v>
      </c>
      <c r="AQ9" s="58">
        <f>Revenues!AQ35</f>
        <v>120478.14965235304</v>
      </c>
      <c r="AR9" s="58">
        <f>Revenues!AR35</f>
        <v>120408.10911263601</v>
      </c>
      <c r="AS9" s="58">
        <f>Revenues!AS35</f>
        <v>121076.07221445339</v>
      </c>
      <c r="AT9" s="58">
        <f>Revenues!AT35</f>
        <v>112196.3797400217</v>
      </c>
      <c r="AU9" s="58">
        <f>Revenues!AU35</f>
        <v>127014.00311824113</v>
      </c>
      <c r="AV9" s="58">
        <f>Revenues!AV35</f>
        <v>127718.61236858439</v>
      </c>
      <c r="AW9" s="58">
        <f>Revenues!AW35</f>
        <v>128427.13043357397</v>
      </c>
      <c r="AX9" s="58">
        <f>Revenues!AX35</f>
        <v>129139.57899733033</v>
      </c>
      <c r="AY9" s="58">
        <f>Revenues!AY35</f>
        <v>129855.97986426664</v>
      </c>
      <c r="AZ9" s="58">
        <f>Revenues!AZ35</f>
        <v>130576.35495975573</v>
      </c>
      <c r="BA9" s="58">
        <f>Revenues!BA35</f>
        <v>131300.72633080132</v>
      </c>
      <c r="BB9" s="58">
        <f>Revenues!BB35</f>
        <v>121671.15997501519</v>
      </c>
      <c r="BC9" s="58">
        <f>Revenues!BC35</f>
        <v>137740.10470102538</v>
      </c>
      <c r="BD9" s="58">
        <f>Revenues!BD35</f>
        <v>138504.21692119722</v>
      </c>
      <c r="BE9" s="58">
        <f>Revenues!BE35</f>
        <v>139272.56804830389</v>
      </c>
      <c r="BF9" s="58">
        <f>Revenues!BF35</f>
        <v>140045.18159765043</v>
      </c>
      <c r="BG9" s="58">
        <f>Revenues!BG35</f>
        <v>140822.08121499303</v>
      </c>
      <c r="BH9" s="58">
        <f>Revenues!BH35</f>
        <v>141603.29067726227</v>
      </c>
      <c r="BI9" s="58">
        <f>Revenues!BI35</f>
        <v>142388.83389329145</v>
      </c>
      <c r="BJ9" s="58">
        <f>Revenues!BJ35</f>
        <v>131946.06817054914</v>
      </c>
      <c r="BK9" t="s">
        <v>102</v>
      </c>
    </row>
    <row r="10" spans="1:63" ht="11.25" customHeight="1" x14ac:dyDescent="0.25">
      <c r="A10" s="12"/>
      <c r="B10" s="17"/>
      <c r="C10" s="65"/>
      <c r="D10" s="17"/>
      <c r="E10" s="104"/>
      <c r="F10" s="313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  <c r="AJ10" s="104"/>
      <c r="AK10" s="104"/>
      <c r="AL10" s="104"/>
      <c r="AM10" s="104"/>
      <c r="AN10" s="104"/>
      <c r="AO10" s="104"/>
      <c r="AP10" s="104"/>
      <c r="AQ10" s="104"/>
      <c r="AR10" s="104"/>
      <c r="AS10" s="104"/>
      <c r="AT10" s="104"/>
      <c r="AU10" s="104"/>
      <c r="AV10" s="104"/>
      <c r="AW10" s="104"/>
      <c r="AX10" s="104"/>
      <c r="AY10" s="104"/>
      <c r="AZ10" s="104"/>
      <c r="BA10" s="104"/>
      <c r="BB10" s="104"/>
      <c r="BC10" s="104"/>
      <c r="BD10" s="104"/>
      <c r="BE10" s="104"/>
      <c r="BF10" s="104"/>
      <c r="BG10" s="104"/>
      <c r="BH10" s="104"/>
      <c r="BI10" s="104"/>
      <c r="BJ10" s="104"/>
      <c r="BK10" t="s">
        <v>102</v>
      </c>
    </row>
    <row r="11" spans="1:63" ht="11.25" customHeight="1" x14ac:dyDescent="0.25">
      <c r="A11" s="12" t="s">
        <v>26</v>
      </c>
      <c r="B11" s="17" t="s">
        <v>209</v>
      </c>
      <c r="C11" s="33"/>
      <c r="D11" s="12"/>
      <c r="E11" s="12"/>
      <c r="F11" s="80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t="s">
        <v>102</v>
      </c>
    </row>
    <row r="12" spans="1:63" ht="11.25" customHeight="1" x14ac:dyDescent="0.25">
      <c r="A12" s="12"/>
      <c r="B12" s="12" t="s">
        <v>252</v>
      </c>
      <c r="C12" s="33" t="s">
        <v>1</v>
      </c>
      <c r="D12" s="12"/>
      <c r="E12" s="1">
        <f t="shared" ref="E12:E19" si="0">SUM(G12:BJ12)</f>
        <v>2618466.4017558298</v>
      </c>
      <c r="F12" s="80" t="s">
        <v>26</v>
      </c>
      <c r="G12" s="1">
        <f>Costs!G31</f>
        <v>0</v>
      </c>
      <c r="H12" s="1">
        <f>Costs!H31</f>
        <v>0</v>
      </c>
      <c r="I12" s="1">
        <f>Costs!I31</f>
        <v>0</v>
      </c>
      <c r="J12" s="1">
        <f>Costs!J31</f>
        <v>0</v>
      </c>
      <c r="K12" s="1">
        <f>Costs!K31</f>
        <v>0</v>
      </c>
      <c r="L12" s="1">
        <f>Costs!L31</f>
        <v>0</v>
      </c>
      <c r="M12" s="1">
        <f>Costs!M31</f>
        <v>0</v>
      </c>
      <c r="N12" s="1">
        <f>Costs!N31</f>
        <v>0</v>
      </c>
      <c r="O12" s="1">
        <f>Costs!O31</f>
        <v>0</v>
      </c>
      <c r="P12" s="1">
        <f>Costs!P31</f>
        <v>0</v>
      </c>
      <c r="Q12" s="1">
        <f>Costs!Q31</f>
        <v>0</v>
      </c>
      <c r="R12" s="1">
        <f>Costs!R31</f>
        <v>0</v>
      </c>
      <c r="S12" s="1">
        <f>Costs!S31</f>
        <v>0</v>
      </c>
      <c r="T12" s="1">
        <f>Costs!T31</f>
        <v>0</v>
      </c>
      <c r="U12" s="1">
        <f>Costs!U31</f>
        <v>0</v>
      </c>
      <c r="V12" s="1">
        <f>Costs!V31</f>
        <v>0</v>
      </c>
      <c r="W12" s="1">
        <f>Costs!W31</f>
        <v>30090.623261969744</v>
      </c>
      <c r="X12" s="1">
        <f>Costs!X31</f>
        <v>30156.655440620671</v>
      </c>
      <c r="Y12" s="1">
        <f>Costs!Y31</f>
        <v>30224.289970092403</v>
      </c>
      <c r="Z12" s="1">
        <f>Costs!Z31</f>
        <v>30293.544304803658</v>
      </c>
      <c r="AA12" s="1">
        <f>Costs!AA31</f>
        <v>30364.436117795842</v>
      </c>
      <c r="AB12" s="1">
        <f>Costs!AB31</f>
        <v>30436.983303386885</v>
      </c>
      <c r="AC12" s="1">
        <f>Costs!AC31</f>
        <v>30504.755409899131</v>
      </c>
      <c r="AD12" s="1">
        <f>Costs!AD31</f>
        <v>28035.378484285931</v>
      </c>
      <c r="AE12" s="1">
        <f>Costs!AE31</f>
        <v>31478.711858793427</v>
      </c>
      <c r="AF12" s="1">
        <f>Costs!AF31</f>
        <v>31546.24333767566</v>
      </c>
      <c r="AG12" s="1">
        <f>Costs!AG31</f>
        <v>31615.251014234407</v>
      </c>
      <c r="AH12" s="1">
        <f>Costs!AH31</f>
        <v>31685.749150934822</v>
      </c>
      <c r="AI12" s="1">
        <f>Costs!AI31</f>
        <v>31757.752171941709</v>
      </c>
      <c r="AJ12" s="1">
        <f>Costs!AJ31</f>
        <v>31831.27466488109</v>
      </c>
      <c r="AK12" s="1">
        <f>Costs!AK31</f>
        <v>72388.390934751063</v>
      </c>
      <c r="AL12" s="1">
        <f>Costs!AL31</f>
        <v>67120.460723417535</v>
      </c>
      <c r="AM12" s="1">
        <f>Costs!AM31</f>
        <v>76031.655184653093</v>
      </c>
      <c r="AN12" s="1">
        <f>Costs!AN31</f>
        <v>75992.808256504402</v>
      </c>
      <c r="AO12" s="1">
        <f>Costs!AO31</f>
        <v>76827.015442850825</v>
      </c>
      <c r="AP12" s="1">
        <f>Costs!AP31</f>
        <v>76777.617106532562</v>
      </c>
      <c r="AQ12" s="1">
        <f>Costs!AQ31</f>
        <v>77620.439492101417</v>
      </c>
      <c r="AR12" s="1">
        <f>Costs!AR31</f>
        <v>77560.042825463286</v>
      </c>
      <c r="AS12" s="1">
        <f>Costs!AS31</f>
        <v>78411.454249554168</v>
      </c>
      <c r="AT12" s="1">
        <f>Costs!AT31</f>
        <v>72705.206833056815</v>
      </c>
      <c r="AU12" s="1">
        <f>Costs!AU31</f>
        <v>82357.855659522334</v>
      </c>
      <c r="AV12" s="1">
        <f>Costs!AV31</f>
        <v>83261.934829900623</v>
      </c>
      <c r="AW12" s="1">
        <f>Costs!AW31</f>
        <v>84175.938483374863</v>
      </c>
      <c r="AX12" s="1">
        <f>Costs!AX31</f>
        <v>85099.975565453293</v>
      </c>
      <c r="AY12" s="1">
        <f>Costs!AY31</f>
        <v>86034.156217587952</v>
      </c>
      <c r="AZ12" s="1">
        <f>Costs!AZ31</f>
        <v>86978.591790303122</v>
      </c>
      <c r="BA12" s="1">
        <f>Costs!BA31</f>
        <v>87933.394856467639</v>
      </c>
      <c r="BB12" s="1">
        <f>Costs!BB31</f>
        <v>81534.205962117878</v>
      </c>
      <c r="BC12" s="1">
        <f>Costs!BC31</f>
        <v>92359.029819701667</v>
      </c>
      <c r="BD12" s="1">
        <f>Costs!BD31</f>
        <v>93372.896370593124</v>
      </c>
      <c r="BE12" s="1">
        <f>Costs!BE31</f>
        <v>94397.892589964496</v>
      </c>
      <c r="BF12" s="1">
        <f>Costs!BF31</f>
        <v>95434.140653185226</v>
      </c>
      <c r="BG12" s="1">
        <f>Costs!BG31</f>
        <v>96481.764076798747</v>
      </c>
      <c r="BH12" s="1">
        <f>Costs!BH31</f>
        <v>97540.887733244948</v>
      </c>
      <c r="BI12" s="1">
        <f>Costs!BI31</f>
        <v>98611.63786574472</v>
      </c>
      <c r="BJ12" s="1">
        <f>Costs!BJ31</f>
        <v>91435.359741669716</v>
      </c>
      <c r="BK12" t="s">
        <v>102</v>
      </c>
    </row>
    <row r="13" spans="1:63" ht="11.25" customHeight="1" x14ac:dyDescent="0.25">
      <c r="A13" s="12"/>
      <c r="B13" s="12" t="s">
        <v>253</v>
      </c>
      <c r="C13" s="33" t="s">
        <v>1</v>
      </c>
      <c r="D13" s="12"/>
      <c r="E13" s="1">
        <f t="shared" si="0"/>
        <v>147119.63432681991</v>
      </c>
      <c r="F13" s="80" t="s">
        <v>26</v>
      </c>
      <c r="G13" s="1">
        <f>Costs!G43</f>
        <v>0</v>
      </c>
      <c r="H13" s="1">
        <f>Costs!H43</f>
        <v>0</v>
      </c>
      <c r="I13" s="1">
        <f>Costs!I43</f>
        <v>0</v>
      </c>
      <c r="J13" s="1">
        <f>Costs!J43</f>
        <v>0</v>
      </c>
      <c r="K13" s="1">
        <f>Costs!K43</f>
        <v>0</v>
      </c>
      <c r="L13" s="1">
        <f>Costs!L43</f>
        <v>0</v>
      </c>
      <c r="M13" s="1">
        <f>Costs!M43</f>
        <v>0</v>
      </c>
      <c r="N13" s="1">
        <f>Costs!N43</f>
        <v>0</v>
      </c>
      <c r="O13" s="1">
        <f>Costs!O43</f>
        <v>0</v>
      </c>
      <c r="P13" s="1">
        <f>Costs!P43</f>
        <v>0</v>
      </c>
      <c r="Q13" s="1">
        <f>Costs!Q43</f>
        <v>0</v>
      </c>
      <c r="R13" s="1">
        <f>Costs!R43</f>
        <v>0</v>
      </c>
      <c r="S13" s="1">
        <f>Costs!S43</f>
        <v>0</v>
      </c>
      <c r="T13" s="1">
        <f>Costs!T43</f>
        <v>0</v>
      </c>
      <c r="U13" s="1">
        <f>Costs!U43</f>
        <v>0</v>
      </c>
      <c r="V13" s="1">
        <f>Costs!V43</f>
        <v>0</v>
      </c>
      <c r="W13" s="1">
        <f>Costs!W43</f>
        <v>3141.6871284624285</v>
      </c>
      <c r="X13" s="1">
        <f>Costs!X43</f>
        <v>3163.0154941133169</v>
      </c>
      <c r="Y13" s="1">
        <f>Costs!Y43</f>
        <v>3184.4292458314935</v>
      </c>
      <c r="Z13" s="1">
        <f>Costs!Z43</f>
        <v>3205.9879695751001</v>
      </c>
      <c r="AA13" s="1">
        <f>Costs!AA43</f>
        <v>3227.6926468110196</v>
      </c>
      <c r="AB13" s="1">
        <f>Costs!AB43</f>
        <v>3249.5442656507093</v>
      </c>
      <c r="AC13" s="1">
        <f>Costs!AC43</f>
        <v>3269.5490682618884</v>
      </c>
      <c r="AD13" s="1">
        <f>Costs!AD43</f>
        <v>3029.7610595725514</v>
      </c>
      <c r="AE13" s="1">
        <f>Costs!AE43</f>
        <v>3429.8974847474792</v>
      </c>
      <c r="AF13" s="1">
        <f>Costs!AF43</f>
        <v>3448.9248158775158</v>
      </c>
      <c r="AG13" s="1">
        <f>Costs!AG43</f>
        <v>3468.0577009873841</v>
      </c>
      <c r="AH13" s="1">
        <f>Costs!AH43</f>
        <v>3487.2967256370143</v>
      </c>
      <c r="AI13" s="1">
        <f>Costs!AI43</f>
        <v>3506.6424786347216</v>
      </c>
      <c r="AJ13" s="1">
        <f>Costs!AJ43</f>
        <v>3526.0955520552366</v>
      </c>
      <c r="AK13" s="1">
        <f>Costs!AK43</f>
        <v>3509.7612556882764</v>
      </c>
      <c r="AL13" s="1">
        <f>Costs!AL43</f>
        <v>3252.35613806945</v>
      </c>
      <c r="AM13" s="1">
        <f>Costs!AM43</f>
        <v>3681.8903927167275</v>
      </c>
      <c r="AN13" s="1">
        <f>Costs!AN43</f>
        <v>3660.243883874577</v>
      </c>
      <c r="AO13" s="1">
        <f>Costs!AO43</f>
        <v>3680.5490599636214</v>
      </c>
      <c r="AP13" s="1">
        <f>Costs!AP43</f>
        <v>3658.4270296856425</v>
      </c>
      <c r="AQ13" s="1">
        <f>Costs!AQ43</f>
        <v>3678.722126789406</v>
      </c>
      <c r="AR13" s="1">
        <f>Costs!AR43</f>
        <v>3656.1166734606072</v>
      </c>
      <c r="AS13" s="1">
        <f>Costs!AS43</f>
        <v>3676.3989538801634</v>
      </c>
      <c r="AT13" s="1">
        <f>Costs!AT43</f>
        <v>3406.7726641706995</v>
      </c>
      <c r="AU13" s="1">
        <f>Costs!AU43</f>
        <v>3856.7004995417346</v>
      </c>
      <c r="AV13" s="1">
        <f>Costs!AV43</f>
        <v>3878.0955172647086</v>
      </c>
      <c r="AW13" s="1">
        <f>Costs!AW43</f>
        <v>3899.6092236915174</v>
      </c>
      <c r="AX13" s="1">
        <f>Costs!AX43</f>
        <v>3921.2422772468726</v>
      </c>
      <c r="AY13" s="1">
        <f>Costs!AY43</f>
        <v>3942.9953400080967</v>
      </c>
      <c r="AZ13" s="1">
        <f>Costs!AZ43</f>
        <v>3964.869077725376</v>
      </c>
      <c r="BA13" s="1">
        <f>Costs!BA43</f>
        <v>3986.864159842145</v>
      </c>
      <c r="BB13" s="1">
        <f>Costs!BB43</f>
        <v>3694.4684202939829</v>
      </c>
      <c r="BC13" s="1">
        <f>Costs!BC43</f>
        <v>4182.3918431485445</v>
      </c>
      <c r="BD13" s="1">
        <f>Costs!BD43</f>
        <v>4205.5936312104423</v>
      </c>
      <c r="BE13" s="1">
        <f>Costs!BE43</f>
        <v>4228.9241310213729</v>
      </c>
      <c r="BF13" s="1">
        <f>Costs!BF43</f>
        <v>4252.3840566088184</v>
      </c>
      <c r="BG13" s="1">
        <f>Costs!BG43</f>
        <v>4275.9741259613256</v>
      </c>
      <c r="BH13" s="1">
        <f>Costs!BH43</f>
        <v>4299.6950610504737</v>
      </c>
      <c r="BI13" s="1">
        <f>Costs!BI43</f>
        <v>4323.5475878529796</v>
      </c>
      <c r="BJ13" s="1">
        <f>Costs!BJ43</f>
        <v>4006.4595598344877</v>
      </c>
      <c r="BK13" t="s">
        <v>102</v>
      </c>
    </row>
    <row r="14" spans="1:63" ht="11.25" customHeight="1" x14ac:dyDescent="0.25">
      <c r="A14" s="12"/>
      <c r="B14" s="12" t="s">
        <v>254</v>
      </c>
      <c r="C14" s="33" t="s">
        <v>1</v>
      </c>
      <c r="D14" s="12"/>
      <c r="E14" s="1">
        <f t="shared" si="0"/>
        <v>204714.50231872965</v>
      </c>
      <c r="F14" s="80" t="s">
        <v>26</v>
      </c>
      <c r="G14" s="1">
        <f>Costs!G47</f>
        <v>0</v>
      </c>
      <c r="H14" s="1">
        <f>Costs!H47</f>
        <v>0</v>
      </c>
      <c r="I14" s="1">
        <f>Costs!I47</f>
        <v>0</v>
      </c>
      <c r="J14" s="1">
        <f>Costs!J47</f>
        <v>0</v>
      </c>
      <c r="K14" s="1">
        <f>Costs!K47</f>
        <v>0</v>
      </c>
      <c r="L14" s="1">
        <f>Costs!L47</f>
        <v>0</v>
      </c>
      <c r="M14" s="1">
        <f>Costs!M47</f>
        <v>0</v>
      </c>
      <c r="N14" s="1">
        <f>Costs!N47</f>
        <v>0</v>
      </c>
      <c r="O14" s="1">
        <f>Costs!O47</f>
        <v>0</v>
      </c>
      <c r="P14" s="1">
        <f>Costs!P47</f>
        <v>0</v>
      </c>
      <c r="Q14" s="1">
        <f>Costs!Q47</f>
        <v>0</v>
      </c>
      <c r="R14" s="1">
        <f>Costs!R47</f>
        <v>0</v>
      </c>
      <c r="S14" s="1">
        <f>Costs!S47</f>
        <v>0</v>
      </c>
      <c r="T14" s="1">
        <f>Costs!T47</f>
        <v>0</v>
      </c>
      <c r="U14" s="1">
        <f>Costs!U47</f>
        <v>0</v>
      </c>
      <c r="V14" s="1">
        <f>Costs!V47</f>
        <v>0</v>
      </c>
      <c r="W14" s="1">
        <f>Costs!W47</f>
        <v>3856.3736686616958</v>
      </c>
      <c r="X14" s="1">
        <f>Costs!X47</f>
        <v>3913.8648351936818</v>
      </c>
      <c r="Y14" s="1">
        <f>Costs!Y47</f>
        <v>3972.1389812808193</v>
      </c>
      <c r="Z14" s="1">
        <f>Costs!Z47</f>
        <v>4031.2807802494904</v>
      </c>
      <c r="AA14" s="1">
        <f>Costs!AA47</f>
        <v>4091.3031507192431</v>
      </c>
      <c r="AB14" s="1">
        <f>Costs!AB47</f>
        <v>4152.2192036569741</v>
      </c>
      <c r="AC14" s="1">
        <f>Costs!AC47</f>
        <v>4211.4728247085877</v>
      </c>
      <c r="AD14" s="1">
        <f>Costs!AD47</f>
        <v>4268.9878420386203</v>
      </c>
      <c r="AE14" s="1">
        <f>Costs!AE47</f>
        <v>4327.2883273880743</v>
      </c>
      <c r="AF14" s="1">
        <f>Costs!AF47</f>
        <v>4386.3850076946828</v>
      </c>
      <c r="AG14" s="1">
        <f>Costs!AG47</f>
        <v>4446.2887563912473</v>
      </c>
      <c r="AH14" s="1">
        <f>Costs!AH47</f>
        <v>4507.0105954062874</v>
      </c>
      <c r="AI14" s="1">
        <f>Costs!AI47</f>
        <v>4568.5616971920072</v>
      </c>
      <c r="AJ14" s="1">
        <f>Costs!AJ47</f>
        <v>4630.9533867799601</v>
      </c>
      <c r="AK14" s="1">
        <f>Costs!AK47</f>
        <v>4694.197143864787</v>
      </c>
      <c r="AL14" s="1">
        <f>Costs!AL47</f>
        <v>4758.3046049164104</v>
      </c>
      <c r="AM14" s="1">
        <f>Costs!AM47</f>
        <v>4823.2875653210685</v>
      </c>
      <c r="AN14" s="1">
        <f>Costs!AN47</f>
        <v>4889.1579815516106</v>
      </c>
      <c r="AO14" s="1">
        <f>Costs!AO47</f>
        <v>4955.9279733673975</v>
      </c>
      <c r="AP14" s="1">
        <f>Costs!AP47</f>
        <v>5023.6098260442786</v>
      </c>
      <c r="AQ14" s="1">
        <f>Costs!AQ47</f>
        <v>5092.2159926350023</v>
      </c>
      <c r="AR14" s="1">
        <f>Costs!AR47</f>
        <v>5161.7590962604972</v>
      </c>
      <c r="AS14" s="1">
        <f>Costs!AS47</f>
        <v>5232.2519324324649</v>
      </c>
      <c r="AT14" s="1">
        <f>Costs!AT47</f>
        <v>5303.7074714076616</v>
      </c>
      <c r="AU14" s="1">
        <f>Costs!AU47</f>
        <v>5376.1388605743578</v>
      </c>
      <c r="AV14" s="1">
        <f>Costs!AV47</f>
        <v>5449.559426871373</v>
      </c>
      <c r="AW14" s="1">
        <f>Costs!AW47</f>
        <v>5523.9826792401527</v>
      </c>
      <c r="AX14" s="1">
        <f>Costs!AX47</f>
        <v>5599.4223111103356</v>
      </c>
      <c r="AY14" s="1">
        <f>Costs!AY47</f>
        <v>5675.892202919259</v>
      </c>
      <c r="AZ14" s="1">
        <f>Costs!AZ47</f>
        <v>5753.4064246658709</v>
      </c>
      <c r="BA14" s="1">
        <f>Costs!BA47</f>
        <v>5831.979238499539</v>
      </c>
      <c r="BB14" s="1">
        <f>Costs!BB47</f>
        <v>5911.6251013441824</v>
      </c>
      <c r="BC14" s="1">
        <f>Costs!BC47</f>
        <v>5992.3586675582774</v>
      </c>
      <c r="BD14" s="1">
        <f>Costs!BD47</f>
        <v>6074.1947916311483</v>
      </c>
      <c r="BE14" s="1">
        <f>Costs!BE47</f>
        <v>6157.1485309161299</v>
      </c>
      <c r="BF14" s="1">
        <f>Costs!BF47</f>
        <v>6241.235148401006</v>
      </c>
      <c r="BG14" s="1">
        <f>Costs!BG47</f>
        <v>6326.4701155163248</v>
      </c>
      <c r="BH14" s="1">
        <f>Costs!BH47</f>
        <v>6412.8691149820334</v>
      </c>
      <c r="BI14" s="1">
        <f>Costs!BI47</f>
        <v>6500.4480436930226</v>
      </c>
      <c r="BJ14" s="1">
        <f>Costs!BJ47</f>
        <v>6589.2230156440392</v>
      </c>
      <c r="BK14" t="s">
        <v>102</v>
      </c>
    </row>
    <row r="15" spans="1:63" ht="11.25" customHeight="1" x14ac:dyDescent="0.25">
      <c r="A15" s="12"/>
      <c r="B15" s="12" t="s">
        <v>205</v>
      </c>
      <c r="C15" s="33" t="s">
        <v>1</v>
      </c>
      <c r="D15" s="12"/>
      <c r="E15" s="1">
        <f t="shared" ca="1" si="0"/>
        <v>83507.111945816185</v>
      </c>
      <c r="F15" s="80" t="s">
        <v>26</v>
      </c>
      <c r="G15" s="1">
        <f ca="1">Costs!G63</f>
        <v>0</v>
      </c>
      <c r="H15" s="1">
        <f ca="1">Costs!H63</f>
        <v>0</v>
      </c>
      <c r="I15" s="1">
        <f ca="1">Costs!I63</f>
        <v>0</v>
      </c>
      <c r="J15" s="1">
        <f ca="1">Costs!J63</f>
        <v>0</v>
      </c>
      <c r="K15" s="1">
        <f ca="1">Costs!K63</f>
        <v>0</v>
      </c>
      <c r="L15" s="1">
        <f ca="1">Costs!L63</f>
        <v>0</v>
      </c>
      <c r="M15" s="1">
        <f ca="1">Costs!M63</f>
        <v>0</v>
      </c>
      <c r="N15" s="1">
        <f ca="1">Costs!N63</f>
        <v>0</v>
      </c>
      <c r="O15" s="1">
        <f ca="1">Costs!O63</f>
        <v>0</v>
      </c>
      <c r="P15" s="1">
        <f ca="1">Costs!P63</f>
        <v>0</v>
      </c>
      <c r="Q15" s="1">
        <f ca="1">Costs!Q63</f>
        <v>0</v>
      </c>
      <c r="R15" s="1">
        <f ca="1">Costs!R63</f>
        <v>0</v>
      </c>
      <c r="S15" s="1">
        <f ca="1">Costs!S63</f>
        <v>0</v>
      </c>
      <c r="T15" s="1">
        <f ca="1">Costs!T63</f>
        <v>0</v>
      </c>
      <c r="U15" s="1">
        <f ca="1">Costs!U63</f>
        <v>0</v>
      </c>
      <c r="V15" s="1">
        <f ca="1">Costs!V63</f>
        <v>0</v>
      </c>
      <c r="W15" s="1">
        <f ca="1">Costs!W63</f>
        <v>1660.7635688695884</v>
      </c>
      <c r="X15" s="1">
        <f ca="1">Costs!X63</f>
        <v>1660.7635688695884</v>
      </c>
      <c r="Y15" s="1">
        <f ca="1">Costs!Y63</f>
        <v>1660.7635688695884</v>
      </c>
      <c r="Z15" s="1">
        <f ca="1">Costs!Z63</f>
        <v>1660.7635688695884</v>
      </c>
      <c r="AA15" s="1">
        <f ca="1">Costs!AA63</f>
        <v>1660.7635688695884</v>
      </c>
      <c r="AB15" s="1">
        <f ca="1">Costs!AB63</f>
        <v>1660.7635688695884</v>
      </c>
      <c r="AC15" s="1">
        <f ca="1">Costs!AC63</f>
        <v>1660.7635688695884</v>
      </c>
      <c r="AD15" s="1">
        <f ca="1">Costs!AD63</f>
        <v>1660.7635688695884</v>
      </c>
      <c r="AE15" s="1">
        <f ca="1">Costs!AE63</f>
        <v>1851.1223807224148</v>
      </c>
      <c r="AF15" s="1">
        <f ca="1">Costs!AF63</f>
        <v>1851.1223807224148</v>
      </c>
      <c r="AG15" s="1">
        <f ca="1">Costs!AG63</f>
        <v>1851.1223807224148</v>
      </c>
      <c r="AH15" s="1">
        <f ca="1">Costs!AH63</f>
        <v>1851.1223807224148</v>
      </c>
      <c r="AI15" s="1">
        <f ca="1">Costs!AI63</f>
        <v>1851.1223807224148</v>
      </c>
      <c r="AJ15" s="1">
        <f ca="1">Costs!AJ63</f>
        <v>1851.1223807224148</v>
      </c>
      <c r="AK15" s="1">
        <f ca="1">Costs!AK63</f>
        <v>1851.1223807224148</v>
      </c>
      <c r="AL15" s="1">
        <f ca="1">Costs!AL63</f>
        <v>1851.1223807224148</v>
      </c>
      <c r="AM15" s="1">
        <f ca="1">Costs!AM63</f>
        <v>2063.3003593303774</v>
      </c>
      <c r="AN15" s="1">
        <f ca="1">Costs!AN63</f>
        <v>2063.3003593303774</v>
      </c>
      <c r="AO15" s="1">
        <f ca="1">Costs!AO63</f>
        <v>2063.3003593303774</v>
      </c>
      <c r="AP15" s="1">
        <f ca="1">Costs!AP63</f>
        <v>2063.3003593303774</v>
      </c>
      <c r="AQ15" s="1">
        <f ca="1">Costs!AQ63</f>
        <v>2063.3003593303774</v>
      </c>
      <c r="AR15" s="1">
        <f ca="1">Costs!AR63</f>
        <v>2063.3003593303774</v>
      </c>
      <c r="AS15" s="1">
        <f ca="1">Costs!AS63</f>
        <v>2063.3003593303774</v>
      </c>
      <c r="AT15" s="1">
        <f ca="1">Costs!AT63</f>
        <v>2063.3003593303774</v>
      </c>
      <c r="AU15" s="1">
        <f ca="1">Costs!AU63</f>
        <v>2299.7984450663148</v>
      </c>
      <c r="AV15" s="1">
        <f ca="1">Costs!AV63</f>
        <v>2299.7984450663148</v>
      </c>
      <c r="AW15" s="1">
        <f ca="1">Costs!AW63</f>
        <v>2299.7984450663148</v>
      </c>
      <c r="AX15" s="1">
        <f ca="1">Costs!AX63</f>
        <v>2299.7984450663148</v>
      </c>
      <c r="AY15" s="1">
        <f ca="1">Costs!AY63</f>
        <v>2299.7984450663148</v>
      </c>
      <c r="AZ15" s="1">
        <f ca="1">Costs!AZ63</f>
        <v>2299.7984450663148</v>
      </c>
      <c r="BA15" s="1">
        <f ca="1">Costs!BA63</f>
        <v>2299.7984450663148</v>
      </c>
      <c r="BB15" s="1">
        <f ca="1">Costs!BB63</f>
        <v>2299.7984450663148</v>
      </c>
      <c r="BC15" s="1">
        <f ca="1">Costs!BC63</f>
        <v>2563.4042392383203</v>
      </c>
      <c r="BD15" s="1">
        <f ca="1">Costs!BD63</f>
        <v>2563.4042392383203</v>
      </c>
      <c r="BE15" s="1">
        <f ca="1">Costs!BE63</f>
        <v>2563.4042392383203</v>
      </c>
      <c r="BF15" s="1">
        <f ca="1">Costs!BF63</f>
        <v>2563.4042392383203</v>
      </c>
      <c r="BG15" s="1">
        <f ca="1">Costs!BG63</f>
        <v>2563.4042392383203</v>
      </c>
      <c r="BH15" s="1">
        <f ca="1">Costs!BH63</f>
        <v>2563.4042392383203</v>
      </c>
      <c r="BI15" s="1">
        <f ca="1">Costs!BI63</f>
        <v>2563.4042392383203</v>
      </c>
      <c r="BJ15" s="1">
        <f ca="1">Costs!BJ63</f>
        <v>2563.4042392383203</v>
      </c>
      <c r="BK15" t="s">
        <v>102</v>
      </c>
    </row>
    <row r="16" spans="1:63" ht="11.25" customHeight="1" x14ac:dyDescent="0.25">
      <c r="A16" s="12"/>
      <c r="B16" s="12" t="s">
        <v>83</v>
      </c>
      <c r="C16" s="33" t="s">
        <v>1</v>
      </c>
      <c r="D16" s="12"/>
      <c r="E16" s="1">
        <f t="shared" si="0"/>
        <v>48602.995772821567</v>
      </c>
      <c r="F16" s="80" t="s">
        <v>26</v>
      </c>
      <c r="G16" s="1">
        <f>Costs!G52</f>
        <v>0</v>
      </c>
      <c r="H16" s="1">
        <f>Costs!H52</f>
        <v>0</v>
      </c>
      <c r="I16" s="1">
        <f>Costs!I52</f>
        <v>0</v>
      </c>
      <c r="J16" s="1">
        <f>Costs!J52</f>
        <v>0</v>
      </c>
      <c r="K16" s="1">
        <f>Costs!K52</f>
        <v>0</v>
      </c>
      <c r="L16" s="1">
        <f>Costs!L52</f>
        <v>0</v>
      </c>
      <c r="M16" s="1">
        <f>Costs!M52</f>
        <v>0</v>
      </c>
      <c r="N16" s="1">
        <f>Costs!N52</f>
        <v>0</v>
      </c>
      <c r="O16" s="1">
        <f>Costs!O52</f>
        <v>0</v>
      </c>
      <c r="P16" s="1">
        <f>Costs!P52</f>
        <v>0</v>
      </c>
      <c r="Q16" s="1">
        <f>Costs!Q52</f>
        <v>0</v>
      </c>
      <c r="R16" s="1">
        <f>Costs!R52</f>
        <v>0</v>
      </c>
      <c r="S16" s="1">
        <f>Costs!S52</f>
        <v>0</v>
      </c>
      <c r="T16" s="1">
        <f>Costs!T52</f>
        <v>0</v>
      </c>
      <c r="U16" s="1">
        <f>Costs!U52</f>
        <v>0</v>
      </c>
      <c r="V16" s="1">
        <f>Costs!V52</f>
        <v>0</v>
      </c>
      <c r="W16" s="1">
        <f>Costs!W52</f>
        <v>1413.7215187240497</v>
      </c>
      <c r="X16" s="1">
        <f>Costs!X52</f>
        <v>1407.078106069514</v>
      </c>
      <c r="Y16" s="1">
        <f>Costs!Y52</f>
        <v>1396.9429577657309</v>
      </c>
      <c r="Z16" s="1">
        <f>Costs!Z52</f>
        <v>1386.8808126809561</v>
      </c>
      <c r="AA16" s="1">
        <f>Costs!AA52</f>
        <v>1376.8911449748348</v>
      </c>
      <c r="AB16" s="1">
        <f>Costs!AB52</f>
        <v>1366.9734325946265</v>
      </c>
      <c r="AC16" s="1">
        <f>Costs!AC52</f>
        <v>1356.2996785042963</v>
      </c>
      <c r="AD16" s="1">
        <f>Costs!AD52</f>
        <v>1344.8951544498141</v>
      </c>
      <c r="AE16" s="1">
        <f>Costs!AE52</f>
        <v>1333.5865259934587</v>
      </c>
      <c r="AF16" s="1">
        <f>Costs!AF52</f>
        <v>1322.3729867915638</v>
      </c>
      <c r="AG16" s="1">
        <f>Costs!AG52</f>
        <v>1311.2537372806498</v>
      </c>
      <c r="AH16" s="1">
        <f>Costs!AH52</f>
        <v>1300.2279846204131</v>
      </c>
      <c r="AI16" s="1">
        <f>Costs!AI52</f>
        <v>1289.2949426371938</v>
      </c>
      <c r="AJ16" s="1">
        <f>Costs!AJ52</f>
        <v>1278.453831767918</v>
      </c>
      <c r="AK16" s="1">
        <f>Costs!AK52</f>
        <v>1267.7038790045137</v>
      </c>
      <c r="AL16" s="1">
        <f>Costs!AL52</f>
        <v>1257.0443178387904</v>
      </c>
      <c r="AM16" s="1">
        <f>Costs!AM52</f>
        <v>1246.4743882077871</v>
      </c>
      <c r="AN16" s="1">
        <f>Costs!AN52</f>
        <v>1235.9933364395761</v>
      </c>
      <c r="AO16" s="1">
        <f>Costs!AO52</f>
        <v>1225.6004151995228</v>
      </c>
      <c r="AP16" s="1">
        <f>Costs!AP52</f>
        <v>1215.2948834369995</v>
      </c>
      <c r="AQ16" s="1">
        <f>Costs!AQ52</f>
        <v>1205.0760063325451</v>
      </c>
      <c r="AR16" s="1">
        <f>Costs!AR52</f>
        <v>1194.9430552454708</v>
      </c>
      <c r="AS16" s="1">
        <f>Costs!AS52</f>
        <v>1184.8953076619046</v>
      </c>
      <c r="AT16" s="1">
        <f>Costs!AT52</f>
        <v>1174.9320471432738</v>
      </c>
      <c r="AU16" s="1">
        <f>Costs!AU52</f>
        <v>1165.0525632752222</v>
      </c>
      <c r="AV16" s="1">
        <f>Costs!AV52</f>
        <v>1155.2561516169512</v>
      </c>
      <c r="AW16" s="1">
        <f>Costs!AW52</f>
        <v>1145.5421136509958</v>
      </c>
      <c r="AX16" s="1">
        <f>Costs!AX52</f>
        <v>1135.909756733414</v>
      </c>
      <c r="AY16" s="1">
        <f>Costs!AY52</f>
        <v>1126.3583940444005</v>
      </c>
      <c r="AZ16" s="1">
        <f>Costs!AZ52</f>
        <v>1116.887344539314</v>
      </c>
      <c r="BA16" s="1">
        <f>Costs!BA52</f>
        <v>1107.4959329001163</v>
      </c>
      <c r="BB16" s="1">
        <f>Costs!BB52</f>
        <v>1098.1834894872202</v>
      </c>
      <c r="BC16" s="1">
        <f>Costs!BC52</f>
        <v>1088.9493502917412</v>
      </c>
      <c r="BD16" s="1">
        <f>Costs!BD52</f>
        <v>1079.7928568881521</v>
      </c>
      <c r="BE16" s="1">
        <f>Costs!BE52</f>
        <v>1070.713356387334</v>
      </c>
      <c r="BF16" s="1">
        <f>Costs!BF52</f>
        <v>1061.7102013900251</v>
      </c>
      <c r="BG16" s="1">
        <f>Costs!BG52</f>
        <v>1052.7827499406562</v>
      </c>
      <c r="BH16" s="1">
        <f>Costs!BH52</f>
        <v>1043.9303654815797</v>
      </c>
      <c r="BI16" s="1">
        <f>Costs!BI52</f>
        <v>1035.1524168076789</v>
      </c>
      <c r="BJ16" s="1">
        <f>Costs!BJ52</f>
        <v>1026.4482780213618</v>
      </c>
      <c r="BK16" t="s">
        <v>102</v>
      </c>
    </row>
    <row r="17" spans="1:63" ht="11.25" customHeight="1" x14ac:dyDescent="0.25">
      <c r="A17" s="12"/>
      <c r="B17" s="12" t="s">
        <v>255</v>
      </c>
      <c r="C17" s="33" t="s">
        <v>1</v>
      </c>
      <c r="D17" s="12"/>
      <c r="E17" s="1">
        <f t="shared" si="0"/>
        <v>44222.259160367204</v>
      </c>
      <c r="F17" s="80" t="s">
        <v>26</v>
      </c>
      <c r="G17" s="1">
        <f>Costs!G55</f>
        <v>0</v>
      </c>
      <c r="H17" s="1">
        <f>Costs!H55</f>
        <v>0</v>
      </c>
      <c r="I17" s="1">
        <f>Costs!I55</f>
        <v>0</v>
      </c>
      <c r="J17" s="1">
        <f>Costs!J55</f>
        <v>0</v>
      </c>
      <c r="K17" s="1">
        <f>Costs!K55</f>
        <v>0</v>
      </c>
      <c r="L17" s="1">
        <f>Costs!L55</f>
        <v>0</v>
      </c>
      <c r="M17" s="1">
        <f>Costs!M55</f>
        <v>0</v>
      </c>
      <c r="N17" s="1">
        <f>Costs!N55</f>
        <v>0</v>
      </c>
      <c r="O17" s="1">
        <f>Costs!O55</f>
        <v>0</v>
      </c>
      <c r="P17" s="1">
        <f>Costs!P55</f>
        <v>0</v>
      </c>
      <c r="Q17" s="1">
        <f>Costs!Q55</f>
        <v>0</v>
      </c>
      <c r="R17" s="1">
        <f>Costs!R55</f>
        <v>0</v>
      </c>
      <c r="S17" s="1">
        <f>Costs!S55</f>
        <v>0</v>
      </c>
      <c r="T17" s="1">
        <f>Costs!T55</f>
        <v>0</v>
      </c>
      <c r="U17" s="1">
        <f>Costs!U55</f>
        <v>0</v>
      </c>
      <c r="V17" s="1">
        <f>Costs!V55</f>
        <v>0</v>
      </c>
      <c r="W17" s="1">
        <f>Costs!W55</f>
        <v>772.55968276576561</v>
      </c>
      <c r="X17" s="1">
        <f>Costs!X55</f>
        <v>782.99405889897264</v>
      </c>
      <c r="Y17" s="1">
        <f>Costs!Y55</f>
        <v>776.73010642778081</v>
      </c>
      <c r="Z17" s="1">
        <f>Costs!Z55</f>
        <v>790.40017679904622</v>
      </c>
      <c r="AA17" s="1">
        <f>Costs!AA55</f>
        <v>784.07697538465391</v>
      </c>
      <c r="AB17" s="1">
        <f>Costs!AB55</f>
        <v>797.8630096812949</v>
      </c>
      <c r="AC17" s="1">
        <f>Costs!AC55</f>
        <v>791.48010560384455</v>
      </c>
      <c r="AD17" s="1">
        <f>Costs!AD55</f>
        <v>741.29752311313268</v>
      </c>
      <c r="AE17" s="1">
        <f>Costs!AE55</f>
        <v>827.89334972221513</v>
      </c>
      <c r="AF17" s="1">
        <f>Costs!AF55</f>
        <v>830.32734732282006</v>
      </c>
      <c r="AG17" s="1">
        <f>Costs!AG55</f>
        <v>823.68472854423749</v>
      </c>
      <c r="AH17" s="1">
        <f>Costs!AH55</f>
        <v>829.79516076454706</v>
      </c>
      <c r="AI17" s="1">
        <f>Costs!AI55</f>
        <v>823.15679947843046</v>
      </c>
      <c r="AJ17" s="1">
        <f>Costs!AJ55</f>
        <v>839.02726257237475</v>
      </c>
      <c r="AK17" s="1">
        <f>Costs!AK55</f>
        <v>1069.8922227756429</v>
      </c>
      <c r="AL17" s="1">
        <f>Costs!AL55</f>
        <v>1046.7166171020181</v>
      </c>
      <c r="AM17" s="1">
        <f>Costs!AM55</f>
        <v>1184.9550580560003</v>
      </c>
      <c r="AN17" s="1">
        <f>Costs!AN55</f>
        <v>1191.4093842011748</v>
      </c>
      <c r="AO17" s="1">
        <f>Costs!AO55</f>
        <v>1198.0187190181589</v>
      </c>
      <c r="AP17" s="1">
        <f>Costs!AP55</f>
        <v>1198.134852222048</v>
      </c>
      <c r="AQ17" s="1">
        <f>Costs!AQ55</f>
        <v>1204.7814965235304</v>
      </c>
      <c r="AR17" s="1">
        <f>Costs!AR55</f>
        <v>1204.0810911263602</v>
      </c>
      <c r="AS17" s="1">
        <f>Costs!AS55</f>
        <v>1210.7607221445339</v>
      </c>
      <c r="AT17" s="1">
        <f>Costs!AT55</f>
        <v>1121.9637974002171</v>
      </c>
      <c r="AU17" s="1">
        <f>Costs!AU55</f>
        <v>1270.1400311824113</v>
      </c>
      <c r="AV17" s="1">
        <f>Costs!AV55</f>
        <v>1277.186123685844</v>
      </c>
      <c r="AW17" s="1">
        <f>Costs!AW55</f>
        <v>1284.2713043357396</v>
      </c>
      <c r="AX17" s="1">
        <f>Costs!AX55</f>
        <v>1291.3957899733034</v>
      </c>
      <c r="AY17" s="1">
        <f>Costs!AY55</f>
        <v>1298.5597986426665</v>
      </c>
      <c r="AZ17" s="1">
        <f>Costs!AZ55</f>
        <v>1305.7635495975574</v>
      </c>
      <c r="BA17" s="1">
        <f>Costs!BA55</f>
        <v>1313.0072633080133</v>
      </c>
      <c r="BB17" s="1">
        <f>Costs!BB55</f>
        <v>1216.7115997501519</v>
      </c>
      <c r="BC17" s="1">
        <f>Costs!BC55</f>
        <v>1377.4010470102539</v>
      </c>
      <c r="BD17" s="1">
        <f>Costs!BD55</f>
        <v>1385.0421692119724</v>
      </c>
      <c r="BE17" s="1">
        <f>Costs!BE55</f>
        <v>1392.725680483039</v>
      </c>
      <c r="BF17" s="1">
        <f>Costs!BF55</f>
        <v>1400.4518159765043</v>
      </c>
      <c r="BG17" s="1">
        <f>Costs!BG55</f>
        <v>1408.2208121499302</v>
      </c>
      <c r="BH17" s="1">
        <f>Costs!BH55</f>
        <v>1416.0329067726227</v>
      </c>
      <c r="BI17" s="1">
        <f>Costs!BI55</f>
        <v>1423.8883389329146</v>
      </c>
      <c r="BJ17" s="1">
        <f>Costs!BJ55</f>
        <v>1319.4606817054914</v>
      </c>
      <c r="BK17" t="s">
        <v>102</v>
      </c>
    </row>
    <row r="18" spans="1:63" ht="11.25" customHeight="1" thickBot="1" x14ac:dyDescent="0.3">
      <c r="A18" s="12"/>
      <c r="B18" s="99" t="s">
        <v>313</v>
      </c>
      <c r="C18" s="100" t="s">
        <v>1</v>
      </c>
      <c r="D18" s="99"/>
      <c r="E18" s="101">
        <f t="shared" ca="1" si="0"/>
        <v>3146632.9052803856</v>
      </c>
      <c r="F18" s="315" t="s">
        <v>26</v>
      </c>
      <c r="G18" s="101">
        <f ca="1">SUM(G12:G17)</f>
        <v>0</v>
      </c>
      <c r="H18" s="101">
        <f t="shared" ref="H18:BJ18" ca="1" si="1">SUM(H12:H17)</f>
        <v>0</v>
      </c>
      <c r="I18" s="101">
        <f t="shared" ca="1" si="1"/>
        <v>0</v>
      </c>
      <c r="J18" s="101">
        <f t="shared" ca="1" si="1"/>
        <v>0</v>
      </c>
      <c r="K18" s="101">
        <f t="shared" ca="1" si="1"/>
        <v>0</v>
      </c>
      <c r="L18" s="101">
        <f t="shared" ca="1" si="1"/>
        <v>0</v>
      </c>
      <c r="M18" s="101">
        <f t="shared" ca="1" si="1"/>
        <v>0</v>
      </c>
      <c r="N18" s="101">
        <f t="shared" ca="1" si="1"/>
        <v>0</v>
      </c>
      <c r="O18" s="101">
        <f t="shared" ca="1" si="1"/>
        <v>0</v>
      </c>
      <c r="P18" s="101">
        <f t="shared" ca="1" si="1"/>
        <v>0</v>
      </c>
      <c r="Q18" s="101">
        <f t="shared" ca="1" si="1"/>
        <v>0</v>
      </c>
      <c r="R18" s="101">
        <f t="shared" ca="1" si="1"/>
        <v>0</v>
      </c>
      <c r="S18" s="101">
        <f t="shared" ca="1" si="1"/>
        <v>0</v>
      </c>
      <c r="T18" s="101">
        <f t="shared" ca="1" si="1"/>
        <v>0</v>
      </c>
      <c r="U18" s="101">
        <f t="shared" ca="1" si="1"/>
        <v>0</v>
      </c>
      <c r="V18" s="101">
        <f t="shared" ca="1" si="1"/>
        <v>0</v>
      </c>
      <c r="W18" s="101">
        <f t="shared" ca="1" si="1"/>
        <v>40935.728829453277</v>
      </c>
      <c r="X18" s="101">
        <f t="shared" ca="1" si="1"/>
        <v>41084.371503765738</v>
      </c>
      <c r="Y18" s="101">
        <f t="shared" ca="1" si="1"/>
        <v>41215.294830267812</v>
      </c>
      <c r="Z18" s="101">
        <f t="shared" ca="1" si="1"/>
        <v>41368.857612977838</v>
      </c>
      <c r="AA18" s="101">
        <f t="shared" ca="1" si="1"/>
        <v>41505.163604555179</v>
      </c>
      <c r="AB18" s="101">
        <f t="shared" ca="1" si="1"/>
        <v>41664.346783840076</v>
      </c>
      <c r="AC18" s="101">
        <f t="shared" ca="1" si="1"/>
        <v>41794.320655847339</v>
      </c>
      <c r="AD18" s="101">
        <f t="shared" ca="1" si="1"/>
        <v>39081.083632329639</v>
      </c>
      <c r="AE18" s="101">
        <f t="shared" ca="1" si="1"/>
        <v>43248.499927367069</v>
      </c>
      <c r="AF18" s="101">
        <f t="shared" ca="1" si="1"/>
        <v>43385.375876084654</v>
      </c>
      <c r="AG18" s="101">
        <f t="shared" ca="1" si="1"/>
        <v>43515.658318160335</v>
      </c>
      <c r="AH18" s="101">
        <f t="shared" ca="1" si="1"/>
        <v>43661.201998085497</v>
      </c>
      <c r="AI18" s="101">
        <f t="shared" ca="1" si="1"/>
        <v>43796.530470606478</v>
      </c>
      <c r="AJ18" s="101">
        <f t="shared" ca="1" si="1"/>
        <v>43956.927078778994</v>
      </c>
      <c r="AK18" s="101">
        <f t="shared" ca="1" si="1"/>
        <v>84781.06781680671</v>
      </c>
      <c r="AL18" s="101">
        <f t="shared" ca="1" si="1"/>
        <v>79286.004782066622</v>
      </c>
      <c r="AM18" s="101">
        <f t="shared" ca="1" si="1"/>
        <v>89031.562948285049</v>
      </c>
      <c r="AN18" s="101">
        <f t="shared" ca="1" si="1"/>
        <v>89032.913201901712</v>
      </c>
      <c r="AO18" s="101">
        <f t="shared" ca="1" si="1"/>
        <v>89950.411969729917</v>
      </c>
      <c r="AP18" s="101">
        <f t="shared" ca="1" si="1"/>
        <v>89936.384057251911</v>
      </c>
      <c r="AQ18" s="101">
        <f t="shared" ca="1" si="1"/>
        <v>90864.535473712269</v>
      </c>
      <c r="AR18" s="101">
        <f t="shared" ca="1" si="1"/>
        <v>90840.243100886597</v>
      </c>
      <c r="AS18" s="101">
        <f t="shared" ca="1" si="1"/>
        <v>91779.061525003621</v>
      </c>
      <c r="AT18" s="101">
        <f t="shared" ca="1" si="1"/>
        <v>85775.883172509028</v>
      </c>
      <c r="AU18" s="101">
        <f t="shared" ca="1" si="1"/>
        <v>96325.686059162384</v>
      </c>
      <c r="AV18" s="101">
        <f t="shared" ca="1" si="1"/>
        <v>97321.830494405818</v>
      </c>
      <c r="AW18" s="101">
        <f t="shared" ca="1" si="1"/>
        <v>98329.142249359589</v>
      </c>
      <c r="AX18" s="101">
        <f t="shared" ca="1" si="1"/>
        <v>99347.744145583536</v>
      </c>
      <c r="AY18" s="101">
        <f t="shared" ca="1" si="1"/>
        <v>100377.7603982687</v>
      </c>
      <c r="AZ18" s="101">
        <f t="shared" ca="1" si="1"/>
        <v>101419.31663189756</v>
      </c>
      <c r="BA18" s="101">
        <f t="shared" ca="1" si="1"/>
        <v>102472.53989608376</v>
      </c>
      <c r="BB18" s="101">
        <f t="shared" ca="1" si="1"/>
        <v>95754.993018059729</v>
      </c>
      <c r="BC18" s="101">
        <f t="shared" ca="1" si="1"/>
        <v>107563.53496694882</v>
      </c>
      <c r="BD18" s="101">
        <f t="shared" ca="1" si="1"/>
        <v>108680.92405877316</v>
      </c>
      <c r="BE18" s="101">
        <f t="shared" ca="1" si="1"/>
        <v>109810.8085280107</v>
      </c>
      <c r="BF18" s="101">
        <f t="shared" ca="1" si="1"/>
        <v>110953.3261147999</v>
      </c>
      <c r="BG18" s="101">
        <f t="shared" ca="1" si="1"/>
        <v>112108.6161196053</v>
      </c>
      <c r="BH18" s="101">
        <f t="shared" ca="1" si="1"/>
        <v>113276.81942076999</v>
      </c>
      <c r="BI18" s="101">
        <f t="shared" ca="1" si="1"/>
        <v>114458.07849226963</v>
      </c>
      <c r="BJ18" s="101">
        <f t="shared" ca="1" si="1"/>
        <v>106940.35551611341</v>
      </c>
      <c r="BK18" t="s">
        <v>102</v>
      </c>
    </row>
    <row r="19" spans="1:63" ht="11.25" customHeight="1" thickTop="1" x14ac:dyDescent="0.25">
      <c r="A19" s="12" t="s">
        <v>26</v>
      </c>
      <c r="B19" s="214" t="s">
        <v>310</v>
      </c>
      <c r="C19" s="215" t="s">
        <v>1</v>
      </c>
      <c r="D19" s="214"/>
      <c r="E19" s="216">
        <f t="shared" ca="1" si="0"/>
        <v>1275593.0107563359</v>
      </c>
      <c r="F19" s="310" t="s">
        <v>26</v>
      </c>
      <c r="G19" s="216">
        <f ca="1">G9-G18</f>
        <v>0</v>
      </c>
      <c r="H19" s="216">
        <f t="shared" ref="H19:BJ19" ca="1" si="2">H9-H18</f>
        <v>0</v>
      </c>
      <c r="I19" s="216">
        <f t="shared" ca="1" si="2"/>
        <v>0</v>
      </c>
      <c r="J19" s="216">
        <f t="shared" ca="1" si="2"/>
        <v>0</v>
      </c>
      <c r="K19" s="216">
        <f t="shared" ca="1" si="2"/>
        <v>0</v>
      </c>
      <c r="L19" s="216">
        <f t="shared" ca="1" si="2"/>
        <v>0</v>
      </c>
      <c r="M19" s="216">
        <f t="shared" ca="1" si="2"/>
        <v>0</v>
      </c>
      <c r="N19" s="216">
        <f t="shared" ca="1" si="2"/>
        <v>0</v>
      </c>
      <c r="O19" s="216">
        <f t="shared" ca="1" si="2"/>
        <v>0</v>
      </c>
      <c r="P19" s="216">
        <f t="shared" ca="1" si="2"/>
        <v>0</v>
      </c>
      <c r="Q19" s="216">
        <f t="shared" ca="1" si="2"/>
        <v>0</v>
      </c>
      <c r="R19" s="216">
        <f t="shared" ca="1" si="2"/>
        <v>0</v>
      </c>
      <c r="S19" s="216">
        <f t="shared" ca="1" si="2"/>
        <v>0</v>
      </c>
      <c r="T19" s="216">
        <f t="shared" ca="1" si="2"/>
        <v>0</v>
      </c>
      <c r="U19" s="216">
        <f t="shared" ca="1" si="2"/>
        <v>0</v>
      </c>
      <c r="V19" s="216">
        <f t="shared" ca="1" si="2"/>
        <v>0</v>
      </c>
      <c r="W19" s="216">
        <f t="shared" ca="1" si="2"/>
        <v>36320.239447123284</v>
      </c>
      <c r="X19" s="216">
        <f t="shared" ca="1" si="2"/>
        <v>37215.03438613152</v>
      </c>
      <c r="Y19" s="216">
        <f t="shared" ca="1" si="2"/>
        <v>36457.715812510272</v>
      </c>
      <c r="Z19" s="216">
        <f t="shared" ca="1" si="2"/>
        <v>37671.160066926779</v>
      </c>
      <c r="AA19" s="216">
        <f t="shared" ca="1" si="2"/>
        <v>36902.533933910214</v>
      </c>
      <c r="AB19" s="216">
        <f t="shared" ca="1" si="2"/>
        <v>38121.954184289418</v>
      </c>
      <c r="AC19" s="216">
        <f t="shared" ca="1" si="2"/>
        <v>37353.689904537117</v>
      </c>
      <c r="AD19" s="216">
        <f t="shared" ca="1" si="2"/>
        <v>35048.668678983624</v>
      </c>
      <c r="AE19" s="216">
        <f t="shared" ca="1" si="2"/>
        <v>39540.835044854437</v>
      </c>
      <c r="AF19" s="216">
        <f t="shared" ca="1" si="2"/>
        <v>39647.358856197345</v>
      </c>
      <c r="AG19" s="216">
        <f t="shared" ca="1" si="2"/>
        <v>38852.81453626341</v>
      </c>
      <c r="AH19" s="216">
        <f t="shared" ca="1" si="2"/>
        <v>39318.314078369207</v>
      </c>
      <c r="AI19" s="216">
        <f t="shared" ca="1" si="2"/>
        <v>38519.14947723657</v>
      </c>
      <c r="AJ19" s="216">
        <f t="shared" ca="1" si="2"/>
        <v>39945.799178458481</v>
      </c>
      <c r="AK19" s="216">
        <f t="shared" ca="1" si="2"/>
        <v>22208.154460757592</v>
      </c>
      <c r="AL19" s="216">
        <f t="shared" ca="1" si="2"/>
        <v>25385.656928135184</v>
      </c>
      <c r="AM19" s="216">
        <f t="shared" ca="1" si="2"/>
        <v>29463.942857314978</v>
      </c>
      <c r="AN19" s="216">
        <f t="shared" ca="1" si="2"/>
        <v>30108.025218215771</v>
      </c>
      <c r="AO19" s="216">
        <f t="shared" ca="1" si="2"/>
        <v>29851.459932085971</v>
      </c>
      <c r="AP19" s="216">
        <f t="shared" ca="1" si="2"/>
        <v>29877.101164952895</v>
      </c>
      <c r="AQ19" s="216">
        <f t="shared" ca="1" si="2"/>
        <v>29613.614178640768</v>
      </c>
      <c r="AR19" s="216">
        <f t="shared" ca="1" si="2"/>
        <v>29567.866011749415</v>
      </c>
      <c r="AS19" s="216">
        <f t="shared" ca="1" si="2"/>
        <v>29297.010689449773</v>
      </c>
      <c r="AT19" s="216">
        <f t="shared" ca="1" si="2"/>
        <v>26420.496567512673</v>
      </c>
      <c r="AU19" s="216">
        <f t="shared" ca="1" si="2"/>
        <v>30688.317059078749</v>
      </c>
      <c r="AV19" s="216">
        <f t="shared" ca="1" si="2"/>
        <v>30396.781874178574</v>
      </c>
      <c r="AW19" s="216">
        <f t="shared" ca="1" si="2"/>
        <v>30097.98818421438</v>
      </c>
      <c r="AX19" s="216">
        <f t="shared" ca="1" si="2"/>
        <v>29791.834851746797</v>
      </c>
      <c r="AY19" s="216">
        <f t="shared" ca="1" si="2"/>
        <v>29478.219465997943</v>
      </c>
      <c r="AZ19" s="216">
        <f t="shared" ca="1" si="2"/>
        <v>29157.038327858172</v>
      </c>
      <c r="BA19" s="216">
        <f t="shared" ca="1" si="2"/>
        <v>28828.186434717558</v>
      </c>
      <c r="BB19" s="216">
        <f t="shared" ca="1" si="2"/>
        <v>25916.166956955465</v>
      </c>
      <c r="BC19" s="216">
        <f t="shared" ca="1" si="2"/>
        <v>30176.569734076562</v>
      </c>
      <c r="BD19" s="216">
        <f t="shared" ca="1" si="2"/>
        <v>29823.292862424059</v>
      </c>
      <c r="BE19" s="216">
        <f t="shared" ca="1" si="2"/>
        <v>29461.759520293184</v>
      </c>
      <c r="BF19" s="216">
        <f t="shared" ca="1" si="2"/>
        <v>29091.855482850529</v>
      </c>
      <c r="BG19" s="216">
        <f t="shared" ca="1" si="2"/>
        <v>28713.465095387728</v>
      </c>
      <c r="BH19" s="216">
        <f t="shared" ca="1" si="2"/>
        <v>28326.471256492281</v>
      </c>
      <c r="BI19" s="216">
        <f t="shared" ca="1" si="2"/>
        <v>27930.755401021815</v>
      </c>
      <c r="BJ19" s="216">
        <f t="shared" ca="1" si="2"/>
        <v>25005.712654435731</v>
      </c>
      <c r="BK19" t="s">
        <v>102</v>
      </c>
    </row>
    <row r="20" spans="1:63" ht="11.25" customHeight="1" x14ac:dyDescent="0.25">
      <c r="A20" s="17"/>
      <c r="B20" s="17"/>
      <c r="C20" s="29"/>
      <c r="D20" s="17"/>
      <c r="E20" s="59"/>
      <c r="F20" s="313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t="s">
        <v>102</v>
      </c>
    </row>
    <row r="21" spans="1:63" ht="11.25" customHeight="1" x14ac:dyDescent="0.25">
      <c r="A21" s="12"/>
      <c r="B21" s="63" t="s">
        <v>75</v>
      </c>
      <c r="C21" s="64" t="s">
        <v>1</v>
      </c>
      <c r="D21" s="63"/>
      <c r="E21" s="111">
        <f t="shared" ref="E21:E22" si="3">SUM(G21:BJ21)</f>
        <v>212254.47535505425</v>
      </c>
      <c r="F21" s="304" t="s">
        <v>26</v>
      </c>
      <c r="G21" s="111">
        <f>Depreciation!G84</f>
        <v>0</v>
      </c>
      <c r="H21" s="111">
        <f>Depreciation!H84</f>
        <v>0</v>
      </c>
      <c r="I21" s="111">
        <f>Depreciation!I84</f>
        <v>0</v>
      </c>
      <c r="J21" s="111">
        <f>Depreciation!J84</f>
        <v>0</v>
      </c>
      <c r="K21" s="111">
        <f>Depreciation!K84</f>
        <v>0</v>
      </c>
      <c r="L21" s="111">
        <f>Depreciation!L84</f>
        <v>0</v>
      </c>
      <c r="M21" s="111">
        <f>Depreciation!M84</f>
        <v>0</v>
      </c>
      <c r="N21" s="111">
        <f>Depreciation!N84</f>
        <v>0</v>
      </c>
      <c r="O21" s="111">
        <f>Depreciation!O84</f>
        <v>0</v>
      </c>
      <c r="P21" s="111">
        <f>Depreciation!P84</f>
        <v>0</v>
      </c>
      <c r="Q21" s="111">
        <f>Depreciation!Q84</f>
        <v>0</v>
      </c>
      <c r="R21" s="111">
        <f>Depreciation!R84</f>
        <v>0</v>
      </c>
      <c r="S21" s="111">
        <f>Depreciation!S84</f>
        <v>0</v>
      </c>
      <c r="T21" s="111">
        <f>Depreciation!T84</f>
        <v>0</v>
      </c>
      <c r="U21" s="111">
        <f>Depreciation!U84</f>
        <v>0</v>
      </c>
      <c r="V21" s="111">
        <f>Depreciation!V84</f>
        <v>0</v>
      </c>
      <c r="W21" s="111">
        <f>Depreciation!W84</f>
        <v>5058.2476817306724</v>
      </c>
      <c r="X21" s="111">
        <f>Depreciation!X84</f>
        <v>5058.2476817306724</v>
      </c>
      <c r="Y21" s="111">
        <f>Depreciation!Y84</f>
        <v>5058.2476817306724</v>
      </c>
      <c r="Z21" s="111">
        <f>Depreciation!Z84</f>
        <v>5058.2476817306724</v>
      </c>
      <c r="AA21" s="111">
        <f>Depreciation!AA84</f>
        <v>5058.2476817306724</v>
      </c>
      <c r="AB21" s="111">
        <f>Depreciation!AB84</f>
        <v>5058.2476817306724</v>
      </c>
      <c r="AC21" s="111">
        <f>Depreciation!AC84</f>
        <v>5058.2476817306724</v>
      </c>
      <c r="AD21" s="111">
        <f>Depreciation!AD84</f>
        <v>5058.2476817306724</v>
      </c>
      <c r="AE21" s="111">
        <f>Depreciation!AE84</f>
        <v>5058.2476817306724</v>
      </c>
      <c r="AF21" s="111">
        <f>Depreciation!AF84</f>
        <v>5058.2476817306724</v>
      </c>
      <c r="AG21" s="111">
        <f>Depreciation!AG84</f>
        <v>5058.2476817306724</v>
      </c>
      <c r="AH21" s="111">
        <f>Depreciation!AH84</f>
        <v>5058.2476817306724</v>
      </c>
      <c r="AI21" s="111">
        <f>Depreciation!AI84</f>
        <v>5058.2476817306724</v>
      </c>
      <c r="AJ21" s="111">
        <f>Depreciation!AJ84</f>
        <v>5058.2476817306724</v>
      </c>
      <c r="AK21" s="111">
        <f>Depreciation!AK84</f>
        <v>5058.2476817306724</v>
      </c>
      <c r="AL21" s="111">
        <f>Depreciation!AL84</f>
        <v>5376.5323045851637</v>
      </c>
      <c r="AM21" s="111">
        <f>Depreciation!AM84</f>
        <v>5376.5323045851637</v>
      </c>
      <c r="AN21" s="111">
        <f>Depreciation!AN84</f>
        <v>5376.5323045851637</v>
      </c>
      <c r="AO21" s="111">
        <f>Depreciation!AO84</f>
        <v>5376.5323045851637</v>
      </c>
      <c r="AP21" s="111">
        <f>Depreciation!AP84</f>
        <v>5376.5323045851637</v>
      </c>
      <c r="AQ21" s="111">
        <f>Depreciation!AQ84</f>
        <v>5376.5323045851637</v>
      </c>
      <c r="AR21" s="111">
        <f>Depreciation!AR84</f>
        <v>5376.5323045851637</v>
      </c>
      <c r="AS21" s="111">
        <f>Depreciation!AS84</f>
        <v>5376.5323045851637</v>
      </c>
      <c r="AT21" s="111">
        <f>Depreciation!AT84</f>
        <v>5376.5323045851637</v>
      </c>
      <c r="AU21" s="111">
        <f>Depreciation!AU84</f>
        <v>5376.5323045851637</v>
      </c>
      <c r="AV21" s="111">
        <f>Depreciation!AV84</f>
        <v>5376.5323045851637</v>
      </c>
      <c r="AW21" s="111">
        <f>Depreciation!AW84</f>
        <v>5376.5323045851637</v>
      </c>
      <c r="AX21" s="111">
        <f>Depreciation!AX84</f>
        <v>5376.5323045851637</v>
      </c>
      <c r="AY21" s="111">
        <f>Depreciation!AY84</f>
        <v>5376.5323045851637</v>
      </c>
      <c r="AZ21" s="111">
        <f>Depreciation!AZ84</f>
        <v>5376.5323045851637</v>
      </c>
      <c r="BA21" s="111">
        <f>Depreciation!BA84</f>
        <v>5376.5323045851637</v>
      </c>
      <c r="BB21" s="111">
        <f>Depreciation!BB84</f>
        <v>5771.9629300004399</v>
      </c>
      <c r="BC21" s="111">
        <f>Depreciation!BC84</f>
        <v>5771.9629300004399</v>
      </c>
      <c r="BD21" s="111">
        <f>Depreciation!BD84</f>
        <v>5771.9629300004399</v>
      </c>
      <c r="BE21" s="111">
        <f>Depreciation!BE84</f>
        <v>5771.9629300004399</v>
      </c>
      <c r="BF21" s="111">
        <f>Depreciation!BF84</f>
        <v>5453.6783071459486</v>
      </c>
      <c r="BG21" s="111">
        <f>Depreciation!BG84</f>
        <v>5453.6783071459486</v>
      </c>
      <c r="BH21" s="111">
        <f>Depreciation!BH84</f>
        <v>5453.6783071459486</v>
      </c>
      <c r="BI21" s="111">
        <f>Depreciation!BI84</f>
        <v>5453.6783071459486</v>
      </c>
      <c r="BJ21" s="111">
        <f>Depreciation!BJ84</f>
        <v>5453.6783071459486</v>
      </c>
      <c r="BK21" t="s">
        <v>102</v>
      </c>
    </row>
    <row r="22" spans="1:63" ht="11.25" customHeight="1" x14ac:dyDescent="0.25">
      <c r="A22" s="12"/>
      <c r="B22" s="12" t="s">
        <v>311</v>
      </c>
      <c r="C22" s="33"/>
      <c r="D22" s="12"/>
      <c r="E22" s="1">
        <f t="shared" ca="1" si="3"/>
        <v>1063338.5354012821</v>
      </c>
      <c r="F22" s="303" t="s">
        <v>26</v>
      </c>
      <c r="G22" s="1">
        <f ca="1">G19-G21</f>
        <v>0</v>
      </c>
      <c r="H22" s="1">
        <f t="shared" ref="H22:BJ22" ca="1" si="4">H19-H21</f>
        <v>0</v>
      </c>
      <c r="I22" s="1">
        <f t="shared" ca="1" si="4"/>
        <v>0</v>
      </c>
      <c r="J22" s="1">
        <f t="shared" ca="1" si="4"/>
        <v>0</v>
      </c>
      <c r="K22" s="1">
        <f t="shared" ca="1" si="4"/>
        <v>0</v>
      </c>
      <c r="L22" s="1">
        <f t="shared" ca="1" si="4"/>
        <v>0</v>
      </c>
      <c r="M22" s="1">
        <f t="shared" ca="1" si="4"/>
        <v>0</v>
      </c>
      <c r="N22" s="1">
        <f t="shared" ca="1" si="4"/>
        <v>0</v>
      </c>
      <c r="O22" s="1">
        <f t="shared" ca="1" si="4"/>
        <v>0</v>
      </c>
      <c r="P22" s="1">
        <f t="shared" ca="1" si="4"/>
        <v>0</v>
      </c>
      <c r="Q22" s="1">
        <f t="shared" ca="1" si="4"/>
        <v>0</v>
      </c>
      <c r="R22" s="1">
        <f t="shared" ca="1" si="4"/>
        <v>0</v>
      </c>
      <c r="S22" s="1">
        <f t="shared" ca="1" si="4"/>
        <v>0</v>
      </c>
      <c r="T22" s="1">
        <f t="shared" ca="1" si="4"/>
        <v>0</v>
      </c>
      <c r="U22" s="1">
        <f t="shared" ca="1" si="4"/>
        <v>0</v>
      </c>
      <c r="V22" s="1">
        <f t="shared" ca="1" si="4"/>
        <v>0</v>
      </c>
      <c r="W22" s="1">
        <f t="shared" ca="1" si="4"/>
        <v>31261.99176539261</v>
      </c>
      <c r="X22" s="1">
        <f t="shared" ca="1" si="4"/>
        <v>32156.786704400845</v>
      </c>
      <c r="Y22" s="1">
        <f t="shared" ca="1" si="4"/>
        <v>31399.468130779598</v>
      </c>
      <c r="Z22" s="1">
        <f t="shared" ca="1" si="4"/>
        <v>32612.912385196105</v>
      </c>
      <c r="AA22" s="1">
        <f t="shared" ca="1" si="4"/>
        <v>31844.28625217954</v>
      </c>
      <c r="AB22" s="1">
        <f t="shared" ca="1" si="4"/>
        <v>33063.706502558744</v>
      </c>
      <c r="AC22" s="1">
        <f t="shared" ca="1" si="4"/>
        <v>32295.442222806443</v>
      </c>
      <c r="AD22" s="1">
        <f t="shared" ca="1" si="4"/>
        <v>29990.42099725295</v>
      </c>
      <c r="AE22" s="1">
        <f t="shared" ca="1" si="4"/>
        <v>34482.587363123763</v>
      </c>
      <c r="AF22" s="1">
        <f t="shared" ca="1" si="4"/>
        <v>34589.11117446667</v>
      </c>
      <c r="AG22" s="1">
        <f t="shared" ca="1" si="4"/>
        <v>33794.566854532735</v>
      </c>
      <c r="AH22" s="1">
        <f t="shared" ca="1" si="4"/>
        <v>34260.066396638533</v>
      </c>
      <c r="AI22" s="1">
        <f t="shared" ca="1" si="4"/>
        <v>33460.901795505895</v>
      </c>
      <c r="AJ22" s="1">
        <f t="shared" ca="1" si="4"/>
        <v>34887.551496727807</v>
      </c>
      <c r="AK22" s="1">
        <f t="shared" ca="1" si="4"/>
        <v>17149.906779026918</v>
      </c>
      <c r="AL22" s="1">
        <f t="shared" ca="1" si="4"/>
        <v>20009.124623550022</v>
      </c>
      <c r="AM22" s="1">
        <f t="shared" ca="1" si="4"/>
        <v>24087.410552729816</v>
      </c>
      <c r="AN22" s="1">
        <f t="shared" ca="1" si="4"/>
        <v>24731.492913630609</v>
      </c>
      <c r="AO22" s="1">
        <f t="shared" ca="1" si="4"/>
        <v>24474.927627500809</v>
      </c>
      <c r="AP22" s="1">
        <f t="shared" ca="1" si="4"/>
        <v>24500.568860367734</v>
      </c>
      <c r="AQ22" s="1">
        <f t="shared" ca="1" si="4"/>
        <v>24237.081874055606</v>
      </c>
      <c r="AR22" s="1">
        <f t="shared" ca="1" si="4"/>
        <v>24191.333707164253</v>
      </c>
      <c r="AS22" s="1">
        <f t="shared" ca="1" si="4"/>
        <v>23920.478384864611</v>
      </c>
      <c r="AT22" s="1">
        <f t="shared" ca="1" si="4"/>
        <v>21043.964262927511</v>
      </c>
      <c r="AU22" s="1">
        <f t="shared" ca="1" si="4"/>
        <v>25311.784754493587</v>
      </c>
      <c r="AV22" s="1">
        <f t="shared" ca="1" si="4"/>
        <v>25020.249569593412</v>
      </c>
      <c r="AW22" s="1">
        <f t="shared" ca="1" si="4"/>
        <v>24721.455879629219</v>
      </c>
      <c r="AX22" s="1">
        <f t="shared" ca="1" si="4"/>
        <v>24415.302547161635</v>
      </c>
      <c r="AY22" s="1">
        <f t="shared" ca="1" si="4"/>
        <v>24101.687161412781</v>
      </c>
      <c r="AZ22" s="1">
        <f t="shared" ca="1" si="4"/>
        <v>23780.50602327301</v>
      </c>
      <c r="BA22" s="1">
        <f t="shared" ca="1" si="4"/>
        <v>23451.654130132396</v>
      </c>
      <c r="BB22" s="1">
        <f t="shared" ca="1" si="4"/>
        <v>20144.204026955027</v>
      </c>
      <c r="BC22" s="1">
        <f t="shared" ca="1" si="4"/>
        <v>24404.606804076124</v>
      </c>
      <c r="BD22" s="1">
        <f t="shared" ca="1" si="4"/>
        <v>24051.329932423621</v>
      </c>
      <c r="BE22" s="1">
        <f t="shared" ca="1" si="4"/>
        <v>23689.796590292746</v>
      </c>
      <c r="BF22" s="1">
        <f t="shared" ca="1" si="4"/>
        <v>23638.177175704579</v>
      </c>
      <c r="BG22" s="1">
        <f t="shared" ca="1" si="4"/>
        <v>23259.786788241778</v>
      </c>
      <c r="BH22" s="1">
        <f t="shared" ca="1" si="4"/>
        <v>22872.792949346331</v>
      </c>
      <c r="BI22" s="1">
        <f t="shared" ca="1" si="4"/>
        <v>22477.077093875865</v>
      </c>
      <c r="BJ22" s="1">
        <f t="shared" ca="1" si="4"/>
        <v>19552.03434728978</v>
      </c>
      <c r="BK22" t="s">
        <v>102</v>
      </c>
    </row>
    <row r="23" spans="1:63" ht="11.25" customHeight="1" x14ac:dyDescent="0.25">
      <c r="A23" s="17"/>
      <c r="B23" s="17"/>
      <c r="C23" s="29"/>
      <c r="D23" s="17"/>
      <c r="E23" s="59"/>
      <c r="F23" s="313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t="s">
        <v>102</v>
      </c>
    </row>
    <row r="24" spans="1:63" ht="11.25" customHeight="1" x14ac:dyDescent="0.25">
      <c r="A24" s="17"/>
      <c r="B24" s="17" t="s">
        <v>216</v>
      </c>
      <c r="C24" s="29"/>
      <c r="D24" s="17"/>
      <c r="E24" s="59"/>
      <c r="F24" s="313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59"/>
      <c r="AU24" s="59"/>
      <c r="AV24" s="59"/>
      <c r="AW24" s="59"/>
      <c r="AX24" s="59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t="s">
        <v>102</v>
      </c>
    </row>
    <row r="25" spans="1:63" ht="11.25" customHeight="1" x14ac:dyDescent="0.25">
      <c r="A25" s="12"/>
      <c r="B25" s="12" t="s">
        <v>314</v>
      </c>
      <c r="C25" s="67" t="s">
        <v>1</v>
      </c>
      <c r="D25" s="17"/>
      <c r="E25" s="1">
        <f t="shared" ref="E25:E26" si="5">SUM(G25:BJ25)</f>
        <v>2404.3482684293476</v>
      </c>
      <c r="F25" s="80" t="s">
        <v>26</v>
      </c>
      <c r="G25" s="1">
        <f>Reserves!G32</f>
        <v>0</v>
      </c>
      <c r="H25" s="1">
        <f>Reserves!H32</f>
        <v>0</v>
      </c>
      <c r="I25" s="1">
        <f>Reserves!I32</f>
        <v>0</v>
      </c>
      <c r="J25" s="1">
        <f>Reserves!J32</f>
        <v>0</v>
      </c>
      <c r="K25" s="1">
        <f>Reserves!K32</f>
        <v>0</v>
      </c>
      <c r="L25" s="1">
        <f>Reserves!L32</f>
        <v>0</v>
      </c>
      <c r="M25" s="1">
        <f>Reserves!M32</f>
        <v>0</v>
      </c>
      <c r="N25" s="1">
        <f>Reserves!N32</f>
        <v>0</v>
      </c>
      <c r="O25" s="1">
        <f>Reserves!O32</f>
        <v>0</v>
      </c>
      <c r="P25" s="1">
        <f>Reserves!P32</f>
        <v>0</v>
      </c>
      <c r="Q25" s="1">
        <f>Reserves!Q32</f>
        <v>0</v>
      </c>
      <c r="R25" s="1">
        <f>Reserves!R32</f>
        <v>0</v>
      </c>
      <c r="S25" s="1">
        <f>Reserves!S32</f>
        <v>0</v>
      </c>
      <c r="T25" s="1">
        <f>Reserves!T32</f>
        <v>0</v>
      </c>
      <c r="U25" s="1">
        <f>Reserves!U32</f>
        <v>0</v>
      </c>
      <c r="V25" s="1">
        <f>Reserves!V32</f>
        <v>0</v>
      </c>
      <c r="W25" s="1">
        <f>Reserves!W32</f>
        <v>97.926046168814281</v>
      </c>
      <c r="X25" s="1">
        <f>Reserves!X32</f>
        <v>97.926046168814281</v>
      </c>
      <c r="Y25" s="1">
        <f>Reserves!Y32</f>
        <v>97.926046168814281</v>
      </c>
      <c r="Z25" s="1">
        <f>Reserves!Z32</f>
        <v>97.926046168814281</v>
      </c>
      <c r="AA25" s="1">
        <f>Reserves!AA32</f>
        <v>97.926046168814281</v>
      </c>
      <c r="AB25" s="1">
        <f>Reserves!AB32</f>
        <v>97.926046168814281</v>
      </c>
      <c r="AC25" s="1">
        <f>Reserves!AC32</f>
        <v>97.926046168814281</v>
      </c>
      <c r="AD25" s="1">
        <f>Reserves!AD32</f>
        <v>97.926046168814281</v>
      </c>
      <c r="AE25" s="1">
        <f>Reserves!AE32</f>
        <v>97.926046168814281</v>
      </c>
      <c r="AF25" s="1">
        <f>Reserves!AF32</f>
        <v>97.926046168814281</v>
      </c>
      <c r="AG25" s="1">
        <f>Reserves!AG32</f>
        <v>97.926046168814281</v>
      </c>
      <c r="AH25" s="1">
        <f>Reserves!AH32</f>
        <v>97.926046168814281</v>
      </c>
      <c r="AI25" s="1">
        <f>Reserves!AI32</f>
        <v>97.926046168814281</v>
      </c>
      <c r="AJ25" s="1">
        <f>Reserves!AJ32</f>
        <v>97.926046168814281</v>
      </c>
      <c r="AK25" s="1">
        <f>Reserves!AK32</f>
        <v>97.926046168814281</v>
      </c>
      <c r="AL25" s="1">
        <f>Reserves!AL32</f>
        <v>97.926046168814281</v>
      </c>
      <c r="AM25" s="1">
        <f>Reserves!AM32</f>
        <v>32.256436903793414</v>
      </c>
      <c r="AN25" s="1">
        <f>Reserves!AN32</f>
        <v>58.632667005792818</v>
      </c>
      <c r="AO25" s="1">
        <f>Reserves!AO32</f>
        <v>96.846407804949848</v>
      </c>
      <c r="AP25" s="1">
        <f>Reserves!AP32</f>
        <v>97.926046168814281</v>
      </c>
      <c r="AQ25" s="1">
        <f>Reserves!AQ32</f>
        <v>97.926046168814281</v>
      </c>
      <c r="AR25" s="1">
        <f>Reserves!AR32</f>
        <v>97.926046168814281</v>
      </c>
      <c r="AS25" s="1">
        <f>Reserves!AS32</f>
        <v>97.926046168814281</v>
      </c>
      <c r="AT25" s="1">
        <f>Reserves!AT32</f>
        <v>97.926046168814281</v>
      </c>
      <c r="AU25" s="1">
        <f>Reserves!AU32</f>
        <v>67.285751682208243</v>
      </c>
      <c r="AV25" s="1">
        <f>Reserves!AV32</f>
        <v>92.880035487503562</v>
      </c>
      <c r="AW25" s="1">
        <f>Reserves!AW32</f>
        <v>0</v>
      </c>
      <c r="AX25" s="1">
        <f>Reserves!AX32</f>
        <v>0</v>
      </c>
      <c r="AY25" s="1">
        <f>Reserves!AY32</f>
        <v>0</v>
      </c>
      <c r="AZ25" s="1">
        <f>Reserves!AZ32</f>
        <v>0</v>
      </c>
      <c r="BA25" s="1">
        <f>Reserves!BA32</f>
        <v>0</v>
      </c>
      <c r="BB25" s="1">
        <f>Reserves!BB32</f>
        <v>0</v>
      </c>
      <c r="BC25" s="1">
        <f>Reserves!BC32</f>
        <v>0</v>
      </c>
      <c r="BD25" s="1">
        <f>Reserves!BD32</f>
        <v>0</v>
      </c>
      <c r="BE25" s="1">
        <f>Reserves!BE32</f>
        <v>0</v>
      </c>
      <c r="BF25" s="1">
        <f>Reserves!BF32</f>
        <v>0</v>
      </c>
      <c r="BG25" s="1">
        <f>Reserves!BG32</f>
        <v>0</v>
      </c>
      <c r="BH25" s="1">
        <f>Reserves!BH32</f>
        <v>0</v>
      </c>
      <c r="BI25" s="1">
        <f>Reserves!BI32</f>
        <v>0</v>
      </c>
      <c r="BJ25" s="1">
        <f>Reserves!BJ32</f>
        <v>0</v>
      </c>
      <c r="BK25" t="s">
        <v>102</v>
      </c>
    </row>
    <row r="26" spans="1:63" ht="11.25" customHeight="1" x14ac:dyDescent="0.25">
      <c r="A26" s="12"/>
      <c r="B26" s="12" t="s">
        <v>217</v>
      </c>
      <c r="C26" s="67"/>
      <c r="D26" s="17"/>
      <c r="E26" s="1">
        <f t="shared" si="5"/>
        <v>0</v>
      </c>
      <c r="F26" s="80" t="s">
        <v>26</v>
      </c>
      <c r="G26" s="1">
        <f>Costs!G71</f>
        <v>0</v>
      </c>
      <c r="H26" s="1">
        <f>Costs!H71</f>
        <v>0</v>
      </c>
      <c r="I26" s="1">
        <f>Costs!I71</f>
        <v>0</v>
      </c>
      <c r="J26" s="1">
        <f>Costs!J71</f>
        <v>0</v>
      </c>
      <c r="K26" s="1">
        <f>Costs!K71</f>
        <v>0</v>
      </c>
      <c r="L26" s="1">
        <f>Costs!L71</f>
        <v>0</v>
      </c>
      <c r="M26" s="1">
        <f>Costs!M71</f>
        <v>0</v>
      </c>
      <c r="N26" s="1">
        <f>Costs!N71</f>
        <v>0</v>
      </c>
      <c r="O26" s="1">
        <f>Costs!O71</f>
        <v>0</v>
      </c>
      <c r="P26" s="1">
        <f>Costs!P71</f>
        <v>0</v>
      </c>
      <c r="Q26" s="1">
        <f>Costs!Q71</f>
        <v>0</v>
      </c>
      <c r="R26" s="1">
        <f>Costs!R71</f>
        <v>0</v>
      </c>
      <c r="S26" s="1">
        <f>Costs!S71</f>
        <v>0</v>
      </c>
      <c r="T26" s="1">
        <f>Costs!T71</f>
        <v>0</v>
      </c>
      <c r="U26" s="1">
        <f>Costs!U71</f>
        <v>0</v>
      </c>
      <c r="V26" s="1">
        <f>Costs!V71</f>
        <v>0</v>
      </c>
      <c r="W26" s="1">
        <f>Costs!W71</f>
        <v>0</v>
      </c>
      <c r="X26" s="1">
        <f>Costs!X71</f>
        <v>0</v>
      </c>
      <c r="Y26" s="1">
        <f>Costs!Y71</f>
        <v>0</v>
      </c>
      <c r="Z26" s="1">
        <f>Costs!Z71</f>
        <v>0</v>
      </c>
      <c r="AA26" s="1">
        <f>Costs!AA71</f>
        <v>0</v>
      </c>
      <c r="AB26" s="1">
        <f>Costs!AB71</f>
        <v>0</v>
      </c>
      <c r="AC26" s="1">
        <f>Costs!AC71</f>
        <v>0</v>
      </c>
      <c r="AD26" s="1">
        <f>Costs!AD71</f>
        <v>0</v>
      </c>
      <c r="AE26" s="1">
        <f>Costs!AE71</f>
        <v>0</v>
      </c>
      <c r="AF26" s="1">
        <f>Costs!AF71</f>
        <v>0</v>
      </c>
      <c r="AG26" s="1">
        <f>Costs!AG71</f>
        <v>0</v>
      </c>
      <c r="AH26" s="1">
        <f>Costs!AH71</f>
        <v>0</v>
      </c>
      <c r="AI26" s="1">
        <f>Costs!AI71</f>
        <v>0</v>
      </c>
      <c r="AJ26" s="1">
        <f>Costs!AJ71</f>
        <v>0</v>
      </c>
      <c r="AK26" s="1">
        <f>Costs!AK71</f>
        <v>0</v>
      </c>
      <c r="AL26" s="1">
        <f>Costs!AL71</f>
        <v>0</v>
      </c>
      <c r="AM26" s="1">
        <f>Costs!AM71</f>
        <v>0</v>
      </c>
      <c r="AN26" s="1">
        <f>Costs!AN71</f>
        <v>0</v>
      </c>
      <c r="AO26" s="1">
        <f>Costs!AO71</f>
        <v>0</v>
      </c>
      <c r="AP26" s="1">
        <f>Costs!AP71</f>
        <v>0</v>
      </c>
      <c r="AQ26" s="1">
        <f>Costs!AQ71</f>
        <v>0</v>
      </c>
      <c r="AR26" s="1">
        <f>Costs!AR71</f>
        <v>0</v>
      </c>
      <c r="AS26" s="1">
        <f>Costs!AS71</f>
        <v>0</v>
      </c>
      <c r="AT26" s="1">
        <f>Costs!AT71</f>
        <v>0</v>
      </c>
      <c r="AU26" s="1">
        <f>Costs!AU71</f>
        <v>0</v>
      </c>
      <c r="AV26" s="1">
        <f>Costs!AV71</f>
        <v>0</v>
      </c>
      <c r="AW26" s="1">
        <f>Costs!AW71</f>
        <v>0</v>
      </c>
      <c r="AX26" s="1">
        <f>Costs!AX71</f>
        <v>0</v>
      </c>
      <c r="AY26" s="1">
        <f>Costs!AY71</f>
        <v>0</v>
      </c>
      <c r="AZ26" s="1">
        <f>Costs!AZ71</f>
        <v>0</v>
      </c>
      <c r="BA26" s="1">
        <f>Costs!BA71</f>
        <v>0</v>
      </c>
      <c r="BB26" s="1">
        <f>Costs!BB71</f>
        <v>0</v>
      </c>
      <c r="BC26" s="1">
        <f>Costs!BC71</f>
        <v>0</v>
      </c>
      <c r="BD26" s="1">
        <f>Costs!BD71</f>
        <v>0</v>
      </c>
      <c r="BE26" s="1">
        <f>Costs!BE71</f>
        <v>0</v>
      </c>
      <c r="BF26" s="1">
        <f>Costs!BF71</f>
        <v>0</v>
      </c>
      <c r="BG26" s="1">
        <f>Costs!BG71</f>
        <v>0</v>
      </c>
      <c r="BH26" s="1">
        <f>Costs!BH71</f>
        <v>0</v>
      </c>
      <c r="BI26" s="1">
        <f>Costs!BI71</f>
        <v>0</v>
      </c>
      <c r="BJ26" s="1">
        <f>Costs!BJ71</f>
        <v>0</v>
      </c>
      <c r="BK26" t="s">
        <v>102</v>
      </c>
    </row>
    <row r="27" spans="1:63" ht="11.25" customHeight="1" x14ac:dyDescent="0.25">
      <c r="A27" s="12"/>
      <c r="B27" s="12"/>
      <c r="C27" s="67"/>
      <c r="D27" s="17"/>
      <c r="E27" s="1"/>
      <c r="F27" s="80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t="s">
        <v>102</v>
      </c>
    </row>
    <row r="28" spans="1:63" ht="11.25" customHeight="1" x14ac:dyDescent="0.25">
      <c r="A28" s="12"/>
      <c r="B28" s="63" t="s">
        <v>218</v>
      </c>
      <c r="C28" s="64" t="s">
        <v>1</v>
      </c>
      <c r="D28" s="63"/>
      <c r="E28" s="111">
        <f t="shared" ref="E28:E29" si="6">SUM(G28:BJ28)</f>
        <v>-178969.32610163782</v>
      </c>
      <c r="F28" s="304" t="s">
        <v>26</v>
      </c>
      <c r="G28" s="111">
        <f>Debt!G18</f>
        <v>0</v>
      </c>
      <c r="H28" s="111">
        <f>Debt!H18</f>
        <v>0</v>
      </c>
      <c r="I28" s="111">
        <f>Debt!I18</f>
        <v>0</v>
      </c>
      <c r="J28" s="111">
        <f>Debt!J18</f>
        <v>0</v>
      </c>
      <c r="K28" s="111">
        <f>Debt!K18</f>
        <v>0</v>
      </c>
      <c r="L28" s="111">
        <f>Debt!L18</f>
        <v>0</v>
      </c>
      <c r="M28" s="111">
        <f>Debt!M18</f>
        <v>0</v>
      </c>
      <c r="N28" s="111">
        <f>Debt!N18</f>
        <v>0</v>
      </c>
      <c r="O28" s="111">
        <f>Debt!O18</f>
        <v>0</v>
      </c>
      <c r="P28" s="111">
        <f>Debt!P18</f>
        <v>0</v>
      </c>
      <c r="Q28" s="111">
        <f>Debt!Q18</f>
        <v>0</v>
      </c>
      <c r="R28" s="111">
        <f>Debt!R18</f>
        <v>0</v>
      </c>
      <c r="S28" s="111">
        <f>Debt!S18</f>
        <v>0</v>
      </c>
      <c r="T28" s="111">
        <f>Debt!T18</f>
        <v>0</v>
      </c>
      <c r="U28" s="111">
        <f>Debt!U18</f>
        <v>0</v>
      </c>
      <c r="V28" s="111">
        <f>Debt!V18</f>
        <v>0</v>
      </c>
      <c r="W28" s="111">
        <f>Debt!W18</f>
        <v>-11608.150906263309</v>
      </c>
      <c r="X28" s="111">
        <f>Debt!X18</f>
        <v>-11327.757306051701</v>
      </c>
      <c r="Y28" s="111">
        <f>Debt!Y18</f>
        <v>-11037.507870792653</v>
      </c>
      <c r="Z28" s="111">
        <f>Debt!Z18</f>
        <v>-10737.05616788425</v>
      </c>
      <c r="AA28" s="111">
        <f>Debt!AA18</f>
        <v>-10426.043587618617</v>
      </c>
      <c r="AB28" s="111">
        <f>Debt!AB18</f>
        <v>-10104.098915156646</v>
      </c>
      <c r="AC28" s="111">
        <f>Debt!AC18</f>
        <v>-9770.8378874576392</v>
      </c>
      <c r="AD28" s="111">
        <f>Debt!AD18</f>
        <v>-9425.8627346350095</v>
      </c>
      <c r="AE28" s="111">
        <f>Debt!AE18</f>
        <v>-9068.7617051906655</v>
      </c>
      <c r="AF28" s="111">
        <f>Debt!AF18</f>
        <v>-8699.1085745613527</v>
      </c>
      <c r="AG28" s="111">
        <f>Debt!AG18</f>
        <v>-8316.4621363904207</v>
      </c>
      <c r="AH28" s="111">
        <f>Debt!AH18</f>
        <v>-7920.3656759177793</v>
      </c>
      <c r="AI28" s="111">
        <f>Debt!AI18</f>
        <v>-7510.3464248595246</v>
      </c>
      <c r="AJ28" s="111">
        <f>Debt!AJ18</f>
        <v>-7085.9149971265724</v>
      </c>
      <c r="AK28" s="111">
        <f>Debt!AK18</f>
        <v>-6646.5648047088071</v>
      </c>
      <c r="AL28" s="111">
        <f>Debt!AL18</f>
        <v>-6191.7714530275571</v>
      </c>
      <c r="AM28" s="111">
        <f>Debt!AM18</f>
        <v>-5720.9921150347109</v>
      </c>
      <c r="AN28" s="111">
        <f>Debt!AN18</f>
        <v>-5233.6648833114168</v>
      </c>
      <c r="AO28" s="111">
        <f>Debt!AO18</f>
        <v>-4729.2080993930485</v>
      </c>
      <c r="AP28" s="111">
        <f>Debt!AP18</f>
        <v>-4207.0196595199495</v>
      </c>
      <c r="AQ28" s="111">
        <f>Debt!AQ18</f>
        <v>-3666.4762959853115</v>
      </c>
      <c r="AR28" s="111">
        <f>Debt!AR18</f>
        <v>-3106.9328332224309</v>
      </c>
      <c r="AS28" s="111">
        <f>Debt!AS18</f>
        <v>-2527.7214177434344</v>
      </c>
      <c r="AT28" s="111">
        <f>Debt!AT18</f>
        <v>-1928.1507210103518</v>
      </c>
      <c r="AU28" s="111">
        <f>Debt!AU18</f>
        <v>-1307.5051142871014</v>
      </c>
      <c r="AV28" s="111">
        <f>Debt!AV18</f>
        <v>-665.04381448752849</v>
      </c>
      <c r="AW28" s="111">
        <f>Debt!AW18</f>
        <v>0</v>
      </c>
      <c r="AX28" s="111">
        <f>Debt!AX18</f>
        <v>0</v>
      </c>
      <c r="AY28" s="111">
        <f>Debt!AY18</f>
        <v>0</v>
      </c>
      <c r="AZ28" s="111">
        <f>Debt!AZ18</f>
        <v>0</v>
      </c>
      <c r="BA28" s="111">
        <f>Debt!BA18</f>
        <v>0</v>
      </c>
      <c r="BB28" s="111">
        <f>Debt!BB18</f>
        <v>0</v>
      </c>
      <c r="BC28" s="111">
        <f>Debt!BC18</f>
        <v>0</v>
      </c>
      <c r="BD28" s="111">
        <f>Debt!BD18</f>
        <v>0</v>
      </c>
      <c r="BE28" s="111">
        <f>Debt!BE18</f>
        <v>0</v>
      </c>
      <c r="BF28" s="111">
        <f>Debt!BF18</f>
        <v>0</v>
      </c>
      <c r="BG28" s="111">
        <f>Debt!BG18</f>
        <v>0</v>
      </c>
      <c r="BH28" s="111">
        <f>Debt!BH18</f>
        <v>0</v>
      </c>
      <c r="BI28" s="111">
        <f>Debt!BI18</f>
        <v>0</v>
      </c>
      <c r="BJ28" s="111">
        <f>Debt!BJ18</f>
        <v>0</v>
      </c>
      <c r="BK28" t="s">
        <v>102</v>
      </c>
    </row>
    <row r="29" spans="1:63" ht="11.25" customHeight="1" x14ac:dyDescent="0.25">
      <c r="A29" s="12"/>
      <c r="B29" s="12" t="s">
        <v>312</v>
      </c>
      <c r="C29" s="33"/>
      <c r="D29" s="12"/>
      <c r="E29" s="1">
        <f t="shared" ca="1" si="6"/>
        <v>886773.55756807374</v>
      </c>
      <c r="F29" s="303" t="s">
        <v>26</v>
      </c>
      <c r="G29" s="1">
        <f ca="1">SUM(G22,G25:G26,G28)</f>
        <v>0</v>
      </c>
      <c r="H29" s="1">
        <f t="shared" ref="H29:BJ29" ca="1" si="7">SUM(H22,H25:H26,H28)</f>
        <v>0</v>
      </c>
      <c r="I29" s="1">
        <f t="shared" ca="1" si="7"/>
        <v>0</v>
      </c>
      <c r="J29" s="1">
        <f t="shared" ca="1" si="7"/>
        <v>0</v>
      </c>
      <c r="K29" s="1">
        <f t="shared" ca="1" si="7"/>
        <v>0</v>
      </c>
      <c r="L29" s="1">
        <f t="shared" ca="1" si="7"/>
        <v>0</v>
      </c>
      <c r="M29" s="1">
        <f t="shared" ca="1" si="7"/>
        <v>0</v>
      </c>
      <c r="N29" s="1">
        <f t="shared" ca="1" si="7"/>
        <v>0</v>
      </c>
      <c r="O29" s="1">
        <f t="shared" ca="1" si="7"/>
        <v>0</v>
      </c>
      <c r="P29" s="1">
        <f t="shared" ca="1" si="7"/>
        <v>0</v>
      </c>
      <c r="Q29" s="1">
        <f t="shared" ca="1" si="7"/>
        <v>0</v>
      </c>
      <c r="R29" s="1">
        <f t="shared" ca="1" si="7"/>
        <v>0</v>
      </c>
      <c r="S29" s="1">
        <f t="shared" ca="1" si="7"/>
        <v>0</v>
      </c>
      <c r="T29" s="1">
        <f t="shared" ca="1" si="7"/>
        <v>0</v>
      </c>
      <c r="U29" s="1">
        <f t="shared" ca="1" si="7"/>
        <v>0</v>
      </c>
      <c r="V29" s="1">
        <f t="shared" ca="1" si="7"/>
        <v>0</v>
      </c>
      <c r="W29" s="1">
        <f t="shared" ca="1" si="7"/>
        <v>19751.766905298115</v>
      </c>
      <c r="X29" s="1">
        <f t="shared" ca="1" si="7"/>
        <v>20926.95544451796</v>
      </c>
      <c r="Y29" s="1">
        <f t="shared" ca="1" si="7"/>
        <v>20459.886306155757</v>
      </c>
      <c r="Z29" s="1">
        <f t="shared" ca="1" si="7"/>
        <v>21973.782263480669</v>
      </c>
      <c r="AA29" s="1">
        <f t="shared" ca="1" si="7"/>
        <v>21516.168710729737</v>
      </c>
      <c r="AB29" s="1">
        <f t="shared" ca="1" si="7"/>
        <v>23057.533633570914</v>
      </c>
      <c r="AC29" s="1">
        <f t="shared" ca="1" si="7"/>
        <v>22622.530381517616</v>
      </c>
      <c r="AD29" s="1">
        <f t="shared" ca="1" si="7"/>
        <v>20662.484308786756</v>
      </c>
      <c r="AE29" s="1">
        <f t="shared" ca="1" si="7"/>
        <v>25511.751704101916</v>
      </c>
      <c r="AF29" s="1">
        <f t="shared" ca="1" si="7"/>
        <v>25987.928646074135</v>
      </c>
      <c r="AG29" s="1">
        <f t="shared" ca="1" si="7"/>
        <v>25576.03076431113</v>
      </c>
      <c r="AH29" s="1">
        <f t="shared" ca="1" si="7"/>
        <v>26437.626766889571</v>
      </c>
      <c r="AI29" s="1">
        <f t="shared" ca="1" si="7"/>
        <v>26048.481416815186</v>
      </c>
      <c r="AJ29" s="1">
        <f t="shared" ca="1" si="7"/>
        <v>27899.562545770052</v>
      </c>
      <c r="AK29" s="1">
        <f t="shared" ca="1" si="7"/>
        <v>10601.268020486925</v>
      </c>
      <c r="AL29" s="1">
        <f t="shared" ca="1" si="7"/>
        <v>13915.279216691279</v>
      </c>
      <c r="AM29" s="1">
        <f t="shared" ca="1" si="7"/>
        <v>18398.674874598899</v>
      </c>
      <c r="AN29" s="1">
        <f t="shared" ca="1" si="7"/>
        <v>19556.460697324987</v>
      </c>
      <c r="AO29" s="1">
        <f t="shared" ca="1" si="7"/>
        <v>19842.565935912709</v>
      </c>
      <c r="AP29" s="1">
        <f t="shared" ca="1" si="7"/>
        <v>20391.475247016599</v>
      </c>
      <c r="AQ29" s="1">
        <f t="shared" ca="1" si="7"/>
        <v>20668.531624239109</v>
      </c>
      <c r="AR29" s="1">
        <f t="shared" ca="1" si="7"/>
        <v>21182.326920110634</v>
      </c>
      <c r="AS29" s="1">
        <f t="shared" ca="1" si="7"/>
        <v>21490.683013289992</v>
      </c>
      <c r="AT29" s="1">
        <f t="shared" ca="1" si="7"/>
        <v>19213.739588085973</v>
      </c>
      <c r="AU29" s="1">
        <f t="shared" ca="1" si="7"/>
        <v>24071.565391888693</v>
      </c>
      <c r="AV29" s="1">
        <f t="shared" ca="1" si="7"/>
        <v>24448.085790593384</v>
      </c>
      <c r="AW29" s="1">
        <f t="shared" ca="1" si="7"/>
        <v>24721.455879629219</v>
      </c>
      <c r="AX29" s="1">
        <f t="shared" ca="1" si="7"/>
        <v>24415.302547161635</v>
      </c>
      <c r="AY29" s="1">
        <f t="shared" ca="1" si="7"/>
        <v>24101.687161412781</v>
      </c>
      <c r="AZ29" s="1">
        <f t="shared" ca="1" si="7"/>
        <v>23780.50602327301</v>
      </c>
      <c r="BA29" s="1">
        <f t="shared" ca="1" si="7"/>
        <v>23451.654130132396</v>
      </c>
      <c r="BB29" s="1">
        <f t="shared" ca="1" si="7"/>
        <v>20144.204026955027</v>
      </c>
      <c r="BC29" s="1">
        <f t="shared" ca="1" si="7"/>
        <v>24404.606804076124</v>
      </c>
      <c r="BD29" s="1">
        <f t="shared" ca="1" si="7"/>
        <v>24051.329932423621</v>
      </c>
      <c r="BE29" s="1">
        <f t="shared" ca="1" si="7"/>
        <v>23689.796590292746</v>
      </c>
      <c r="BF29" s="1">
        <f t="shared" ca="1" si="7"/>
        <v>23638.177175704579</v>
      </c>
      <c r="BG29" s="1">
        <f t="shared" ca="1" si="7"/>
        <v>23259.786788241778</v>
      </c>
      <c r="BH29" s="1">
        <f t="shared" ca="1" si="7"/>
        <v>22872.792949346331</v>
      </c>
      <c r="BI29" s="1">
        <f t="shared" ca="1" si="7"/>
        <v>22477.077093875865</v>
      </c>
      <c r="BJ29" s="1">
        <f t="shared" ca="1" si="7"/>
        <v>19552.03434728978</v>
      </c>
      <c r="BK29" t="s">
        <v>102</v>
      </c>
    </row>
    <row r="30" spans="1:63" ht="11.25" customHeight="1" x14ac:dyDescent="0.25">
      <c r="A30" s="12"/>
      <c r="B30" s="12"/>
      <c r="C30" s="33"/>
      <c r="D30" s="12"/>
      <c r="E30" s="1"/>
      <c r="F30" s="80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t="s">
        <v>102</v>
      </c>
    </row>
    <row r="31" spans="1:63" ht="11.25" customHeight="1" thickBot="1" x14ac:dyDescent="0.3">
      <c r="A31" s="12"/>
      <c r="B31" s="46" t="s">
        <v>222</v>
      </c>
      <c r="C31" s="105" t="s">
        <v>1</v>
      </c>
      <c r="D31" s="46"/>
      <c r="E31" s="48">
        <f t="shared" ref="E31:E32" ca="1" si="8">SUM(G31:BJ31)</f>
        <v>-221693.38939201843</v>
      </c>
      <c r="F31" s="309" t="s">
        <v>26</v>
      </c>
      <c r="G31" s="48">
        <f ca="1">-Tax!G24</f>
        <v>0</v>
      </c>
      <c r="H31" s="48">
        <f ca="1">-Tax!H24</f>
        <v>0</v>
      </c>
      <c r="I31" s="48">
        <f ca="1">-Tax!I24</f>
        <v>0</v>
      </c>
      <c r="J31" s="48">
        <f ca="1">-Tax!J24</f>
        <v>0</v>
      </c>
      <c r="K31" s="48">
        <f ca="1">-Tax!K24</f>
        <v>0</v>
      </c>
      <c r="L31" s="48">
        <f ca="1">-Tax!L24</f>
        <v>0</v>
      </c>
      <c r="M31" s="48">
        <f ca="1">-Tax!M24</f>
        <v>0</v>
      </c>
      <c r="N31" s="48">
        <f ca="1">-Tax!N24</f>
        <v>0</v>
      </c>
      <c r="O31" s="48">
        <f ca="1">-Tax!O24</f>
        <v>0</v>
      </c>
      <c r="P31" s="48">
        <f ca="1">-Tax!P24</f>
        <v>0</v>
      </c>
      <c r="Q31" s="48">
        <f ca="1">-Tax!Q24</f>
        <v>0</v>
      </c>
      <c r="R31" s="48">
        <f ca="1">-Tax!R24</f>
        <v>0</v>
      </c>
      <c r="S31" s="48">
        <f ca="1">-Tax!S24</f>
        <v>0</v>
      </c>
      <c r="T31" s="48">
        <f ca="1">-Tax!T24</f>
        <v>0</v>
      </c>
      <c r="U31" s="48">
        <f ca="1">-Tax!U24</f>
        <v>0</v>
      </c>
      <c r="V31" s="48">
        <f ca="1">-Tax!V24</f>
        <v>0</v>
      </c>
      <c r="W31" s="48">
        <f ca="1">-Tax!W24</f>
        <v>-4937.9417263245305</v>
      </c>
      <c r="X31" s="48">
        <f ca="1">-Tax!X24</f>
        <v>-5231.73886112949</v>
      </c>
      <c r="Y31" s="48">
        <f ca="1">-Tax!Y24</f>
        <v>-5114.971576538941</v>
      </c>
      <c r="Z31" s="48">
        <f ca="1">-Tax!Z24</f>
        <v>-5493.4455658701681</v>
      </c>
      <c r="AA31" s="48">
        <f ca="1">-Tax!AA24</f>
        <v>-5379.0421776824351</v>
      </c>
      <c r="AB31" s="48">
        <f ca="1">-Tax!AB24</f>
        <v>-5764.3834083927286</v>
      </c>
      <c r="AC31" s="48">
        <f ca="1">-Tax!AC24</f>
        <v>-5655.6325953794058</v>
      </c>
      <c r="AD31" s="48">
        <f ca="1">-Tax!AD24</f>
        <v>-5165.6210771966889</v>
      </c>
      <c r="AE31" s="48">
        <f ca="1">-Tax!AE24</f>
        <v>-6377.9379260254791</v>
      </c>
      <c r="AF31" s="48">
        <f ca="1">-Tax!AF24</f>
        <v>-6496.9821615185338</v>
      </c>
      <c r="AG31" s="48">
        <f ca="1">-Tax!AG24</f>
        <v>-6394.0076910777825</v>
      </c>
      <c r="AH31" s="48">
        <f ca="1">-Tax!AH24</f>
        <v>-6609.4066917223936</v>
      </c>
      <c r="AI31" s="48">
        <f ca="1">-Tax!AI24</f>
        <v>-6512.1203542037965</v>
      </c>
      <c r="AJ31" s="48">
        <f ca="1">-Tax!AJ24</f>
        <v>-6974.8906364425129</v>
      </c>
      <c r="AK31" s="48">
        <f ca="1">-Tax!AK24</f>
        <v>-2650.3170051217317</v>
      </c>
      <c r="AL31" s="48">
        <f ca="1">-Tax!AL24</f>
        <v>-3478.8198041728187</v>
      </c>
      <c r="AM31" s="48">
        <f ca="1">-Tax!AM24</f>
        <v>-4599.6687186497238</v>
      </c>
      <c r="AN31" s="48">
        <f ca="1">-Tax!AN24</f>
        <v>-4889.1151743312457</v>
      </c>
      <c r="AO31" s="48">
        <f ca="1">-Tax!AO24</f>
        <v>-4960.6414839781773</v>
      </c>
      <c r="AP31" s="48">
        <f ca="1">-Tax!AP24</f>
        <v>-5097.8688117541496</v>
      </c>
      <c r="AQ31" s="48">
        <f ca="1">-Tax!AQ24</f>
        <v>-5167.1329060597764</v>
      </c>
      <c r="AR31" s="48">
        <f ca="1">-Tax!AR24</f>
        <v>-5295.5817300276576</v>
      </c>
      <c r="AS31" s="48">
        <f ca="1">-Tax!AS24</f>
        <v>-5372.6707533224981</v>
      </c>
      <c r="AT31" s="48">
        <f ca="1">-Tax!AT24</f>
        <v>-4803.4348970214924</v>
      </c>
      <c r="AU31" s="48">
        <f ca="1">-Tax!AU24</f>
        <v>-6017.8913479721723</v>
      </c>
      <c r="AV31" s="48">
        <f ca="1">-Tax!AV24</f>
        <v>-6112.0214476483452</v>
      </c>
      <c r="AW31" s="48">
        <f ca="1">-Tax!AW24</f>
        <v>-6180.3639699073046</v>
      </c>
      <c r="AX31" s="48">
        <f ca="1">-Tax!AX24</f>
        <v>-6103.8256367904087</v>
      </c>
      <c r="AY31" s="48">
        <f ca="1">-Tax!AY24</f>
        <v>-6025.4217903531953</v>
      </c>
      <c r="AZ31" s="48">
        <f ca="1">-Tax!AZ24</f>
        <v>-5945.1265058182526</v>
      </c>
      <c r="BA31" s="48">
        <f ca="1">-Tax!BA24</f>
        <v>-5862.913532533099</v>
      </c>
      <c r="BB31" s="48">
        <f ca="1">-Tax!BB24</f>
        <v>-5036.0510067387568</v>
      </c>
      <c r="BC31" s="48">
        <f ca="1">-Tax!BC24</f>
        <v>-6101.151701019031</v>
      </c>
      <c r="BD31" s="48">
        <f ca="1">-Tax!BD24</f>
        <v>-6012.8324831059053</v>
      </c>
      <c r="BE31" s="48">
        <f ca="1">-Tax!BE24</f>
        <v>-5922.4491475731866</v>
      </c>
      <c r="BF31" s="48">
        <f ca="1">-Tax!BF24</f>
        <v>-5909.5442939261447</v>
      </c>
      <c r="BG31" s="48">
        <f ca="1">-Tax!BG24</f>
        <v>-5814.9466970604444</v>
      </c>
      <c r="BH31" s="48">
        <f ca="1">-Tax!BH24</f>
        <v>-5718.1982373365827</v>
      </c>
      <c r="BI31" s="48">
        <f ca="1">-Tax!BI24</f>
        <v>-5619.2692734689663</v>
      </c>
      <c r="BJ31" s="48">
        <f ca="1">-Tax!BJ24</f>
        <v>-4888.0085868224451</v>
      </c>
      <c r="BK31" t="s">
        <v>102</v>
      </c>
    </row>
    <row r="32" spans="1:63" ht="11.25" customHeight="1" thickTop="1" x14ac:dyDescent="0.25">
      <c r="A32" s="12" t="s">
        <v>26</v>
      </c>
      <c r="B32" s="228" t="s">
        <v>262</v>
      </c>
      <c r="C32" s="237" t="s">
        <v>1</v>
      </c>
      <c r="D32" s="228"/>
      <c r="E32" s="230">
        <f t="shared" ca="1" si="8"/>
        <v>665080.16817605507</v>
      </c>
      <c r="F32" s="312" t="s">
        <v>26</v>
      </c>
      <c r="G32" s="230">
        <f ca="1">G29+G31</f>
        <v>0</v>
      </c>
      <c r="H32" s="230">
        <f t="shared" ref="H32:BJ32" ca="1" si="9">H29+H31</f>
        <v>0</v>
      </c>
      <c r="I32" s="230">
        <f t="shared" ca="1" si="9"/>
        <v>0</v>
      </c>
      <c r="J32" s="230">
        <f t="shared" ca="1" si="9"/>
        <v>0</v>
      </c>
      <c r="K32" s="230">
        <f t="shared" ca="1" si="9"/>
        <v>0</v>
      </c>
      <c r="L32" s="230">
        <f t="shared" ca="1" si="9"/>
        <v>0</v>
      </c>
      <c r="M32" s="230">
        <f t="shared" ca="1" si="9"/>
        <v>0</v>
      </c>
      <c r="N32" s="230">
        <f t="shared" ca="1" si="9"/>
        <v>0</v>
      </c>
      <c r="O32" s="230">
        <f t="shared" ca="1" si="9"/>
        <v>0</v>
      </c>
      <c r="P32" s="230">
        <f t="shared" ca="1" si="9"/>
        <v>0</v>
      </c>
      <c r="Q32" s="230">
        <f t="shared" ca="1" si="9"/>
        <v>0</v>
      </c>
      <c r="R32" s="230">
        <f t="shared" ca="1" si="9"/>
        <v>0</v>
      </c>
      <c r="S32" s="230">
        <f t="shared" ca="1" si="9"/>
        <v>0</v>
      </c>
      <c r="T32" s="230">
        <f t="shared" ca="1" si="9"/>
        <v>0</v>
      </c>
      <c r="U32" s="230">
        <f t="shared" ca="1" si="9"/>
        <v>0</v>
      </c>
      <c r="V32" s="230">
        <f t="shared" ca="1" si="9"/>
        <v>0</v>
      </c>
      <c r="W32" s="230">
        <f t="shared" ca="1" si="9"/>
        <v>14813.825178973584</v>
      </c>
      <c r="X32" s="230">
        <f t="shared" ca="1" si="9"/>
        <v>15695.21658338847</v>
      </c>
      <c r="Y32" s="230">
        <f t="shared" ca="1" si="9"/>
        <v>15344.914729616816</v>
      </c>
      <c r="Z32" s="230">
        <f t="shared" ca="1" si="9"/>
        <v>16480.336697610503</v>
      </c>
      <c r="AA32" s="230">
        <f t="shared" ca="1" si="9"/>
        <v>16137.126533047302</v>
      </c>
      <c r="AB32" s="230">
        <f t="shared" ca="1" si="9"/>
        <v>17293.150225178186</v>
      </c>
      <c r="AC32" s="230">
        <f t="shared" ca="1" si="9"/>
        <v>16966.897786138208</v>
      </c>
      <c r="AD32" s="230">
        <f t="shared" ca="1" si="9"/>
        <v>15496.863231590067</v>
      </c>
      <c r="AE32" s="230">
        <f t="shared" ca="1" si="9"/>
        <v>19133.813778076437</v>
      </c>
      <c r="AF32" s="230">
        <f t="shared" ca="1" si="9"/>
        <v>19490.946484555599</v>
      </c>
      <c r="AG32" s="230">
        <f t="shared" ca="1" si="9"/>
        <v>19182.023073233348</v>
      </c>
      <c r="AH32" s="230">
        <f t="shared" ca="1" si="9"/>
        <v>19828.220075167177</v>
      </c>
      <c r="AI32" s="230">
        <f t="shared" ca="1" si="9"/>
        <v>19536.361062611388</v>
      </c>
      <c r="AJ32" s="230">
        <f t="shared" ca="1" si="9"/>
        <v>20924.671909327539</v>
      </c>
      <c r="AK32" s="230">
        <f t="shared" ca="1" si="9"/>
        <v>7950.9510153651936</v>
      </c>
      <c r="AL32" s="230">
        <f t="shared" ca="1" si="9"/>
        <v>10436.459412518459</v>
      </c>
      <c r="AM32" s="230">
        <f t="shared" ca="1" si="9"/>
        <v>13799.006155949175</v>
      </c>
      <c r="AN32" s="230">
        <f t="shared" ca="1" si="9"/>
        <v>14667.345522993741</v>
      </c>
      <c r="AO32" s="230">
        <f t="shared" ca="1" si="9"/>
        <v>14881.924451934532</v>
      </c>
      <c r="AP32" s="230">
        <f t="shared" ca="1" si="9"/>
        <v>15293.606435262449</v>
      </c>
      <c r="AQ32" s="230">
        <f t="shared" ca="1" si="9"/>
        <v>15501.398718179333</v>
      </c>
      <c r="AR32" s="230">
        <f t="shared" ca="1" si="9"/>
        <v>15886.745190082976</v>
      </c>
      <c r="AS32" s="230">
        <f t="shared" ca="1" si="9"/>
        <v>16118.012259967494</v>
      </c>
      <c r="AT32" s="230">
        <f t="shared" ca="1" si="9"/>
        <v>14410.304691064481</v>
      </c>
      <c r="AU32" s="230">
        <f t="shared" ca="1" si="9"/>
        <v>18053.674043916522</v>
      </c>
      <c r="AV32" s="230">
        <f t="shared" ca="1" si="9"/>
        <v>18336.064342945039</v>
      </c>
      <c r="AW32" s="230">
        <f t="shared" ca="1" si="9"/>
        <v>18541.091909721916</v>
      </c>
      <c r="AX32" s="230">
        <f t="shared" ca="1" si="9"/>
        <v>18311.476910371224</v>
      </c>
      <c r="AY32" s="230">
        <f t="shared" ca="1" si="9"/>
        <v>18076.265371059584</v>
      </c>
      <c r="AZ32" s="230">
        <f t="shared" ca="1" si="9"/>
        <v>17835.379517454756</v>
      </c>
      <c r="BA32" s="230">
        <f t="shared" ca="1" si="9"/>
        <v>17588.740597599295</v>
      </c>
      <c r="BB32" s="230">
        <f t="shared" ca="1" si="9"/>
        <v>15108.15302021627</v>
      </c>
      <c r="BC32" s="230">
        <f t="shared" ca="1" si="9"/>
        <v>18303.455103057095</v>
      </c>
      <c r="BD32" s="230">
        <f t="shared" ca="1" si="9"/>
        <v>18038.497449317714</v>
      </c>
      <c r="BE32" s="230">
        <f t="shared" ca="1" si="9"/>
        <v>17767.347442719562</v>
      </c>
      <c r="BF32" s="230">
        <f t="shared" ca="1" si="9"/>
        <v>17728.632881778434</v>
      </c>
      <c r="BG32" s="230">
        <f t="shared" ca="1" si="9"/>
        <v>17444.840091181333</v>
      </c>
      <c r="BH32" s="230">
        <f t="shared" ca="1" si="9"/>
        <v>17154.594712009748</v>
      </c>
      <c r="BI32" s="230">
        <f t="shared" ca="1" si="9"/>
        <v>16857.807820406899</v>
      </c>
      <c r="BJ32" s="230">
        <f t="shared" ca="1" si="9"/>
        <v>14664.025760467335</v>
      </c>
      <c r="BK32" t="s">
        <v>102</v>
      </c>
    </row>
    <row r="33" spans="1:62" ht="11.25" customHeight="1" x14ac:dyDescent="0.25">
      <c r="A33" s="12"/>
      <c r="B33" s="12"/>
      <c r="C33" s="12"/>
      <c r="D33" s="106"/>
      <c r="E33" s="12"/>
      <c r="F33" s="80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03"/>
      <c r="X33" s="103"/>
      <c r="Y33" s="103"/>
      <c r="Z33" s="103"/>
      <c r="AA33" s="103"/>
      <c r="AB33" s="103"/>
      <c r="AC33" s="103"/>
      <c r="AD33" s="103"/>
      <c r="AE33" s="103"/>
      <c r="AF33" s="103"/>
      <c r="AG33" s="103"/>
      <c r="AH33" s="103"/>
      <c r="AI33" s="103"/>
      <c r="AJ33" s="103"/>
      <c r="AK33" s="103"/>
      <c r="AL33" s="103"/>
      <c r="AM33" s="103"/>
      <c r="AN33" s="103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</row>
  </sheetData>
  <pageMargins left="0.7" right="0.7" top="0.75" bottom="0.75" header="0.3" footer="0.3"/>
  <pageSetup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1" tint="0.499984740745262"/>
  </sheetPr>
  <dimension ref="A1:BK31"/>
  <sheetViews>
    <sheetView zoomScale="120" zoomScaleNormal="120" workbookViewId="0">
      <pane xSplit="6" topLeftCell="G1" activePane="topRight" state="frozen"/>
      <selection pane="topRight" activeCell="G18" sqref="G18"/>
    </sheetView>
  </sheetViews>
  <sheetFormatPr defaultColWidth="8.7109375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style="305" customWidth="1"/>
    <col min="7" max="37" width="8.7109375" customWidth="1"/>
    <col min="38" max="38" width="11.140625" customWidth="1"/>
    <col min="39" max="62" width="8.7109375" customWidth="1"/>
  </cols>
  <sheetData>
    <row r="1" spans="1:63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63" ht="11.25" customHeight="1" x14ac:dyDescent="0.25">
      <c r="A2" s="200" t="s">
        <v>263</v>
      </c>
      <c r="B2" s="201"/>
      <c r="C2" s="202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63" ht="11.25" customHeight="1" x14ac:dyDescent="0.25">
      <c r="A3" s="200"/>
      <c r="B3" s="201"/>
      <c r="C3" s="202"/>
      <c r="D3" s="200"/>
      <c r="E3" s="203" t="s">
        <v>403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63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80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t="s">
        <v>102</v>
      </c>
    </row>
    <row r="5" spans="1:63" ht="11.25" customHeight="1" x14ac:dyDescent="0.25">
      <c r="A5" s="17"/>
      <c r="B5" s="18"/>
      <c r="C5" s="17"/>
      <c r="D5" s="17"/>
      <c r="E5" s="17"/>
      <c r="F5" s="80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t="s">
        <v>102</v>
      </c>
    </row>
    <row r="6" spans="1:63" ht="11.25" customHeight="1" x14ac:dyDescent="0.25">
      <c r="A6" s="12" t="s">
        <v>26</v>
      </c>
      <c r="B6" s="17" t="s">
        <v>264</v>
      </c>
      <c r="C6" s="22"/>
      <c r="D6" s="12"/>
      <c r="E6" s="12"/>
      <c r="F6" s="303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t="s">
        <v>102</v>
      </c>
    </row>
    <row r="7" spans="1:63" ht="11.25" customHeight="1" x14ac:dyDescent="0.25">
      <c r="A7" s="12"/>
      <c r="B7" s="12" t="s">
        <v>6</v>
      </c>
      <c r="C7" s="22" t="s">
        <v>1</v>
      </c>
      <c r="D7" s="12"/>
      <c r="E7" s="1">
        <f>SUM(G7:BJ7)</f>
        <v>19145.09551533575</v>
      </c>
      <c r="F7" s="303" t="s">
        <v>26</v>
      </c>
      <c r="G7" s="1">
        <f>'Working Capital'!G22</f>
        <v>0</v>
      </c>
      <c r="H7" s="1">
        <f>'Working Capital'!H22</f>
        <v>0</v>
      </c>
      <c r="I7" s="1">
        <f>'Working Capital'!I22</f>
        <v>0</v>
      </c>
      <c r="J7" s="1">
        <f>'Working Capital'!J22</f>
        <v>0</v>
      </c>
      <c r="K7" s="1">
        <f>'Working Capital'!K22</f>
        <v>0</v>
      </c>
      <c r="L7" s="1">
        <f>'Working Capital'!L22</f>
        <v>0</v>
      </c>
      <c r="M7" s="1">
        <f>'Working Capital'!M22</f>
        <v>0</v>
      </c>
      <c r="N7" s="1">
        <f>'Working Capital'!N22</f>
        <v>0</v>
      </c>
      <c r="O7" s="1">
        <f>'Working Capital'!O22</f>
        <v>0</v>
      </c>
      <c r="P7" s="1">
        <f>'Working Capital'!P22</f>
        <v>0</v>
      </c>
      <c r="Q7" s="1">
        <f>'Working Capital'!Q22</f>
        <v>0</v>
      </c>
      <c r="R7" s="1">
        <f>'Working Capital'!R22</f>
        <v>0</v>
      </c>
      <c r="S7" s="1">
        <f>'Working Capital'!S22</f>
        <v>0</v>
      </c>
      <c r="T7" s="1">
        <f>'Working Capital'!T22</f>
        <v>0</v>
      </c>
      <c r="U7" s="1">
        <f>'Working Capital'!U22</f>
        <v>0</v>
      </c>
      <c r="V7" s="1">
        <f>'Working Capital'!V22</f>
        <v>19145.09551533575</v>
      </c>
      <c r="W7" s="1">
        <f>'Working Capital'!W22</f>
        <v>0</v>
      </c>
      <c r="X7" s="1">
        <f>'Working Capital'!X22</f>
        <v>0</v>
      </c>
      <c r="Y7" s="1">
        <f>'Working Capital'!Y22</f>
        <v>0</v>
      </c>
      <c r="Z7" s="1">
        <f>'Working Capital'!Z22</f>
        <v>0</v>
      </c>
      <c r="AA7" s="1">
        <f>'Working Capital'!AA22</f>
        <v>0</v>
      </c>
      <c r="AB7" s="1">
        <f>'Working Capital'!AB22</f>
        <v>0</v>
      </c>
      <c r="AC7" s="1">
        <f>'Working Capital'!AC22</f>
        <v>0</v>
      </c>
      <c r="AD7" s="1">
        <f>'Working Capital'!AD22</f>
        <v>0</v>
      </c>
      <c r="AE7" s="1">
        <f>'Working Capital'!AE22</f>
        <v>0</v>
      </c>
      <c r="AF7" s="1">
        <f>'Working Capital'!AF22</f>
        <v>0</v>
      </c>
      <c r="AG7" s="1">
        <f>'Working Capital'!AG22</f>
        <v>0</v>
      </c>
      <c r="AH7" s="1">
        <f>'Working Capital'!AH22</f>
        <v>0</v>
      </c>
      <c r="AI7" s="1">
        <f>'Working Capital'!AI22</f>
        <v>0</v>
      </c>
      <c r="AJ7" s="1">
        <f>'Working Capital'!AJ22</f>
        <v>0</v>
      </c>
      <c r="AK7" s="1">
        <f>'Working Capital'!AK22</f>
        <v>0</v>
      </c>
      <c r="AL7" s="1">
        <f>'Working Capital'!AL22</f>
        <v>0</v>
      </c>
      <c r="AM7" s="1">
        <f>'Working Capital'!AM22</f>
        <v>0</v>
      </c>
      <c r="AN7" s="1">
        <f>'Working Capital'!AN22</f>
        <v>0</v>
      </c>
      <c r="AO7" s="1">
        <f>'Working Capital'!AO22</f>
        <v>0</v>
      </c>
      <c r="AP7" s="1">
        <f>'Working Capital'!AP22</f>
        <v>0</v>
      </c>
      <c r="AQ7" s="1">
        <f>'Working Capital'!AQ22</f>
        <v>0</v>
      </c>
      <c r="AR7" s="1">
        <f>'Working Capital'!AR22</f>
        <v>0</v>
      </c>
      <c r="AS7" s="1">
        <f>'Working Capital'!AS22</f>
        <v>0</v>
      </c>
      <c r="AT7" s="1">
        <f>'Working Capital'!AT22</f>
        <v>0</v>
      </c>
      <c r="AU7" s="1">
        <f>'Working Capital'!AU22</f>
        <v>0</v>
      </c>
      <c r="AV7" s="1">
        <f>'Working Capital'!AV22</f>
        <v>0</v>
      </c>
      <c r="AW7" s="1">
        <f>'Working Capital'!AW22</f>
        <v>0</v>
      </c>
      <c r="AX7" s="1">
        <f>'Working Capital'!AX22</f>
        <v>0</v>
      </c>
      <c r="AY7" s="1">
        <f>'Working Capital'!AY22</f>
        <v>0</v>
      </c>
      <c r="AZ7" s="1">
        <f>'Working Capital'!AZ22</f>
        <v>0</v>
      </c>
      <c r="BA7" s="1">
        <f>'Working Capital'!BA22</f>
        <v>0</v>
      </c>
      <c r="BB7" s="1">
        <f>'Working Capital'!BB22</f>
        <v>0</v>
      </c>
      <c r="BC7" s="1">
        <f>'Working Capital'!BC22</f>
        <v>0</v>
      </c>
      <c r="BD7" s="1">
        <f>'Working Capital'!BD22</f>
        <v>0</v>
      </c>
      <c r="BE7" s="1">
        <f>'Working Capital'!BE22</f>
        <v>0</v>
      </c>
      <c r="BF7" s="1">
        <f>'Working Capital'!BF22</f>
        <v>0</v>
      </c>
      <c r="BG7" s="1">
        <f>'Working Capital'!BG22</f>
        <v>0</v>
      </c>
      <c r="BH7" s="1">
        <f>'Working Capital'!BH22</f>
        <v>0</v>
      </c>
      <c r="BI7" s="1">
        <f>'Working Capital'!BI22</f>
        <v>0</v>
      </c>
      <c r="BJ7" s="1">
        <f>'Working Capital'!BJ22</f>
        <v>0</v>
      </c>
      <c r="BK7" t="s">
        <v>102</v>
      </c>
    </row>
    <row r="8" spans="1:63" ht="11.25" customHeight="1" x14ac:dyDescent="0.25">
      <c r="A8" s="12"/>
      <c r="B8" s="12" t="s">
        <v>91</v>
      </c>
      <c r="C8" s="22" t="s">
        <v>1</v>
      </c>
      <c r="D8" s="12"/>
      <c r="E8" s="1">
        <f t="shared" ref="E8:E27" si="0">SUM(G8:BJ8)</f>
        <v>480869.65368586977</v>
      </c>
      <c r="F8" s="303" t="s">
        <v>26</v>
      </c>
      <c r="G8" s="1">
        <f>Reserves!G26</f>
        <v>0</v>
      </c>
      <c r="H8" s="1">
        <f>Reserves!H26</f>
        <v>0</v>
      </c>
      <c r="I8" s="1">
        <f>Reserves!I26</f>
        <v>0</v>
      </c>
      <c r="J8" s="1">
        <f>Reserves!J26</f>
        <v>0</v>
      </c>
      <c r="K8" s="1">
        <f>Reserves!K26</f>
        <v>0</v>
      </c>
      <c r="L8" s="1">
        <f>Reserves!L26</f>
        <v>0</v>
      </c>
      <c r="M8" s="1">
        <f>Reserves!M26</f>
        <v>0</v>
      </c>
      <c r="N8" s="1">
        <f>Reserves!N26</f>
        <v>0</v>
      </c>
      <c r="O8" s="1">
        <f>Reserves!O26</f>
        <v>0</v>
      </c>
      <c r="P8" s="1">
        <f>Reserves!P26</f>
        <v>0</v>
      </c>
      <c r="Q8" s="1">
        <f>Reserves!Q26</f>
        <v>0</v>
      </c>
      <c r="R8" s="1">
        <f>Reserves!R26</f>
        <v>0</v>
      </c>
      <c r="S8" s="1">
        <f>Reserves!S26</f>
        <v>0</v>
      </c>
      <c r="T8" s="1">
        <f>Reserves!T26</f>
        <v>0</v>
      </c>
      <c r="U8" s="1">
        <f>Reserves!U26</f>
        <v>0</v>
      </c>
      <c r="V8" s="1">
        <f>Reserves!V26</f>
        <v>19585.209233762856</v>
      </c>
      <c r="W8" s="1">
        <f>Reserves!W26</f>
        <v>19585.209233762856</v>
      </c>
      <c r="X8" s="1">
        <f>Reserves!X26</f>
        <v>19585.209233762856</v>
      </c>
      <c r="Y8" s="1">
        <f>Reserves!Y26</f>
        <v>19585.209233762856</v>
      </c>
      <c r="Z8" s="1">
        <f>Reserves!Z26</f>
        <v>19585.209233762856</v>
      </c>
      <c r="AA8" s="1">
        <f>Reserves!AA26</f>
        <v>19585.209233762856</v>
      </c>
      <c r="AB8" s="1">
        <f>Reserves!AB26</f>
        <v>19585.209233762856</v>
      </c>
      <c r="AC8" s="1">
        <f>Reserves!AC26</f>
        <v>19585.209233762856</v>
      </c>
      <c r="AD8" s="1">
        <f>Reserves!AD26</f>
        <v>19585.209233762856</v>
      </c>
      <c r="AE8" s="1">
        <f>Reserves!AE26</f>
        <v>19585.209233762856</v>
      </c>
      <c r="AF8" s="1">
        <f>Reserves!AF26</f>
        <v>19585.209233762856</v>
      </c>
      <c r="AG8" s="1">
        <f>Reserves!AG26</f>
        <v>19585.209233762856</v>
      </c>
      <c r="AH8" s="1">
        <f>Reserves!AH26</f>
        <v>19585.209233762856</v>
      </c>
      <c r="AI8" s="1">
        <f>Reserves!AI26</f>
        <v>19585.209233762856</v>
      </c>
      <c r="AJ8" s="1">
        <f>Reserves!AJ26</f>
        <v>19585.209233762856</v>
      </c>
      <c r="AK8" s="1">
        <f>Reserves!AK26</f>
        <v>19585.209233762856</v>
      </c>
      <c r="AL8" s="1">
        <f>Reserves!AL26</f>
        <v>6451.287380758682</v>
      </c>
      <c r="AM8" s="1">
        <f>Reserves!AM26</f>
        <v>11726.533401158564</v>
      </c>
      <c r="AN8" s="1">
        <f>Reserves!AN26</f>
        <v>19369.28156098997</v>
      </c>
      <c r="AO8" s="1">
        <f>Reserves!AO26</f>
        <v>19585.209233762856</v>
      </c>
      <c r="AP8" s="1">
        <f>Reserves!AP26</f>
        <v>19585.209233762856</v>
      </c>
      <c r="AQ8" s="1">
        <f>Reserves!AQ26</f>
        <v>19585.209233762856</v>
      </c>
      <c r="AR8" s="1">
        <f>Reserves!AR26</f>
        <v>19585.209233762856</v>
      </c>
      <c r="AS8" s="1">
        <f>Reserves!AS26</f>
        <v>19585.209233762856</v>
      </c>
      <c r="AT8" s="1">
        <f>Reserves!AT26</f>
        <v>13457.150336441649</v>
      </c>
      <c r="AU8" s="1">
        <f>Reserves!AU26</f>
        <v>18576.007097500711</v>
      </c>
      <c r="AV8" s="1">
        <f>Reserves!AV26</f>
        <v>0</v>
      </c>
      <c r="AW8" s="1">
        <f>Reserves!AW26</f>
        <v>0</v>
      </c>
      <c r="AX8" s="1">
        <f>Reserves!AX26</f>
        <v>0</v>
      </c>
      <c r="AY8" s="1">
        <f>Reserves!AY26</f>
        <v>0</v>
      </c>
      <c r="AZ8" s="1">
        <f>Reserves!AZ26</f>
        <v>0</v>
      </c>
      <c r="BA8" s="1">
        <f>Reserves!BA26</f>
        <v>0</v>
      </c>
      <c r="BB8" s="1">
        <f>Reserves!BB26</f>
        <v>0</v>
      </c>
      <c r="BC8" s="1">
        <f>Reserves!BC26</f>
        <v>0</v>
      </c>
      <c r="BD8" s="1">
        <f>Reserves!BD26</f>
        <v>0</v>
      </c>
      <c r="BE8" s="1">
        <f>Reserves!BE26</f>
        <v>0</v>
      </c>
      <c r="BF8" s="1">
        <f>Reserves!BF26</f>
        <v>0</v>
      </c>
      <c r="BG8" s="1">
        <f>Reserves!BG26</f>
        <v>0</v>
      </c>
      <c r="BH8" s="1">
        <f>Reserves!BH26</f>
        <v>0</v>
      </c>
      <c r="BI8" s="1">
        <f>Reserves!BI26</f>
        <v>0</v>
      </c>
      <c r="BJ8" s="1">
        <f>Reserves!BJ26</f>
        <v>0</v>
      </c>
      <c r="BK8" t="s">
        <v>102</v>
      </c>
    </row>
    <row r="9" spans="1:63" ht="11.25" customHeight="1" x14ac:dyDescent="0.25">
      <c r="A9" s="12"/>
      <c r="B9" s="12" t="s">
        <v>206</v>
      </c>
      <c r="C9" s="22" t="s">
        <v>1</v>
      </c>
      <c r="D9" s="12"/>
      <c r="E9" s="1">
        <f t="shared" si="0"/>
        <v>1452909.5022063439</v>
      </c>
      <c r="F9" s="303" t="s">
        <v>26</v>
      </c>
      <c r="G9" s="1">
        <f>'Working Capital'!G9</f>
        <v>0</v>
      </c>
      <c r="H9" s="1">
        <f>'Working Capital'!H9</f>
        <v>0</v>
      </c>
      <c r="I9" s="1">
        <f>'Working Capital'!I9</f>
        <v>0</v>
      </c>
      <c r="J9" s="1">
        <f>'Working Capital'!J9</f>
        <v>0</v>
      </c>
      <c r="K9" s="1">
        <f>'Working Capital'!K9</f>
        <v>0</v>
      </c>
      <c r="L9" s="1">
        <f>'Working Capital'!L9</f>
        <v>0</v>
      </c>
      <c r="M9" s="1">
        <f>'Working Capital'!M9</f>
        <v>0</v>
      </c>
      <c r="N9" s="1">
        <f>'Working Capital'!N9</f>
        <v>0</v>
      </c>
      <c r="O9" s="1">
        <f>'Working Capital'!O9</f>
        <v>0</v>
      </c>
      <c r="P9" s="1">
        <f>'Working Capital'!P9</f>
        <v>0</v>
      </c>
      <c r="Q9" s="1">
        <f>'Working Capital'!Q9</f>
        <v>0</v>
      </c>
      <c r="R9" s="1">
        <f>'Working Capital'!R9</f>
        <v>0</v>
      </c>
      <c r="S9" s="1">
        <f>'Working Capital'!S9</f>
        <v>0</v>
      </c>
      <c r="T9" s="1">
        <f>'Working Capital'!T9</f>
        <v>0</v>
      </c>
      <c r="U9" s="1">
        <f>'Working Capital'!U9</f>
        <v>0</v>
      </c>
      <c r="V9" s="1">
        <f>'Working Capital'!V9</f>
        <v>0</v>
      </c>
      <c r="W9" s="1">
        <f>'Working Capital'!W9</f>
        <v>25192.163568448879</v>
      </c>
      <c r="X9" s="1">
        <f>'Working Capital'!X9</f>
        <v>25955.604162396881</v>
      </c>
      <c r="Y9" s="1">
        <f>'Working Capital'!Y9</f>
        <v>25328.155644384158</v>
      </c>
      <c r="Z9" s="1">
        <f>'Working Capital'!Z9</f>
        <v>26057.148685682841</v>
      </c>
      <c r="AA9" s="1">
        <f>'Working Capital'!AA9</f>
        <v>25567.727458195237</v>
      </c>
      <c r="AB9" s="1">
        <f>'Working Capital'!AB9</f>
        <v>26448.497558495965</v>
      </c>
      <c r="AC9" s="1">
        <f>'Working Capital'!AC9</f>
        <v>25809.133878386237</v>
      </c>
      <c r="AD9" s="1">
        <f>'Working Capital'!AD9</f>
        <v>24573.39855623644</v>
      </c>
      <c r="AE9" s="1">
        <f>'Working Capital'!AE9</f>
        <v>26996.52227355049</v>
      </c>
      <c r="AF9" s="1">
        <f>'Working Capital'!AF9</f>
        <v>27524.663447165301</v>
      </c>
      <c r="AG9" s="1">
        <f>'Working Capital'!AG9</f>
        <v>26859.284626442524</v>
      </c>
      <c r="AH9" s="1">
        <f>'Working Capital'!AH9</f>
        <v>27355.884420809241</v>
      </c>
      <c r="AI9" s="1">
        <f>'Working Capital'!AI9</f>
        <v>26842.069548209689</v>
      </c>
      <c r="AJ9" s="1">
        <f>'Working Capital'!AJ9</f>
        <v>27813.058427813525</v>
      </c>
      <c r="AK9" s="1">
        <f>'Working Capital'!AK9</f>
        <v>34887.789873118796</v>
      </c>
      <c r="AL9" s="1">
        <f>'Working Capital'!AL9</f>
        <v>34697.788412221591</v>
      </c>
      <c r="AM9" s="1">
        <f>'Working Capital'!AM9</f>
        <v>38639.83884965218</v>
      </c>
      <c r="AN9" s="1">
        <f>'Working Capital'!AN9</f>
        <v>39494.233730425687</v>
      </c>
      <c r="AO9" s="1">
        <f>'Working Capital'!AO9</f>
        <v>39065.827794070399</v>
      </c>
      <c r="AP9" s="1">
        <f>'Working Capital'!AP9</f>
        <v>39498.95117215543</v>
      </c>
      <c r="AQ9" s="1">
        <f>'Working Capital'!AQ9</f>
        <v>39286.353147506423</v>
      </c>
      <c r="AR9" s="1">
        <f>'Working Capital'!AR9</f>
        <v>39914.290313580997</v>
      </c>
      <c r="AS9" s="1">
        <f>'Working Capital'!AS9</f>
        <v>39481.327896017414</v>
      </c>
      <c r="AT9" s="1">
        <f>'Working Capital'!AT9</f>
        <v>37192.1700795652</v>
      </c>
      <c r="AU9" s="1">
        <f>'Working Capital'!AU9</f>
        <v>41417.609712469937</v>
      </c>
      <c r="AV9" s="1">
        <f>'Working Capital'!AV9</f>
        <v>42337.66155864676</v>
      </c>
      <c r="AW9" s="1">
        <f>'Working Capital'!AW9</f>
        <v>41878.412097904555</v>
      </c>
      <c r="AX9" s="1">
        <f>'Working Capital'!AX9</f>
        <v>42573.487581537469</v>
      </c>
      <c r="AY9" s="1">
        <f>'Working Capital'!AY9</f>
        <v>42344.341260086949</v>
      </c>
      <c r="AZ9" s="1">
        <f>'Working Capital'!AZ9</f>
        <v>43284.979544670408</v>
      </c>
      <c r="BA9" s="1">
        <f>'Working Capital'!BA9</f>
        <v>42815.454238304781</v>
      </c>
      <c r="BB9" s="1">
        <f>'Working Capital'!BB9</f>
        <v>40332.981207187353</v>
      </c>
      <c r="BC9" s="1">
        <f>'Working Capital'!BC9</f>
        <v>44915.251532943061</v>
      </c>
      <c r="BD9" s="1">
        <f>'Working Capital'!BD9</f>
        <v>45913.000084374769</v>
      </c>
      <c r="BE9" s="1">
        <f>'Working Capital'!BE9</f>
        <v>45414.967841838225</v>
      </c>
      <c r="BF9" s="1">
        <f>'Working Capital'!BF9</f>
        <v>46168.741186038606</v>
      </c>
      <c r="BG9" s="1">
        <f>'Working Capital'!BG9</f>
        <v>45920.243874454252</v>
      </c>
      <c r="BH9" s="1">
        <f>'Working Capital'!BH9</f>
        <v>46940.317351578648</v>
      </c>
      <c r="BI9" s="1">
        <f>'Working Capital'!BI9</f>
        <v>46431.141486942863</v>
      </c>
      <c r="BJ9" s="1">
        <f>'Working Capital'!BJ9</f>
        <v>43739.028122833966</v>
      </c>
      <c r="BK9" t="s">
        <v>102</v>
      </c>
    </row>
    <row r="10" spans="1:63" ht="11.25" customHeight="1" x14ac:dyDescent="0.25">
      <c r="A10" s="12"/>
      <c r="B10" s="12" t="s">
        <v>265</v>
      </c>
      <c r="C10" s="22" t="s">
        <v>1</v>
      </c>
      <c r="D10" s="12"/>
      <c r="E10" s="1">
        <f t="shared" si="0"/>
        <v>10483264.960321303</v>
      </c>
      <c r="F10" s="303" t="s">
        <v>26</v>
      </c>
      <c r="G10" s="1">
        <f>Depreciation!G85</f>
        <v>0</v>
      </c>
      <c r="H10" s="1">
        <f>Depreciation!H85</f>
        <v>0</v>
      </c>
      <c r="I10" s="1">
        <f>Depreciation!I85</f>
        <v>0</v>
      </c>
      <c r="J10" s="1">
        <f>Depreciation!J85</f>
        <v>0</v>
      </c>
      <c r="K10" s="1">
        <f>Depreciation!K85</f>
        <v>0</v>
      </c>
      <c r="L10" s="1">
        <f>Depreciation!L85</f>
        <v>0</v>
      </c>
      <c r="M10" s="1">
        <f>Depreciation!M85</f>
        <v>0</v>
      </c>
      <c r="N10" s="1">
        <f>Depreciation!N85</f>
        <v>0</v>
      </c>
      <c r="O10" s="1">
        <f>Depreciation!O85</f>
        <v>0</v>
      </c>
      <c r="P10" s="1">
        <f>Depreciation!P85</f>
        <v>0</v>
      </c>
      <c r="Q10" s="1">
        <f>Depreciation!Q85</f>
        <v>0</v>
      </c>
      <c r="R10" s="1">
        <f>Depreciation!R85</f>
        <v>0</v>
      </c>
      <c r="S10" s="1">
        <f>Depreciation!S85</f>
        <v>0</v>
      </c>
      <c r="T10" s="1">
        <f>Depreciation!T85</f>
        <v>0</v>
      </c>
      <c r="U10" s="1">
        <f>Depreciation!U85</f>
        <v>0</v>
      </c>
      <c r="V10" s="1">
        <f>Depreciation!V85</f>
        <v>354077.33772114705</v>
      </c>
      <c r="W10" s="1">
        <f>Depreciation!W85</f>
        <v>349019.09003941639</v>
      </c>
      <c r="X10" s="1">
        <f>Depreciation!X85</f>
        <v>343960.84235768573</v>
      </c>
      <c r="Y10" s="1">
        <f>Depreciation!Y85</f>
        <v>338902.59467595507</v>
      </c>
      <c r="Z10" s="1">
        <f>Depreciation!Z85</f>
        <v>333844.34699422441</v>
      </c>
      <c r="AA10" s="1">
        <f>Depreciation!AA85</f>
        <v>328786.09931249375</v>
      </c>
      <c r="AB10" s="1">
        <f>Depreciation!AB85</f>
        <v>323727.85163076309</v>
      </c>
      <c r="AC10" s="1">
        <f>Depreciation!AC85</f>
        <v>318669.60394903243</v>
      </c>
      <c r="AD10" s="1">
        <f>Depreciation!AD85</f>
        <v>313611.35626730177</v>
      </c>
      <c r="AE10" s="1">
        <f>Depreciation!AE85</f>
        <v>308553.10858557111</v>
      </c>
      <c r="AF10" s="1">
        <f>Depreciation!AF85</f>
        <v>303494.86090384045</v>
      </c>
      <c r="AG10" s="1">
        <f>Depreciation!AG85</f>
        <v>298436.61322210979</v>
      </c>
      <c r="AH10" s="1">
        <f>Depreciation!AH85</f>
        <v>293378.36554037913</v>
      </c>
      <c r="AI10" s="1">
        <f>Depreciation!AI85</f>
        <v>288320.11785864847</v>
      </c>
      <c r="AJ10" s="1">
        <f>Depreciation!AJ85</f>
        <v>283261.87017691782</v>
      </c>
      <c r="AK10" s="1">
        <f>Depreciation!AK85</f>
        <v>278203.62249518716</v>
      </c>
      <c r="AL10" s="1">
        <f>Depreciation!AL85</f>
        <v>279192.78264769184</v>
      </c>
      <c r="AM10" s="1">
        <f>Depreciation!AM85</f>
        <v>273816.25034310669</v>
      </c>
      <c r="AN10" s="1">
        <f>Depreciation!AN85</f>
        <v>268439.71803852153</v>
      </c>
      <c r="AO10" s="1">
        <f>Depreciation!AO85</f>
        <v>263063.18573393638</v>
      </c>
      <c r="AP10" s="1">
        <f>Depreciation!AP85</f>
        <v>257686.65342935122</v>
      </c>
      <c r="AQ10" s="1">
        <f>Depreciation!AQ85</f>
        <v>252310.1211247661</v>
      </c>
      <c r="AR10" s="1">
        <f>Depreciation!AR85</f>
        <v>246933.58882018094</v>
      </c>
      <c r="AS10" s="1">
        <f>Depreciation!AS85</f>
        <v>241557.05651559579</v>
      </c>
      <c r="AT10" s="1">
        <f>Depreciation!AT85</f>
        <v>236180.52421101063</v>
      </c>
      <c r="AU10" s="1">
        <f>Depreciation!AU85</f>
        <v>230803.99190642548</v>
      </c>
      <c r="AV10" s="1">
        <f>Depreciation!AV85</f>
        <v>225427.45960184032</v>
      </c>
      <c r="AW10" s="1">
        <f>Depreciation!AW85</f>
        <v>220050.92729725517</v>
      </c>
      <c r="AX10" s="1">
        <f>Depreciation!AX85</f>
        <v>214674.39499267002</v>
      </c>
      <c r="AY10" s="1">
        <f>Depreciation!AY85</f>
        <v>209297.86268808486</v>
      </c>
      <c r="AZ10" s="1">
        <f>Depreciation!AZ85</f>
        <v>203921.33038349974</v>
      </c>
      <c r="BA10" s="1">
        <f>Depreciation!BA85</f>
        <v>198544.79807891458</v>
      </c>
      <c r="BB10" s="1">
        <f>Depreciation!BB85</f>
        <v>200681.44765721966</v>
      </c>
      <c r="BC10" s="1">
        <f>Depreciation!BC85</f>
        <v>194909.48472721924</v>
      </c>
      <c r="BD10" s="1">
        <f>Depreciation!BD85</f>
        <v>189137.5217972188</v>
      </c>
      <c r="BE10" s="1">
        <f>Depreciation!BE85</f>
        <v>183365.55886721838</v>
      </c>
      <c r="BF10" s="1">
        <f>Depreciation!BF85</f>
        <v>177911.88056007243</v>
      </c>
      <c r="BG10" s="1">
        <f>Depreciation!BG85</f>
        <v>172458.20225292651</v>
      </c>
      <c r="BH10" s="1">
        <f>Depreciation!BH85</f>
        <v>167004.52394578056</v>
      </c>
      <c r="BI10" s="1">
        <f>Depreciation!BI85</f>
        <v>161550.84563863464</v>
      </c>
      <c r="BJ10" s="1">
        <f>Depreciation!BJ85</f>
        <v>156097.16733148869</v>
      </c>
      <c r="BK10" t="s">
        <v>102</v>
      </c>
    </row>
    <row r="11" spans="1:63" ht="11.25" customHeight="1" thickBot="1" x14ac:dyDescent="0.3">
      <c r="A11" s="12"/>
      <c r="B11" s="46" t="s">
        <v>266</v>
      </c>
      <c r="C11" s="47" t="s">
        <v>1</v>
      </c>
      <c r="D11" s="107"/>
      <c r="E11" s="1">
        <f t="shared" si="0"/>
        <v>820000</v>
      </c>
      <c r="F11" s="309" t="s">
        <v>26</v>
      </c>
      <c r="G11" s="48">
        <f>IF(G1&gt;=Assumptions!$D$15,Assumptions!$D$24,0)</f>
        <v>0</v>
      </c>
      <c r="H11" s="48">
        <f>IF(H1&gt;=Assumptions!$D$15,Assumptions!$D$24,0)</f>
        <v>0</v>
      </c>
      <c r="I11" s="48">
        <f>IF(I1&gt;=Assumptions!$D$15,Assumptions!$D$24,0)</f>
        <v>0</v>
      </c>
      <c r="J11" s="48">
        <f>IF(J1&gt;=Assumptions!$D$15,Assumptions!$D$24,0)</f>
        <v>0</v>
      </c>
      <c r="K11" s="48">
        <f>IF(K1&gt;=Assumptions!$D$15,Assumptions!$D$24,0)</f>
        <v>0</v>
      </c>
      <c r="L11" s="48">
        <f>IF(L1&gt;=Assumptions!$D$15,Assumptions!$D$24,0)</f>
        <v>0</v>
      </c>
      <c r="M11" s="48">
        <f>IF(M1&gt;=Assumptions!$D$15,Assumptions!$D$24,0)</f>
        <v>0</v>
      </c>
      <c r="N11" s="48">
        <f>IF(N1&gt;=Assumptions!$D$15,Assumptions!$D$24,0)</f>
        <v>0</v>
      </c>
      <c r="O11" s="48">
        <f>IF(O1&gt;=Assumptions!$D$15,Assumptions!$D$24,0)</f>
        <v>0</v>
      </c>
      <c r="P11" s="48">
        <f>IF(P1&gt;=Assumptions!$D$15,Assumptions!$D$24,0)</f>
        <v>0</v>
      </c>
      <c r="Q11" s="48">
        <f>IF(Q1&gt;=Assumptions!$D$15,Assumptions!$D$24,0)</f>
        <v>0</v>
      </c>
      <c r="R11" s="48">
        <f>IF(R1&gt;=Assumptions!$D$15,Assumptions!$D$24,0)</f>
        <v>0</v>
      </c>
      <c r="S11" s="48">
        <f>IF(S1&gt;=Assumptions!$D$15,Assumptions!$D$24,0)</f>
        <v>0</v>
      </c>
      <c r="T11" s="48">
        <f>IF(T1&gt;=Assumptions!$D$15,Assumptions!$D$24,0)</f>
        <v>0</v>
      </c>
      <c r="U11" s="48">
        <f>IF(U1&gt;=Assumptions!$D$15,Assumptions!$D$24,0)</f>
        <v>0</v>
      </c>
      <c r="V11" s="48">
        <f>IF(V1&gt;=Assumptions!$D$15,Assumptions!$D$24,0)</f>
        <v>20000</v>
      </c>
      <c r="W11" s="48">
        <f>IF(W1&gt;=Assumptions!$D$15,Assumptions!$D$24,0)</f>
        <v>20000</v>
      </c>
      <c r="X11" s="48">
        <f>IF(X1&gt;=Assumptions!$D$15,Assumptions!$D$24,0)</f>
        <v>20000</v>
      </c>
      <c r="Y11" s="48">
        <f>IF(Y1&gt;=Assumptions!$D$15,Assumptions!$D$24,0)</f>
        <v>20000</v>
      </c>
      <c r="Z11" s="48">
        <f>IF(Z1&gt;=Assumptions!$D$15,Assumptions!$D$24,0)</f>
        <v>20000</v>
      </c>
      <c r="AA11" s="48">
        <f>IF(AA1&gt;=Assumptions!$D$15,Assumptions!$D$24,0)</f>
        <v>20000</v>
      </c>
      <c r="AB11" s="48">
        <f>IF(AB1&gt;=Assumptions!$D$15,Assumptions!$D$24,0)</f>
        <v>20000</v>
      </c>
      <c r="AC11" s="48">
        <f>IF(AC1&gt;=Assumptions!$D$15,Assumptions!$D$24,0)</f>
        <v>20000</v>
      </c>
      <c r="AD11" s="48">
        <f>IF(AD1&gt;=Assumptions!$D$15,Assumptions!$D$24,0)</f>
        <v>20000</v>
      </c>
      <c r="AE11" s="48">
        <f>IF(AE1&gt;=Assumptions!$D$15,Assumptions!$D$24,0)</f>
        <v>20000</v>
      </c>
      <c r="AF11" s="48">
        <f>IF(AF1&gt;=Assumptions!$D$15,Assumptions!$D$24,0)</f>
        <v>20000</v>
      </c>
      <c r="AG11" s="48">
        <f>IF(AG1&gt;=Assumptions!$D$15,Assumptions!$D$24,0)</f>
        <v>20000</v>
      </c>
      <c r="AH11" s="48">
        <f>IF(AH1&gt;=Assumptions!$D$15,Assumptions!$D$24,0)</f>
        <v>20000</v>
      </c>
      <c r="AI11" s="48">
        <f>IF(AI1&gt;=Assumptions!$D$15,Assumptions!$D$24,0)</f>
        <v>20000</v>
      </c>
      <c r="AJ11" s="48">
        <f>IF(AJ1&gt;=Assumptions!$D$15,Assumptions!$D$24,0)</f>
        <v>20000</v>
      </c>
      <c r="AK11" s="48">
        <f>IF(AK1&gt;=Assumptions!$D$15,Assumptions!$D$24,0)</f>
        <v>20000</v>
      </c>
      <c r="AL11" s="48">
        <f>IF(AL1&gt;=Assumptions!$D$15,Assumptions!$D$24,0)</f>
        <v>20000</v>
      </c>
      <c r="AM11" s="48">
        <f>IF(AM1&gt;=Assumptions!$D$15,Assumptions!$D$24,0)</f>
        <v>20000</v>
      </c>
      <c r="AN11" s="48">
        <f>IF(AN1&gt;=Assumptions!$D$15,Assumptions!$D$24,0)</f>
        <v>20000</v>
      </c>
      <c r="AO11" s="48">
        <f>IF(AO1&gt;=Assumptions!$D$15,Assumptions!$D$24,0)</f>
        <v>20000</v>
      </c>
      <c r="AP11" s="48">
        <f>IF(AP1&gt;=Assumptions!$D$15,Assumptions!$D$24,0)</f>
        <v>20000</v>
      </c>
      <c r="AQ11" s="48">
        <f>IF(AQ1&gt;=Assumptions!$D$15,Assumptions!$D$24,0)</f>
        <v>20000</v>
      </c>
      <c r="AR11" s="48">
        <f>IF(AR1&gt;=Assumptions!$D$15,Assumptions!$D$24,0)</f>
        <v>20000</v>
      </c>
      <c r="AS11" s="48">
        <f>IF(AS1&gt;=Assumptions!$D$15,Assumptions!$D$24,0)</f>
        <v>20000</v>
      </c>
      <c r="AT11" s="48">
        <f>IF(AT1&gt;=Assumptions!$D$15,Assumptions!$D$24,0)</f>
        <v>20000</v>
      </c>
      <c r="AU11" s="48">
        <f>IF(AU1&gt;=Assumptions!$D$15,Assumptions!$D$24,0)</f>
        <v>20000</v>
      </c>
      <c r="AV11" s="48">
        <f>IF(AV1&gt;=Assumptions!$D$15,Assumptions!$D$24,0)</f>
        <v>20000</v>
      </c>
      <c r="AW11" s="48">
        <f>IF(AW1&gt;=Assumptions!$D$15,Assumptions!$D$24,0)</f>
        <v>20000</v>
      </c>
      <c r="AX11" s="48">
        <f>IF(AX1&gt;=Assumptions!$D$15,Assumptions!$D$24,0)</f>
        <v>20000</v>
      </c>
      <c r="AY11" s="48">
        <f>IF(AY1&gt;=Assumptions!$D$15,Assumptions!$D$24,0)</f>
        <v>20000</v>
      </c>
      <c r="AZ11" s="48">
        <f>IF(AZ1&gt;=Assumptions!$D$15,Assumptions!$D$24,0)</f>
        <v>20000</v>
      </c>
      <c r="BA11" s="48">
        <f>IF(BA1&gt;=Assumptions!$D$15,Assumptions!$D$24,0)</f>
        <v>20000</v>
      </c>
      <c r="BB11" s="48">
        <f>IF(BB1&gt;=Assumptions!$D$15,Assumptions!$D$24,0)</f>
        <v>20000</v>
      </c>
      <c r="BC11" s="48">
        <f>IF(BC1&gt;=Assumptions!$D$15,Assumptions!$D$24,0)</f>
        <v>20000</v>
      </c>
      <c r="BD11" s="48">
        <f>IF(BD1&gt;=Assumptions!$D$15,Assumptions!$D$24,0)</f>
        <v>20000</v>
      </c>
      <c r="BE11" s="48">
        <f>IF(BE1&gt;=Assumptions!$D$15,Assumptions!$D$24,0)</f>
        <v>20000</v>
      </c>
      <c r="BF11" s="48">
        <f>IF(BF1&gt;=Assumptions!$D$15,Assumptions!$D$24,0)</f>
        <v>20000</v>
      </c>
      <c r="BG11" s="48">
        <f>IF(BG1&gt;=Assumptions!$D$15,Assumptions!$D$24,0)</f>
        <v>20000</v>
      </c>
      <c r="BH11" s="48">
        <f>IF(BH1&gt;=Assumptions!$D$15,Assumptions!$D$24,0)</f>
        <v>20000</v>
      </c>
      <c r="BI11" s="48">
        <f>IF(BI1&gt;=Assumptions!$D$15,Assumptions!$D$24,0)</f>
        <v>20000</v>
      </c>
      <c r="BJ11" s="48">
        <f>IF(BJ1&gt;=Assumptions!$D$15,Assumptions!$D$24,0)</f>
        <v>20000</v>
      </c>
      <c r="BK11" t="s">
        <v>102</v>
      </c>
    </row>
    <row r="12" spans="1:63" ht="11.25" customHeight="1" thickTop="1" x14ac:dyDescent="0.25">
      <c r="A12" s="12"/>
      <c r="B12" s="214" t="s">
        <v>267</v>
      </c>
      <c r="C12" s="215" t="s">
        <v>1</v>
      </c>
      <c r="D12" s="214"/>
      <c r="E12" s="1">
        <f t="shared" si="0"/>
        <v>13256189.21172885</v>
      </c>
      <c r="F12" s="310" t="s">
        <v>26</v>
      </c>
      <c r="G12" s="216">
        <f>SUM(G7:G11)</f>
        <v>0</v>
      </c>
      <c r="H12" s="216">
        <f t="shared" ref="H12:BJ12" si="1">SUM(H7:H11)</f>
        <v>0</v>
      </c>
      <c r="I12" s="216">
        <f t="shared" si="1"/>
        <v>0</v>
      </c>
      <c r="J12" s="216">
        <f t="shared" si="1"/>
        <v>0</v>
      </c>
      <c r="K12" s="216">
        <f t="shared" si="1"/>
        <v>0</v>
      </c>
      <c r="L12" s="216">
        <f t="shared" si="1"/>
        <v>0</v>
      </c>
      <c r="M12" s="216">
        <f t="shared" si="1"/>
        <v>0</v>
      </c>
      <c r="N12" s="216">
        <f t="shared" si="1"/>
        <v>0</v>
      </c>
      <c r="O12" s="216">
        <f t="shared" si="1"/>
        <v>0</v>
      </c>
      <c r="P12" s="216">
        <f t="shared" si="1"/>
        <v>0</v>
      </c>
      <c r="Q12" s="216">
        <f t="shared" si="1"/>
        <v>0</v>
      </c>
      <c r="R12" s="216">
        <f t="shared" si="1"/>
        <v>0</v>
      </c>
      <c r="S12" s="216">
        <f t="shared" si="1"/>
        <v>0</v>
      </c>
      <c r="T12" s="216">
        <f t="shared" si="1"/>
        <v>0</v>
      </c>
      <c r="U12" s="216">
        <f t="shared" si="1"/>
        <v>0</v>
      </c>
      <c r="V12" s="216">
        <f t="shared" si="1"/>
        <v>412807.64247024566</v>
      </c>
      <c r="W12" s="216">
        <f t="shared" si="1"/>
        <v>413796.46284162812</v>
      </c>
      <c r="X12" s="216">
        <f t="shared" si="1"/>
        <v>409501.65575384547</v>
      </c>
      <c r="Y12" s="216">
        <f t="shared" si="1"/>
        <v>403815.9595541021</v>
      </c>
      <c r="Z12" s="216">
        <f t="shared" si="1"/>
        <v>399486.70491367008</v>
      </c>
      <c r="AA12" s="216">
        <f t="shared" si="1"/>
        <v>393939.03600445186</v>
      </c>
      <c r="AB12" s="216">
        <f t="shared" si="1"/>
        <v>389761.55842302192</v>
      </c>
      <c r="AC12" s="216">
        <f t="shared" si="1"/>
        <v>384063.94706118153</v>
      </c>
      <c r="AD12" s="216">
        <f t="shared" si="1"/>
        <v>377769.96405730105</v>
      </c>
      <c r="AE12" s="216">
        <f t="shared" si="1"/>
        <v>375134.84009288449</v>
      </c>
      <c r="AF12" s="216">
        <f t="shared" si="1"/>
        <v>370604.7335847686</v>
      </c>
      <c r="AG12" s="216">
        <f t="shared" si="1"/>
        <v>364881.1070823152</v>
      </c>
      <c r="AH12" s="216">
        <f t="shared" si="1"/>
        <v>360319.45919495123</v>
      </c>
      <c r="AI12" s="216">
        <f t="shared" si="1"/>
        <v>354747.39664062101</v>
      </c>
      <c r="AJ12" s="216">
        <f t="shared" si="1"/>
        <v>350660.13783849421</v>
      </c>
      <c r="AK12" s="216">
        <f t="shared" si="1"/>
        <v>352676.62160206883</v>
      </c>
      <c r="AL12" s="216">
        <f t="shared" si="1"/>
        <v>340341.85844067211</v>
      </c>
      <c r="AM12" s="216">
        <f t="shared" si="1"/>
        <v>344182.62259391742</v>
      </c>
      <c r="AN12" s="216">
        <f t="shared" si="1"/>
        <v>347303.23332993721</v>
      </c>
      <c r="AO12" s="216">
        <f t="shared" si="1"/>
        <v>341714.22276176966</v>
      </c>
      <c r="AP12" s="216">
        <f t="shared" si="1"/>
        <v>336770.81383526954</v>
      </c>
      <c r="AQ12" s="216">
        <f t="shared" si="1"/>
        <v>331181.68350603536</v>
      </c>
      <c r="AR12" s="216">
        <f t="shared" si="1"/>
        <v>326433.08836752479</v>
      </c>
      <c r="AS12" s="216">
        <f t="shared" si="1"/>
        <v>320623.59364537604</v>
      </c>
      <c r="AT12" s="216">
        <f t="shared" si="1"/>
        <v>306829.8446270175</v>
      </c>
      <c r="AU12" s="216">
        <f t="shared" si="1"/>
        <v>310797.60871639615</v>
      </c>
      <c r="AV12" s="216">
        <f t="shared" si="1"/>
        <v>287765.12116048706</v>
      </c>
      <c r="AW12" s="216">
        <f t="shared" si="1"/>
        <v>281929.33939515974</v>
      </c>
      <c r="AX12" s="216">
        <f t="shared" si="1"/>
        <v>277247.8825742075</v>
      </c>
      <c r="AY12" s="216">
        <f t="shared" si="1"/>
        <v>271642.20394817181</v>
      </c>
      <c r="AZ12" s="216">
        <f t="shared" si="1"/>
        <v>267206.30992817017</v>
      </c>
      <c r="BA12" s="216">
        <f t="shared" si="1"/>
        <v>261360.25231721936</v>
      </c>
      <c r="BB12" s="216">
        <f t="shared" si="1"/>
        <v>261014.428864407</v>
      </c>
      <c r="BC12" s="216">
        <f t="shared" si="1"/>
        <v>259824.73626016232</v>
      </c>
      <c r="BD12" s="216">
        <f t="shared" si="1"/>
        <v>255050.52188159357</v>
      </c>
      <c r="BE12" s="216">
        <f t="shared" si="1"/>
        <v>248780.5267090566</v>
      </c>
      <c r="BF12" s="216">
        <f t="shared" si="1"/>
        <v>244080.62174611102</v>
      </c>
      <c r="BG12" s="216">
        <f t="shared" si="1"/>
        <v>238378.44612738077</v>
      </c>
      <c r="BH12" s="216">
        <f t="shared" si="1"/>
        <v>233944.84129735921</v>
      </c>
      <c r="BI12" s="216">
        <f t="shared" si="1"/>
        <v>227981.98712557749</v>
      </c>
      <c r="BJ12" s="216">
        <f t="shared" si="1"/>
        <v>219836.19545432265</v>
      </c>
      <c r="BK12" t="s">
        <v>102</v>
      </c>
    </row>
    <row r="13" spans="1:63" ht="11.25" customHeight="1" x14ac:dyDescent="0.25">
      <c r="A13" s="12"/>
      <c r="B13" s="12"/>
      <c r="C13" s="22"/>
      <c r="D13" s="12"/>
      <c r="E13" s="1">
        <f t="shared" si="0"/>
        <v>0</v>
      </c>
      <c r="F13" s="303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  <c r="AP13" s="108"/>
      <c r="AQ13" s="108"/>
      <c r="AR13" s="108"/>
      <c r="AS13" s="108"/>
      <c r="AT13" s="108"/>
      <c r="AU13" s="108"/>
      <c r="AV13" s="108"/>
      <c r="AW13" s="108"/>
      <c r="AX13" s="108"/>
      <c r="AY13" s="108"/>
      <c r="AZ13" s="108"/>
      <c r="BA13" s="108"/>
      <c r="BB13" s="108"/>
      <c r="BC13" s="108"/>
      <c r="BD13" s="108"/>
      <c r="BE13" s="108"/>
      <c r="BF13" s="108"/>
      <c r="BG13" s="108"/>
      <c r="BH13" s="108"/>
      <c r="BI13" s="108"/>
      <c r="BJ13" s="108"/>
      <c r="BK13" t="s">
        <v>102</v>
      </c>
    </row>
    <row r="14" spans="1:63" ht="11.25" customHeight="1" x14ac:dyDescent="0.25">
      <c r="A14" s="12" t="s">
        <v>26</v>
      </c>
      <c r="B14" s="17" t="s">
        <v>268</v>
      </c>
      <c r="C14" s="22"/>
      <c r="D14" s="12"/>
      <c r="E14" s="1">
        <f t="shared" si="0"/>
        <v>0</v>
      </c>
      <c r="F14" s="303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09"/>
      <c r="BJ14" s="109"/>
      <c r="BK14" t="s">
        <v>102</v>
      </c>
    </row>
    <row r="15" spans="1:63" ht="11.25" customHeight="1" x14ac:dyDescent="0.25">
      <c r="A15" s="12"/>
      <c r="B15" s="12" t="s">
        <v>269</v>
      </c>
      <c r="C15" s="22" t="s">
        <v>1</v>
      </c>
      <c r="D15" s="12"/>
      <c r="E15" s="1">
        <f t="shared" si="0"/>
        <v>5091588.2247976623</v>
      </c>
      <c r="F15" s="303" t="s">
        <v>26</v>
      </c>
      <c r="G15" s="1">
        <f>Debt!G17</f>
        <v>0</v>
      </c>
      <c r="H15" s="1">
        <f>Debt!H17</f>
        <v>0</v>
      </c>
      <c r="I15" s="1">
        <f>Debt!I17</f>
        <v>0</v>
      </c>
      <c r="J15" s="1">
        <f>Debt!J17</f>
        <v>0</v>
      </c>
      <c r="K15" s="1">
        <f>Debt!K17</f>
        <v>0</v>
      </c>
      <c r="L15" s="1">
        <f>Debt!L17</f>
        <v>0</v>
      </c>
      <c r="M15" s="1">
        <f>Debt!M17</f>
        <v>0</v>
      </c>
      <c r="N15" s="1">
        <f>Debt!N17</f>
        <v>0</v>
      </c>
      <c r="O15" s="1">
        <f>Debt!O17</f>
        <v>0</v>
      </c>
      <c r="P15" s="1">
        <f>Debt!P17</f>
        <v>0</v>
      </c>
      <c r="Q15" s="1">
        <f>Debt!Q17</f>
        <v>0</v>
      </c>
      <c r="R15" s="1">
        <f>Debt!R17</f>
        <v>0</v>
      </c>
      <c r="S15" s="1">
        <f>Debt!S17</f>
        <v>0</v>
      </c>
      <c r="T15" s="1">
        <f>Debt!T17</f>
        <v>0</v>
      </c>
      <c r="U15" s="1">
        <f>Debt!U17</f>
        <v>0</v>
      </c>
      <c r="V15" s="1">
        <f>Debt!V17</f>
        <v>330246.11397619656</v>
      </c>
      <c r="W15" s="1">
        <f>Debt!W17</f>
        <v>322269.05564869702</v>
      </c>
      <c r="X15" s="1">
        <f>Debt!X17</f>
        <v>314011.60372098588</v>
      </c>
      <c r="Y15" s="1">
        <f>Debt!Y17</f>
        <v>305463.90235801565</v>
      </c>
      <c r="Z15" s="1">
        <f>Debt!Z17</f>
        <v>296615.74929213704</v>
      </c>
      <c r="AA15" s="1">
        <f>Debt!AA17</f>
        <v>287456.5836459928</v>
      </c>
      <c r="AB15" s="1">
        <f>Debt!AB17</f>
        <v>277975.4733273866</v>
      </c>
      <c r="AC15" s="1">
        <f>Debt!AC17</f>
        <v>268161.10198108136</v>
      </c>
      <c r="AD15" s="1">
        <f>Debt!AD17</f>
        <v>258001.7554819535</v>
      </c>
      <c r="AE15" s="1">
        <f>Debt!AE17</f>
        <v>247485.3079533813</v>
      </c>
      <c r="AF15" s="1">
        <f>Debt!AF17</f>
        <v>236599.2072941798</v>
      </c>
      <c r="AG15" s="1">
        <f>Debt!AG17</f>
        <v>225330.46019680737</v>
      </c>
      <c r="AH15" s="1">
        <f>Debt!AH17</f>
        <v>213665.6166389623</v>
      </c>
      <c r="AI15" s="1">
        <f>Debt!AI17</f>
        <v>201590.75383005897</v>
      </c>
      <c r="AJ15" s="1">
        <f>Debt!AJ17</f>
        <v>189091.45959342268</v>
      </c>
      <c r="AK15" s="1">
        <f>Debt!AK17</f>
        <v>176152.81516436863</v>
      </c>
      <c r="AL15" s="1">
        <f>Debt!AL17</f>
        <v>162759.37738363331</v>
      </c>
      <c r="AM15" s="1">
        <f>Debt!AM17</f>
        <v>148895.16026490516</v>
      </c>
      <c r="AN15" s="1">
        <f>Debt!AN17</f>
        <v>134543.61591445372</v>
      </c>
      <c r="AO15" s="1">
        <f>Debt!AO17</f>
        <v>119687.61478008391</v>
      </c>
      <c r="AP15" s="1">
        <f>Debt!AP17</f>
        <v>104309.42520584101</v>
      </c>
      <c r="AQ15" s="1">
        <f>Debt!AQ17</f>
        <v>88390.69226806346</v>
      </c>
      <c r="AR15" s="1">
        <f>Debt!AR17</f>
        <v>71912.415867523028</v>
      </c>
      <c r="AS15" s="1">
        <f>Debt!AS17</f>
        <v>54854.928051503608</v>
      </c>
      <c r="AT15" s="1">
        <f>Debt!AT17</f>
        <v>37197.869538751103</v>
      </c>
      <c r="AU15" s="1">
        <f>Debt!AU17</f>
        <v>18920.165419275349</v>
      </c>
      <c r="AV15" s="1">
        <f>Debt!AV17</f>
        <v>2.1827872842550278E-11</v>
      </c>
      <c r="AW15" s="1">
        <f>Debt!AW17</f>
        <v>2.1827872842550278E-11</v>
      </c>
      <c r="AX15" s="1">
        <f>Debt!AX17</f>
        <v>2.1827872842550278E-11</v>
      </c>
      <c r="AY15" s="1">
        <f>Debt!AY17</f>
        <v>2.1827872842550278E-11</v>
      </c>
      <c r="AZ15" s="1">
        <f>Debt!AZ17</f>
        <v>2.1827872842550278E-11</v>
      </c>
      <c r="BA15" s="1">
        <f>Debt!BA17</f>
        <v>2.1827872842550278E-11</v>
      </c>
      <c r="BB15" s="1">
        <f>Debt!BB17</f>
        <v>2.1827872842550278E-11</v>
      </c>
      <c r="BC15" s="1">
        <f>Debt!BC17</f>
        <v>2.1827872842550278E-11</v>
      </c>
      <c r="BD15" s="1">
        <f>Debt!BD17</f>
        <v>2.1827872842550278E-11</v>
      </c>
      <c r="BE15" s="1">
        <f>Debt!BE17</f>
        <v>2.1827872842550278E-11</v>
      </c>
      <c r="BF15" s="1">
        <f>Debt!BF17</f>
        <v>2.1827872842550278E-11</v>
      </c>
      <c r="BG15" s="1">
        <f>Debt!BG17</f>
        <v>2.1827872842550278E-11</v>
      </c>
      <c r="BH15" s="1">
        <f>Debt!BH17</f>
        <v>2.1827872842550278E-11</v>
      </c>
      <c r="BI15" s="1">
        <f>Debt!BI17</f>
        <v>2.1827872842550278E-11</v>
      </c>
      <c r="BJ15" s="1">
        <f>Debt!BJ17</f>
        <v>2.1827872842550278E-11</v>
      </c>
      <c r="BK15" t="s">
        <v>102</v>
      </c>
    </row>
    <row r="16" spans="1:63" ht="11.25" customHeight="1" x14ac:dyDescent="0.25">
      <c r="A16" s="12"/>
      <c r="B16" s="12" t="s">
        <v>208</v>
      </c>
      <c r="C16" s="22" t="s">
        <v>1</v>
      </c>
      <c r="D16" s="12"/>
      <c r="E16" s="1">
        <f t="shared" si="0"/>
        <v>487942.88856517937</v>
      </c>
      <c r="F16" s="303" t="s">
        <v>26</v>
      </c>
      <c r="G16" s="1">
        <f>'Working Capital'!G19</f>
        <v>0</v>
      </c>
      <c r="H16" s="1">
        <f>'Working Capital'!H19</f>
        <v>0</v>
      </c>
      <c r="I16" s="1">
        <f>'Working Capital'!I19</f>
        <v>0</v>
      </c>
      <c r="J16" s="1">
        <f>'Working Capital'!J19</f>
        <v>0</v>
      </c>
      <c r="K16" s="1">
        <f>'Working Capital'!K19</f>
        <v>0</v>
      </c>
      <c r="L16" s="1">
        <f>'Working Capital'!L19</f>
        <v>0</v>
      </c>
      <c r="M16" s="1">
        <f>'Working Capital'!M19</f>
        <v>0</v>
      </c>
      <c r="N16" s="1">
        <f>'Working Capital'!N19</f>
        <v>0</v>
      </c>
      <c r="O16" s="1">
        <f>'Working Capital'!O19</f>
        <v>0</v>
      </c>
      <c r="P16" s="1">
        <f>'Working Capital'!P19</f>
        <v>0</v>
      </c>
      <c r="Q16" s="1">
        <f>'Working Capital'!Q19</f>
        <v>0</v>
      </c>
      <c r="R16" s="1">
        <f>'Working Capital'!R19</f>
        <v>0</v>
      </c>
      <c r="S16" s="1">
        <f>'Working Capital'!S19</f>
        <v>0</v>
      </c>
      <c r="T16" s="1">
        <f>'Working Capital'!T19</f>
        <v>0</v>
      </c>
      <c r="U16" s="1">
        <f>'Working Capital'!U19</f>
        <v>0</v>
      </c>
      <c r="V16" s="1">
        <f>'Working Capital'!V19</f>
        <v>0</v>
      </c>
      <c r="W16" s="1">
        <f>'Working Capital'!W19</f>
        <v>6047.0680531131302</v>
      </c>
      <c r="X16" s="1">
        <f>'Working Capital'!X19</f>
        <v>6171.3042712587303</v>
      </c>
      <c r="Y16" s="1">
        <f>'Working Capital'!Y19</f>
        <v>6094.705140848595</v>
      </c>
      <c r="Z16" s="1">
        <f>'Working Capital'!Z19</f>
        <v>6186.3977562574037</v>
      </c>
      <c r="AA16" s="1">
        <f>'Working Capital'!AA19</f>
        <v>6144.0378122814309</v>
      </c>
      <c r="AB16" s="1">
        <f>'Working Capital'!AB19</f>
        <v>6271.6154871869458</v>
      </c>
      <c r="AC16" s="1">
        <f>'Working Capital'!AC19</f>
        <v>6193.3332559026539</v>
      </c>
      <c r="AD16" s="1">
        <f>'Working Capital'!AD19</f>
        <v>5856.4852020823928</v>
      </c>
      <c r="AE16" s="1">
        <f>'Working Capital'!AE19</f>
        <v>6397.1572289558117</v>
      </c>
      <c r="AF16" s="1">
        <f>'Working Capital'!AF19</f>
        <v>6527.3292532455025</v>
      </c>
      <c r="AG16" s="1">
        <f>'Working Capital'!AG19</f>
        <v>6445.0430660238662</v>
      </c>
      <c r="AH16" s="1">
        <f>'Working Capital'!AH19</f>
        <v>6540.6686492271638</v>
      </c>
      <c r="AI16" s="1">
        <f>'Working Capital'!AI19</f>
        <v>6494.5037523535502</v>
      </c>
      <c r="AJ16" s="1">
        <f>'Working Capital'!AJ19</f>
        <v>6627.8989398424783</v>
      </c>
      <c r="AK16" s="1">
        <f>'Working Capital'!AK19</f>
        <v>13140.05695668002</v>
      </c>
      <c r="AL16" s="1">
        <f>'Working Capital'!AL19</f>
        <v>12452.672066254705</v>
      </c>
      <c r="AM16" s="1">
        <f>'Working Capital'!AM19</f>
        <v>13783.179316743079</v>
      </c>
      <c r="AN16" s="1">
        <f>'Working Capital'!AN19</f>
        <v>14012.521014684628</v>
      </c>
      <c r="AO16" s="1">
        <f>'Working Capital'!AO19</f>
        <v>13934.265077638343</v>
      </c>
      <c r="AP16" s="1">
        <f>'Working Capital'!AP19</f>
        <v>14086.756147625683</v>
      </c>
      <c r="AQ16" s="1">
        <f>'Working Capital'!AQ19</f>
        <v>14085.550697531384</v>
      </c>
      <c r="AR16" s="1">
        <f>'Working Capital'!AR19</f>
        <v>14316.782087599624</v>
      </c>
      <c r="AS16" s="1">
        <f>'Working Capital'!AS19</f>
        <v>14236.973663456542</v>
      </c>
      <c r="AT16" s="1">
        <f>'Working Capital'!AT19</f>
        <v>13494.31275723235</v>
      </c>
      <c r="AU16" s="1">
        <f>'Working Capital'!AU19</f>
        <v>14933.265492332353</v>
      </c>
      <c r="AV16" s="1">
        <f>'Working Capital'!AV19</f>
        <v>15346.34084652542</v>
      </c>
      <c r="AW16" s="1">
        <f>'Working Capital'!AW19</f>
        <v>15260.79299776737</v>
      </c>
      <c r="AX16" s="1">
        <f>'Working Capital'!AX19</f>
        <v>15596.80881656217</v>
      </c>
      <c r="AY16" s="1">
        <f>'Working Capital'!AY19</f>
        <v>15595.604960953584</v>
      </c>
      <c r="AZ16" s="1">
        <f>'Working Capital'!AZ19</f>
        <v>16027.105076137188</v>
      </c>
      <c r="BA16" s="1">
        <f>'Working Capital'!BA19</f>
        <v>15937.864932849348</v>
      </c>
      <c r="BB16" s="1">
        <f>'Working Capital'!BB19</f>
        <v>15106.126986257907</v>
      </c>
      <c r="BC16" s="1">
        <f>'Working Capital'!BC19</f>
        <v>16717.464184305732</v>
      </c>
      <c r="BD16" s="1">
        <f>'Working Capital'!BD19</f>
        <v>17180.003004436694</v>
      </c>
      <c r="BE16" s="1">
        <f>'Working Capital'!BE19</f>
        <v>17084.342160636195</v>
      </c>
      <c r="BF16" s="1">
        <f>'Working Capital'!BF19</f>
        <v>17460.619756845339</v>
      </c>
      <c r="BG16" s="1">
        <f>'Working Capital'!BG19</f>
        <v>17459.381791023327</v>
      </c>
      <c r="BH16" s="1">
        <f>'Working Capital'!BH19</f>
        <v>17942.561089935491</v>
      </c>
      <c r="BI16" s="1">
        <f>'Working Capital'!BI19</f>
        <v>17842.766331080013</v>
      </c>
      <c r="BJ16" s="1">
        <f>'Working Capital'!BJ19</f>
        <v>16911.222483505237</v>
      </c>
      <c r="BK16" t="s">
        <v>102</v>
      </c>
    </row>
    <row r="17" spans="1:63" ht="11.25" customHeight="1" x14ac:dyDescent="0.25">
      <c r="A17" s="12"/>
      <c r="B17" s="12" t="s">
        <v>204</v>
      </c>
      <c r="C17" s="22" t="s">
        <v>1</v>
      </c>
      <c r="D17" s="12"/>
      <c r="E17" s="1">
        <f t="shared" ca="1" si="0"/>
        <v>292274.89181035646</v>
      </c>
      <c r="F17" s="303" t="s">
        <v>26</v>
      </c>
      <c r="G17" s="1">
        <f ca="1">Costs!G64</f>
        <v>0</v>
      </c>
      <c r="H17" s="1">
        <f ca="1">Costs!H64</f>
        <v>0</v>
      </c>
      <c r="I17" s="1">
        <f ca="1">Costs!I64</f>
        <v>0</v>
      </c>
      <c r="J17" s="1">
        <f ca="1">Costs!J64</f>
        <v>0</v>
      </c>
      <c r="K17" s="1">
        <f ca="1">Costs!K64</f>
        <v>0</v>
      </c>
      <c r="L17" s="1">
        <f ca="1">Costs!L64</f>
        <v>0</v>
      </c>
      <c r="M17" s="1">
        <f ca="1">Costs!M64</f>
        <v>0</v>
      </c>
      <c r="N17" s="1">
        <f ca="1">Costs!N64</f>
        <v>0</v>
      </c>
      <c r="O17" s="1">
        <f ca="1">Costs!O64</f>
        <v>0</v>
      </c>
      <c r="P17" s="1">
        <f ca="1">Costs!P64</f>
        <v>0</v>
      </c>
      <c r="Q17" s="1">
        <f ca="1">Costs!Q64</f>
        <v>0</v>
      </c>
      <c r="R17" s="1">
        <f ca="1">Costs!R64</f>
        <v>0</v>
      </c>
      <c r="S17" s="1">
        <f ca="1">Costs!S64</f>
        <v>0</v>
      </c>
      <c r="T17" s="1">
        <f ca="1">Costs!T64</f>
        <v>0</v>
      </c>
      <c r="U17" s="1">
        <f ca="1">Costs!U64</f>
        <v>0</v>
      </c>
      <c r="V17" s="1">
        <f ca="1">Costs!V64</f>
        <v>0</v>
      </c>
      <c r="W17" s="1">
        <f ca="1">Costs!W64</f>
        <v>1660.7635688695884</v>
      </c>
      <c r="X17" s="1">
        <f ca="1">Costs!X64</f>
        <v>3321.5271377391769</v>
      </c>
      <c r="Y17" s="1">
        <f ca="1">Costs!Y64</f>
        <v>4982.2907066087655</v>
      </c>
      <c r="Z17" s="1">
        <f ca="1">Costs!Z64</f>
        <v>6643.0542754783537</v>
      </c>
      <c r="AA17" s="1">
        <f ca="1">Costs!AA64</f>
        <v>8303.8178443479428</v>
      </c>
      <c r="AB17" s="1">
        <f ca="1">Costs!AB64</f>
        <v>9964.581413217531</v>
      </c>
      <c r="AC17" s="1">
        <f ca="1">Costs!AC64</f>
        <v>11625.344982087119</v>
      </c>
      <c r="AD17" s="1">
        <f>Costs!AD64</f>
        <v>0</v>
      </c>
      <c r="AE17" s="1">
        <f ca="1">Costs!AE64</f>
        <v>1851.1223807224148</v>
      </c>
      <c r="AF17" s="1">
        <f ca="1">Costs!AF64</f>
        <v>3702.2447614448297</v>
      </c>
      <c r="AG17" s="1">
        <f ca="1">Costs!AG64</f>
        <v>5553.3671421672443</v>
      </c>
      <c r="AH17" s="1">
        <f ca="1">Costs!AH64</f>
        <v>7404.4895228896594</v>
      </c>
      <c r="AI17" s="1">
        <f ca="1">Costs!AI64</f>
        <v>9255.6119036120745</v>
      </c>
      <c r="AJ17" s="1">
        <f ca="1">Costs!AJ64</f>
        <v>11106.734284334489</v>
      </c>
      <c r="AK17" s="1">
        <f ca="1">Costs!AK64</f>
        <v>12957.856665056905</v>
      </c>
      <c r="AL17" s="1">
        <f>Costs!AL64</f>
        <v>0</v>
      </c>
      <c r="AM17" s="1">
        <f ca="1">Costs!AM64</f>
        <v>2063.3003593303774</v>
      </c>
      <c r="AN17" s="1">
        <f ca="1">Costs!AN64</f>
        <v>4126.6007186607549</v>
      </c>
      <c r="AO17" s="1">
        <f ca="1">Costs!AO64</f>
        <v>6189.9010779911323</v>
      </c>
      <c r="AP17" s="1">
        <f ca="1">Costs!AP64</f>
        <v>8253.2014373215097</v>
      </c>
      <c r="AQ17" s="1">
        <f ca="1">Costs!AQ64</f>
        <v>10316.501796651886</v>
      </c>
      <c r="AR17" s="1">
        <f ca="1">Costs!AR64</f>
        <v>12379.802155982265</v>
      </c>
      <c r="AS17" s="1">
        <f ca="1">Costs!AS64</f>
        <v>14443.102515312643</v>
      </c>
      <c r="AT17" s="1">
        <f>Costs!AT64</f>
        <v>0</v>
      </c>
      <c r="AU17" s="1">
        <f ca="1">Costs!AU64</f>
        <v>2299.7984450663148</v>
      </c>
      <c r="AV17" s="1">
        <f ca="1">Costs!AV64</f>
        <v>4599.5968901326296</v>
      </c>
      <c r="AW17" s="1">
        <f ca="1">Costs!AW64</f>
        <v>6899.3953351989439</v>
      </c>
      <c r="AX17" s="1">
        <f ca="1">Costs!AX64</f>
        <v>9199.1937802652592</v>
      </c>
      <c r="AY17" s="1">
        <f ca="1">Costs!AY64</f>
        <v>11498.992225331574</v>
      </c>
      <c r="AZ17" s="1">
        <f ca="1">Costs!AZ64</f>
        <v>13798.790670397888</v>
      </c>
      <c r="BA17" s="1">
        <f ca="1">Costs!BA64</f>
        <v>16098.589115464203</v>
      </c>
      <c r="BB17" s="1">
        <f>Costs!BB64</f>
        <v>0</v>
      </c>
      <c r="BC17" s="1">
        <f ca="1">Costs!BC64</f>
        <v>2563.4042392383203</v>
      </c>
      <c r="BD17" s="1">
        <f ca="1">Costs!BD64</f>
        <v>5126.8084784766406</v>
      </c>
      <c r="BE17" s="1">
        <f ca="1">Costs!BE64</f>
        <v>7690.2127177149614</v>
      </c>
      <c r="BF17" s="1">
        <f ca="1">Costs!BF64</f>
        <v>10253.616956953281</v>
      </c>
      <c r="BG17" s="1">
        <f ca="1">Costs!BG64</f>
        <v>12817.021196191601</v>
      </c>
      <c r="BH17" s="1">
        <f ca="1">Costs!BH64</f>
        <v>15380.425435429923</v>
      </c>
      <c r="BI17" s="1">
        <f ca="1">Costs!BI64</f>
        <v>17943.829674668243</v>
      </c>
      <c r="BJ17" s="1">
        <f>Costs!BJ64</f>
        <v>0</v>
      </c>
      <c r="BK17" t="s">
        <v>102</v>
      </c>
    </row>
    <row r="18" spans="1:63" ht="11.25" customHeight="1" x14ac:dyDescent="0.25">
      <c r="A18" s="12"/>
      <c r="B18" s="63" t="s">
        <v>227</v>
      </c>
      <c r="C18" s="110" t="s">
        <v>1</v>
      </c>
      <c r="D18" s="63"/>
      <c r="E18" s="1">
        <f t="shared" ca="1" si="0"/>
        <v>717042.56822078547</v>
      </c>
      <c r="F18" s="303" t="s">
        <v>26</v>
      </c>
      <c r="G18" s="111">
        <f ca="1">Tax!G27</f>
        <v>0</v>
      </c>
      <c r="H18" s="111">
        <f ca="1">Tax!H27</f>
        <v>0</v>
      </c>
      <c r="I18" s="111">
        <f ca="1">Tax!I27</f>
        <v>0</v>
      </c>
      <c r="J18" s="111">
        <f ca="1">Tax!J27</f>
        <v>0</v>
      </c>
      <c r="K18" s="111">
        <f ca="1">Tax!K27</f>
        <v>0</v>
      </c>
      <c r="L18" s="111">
        <f ca="1">Tax!L27</f>
        <v>0</v>
      </c>
      <c r="M18" s="111">
        <f ca="1">Tax!M27</f>
        <v>0</v>
      </c>
      <c r="N18" s="111">
        <f ca="1">Tax!N27</f>
        <v>0</v>
      </c>
      <c r="O18" s="111">
        <f ca="1">Tax!O27</f>
        <v>0</v>
      </c>
      <c r="P18" s="111">
        <f ca="1">Tax!P27</f>
        <v>0</v>
      </c>
      <c r="Q18" s="111">
        <f ca="1">Tax!Q27</f>
        <v>0</v>
      </c>
      <c r="R18" s="111">
        <f ca="1">Tax!R27</f>
        <v>0</v>
      </c>
      <c r="S18" s="111">
        <f ca="1">Tax!S27</f>
        <v>0</v>
      </c>
      <c r="T18" s="111">
        <f ca="1">Tax!T27</f>
        <v>0</v>
      </c>
      <c r="U18" s="111">
        <f ca="1">Tax!U27</f>
        <v>0</v>
      </c>
      <c r="V18" s="111">
        <f ca="1">Tax!V27</f>
        <v>0</v>
      </c>
      <c r="W18" s="111">
        <f ca="1">Tax!W27</f>
        <v>533.23054810710437</v>
      </c>
      <c r="X18" s="111">
        <f ca="1">Tax!X27</f>
        <v>1066.4610962142078</v>
      </c>
      <c r="Y18" s="111">
        <f ca="1">Tax!Y27</f>
        <v>1599.6916443213113</v>
      </c>
      <c r="Z18" s="111">
        <f ca="1">Tax!Z27</f>
        <v>2132.9221924284147</v>
      </c>
      <c r="AA18" s="111">
        <f ca="1">Tax!AA27</f>
        <v>2666.1527405355182</v>
      </c>
      <c r="AB18" s="111">
        <f ca="1">Tax!AB27</f>
        <v>3199.3832886426217</v>
      </c>
      <c r="AC18" s="111">
        <f ca="1">Tax!AC27</f>
        <v>3732.6138367497251</v>
      </c>
      <c r="AD18" s="111">
        <f ca="1">Tax!AD27</f>
        <v>7587.3715225960059</v>
      </c>
      <c r="AE18" s="111">
        <f ca="1">Tax!AE27</f>
        <v>8073.0123677399024</v>
      </c>
      <c r="AF18" s="111">
        <f ca="1">Tax!AF27</f>
        <v>8558.6532128837989</v>
      </c>
      <c r="AG18" s="111">
        <f ca="1">Tax!AG27</f>
        <v>9044.2940580276954</v>
      </c>
      <c r="AH18" s="111">
        <f ca="1">Tax!AH27</f>
        <v>9529.9349031715919</v>
      </c>
      <c r="AI18" s="111">
        <f ca="1">Tax!AI27</f>
        <v>10015.575748315488</v>
      </c>
      <c r="AJ18" s="111">
        <f ca="1">Tax!AJ27</f>
        <v>10501.216593459385</v>
      </c>
      <c r="AK18" s="111">
        <f ca="1">Tax!AK27</f>
        <v>10986.857438603281</v>
      </c>
      <c r="AL18" s="111">
        <f ca="1">Tax!AL27</f>
        <v>15254.314200905628</v>
      </c>
      <c r="AM18" s="111">
        <f ca="1">Tax!AM27</f>
        <v>15766.481707111157</v>
      </c>
      <c r="AN18" s="111">
        <f ca="1">Tax!AN27</f>
        <v>16278.649213316687</v>
      </c>
      <c r="AO18" s="111">
        <f ca="1">Tax!AO27</f>
        <v>16790.81671952222</v>
      </c>
      <c r="AP18" s="111">
        <f ca="1">Tax!AP27</f>
        <v>17302.984225727749</v>
      </c>
      <c r="AQ18" s="111">
        <f ca="1">Tax!AQ27</f>
        <v>17815.151731933278</v>
      </c>
      <c r="AR18" s="111">
        <f ca="1">Tax!AR27</f>
        <v>18327.319238138807</v>
      </c>
      <c r="AS18" s="111">
        <f ca="1">Tax!AS27</f>
        <v>18839.486744344336</v>
      </c>
      <c r="AT18" s="111">
        <f ca="1">Tax!AT27</f>
        <v>23478.254969210622</v>
      </c>
      <c r="AU18" s="111">
        <f ca="1">Tax!AU27</f>
        <v>23931.297953982164</v>
      </c>
      <c r="AV18" s="111">
        <f ca="1">Tax!AV27</f>
        <v>24225.198627326463</v>
      </c>
      <c r="AW18" s="111">
        <f ca="1">Tax!AW27</f>
        <v>24519.099300670761</v>
      </c>
      <c r="AX18" s="111">
        <f ca="1">Tax!AX27</f>
        <v>24812.99997401506</v>
      </c>
      <c r="AY18" s="111">
        <f ca="1">Tax!AY27</f>
        <v>25106.900647359358</v>
      </c>
      <c r="AZ18" s="111">
        <f ca="1">Tax!AZ27</f>
        <v>25400.801320703657</v>
      </c>
      <c r="BA18" s="111">
        <f ca="1">Tax!BA27</f>
        <v>25694.701994047955</v>
      </c>
      <c r="BB18" s="111">
        <f ca="1">Tax!BB27</f>
        <v>30687.057213878703</v>
      </c>
      <c r="BC18" s="111">
        <f ca="1">Tax!BC27</f>
        <v>31013.914095033819</v>
      </c>
      <c r="BD18" s="111">
        <f ca="1">Tax!BD27</f>
        <v>31340.770976188935</v>
      </c>
      <c r="BE18" s="111">
        <f ca="1">Tax!BE27</f>
        <v>31667.62785734405</v>
      </c>
      <c r="BF18" s="111">
        <f ca="1">Tax!BF27</f>
        <v>32074.05589421279</v>
      </c>
      <c r="BG18" s="111">
        <f ca="1">Tax!BG27</f>
        <v>32480.48393108153</v>
      </c>
      <c r="BH18" s="111">
        <f ca="1">Tax!BH27</f>
        <v>32886.911967950269</v>
      </c>
      <c r="BI18" s="111">
        <f ca="1">Tax!BI27</f>
        <v>33293.340004819009</v>
      </c>
      <c r="BJ18" s="111">
        <f ca="1">Tax!BJ27</f>
        <v>38826.576520164388</v>
      </c>
      <c r="BK18" t="s">
        <v>102</v>
      </c>
    </row>
    <row r="19" spans="1:63" ht="11.25" customHeight="1" x14ac:dyDescent="0.25">
      <c r="A19" s="12"/>
      <c r="B19" s="214" t="s">
        <v>270</v>
      </c>
      <c r="C19" s="215" t="s">
        <v>1</v>
      </c>
      <c r="D19" s="214"/>
      <c r="E19" s="1">
        <f t="shared" ca="1" si="0"/>
        <v>6588848.5733939819</v>
      </c>
      <c r="F19" s="307" t="s">
        <v>26</v>
      </c>
      <c r="G19" s="216">
        <f ca="1">SUM(G15:G18)</f>
        <v>0</v>
      </c>
      <c r="H19" s="216">
        <f t="shared" ref="H19:BJ19" ca="1" si="2">SUM(H15:H18)</f>
        <v>0</v>
      </c>
      <c r="I19" s="216">
        <f t="shared" ca="1" si="2"/>
        <v>0</v>
      </c>
      <c r="J19" s="216">
        <f t="shared" ca="1" si="2"/>
        <v>0</v>
      </c>
      <c r="K19" s="216">
        <f t="shared" ca="1" si="2"/>
        <v>0</v>
      </c>
      <c r="L19" s="216">
        <f t="shared" ca="1" si="2"/>
        <v>0</v>
      </c>
      <c r="M19" s="216">
        <f t="shared" ca="1" si="2"/>
        <v>0</v>
      </c>
      <c r="N19" s="216">
        <f t="shared" ca="1" si="2"/>
        <v>0</v>
      </c>
      <c r="O19" s="216">
        <f t="shared" ca="1" si="2"/>
        <v>0</v>
      </c>
      <c r="P19" s="216">
        <f t="shared" ca="1" si="2"/>
        <v>0</v>
      </c>
      <c r="Q19" s="216">
        <f t="shared" ca="1" si="2"/>
        <v>0</v>
      </c>
      <c r="R19" s="216">
        <f t="shared" ca="1" si="2"/>
        <v>0</v>
      </c>
      <c r="S19" s="216">
        <f t="shared" ca="1" si="2"/>
        <v>0</v>
      </c>
      <c r="T19" s="216">
        <f t="shared" ca="1" si="2"/>
        <v>0</v>
      </c>
      <c r="U19" s="216">
        <f t="shared" ca="1" si="2"/>
        <v>0</v>
      </c>
      <c r="V19" s="216">
        <f t="shared" ca="1" si="2"/>
        <v>330246.11397619656</v>
      </c>
      <c r="W19" s="216">
        <f t="shared" ca="1" si="2"/>
        <v>330510.11781878688</v>
      </c>
      <c r="X19" s="216">
        <f t="shared" ca="1" si="2"/>
        <v>324570.89622619795</v>
      </c>
      <c r="Y19" s="216">
        <f t="shared" ca="1" si="2"/>
        <v>318140.58984979434</v>
      </c>
      <c r="Z19" s="216">
        <f t="shared" ca="1" si="2"/>
        <v>311578.12351630122</v>
      </c>
      <c r="AA19" s="216">
        <f t="shared" ca="1" si="2"/>
        <v>304570.59204315773</v>
      </c>
      <c r="AB19" s="216">
        <f t="shared" ca="1" si="2"/>
        <v>297411.05351643369</v>
      </c>
      <c r="AC19" s="216">
        <f t="shared" ca="1" si="2"/>
        <v>289712.39405582089</v>
      </c>
      <c r="AD19" s="216">
        <f t="shared" ca="1" si="2"/>
        <v>271445.61220663186</v>
      </c>
      <c r="AE19" s="216">
        <f t="shared" ca="1" si="2"/>
        <v>263806.59993079945</v>
      </c>
      <c r="AF19" s="216">
        <f t="shared" ca="1" si="2"/>
        <v>255387.43452175392</v>
      </c>
      <c r="AG19" s="216">
        <f t="shared" ca="1" si="2"/>
        <v>246373.16446302619</v>
      </c>
      <c r="AH19" s="216">
        <f t="shared" ca="1" si="2"/>
        <v>237140.7097142507</v>
      </c>
      <c r="AI19" s="216">
        <f t="shared" ca="1" si="2"/>
        <v>227356.44523434006</v>
      </c>
      <c r="AJ19" s="216">
        <f t="shared" ca="1" si="2"/>
        <v>217327.30941105905</v>
      </c>
      <c r="AK19" s="216">
        <f t="shared" ca="1" si="2"/>
        <v>213237.58622470882</v>
      </c>
      <c r="AL19" s="216">
        <f t="shared" ca="1" si="2"/>
        <v>190466.36365079365</v>
      </c>
      <c r="AM19" s="216">
        <f t="shared" ca="1" si="2"/>
        <v>180508.12164808976</v>
      </c>
      <c r="AN19" s="216">
        <f t="shared" ca="1" si="2"/>
        <v>168961.38686111578</v>
      </c>
      <c r="AO19" s="216">
        <f t="shared" ca="1" si="2"/>
        <v>156602.59765523562</v>
      </c>
      <c r="AP19" s="216">
        <f t="shared" ca="1" si="2"/>
        <v>143952.36701651593</v>
      </c>
      <c r="AQ19" s="216">
        <f t="shared" ca="1" si="2"/>
        <v>130607.89649418001</v>
      </c>
      <c r="AR19" s="216">
        <f t="shared" ca="1" si="2"/>
        <v>116936.31934924373</v>
      </c>
      <c r="AS19" s="216">
        <f t="shared" ca="1" si="2"/>
        <v>102374.49097461712</v>
      </c>
      <c r="AT19" s="216">
        <f t="shared" ca="1" si="2"/>
        <v>74170.437265194079</v>
      </c>
      <c r="AU19" s="216">
        <f t="shared" ca="1" si="2"/>
        <v>60084.52731065618</v>
      </c>
      <c r="AV19" s="216">
        <f t="shared" ca="1" si="2"/>
        <v>44171.136363984537</v>
      </c>
      <c r="AW19" s="216">
        <f t="shared" ca="1" si="2"/>
        <v>46679.287633637097</v>
      </c>
      <c r="AX19" s="216">
        <f t="shared" ca="1" si="2"/>
        <v>49609.002570842509</v>
      </c>
      <c r="AY19" s="216">
        <f t="shared" ca="1" si="2"/>
        <v>52201.497833644535</v>
      </c>
      <c r="AZ19" s="216">
        <f t="shared" ca="1" si="2"/>
        <v>55226.697067238754</v>
      </c>
      <c r="BA19" s="216">
        <f t="shared" ca="1" si="2"/>
        <v>57731.15604236153</v>
      </c>
      <c r="BB19" s="216">
        <f t="shared" ca="1" si="2"/>
        <v>45793.184200136631</v>
      </c>
      <c r="BC19" s="216">
        <f t="shared" ca="1" si="2"/>
        <v>50294.782518577893</v>
      </c>
      <c r="BD19" s="216">
        <f t="shared" ca="1" si="2"/>
        <v>53647.58245910229</v>
      </c>
      <c r="BE19" s="216">
        <f t="shared" ca="1" si="2"/>
        <v>56442.182735695227</v>
      </c>
      <c r="BF19" s="216">
        <f t="shared" ca="1" si="2"/>
        <v>59788.292608011434</v>
      </c>
      <c r="BG19" s="216">
        <f t="shared" ca="1" si="2"/>
        <v>62756.886918296477</v>
      </c>
      <c r="BH19" s="216">
        <f t="shared" ca="1" si="2"/>
        <v>66209.898493315704</v>
      </c>
      <c r="BI19" s="216">
        <f t="shared" ca="1" si="2"/>
        <v>69079.936010567282</v>
      </c>
      <c r="BJ19" s="216">
        <f t="shared" ca="1" si="2"/>
        <v>55737.799003669643</v>
      </c>
      <c r="BK19" t="s">
        <v>102</v>
      </c>
    </row>
    <row r="20" spans="1:63" ht="11.25" customHeight="1" x14ac:dyDescent="0.25">
      <c r="A20" s="12"/>
      <c r="B20" s="12"/>
      <c r="C20" s="22"/>
      <c r="D20" s="12"/>
      <c r="E20" s="1">
        <f t="shared" si="0"/>
        <v>0</v>
      </c>
      <c r="F20" s="30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108"/>
      <c r="AU20" s="108"/>
      <c r="AV20" s="108"/>
      <c r="AW20" s="108"/>
      <c r="AX20" s="108"/>
      <c r="AY20" s="108"/>
      <c r="AZ20" s="108"/>
      <c r="BA20" s="108"/>
      <c r="BB20" s="108"/>
      <c r="BC20" s="108"/>
      <c r="BD20" s="108"/>
      <c r="BE20" s="108"/>
      <c r="BF20" s="108"/>
      <c r="BG20" s="108"/>
      <c r="BH20" s="108"/>
      <c r="BI20" s="108"/>
      <c r="BJ20" s="108"/>
      <c r="BK20" t="s">
        <v>102</v>
      </c>
    </row>
    <row r="21" spans="1:63" ht="11.25" customHeight="1" x14ac:dyDescent="0.25">
      <c r="A21" s="12" t="s">
        <v>26</v>
      </c>
      <c r="B21" s="17" t="s">
        <v>271</v>
      </c>
      <c r="C21" s="22"/>
      <c r="D21" s="12"/>
      <c r="E21" s="1">
        <f t="shared" si="0"/>
        <v>0</v>
      </c>
      <c r="F21" s="30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t="s">
        <v>102</v>
      </c>
    </row>
    <row r="22" spans="1:63" ht="11.25" customHeight="1" x14ac:dyDescent="0.25">
      <c r="A22" s="12"/>
      <c r="B22" s="12" t="s">
        <v>272</v>
      </c>
      <c r="C22" s="22" t="s">
        <v>1</v>
      </c>
      <c r="D22" s="12"/>
      <c r="E22" s="1">
        <f t="shared" ca="1" si="0"/>
        <v>6503242.2418842064</v>
      </c>
      <c r="F22" s="303" t="s">
        <v>26</v>
      </c>
      <c r="G22" s="1">
        <f>F26</f>
        <v>0</v>
      </c>
      <c r="H22" s="1">
        <f t="shared" ref="H22:BJ22" ca="1" si="3">G26</f>
        <v>0</v>
      </c>
      <c r="I22" s="1">
        <f t="shared" ca="1" si="3"/>
        <v>0</v>
      </c>
      <c r="J22" s="1">
        <f t="shared" ca="1" si="3"/>
        <v>0</v>
      </c>
      <c r="K22" s="1">
        <f t="shared" ca="1" si="3"/>
        <v>0</v>
      </c>
      <c r="L22" s="1">
        <f t="shared" ca="1" si="3"/>
        <v>0</v>
      </c>
      <c r="M22" s="1">
        <f t="shared" ca="1" si="3"/>
        <v>0</v>
      </c>
      <c r="N22" s="1">
        <f t="shared" ca="1" si="3"/>
        <v>0</v>
      </c>
      <c r="O22" s="1">
        <f t="shared" ca="1" si="3"/>
        <v>0</v>
      </c>
      <c r="P22" s="1">
        <f t="shared" ca="1" si="3"/>
        <v>0</v>
      </c>
      <c r="Q22" s="1">
        <f t="shared" ca="1" si="3"/>
        <v>0</v>
      </c>
      <c r="R22" s="1">
        <f t="shared" ca="1" si="3"/>
        <v>0</v>
      </c>
      <c r="S22" s="1">
        <f t="shared" ca="1" si="3"/>
        <v>0</v>
      </c>
      <c r="T22" s="1">
        <f t="shared" ca="1" si="3"/>
        <v>0</v>
      </c>
      <c r="U22" s="1">
        <f t="shared" ca="1" si="3"/>
        <v>0</v>
      </c>
      <c r="V22" s="1">
        <f t="shared" ca="1" si="3"/>
        <v>0</v>
      </c>
      <c r="W22" s="1">
        <f t="shared" si="3"/>
        <v>82561.528494049111</v>
      </c>
      <c r="X22" s="1">
        <f t="shared" ca="1" si="3"/>
        <v>83286.345022841284</v>
      </c>
      <c r="Y22" s="1">
        <f t="shared" ca="1" si="3"/>
        <v>84930.759527647475</v>
      </c>
      <c r="Z22" s="1">
        <f t="shared" ca="1" si="3"/>
        <v>85675.369704307712</v>
      </c>
      <c r="AA22" s="1">
        <f t="shared" ca="1" si="3"/>
        <v>87908.581397368835</v>
      </c>
      <c r="AB22" s="1">
        <f t="shared" ca="1" si="3"/>
        <v>89368.443961294077</v>
      </c>
      <c r="AC22" s="1">
        <f t="shared" ca="1" si="3"/>
        <v>92350.504906588132</v>
      </c>
      <c r="AD22" s="1">
        <f t="shared" ca="1" si="3"/>
        <v>94351.553005360547</v>
      </c>
      <c r="AE22" s="1">
        <f t="shared" ca="1" si="3"/>
        <v>106324.35185066902</v>
      </c>
      <c r="AF22" s="1">
        <f t="shared" ca="1" si="3"/>
        <v>111328.24016208485</v>
      </c>
      <c r="AG22" s="1">
        <f t="shared" ca="1" si="3"/>
        <v>115217.29906301449</v>
      </c>
      <c r="AH22" s="1">
        <f t="shared" ca="1" si="3"/>
        <v>118507.94261928881</v>
      </c>
      <c r="AI22" s="1">
        <f t="shared" ca="1" si="3"/>
        <v>123178.74948070032</v>
      </c>
      <c r="AJ22" s="1">
        <f t="shared" ca="1" si="3"/>
        <v>127390.95140628073</v>
      </c>
      <c r="AK22" s="1">
        <f t="shared" ca="1" si="3"/>
        <v>133332.82842743493</v>
      </c>
      <c r="AL22" s="1">
        <f t="shared" ca="1" si="3"/>
        <v>139439.03537735972</v>
      </c>
      <c r="AM22" s="1">
        <f t="shared" ca="1" si="3"/>
        <v>149875.49478987817</v>
      </c>
      <c r="AN22" s="1">
        <f t="shared" ca="1" si="3"/>
        <v>163674.50094582734</v>
      </c>
      <c r="AO22" s="1">
        <f t="shared" ca="1" si="3"/>
        <v>178341.84646882108</v>
      </c>
      <c r="AP22" s="1">
        <f t="shared" ca="1" si="3"/>
        <v>185111.6251065337</v>
      </c>
      <c r="AQ22" s="1">
        <f t="shared" ca="1" si="3"/>
        <v>192818.44681875323</v>
      </c>
      <c r="AR22" s="1">
        <f t="shared" ca="1" si="3"/>
        <v>200573.78701185502</v>
      </c>
      <c r="AS22" s="1">
        <f t="shared" ca="1" si="3"/>
        <v>209496.76901828073</v>
      </c>
      <c r="AT22" s="1">
        <f t="shared" ca="1" si="3"/>
        <v>218249.10267075858</v>
      </c>
      <c r="AU22" s="1">
        <f t="shared" ca="1" si="3"/>
        <v>232659.40736182308</v>
      </c>
      <c r="AV22" s="1">
        <f t="shared" ca="1" si="3"/>
        <v>250713.08140573959</v>
      </c>
      <c r="AW22" s="1">
        <f t="shared" ca="1" si="3"/>
        <v>243593.98479650219</v>
      </c>
      <c r="AX22" s="1">
        <f t="shared" ca="1" si="3"/>
        <v>235250.05176152225</v>
      </c>
      <c r="AY22" s="1">
        <f t="shared" ca="1" si="3"/>
        <v>227638.88000336458</v>
      </c>
      <c r="AZ22" s="1">
        <f t="shared" ca="1" si="3"/>
        <v>219440.70611452687</v>
      </c>
      <c r="BA22" s="1">
        <f t="shared" ca="1" si="3"/>
        <v>211979.61286093094</v>
      </c>
      <c r="BB22" s="1">
        <f t="shared" ca="1" si="3"/>
        <v>203629.09627485735</v>
      </c>
      <c r="BC22" s="1">
        <f t="shared" ca="1" si="3"/>
        <v>215221.24466426991</v>
      </c>
      <c r="BD22" s="1">
        <f t="shared" ca="1" si="3"/>
        <v>209529.95374158391</v>
      </c>
      <c r="BE22" s="1">
        <f t="shared" ca="1" si="3"/>
        <v>201402.93942249077</v>
      </c>
      <c r="BF22" s="1">
        <f t="shared" ca="1" si="3"/>
        <v>192338.34397336084</v>
      </c>
      <c r="BG22" s="1">
        <f t="shared" ca="1" si="3"/>
        <v>184292.32913809907</v>
      </c>
      <c r="BH22" s="1">
        <f t="shared" ca="1" si="3"/>
        <v>175621.5592090837</v>
      </c>
      <c r="BI22" s="1">
        <f t="shared" ca="1" si="3"/>
        <v>167734.94280404292</v>
      </c>
      <c r="BJ22" s="1">
        <f t="shared" ca="1" si="3"/>
        <v>158902.05111500958</v>
      </c>
      <c r="BK22" t="s">
        <v>102</v>
      </c>
    </row>
    <row r="23" spans="1:63" ht="11.25" customHeight="1" x14ac:dyDescent="0.25">
      <c r="A23" s="12"/>
      <c r="B23" s="12" t="s">
        <v>262</v>
      </c>
      <c r="C23" s="22" t="s">
        <v>1</v>
      </c>
      <c r="D23" s="12"/>
      <c r="E23" s="1">
        <f t="shared" ca="1" si="0"/>
        <v>665080.16817605507</v>
      </c>
      <c r="F23" s="303" t="s">
        <v>26</v>
      </c>
      <c r="G23" s="1">
        <f ca="1">IS!G32</f>
        <v>0</v>
      </c>
      <c r="H23" s="1">
        <f ca="1">IS!H32</f>
        <v>0</v>
      </c>
      <c r="I23" s="1">
        <f ca="1">IS!I32</f>
        <v>0</v>
      </c>
      <c r="J23" s="1">
        <f ca="1">IS!J32</f>
        <v>0</v>
      </c>
      <c r="K23" s="1">
        <f ca="1">IS!K32</f>
        <v>0</v>
      </c>
      <c r="L23" s="1">
        <f ca="1">IS!L32</f>
        <v>0</v>
      </c>
      <c r="M23" s="1">
        <f ca="1">IS!M32</f>
        <v>0</v>
      </c>
      <c r="N23" s="1">
        <f ca="1">IS!N32</f>
        <v>0</v>
      </c>
      <c r="O23" s="1">
        <f ca="1">IS!O32</f>
        <v>0</v>
      </c>
      <c r="P23" s="1">
        <f ca="1">IS!P32</f>
        <v>0</v>
      </c>
      <c r="Q23" s="1">
        <f ca="1">IS!Q32</f>
        <v>0</v>
      </c>
      <c r="R23" s="1">
        <f ca="1">IS!R32</f>
        <v>0</v>
      </c>
      <c r="S23" s="1">
        <f ca="1">IS!S32</f>
        <v>0</v>
      </c>
      <c r="T23" s="1">
        <f ca="1">IS!T32</f>
        <v>0</v>
      </c>
      <c r="U23" s="1">
        <f ca="1">IS!U32</f>
        <v>0</v>
      </c>
      <c r="V23" s="1">
        <f ca="1">IS!V32</f>
        <v>0</v>
      </c>
      <c r="W23" s="1">
        <f ca="1">IS!W32</f>
        <v>14813.825178973584</v>
      </c>
      <c r="X23" s="1">
        <f ca="1">IS!X32</f>
        <v>15695.21658338847</v>
      </c>
      <c r="Y23" s="1">
        <f ca="1">IS!Y32</f>
        <v>15344.914729616816</v>
      </c>
      <c r="Z23" s="1">
        <f ca="1">IS!Z32</f>
        <v>16480.336697610503</v>
      </c>
      <c r="AA23" s="1">
        <f ca="1">IS!AA32</f>
        <v>16137.126533047302</v>
      </c>
      <c r="AB23" s="1">
        <f ca="1">IS!AB32</f>
        <v>17293.150225178186</v>
      </c>
      <c r="AC23" s="1">
        <f ca="1">IS!AC32</f>
        <v>16966.897786138208</v>
      </c>
      <c r="AD23" s="1">
        <f ca="1">IS!AD32</f>
        <v>15496.863231590067</v>
      </c>
      <c r="AE23" s="1">
        <f ca="1">IS!AE32</f>
        <v>19133.813778076437</v>
      </c>
      <c r="AF23" s="1">
        <f ca="1">IS!AF32</f>
        <v>19490.946484555599</v>
      </c>
      <c r="AG23" s="1">
        <f ca="1">IS!AG32</f>
        <v>19182.023073233348</v>
      </c>
      <c r="AH23" s="1">
        <f ca="1">IS!AH32</f>
        <v>19828.220075167177</v>
      </c>
      <c r="AI23" s="1">
        <f ca="1">IS!AI32</f>
        <v>19536.361062611388</v>
      </c>
      <c r="AJ23" s="1">
        <f ca="1">IS!AJ32</f>
        <v>20924.671909327539</v>
      </c>
      <c r="AK23" s="1">
        <f ca="1">IS!AK32</f>
        <v>7950.9510153651936</v>
      </c>
      <c r="AL23" s="1">
        <f ca="1">IS!AL32</f>
        <v>10436.459412518459</v>
      </c>
      <c r="AM23" s="1">
        <f ca="1">IS!AM32</f>
        <v>13799.006155949175</v>
      </c>
      <c r="AN23" s="1">
        <f ca="1">IS!AN32</f>
        <v>14667.345522993741</v>
      </c>
      <c r="AO23" s="1">
        <f ca="1">IS!AO32</f>
        <v>14881.924451934532</v>
      </c>
      <c r="AP23" s="1">
        <f ca="1">IS!AP32</f>
        <v>15293.606435262449</v>
      </c>
      <c r="AQ23" s="1">
        <f ca="1">IS!AQ32</f>
        <v>15501.398718179333</v>
      </c>
      <c r="AR23" s="1">
        <f ca="1">IS!AR32</f>
        <v>15886.745190082976</v>
      </c>
      <c r="AS23" s="1">
        <f ca="1">IS!AS32</f>
        <v>16118.012259967494</v>
      </c>
      <c r="AT23" s="1">
        <f ca="1">IS!AT32</f>
        <v>14410.304691064481</v>
      </c>
      <c r="AU23" s="1">
        <f ca="1">IS!AU32</f>
        <v>18053.674043916522</v>
      </c>
      <c r="AV23" s="1">
        <f ca="1">IS!AV32</f>
        <v>18336.064342945039</v>
      </c>
      <c r="AW23" s="1">
        <f ca="1">IS!AW32</f>
        <v>18541.091909721916</v>
      </c>
      <c r="AX23" s="1">
        <f ca="1">IS!AX32</f>
        <v>18311.476910371224</v>
      </c>
      <c r="AY23" s="1">
        <f ca="1">IS!AY32</f>
        <v>18076.265371059584</v>
      </c>
      <c r="AZ23" s="1">
        <f ca="1">IS!AZ32</f>
        <v>17835.379517454756</v>
      </c>
      <c r="BA23" s="1">
        <f ca="1">IS!BA32</f>
        <v>17588.740597599295</v>
      </c>
      <c r="BB23" s="1">
        <f ca="1">IS!BB32</f>
        <v>15108.15302021627</v>
      </c>
      <c r="BC23" s="1">
        <f ca="1">IS!BC32</f>
        <v>18303.455103057095</v>
      </c>
      <c r="BD23" s="1">
        <f ca="1">IS!BD32</f>
        <v>18038.497449317714</v>
      </c>
      <c r="BE23" s="1">
        <f ca="1">IS!BE32</f>
        <v>17767.347442719562</v>
      </c>
      <c r="BF23" s="1">
        <f ca="1">IS!BF32</f>
        <v>17728.632881778434</v>
      </c>
      <c r="BG23" s="1">
        <f ca="1">IS!BG32</f>
        <v>17444.840091181333</v>
      </c>
      <c r="BH23" s="1">
        <f ca="1">IS!BH32</f>
        <v>17154.594712009748</v>
      </c>
      <c r="BI23" s="1">
        <f ca="1">IS!BI32</f>
        <v>16857.807820406899</v>
      </c>
      <c r="BJ23" s="1">
        <f ca="1">IS!BJ32</f>
        <v>14664.025760467335</v>
      </c>
      <c r="BK23" t="s">
        <v>102</v>
      </c>
    </row>
    <row r="24" spans="1:63" ht="11.25" customHeight="1" x14ac:dyDescent="0.25">
      <c r="A24" s="12"/>
      <c r="B24" s="12" t="s">
        <v>260</v>
      </c>
      <c r="C24" s="22" t="s">
        <v>1</v>
      </c>
      <c r="D24" s="12"/>
      <c r="E24" s="1">
        <f t="shared" si="0"/>
        <v>583543.30021945189</v>
      </c>
      <c r="F24" s="303" t="s">
        <v>26</v>
      </c>
      <c r="G24" s="1">
        <f>CF!G31</f>
        <v>0</v>
      </c>
      <c r="H24" s="1">
        <f>CF!H31</f>
        <v>0</v>
      </c>
      <c r="I24" s="1">
        <f>CF!I31</f>
        <v>0</v>
      </c>
      <c r="J24" s="1">
        <f>CF!J31</f>
        <v>0</v>
      </c>
      <c r="K24" s="1">
        <f>CF!K31</f>
        <v>0</v>
      </c>
      <c r="L24" s="1">
        <f>CF!L31</f>
        <v>0</v>
      </c>
      <c r="M24" s="1">
        <f>CF!M31</f>
        <v>0</v>
      </c>
      <c r="N24" s="1">
        <f>CF!N31</f>
        <v>0</v>
      </c>
      <c r="O24" s="1">
        <f>CF!O31</f>
        <v>0</v>
      </c>
      <c r="P24" s="1">
        <f>CF!P31</f>
        <v>0</v>
      </c>
      <c r="Q24" s="1">
        <f>CF!Q31</f>
        <v>0</v>
      </c>
      <c r="R24" s="1">
        <f>CF!R31</f>
        <v>0</v>
      </c>
      <c r="S24" s="1">
        <f>CF!S31</f>
        <v>0</v>
      </c>
      <c r="T24" s="1">
        <f>CF!T31</f>
        <v>0</v>
      </c>
      <c r="U24" s="1">
        <f>CF!U31</f>
        <v>0</v>
      </c>
      <c r="V24" s="1">
        <f>CF!V31</f>
        <v>0</v>
      </c>
      <c r="W24" s="1">
        <f>CF!W31</f>
        <v>14089.008650181408</v>
      </c>
      <c r="X24" s="1">
        <f>CF!X31</f>
        <v>14050.802078582281</v>
      </c>
      <c r="Y24" s="1">
        <f>CF!Y31</f>
        <v>14600.304552956573</v>
      </c>
      <c r="Z24" s="1">
        <f>CF!Z31</f>
        <v>14247.125004549383</v>
      </c>
      <c r="AA24" s="1">
        <f>CF!AA31</f>
        <v>14677.263969122065</v>
      </c>
      <c r="AB24" s="1">
        <f>CF!AB31</f>
        <v>14311.089279884132</v>
      </c>
      <c r="AC24" s="1">
        <f>CF!AC31</f>
        <v>14965.849687365797</v>
      </c>
      <c r="AD24" s="1">
        <f>CF!AD31</f>
        <v>3524.0643862815909</v>
      </c>
      <c r="AE24" s="1">
        <f>CF!AE31</f>
        <v>14129.925466660605</v>
      </c>
      <c r="AF24" s="1">
        <f>CF!AF31</f>
        <v>15601.887583625961</v>
      </c>
      <c r="AG24" s="1">
        <f>CF!AG31</f>
        <v>15891.379516959036</v>
      </c>
      <c r="AH24" s="1">
        <f>CF!AH31</f>
        <v>15157.413213755661</v>
      </c>
      <c r="AI24" s="1">
        <f>CF!AI31</f>
        <v>15324.15913703098</v>
      </c>
      <c r="AJ24" s="1">
        <f>CF!AJ31</f>
        <v>14982.79488817333</v>
      </c>
      <c r="AK24" s="1">
        <f>CF!AK31</f>
        <v>1844.7440654404018</v>
      </c>
      <c r="AL24" s="1">
        <f>CF!AL31</f>
        <v>-4.5474735088646412E-13</v>
      </c>
      <c r="AM24" s="1">
        <f>CF!AM31</f>
        <v>0</v>
      </c>
      <c r="AN24" s="1">
        <f>CF!AN31</f>
        <v>0</v>
      </c>
      <c r="AO24" s="1">
        <f>CF!AO31</f>
        <v>8112.1458142219053</v>
      </c>
      <c r="AP24" s="1">
        <f>CF!AP31</f>
        <v>7586.7847230429143</v>
      </c>
      <c r="AQ24" s="1">
        <f>CF!AQ31</f>
        <v>7746.0585250775575</v>
      </c>
      <c r="AR24" s="1">
        <f>CF!AR31</f>
        <v>6963.7631836572809</v>
      </c>
      <c r="AS24" s="1">
        <f>CF!AS31</f>
        <v>7365.6786074896354</v>
      </c>
      <c r="AT24" s="1">
        <f>CF!AT31</f>
        <v>9.0949470177292824E-13</v>
      </c>
      <c r="AU24" s="1">
        <f>CF!AU31</f>
        <v>0</v>
      </c>
      <c r="AV24" s="1">
        <f>CF!AV31</f>
        <v>25455.16095218245</v>
      </c>
      <c r="AW24" s="1">
        <f>CF!AW31</f>
        <v>26885.02494470185</v>
      </c>
      <c r="AX24" s="1">
        <f>CF!AX31</f>
        <v>25922.648668528891</v>
      </c>
      <c r="AY24" s="1">
        <f>CF!AY31</f>
        <v>26274.439259897299</v>
      </c>
      <c r="AZ24" s="1">
        <f>CF!AZ31</f>
        <v>25296.472771050685</v>
      </c>
      <c r="BA24" s="1">
        <f>CF!BA31</f>
        <v>25939.257183672868</v>
      </c>
      <c r="BB24" s="1">
        <f>CF!BB31</f>
        <v>3516.0046308037272</v>
      </c>
      <c r="BC24" s="1">
        <f>CF!BC31</f>
        <v>23994.746025743094</v>
      </c>
      <c r="BD24" s="1">
        <f>CF!BD31</f>
        <v>26165.511768410848</v>
      </c>
      <c r="BE24" s="1">
        <f>CF!BE31</f>
        <v>26831.942891849489</v>
      </c>
      <c r="BF24" s="1">
        <f>CF!BF31</f>
        <v>25774.647717040214</v>
      </c>
      <c r="BG24" s="1">
        <f>CF!BG31</f>
        <v>26115.610020196691</v>
      </c>
      <c r="BH24" s="1">
        <f>CF!BH31</f>
        <v>25041.21111705053</v>
      </c>
      <c r="BI24" s="1">
        <f>CF!BI31</f>
        <v>25690.699509440223</v>
      </c>
      <c r="BJ24" s="1">
        <f>CF!BJ31</f>
        <v>9467.6804248245517</v>
      </c>
      <c r="BK24" t="s">
        <v>102</v>
      </c>
    </row>
    <row r="25" spans="1:63" ht="11.25" customHeight="1" x14ac:dyDescent="0.25">
      <c r="A25" s="12"/>
      <c r="B25" s="12" t="s">
        <v>273</v>
      </c>
      <c r="C25" s="22" t="s">
        <v>1</v>
      </c>
      <c r="D25" s="12"/>
      <c r="E25" s="1">
        <f t="shared" ca="1" si="0"/>
        <v>81536.867956603281</v>
      </c>
      <c r="F25" s="303" t="s">
        <v>26</v>
      </c>
      <c r="G25" s="1">
        <f ca="1">G23-G24</f>
        <v>0</v>
      </c>
      <c r="H25" s="1">
        <f t="shared" ref="H25:BJ25" ca="1" si="4">H23-H24</f>
        <v>0</v>
      </c>
      <c r="I25" s="1">
        <f t="shared" ca="1" si="4"/>
        <v>0</v>
      </c>
      <c r="J25" s="1">
        <f t="shared" ca="1" si="4"/>
        <v>0</v>
      </c>
      <c r="K25" s="1">
        <f t="shared" ca="1" si="4"/>
        <v>0</v>
      </c>
      <c r="L25" s="1">
        <f t="shared" ca="1" si="4"/>
        <v>0</v>
      </c>
      <c r="M25" s="1">
        <f t="shared" ca="1" si="4"/>
        <v>0</v>
      </c>
      <c r="N25" s="1">
        <f t="shared" ca="1" si="4"/>
        <v>0</v>
      </c>
      <c r="O25" s="1">
        <f t="shared" ca="1" si="4"/>
        <v>0</v>
      </c>
      <c r="P25" s="1">
        <f t="shared" ca="1" si="4"/>
        <v>0</v>
      </c>
      <c r="Q25" s="1">
        <f t="shared" ca="1" si="4"/>
        <v>0</v>
      </c>
      <c r="R25" s="1">
        <f t="shared" ca="1" si="4"/>
        <v>0</v>
      </c>
      <c r="S25" s="1">
        <f t="shared" ca="1" si="4"/>
        <v>0</v>
      </c>
      <c r="T25" s="1">
        <f t="shared" ca="1" si="4"/>
        <v>0</v>
      </c>
      <c r="U25" s="1">
        <f t="shared" ca="1" si="4"/>
        <v>0</v>
      </c>
      <c r="V25" s="1">
        <f t="shared" ca="1" si="4"/>
        <v>0</v>
      </c>
      <c r="W25" s="1">
        <f t="shared" ca="1" si="4"/>
        <v>724.81652879217654</v>
      </c>
      <c r="X25" s="1">
        <f t="shared" ca="1" si="4"/>
        <v>1644.4145048061891</v>
      </c>
      <c r="Y25" s="1">
        <f t="shared" ca="1" si="4"/>
        <v>744.61017666024236</v>
      </c>
      <c r="Z25" s="1">
        <f t="shared" ca="1" si="4"/>
        <v>2233.2116930611191</v>
      </c>
      <c r="AA25" s="1">
        <f t="shared" ca="1" si="4"/>
        <v>1459.8625639252368</v>
      </c>
      <c r="AB25" s="1">
        <f t="shared" ca="1" si="4"/>
        <v>2982.0609452940535</v>
      </c>
      <c r="AC25" s="1">
        <f t="shared" ca="1" si="4"/>
        <v>2001.0480987724113</v>
      </c>
      <c r="AD25" s="1">
        <f t="shared" ca="1" si="4"/>
        <v>11972.798845308476</v>
      </c>
      <c r="AE25" s="1">
        <f t="shared" ca="1" si="4"/>
        <v>5003.8883114158325</v>
      </c>
      <c r="AF25" s="1">
        <f t="shared" ca="1" si="4"/>
        <v>3889.0589009296382</v>
      </c>
      <c r="AG25" s="1">
        <f t="shared" ca="1" si="4"/>
        <v>3290.6435562743118</v>
      </c>
      <c r="AH25" s="1">
        <f t="shared" ca="1" si="4"/>
        <v>4670.8068614115164</v>
      </c>
      <c r="AI25" s="1">
        <f t="shared" ca="1" si="4"/>
        <v>4212.201925580408</v>
      </c>
      <c r="AJ25" s="1">
        <f t="shared" ca="1" si="4"/>
        <v>5941.8770211542087</v>
      </c>
      <c r="AK25" s="1">
        <f t="shared" ca="1" si="4"/>
        <v>6106.2069499247918</v>
      </c>
      <c r="AL25" s="1">
        <f t="shared" ca="1" si="4"/>
        <v>10436.459412518459</v>
      </c>
      <c r="AM25" s="1">
        <f t="shared" ca="1" si="4"/>
        <v>13799.006155949175</v>
      </c>
      <c r="AN25" s="1">
        <f t="shared" ca="1" si="4"/>
        <v>14667.345522993741</v>
      </c>
      <c r="AO25" s="1">
        <f t="shared" ca="1" si="4"/>
        <v>6769.7786377126267</v>
      </c>
      <c r="AP25" s="1">
        <f t="shared" ca="1" si="4"/>
        <v>7706.8217122195347</v>
      </c>
      <c r="AQ25" s="1">
        <f t="shared" ca="1" si="4"/>
        <v>7755.3401931017752</v>
      </c>
      <c r="AR25" s="1">
        <f t="shared" ca="1" si="4"/>
        <v>8922.9820064256965</v>
      </c>
      <c r="AS25" s="1">
        <f t="shared" ca="1" si="4"/>
        <v>8752.3336524778588</v>
      </c>
      <c r="AT25" s="1">
        <f t="shared" ca="1" si="4"/>
        <v>14410.304691064481</v>
      </c>
      <c r="AU25" s="1">
        <f t="shared" ca="1" si="4"/>
        <v>18053.674043916522</v>
      </c>
      <c r="AV25" s="1">
        <f t="shared" ca="1" si="4"/>
        <v>-7119.096609237411</v>
      </c>
      <c r="AW25" s="1">
        <f t="shared" ca="1" si="4"/>
        <v>-8343.9330349799347</v>
      </c>
      <c r="AX25" s="1">
        <f t="shared" ca="1" si="4"/>
        <v>-7611.1717581576668</v>
      </c>
      <c r="AY25" s="1">
        <f t="shared" ca="1" si="4"/>
        <v>-8198.1738888377149</v>
      </c>
      <c r="AZ25" s="1">
        <f t="shared" ca="1" si="4"/>
        <v>-7461.0932535959291</v>
      </c>
      <c r="BA25" s="1">
        <f t="shared" ca="1" si="4"/>
        <v>-8350.5165860735724</v>
      </c>
      <c r="BB25" s="1">
        <f t="shared" ca="1" si="4"/>
        <v>11592.148389412543</v>
      </c>
      <c r="BC25" s="1">
        <f t="shared" ca="1" si="4"/>
        <v>-5691.2909226859992</v>
      </c>
      <c r="BD25" s="1">
        <f t="shared" ca="1" si="4"/>
        <v>-8127.014319093134</v>
      </c>
      <c r="BE25" s="1">
        <f t="shared" ca="1" si="4"/>
        <v>-9064.5954491299271</v>
      </c>
      <c r="BF25" s="1">
        <f t="shared" ca="1" si="4"/>
        <v>-8046.0148352617798</v>
      </c>
      <c r="BG25" s="1">
        <f t="shared" ca="1" si="4"/>
        <v>-8670.7699290153578</v>
      </c>
      <c r="BH25" s="1">
        <f t="shared" ca="1" si="4"/>
        <v>-7886.6164050407824</v>
      </c>
      <c r="BI25" s="1">
        <f t="shared" ca="1" si="4"/>
        <v>-8832.8916890333239</v>
      </c>
      <c r="BJ25" s="1">
        <f t="shared" ca="1" si="4"/>
        <v>5196.3453356427835</v>
      </c>
      <c r="BK25" t="s">
        <v>102</v>
      </c>
    </row>
    <row r="26" spans="1:63" ht="11.25" customHeight="1" thickBot="1" x14ac:dyDescent="0.3">
      <c r="A26" s="12"/>
      <c r="B26" s="238" t="s">
        <v>274</v>
      </c>
      <c r="C26" s="239" t="s">
        <v>1</v>
      </c>
      <c r="D26" s="238"/>
      <c r="E26" s="1">
        <f t="shared" ca="1" si="0"/>
        <v>6667340.6383348592</v>
      </c>
      <c r="F26" s="311"/>
      <c r="G26" s="240">
        <f ca="1">IF('Time &amp; Technical'!G18='Time &amp; Technical'!$D$16,Construction!$E$37,G22+G25)</f>
        <v>0</v>
      </c>
      <c r="H26" s="240">
        <f ca="1">IF('Time &amp; Technical'!H18='Time &amp; Technical'!$D$16,Construction!$E$37,H22+H25)</f>
        <v>0</v>
      </c>
      <c r="I26" s="240">
        <f ca="1">IF('Time &amp; Technical'!I18='Time &amp; Technical'!$D$16,Construction!$E$37,I22+I25)</f>
        <v>0</v>
      </c>
      <c r="J26" s="240">
        <f ca="1">IF('Time &amp; Technical'!J18='Time &amp; Technical'!$D$16,Construction!$E$37,J22+J25)</f>
        <v>0</v>
      </c>
      <c r="K26" s="240">
        <f ca="1">IF('Time &amp; Technical'!K18='Time &amp; Technical'!$D$16,Construction!$E$37,K22+K25)</f>
        <v>0</v>
      </c>
      <c r="L26" s="240">
        <f ca="1">IF('Time &amp; Technical'!L18='Time &amp; Technical'!$D$16,Construction!$E$37,L22+L25)</f>
        <v>0</v>
      </c>
      <c r="M26" s="240">
        <f ca="1">IF('Time &amp; Technical'!M18='Time &amp; Technical'!$D$16,Construction!$E$37,M22+M25)</f>
        <v>0</v>
      </c>
      <c r="N26" s="240">
        <f ca="1">IF('Time &amp; Technical'!N18='Time &amp; Technical'!$D$16,Construction!$E$37,N22+N25)</f>
        <v>0</v>
      </c>
      <c r="O26" s="240">
        <f ca="1">IF('Time &amp; Technical'!O18='Time &amp; Technical'!$D$16,Construction!$E$37,O22+O25)</f>
        <v>0</v>
      </c>
      <c r="P26" s="240">
        <f ca="1">IF('Time &amp; Technical'!P18='Time &amp; Technical'!$D$16,Construction!$E$37,P22+P25)</f>
        <v>0</v>
      </c>
      <c r="Q26" s="240">
        <f ca="1">IF('Time &amp; Technical'!Q18='Time &amp; Technical'!$D$16,Construction!$E$37,Q22+Q25)</f>
        <v>0</v>
      </c>
      <c r="R26" s="240">
        <f ca="1">IF('Time &amp; Technical'!R18='Time &amp; Technical'!$D$16,Construction!$E$37,R22+R25)</f>
        <v>0</v>
      </c>
      <c r="S26" s="240">
        <f ca="1">IF('Time &amp; Technical'!S18='Time &amp; Technical'!$D$16,Construction!$E$37,S22+S25)</f>
        <v>0</v>
      </c>
      <c r="T26" s="240">
        <f ca="1">IF('Time &amp; Technical'!T18='Time &amp; Technical'!$D$16,Construction!$E$37,T22+T25)</f>
        <v>0</v>
      </c>
      <c r="U26" s="240">
        <f ca="1">IF('Time &amp; Technical'!U18='Time &amp; Technical'!$D$16,Construction!$E$37,U22+U25)</f>
        <v>0</v>
      </c>
      <c r="V26" s="240">
        <f>IF('Time &amp; Technical'!V18='Time &amp; Technical'!$D$16,Construction!$E$37,V22+V25)</f>
        <v>82561.528494049111</v>
      </c>
      <c r="W26" s="240">
        <f ca="1">IF('Time &amp; Technical'!W18='Time &amp; Technical'!$D$16,Construction!$E$37,W22+W25)</f>
        <v>83286.345022841284</v>
      </c>
      <c r="X26" s="240">
        <f ca="1">IF('Time &amp; Technical'!X18='Time &amp; Technical'!$D$16,Construction!$E$37,X22+X25)</f>
        <v>84930.759527647475</v>
      </c>
      <c r="Y26" s="240">
        <f ca="1">IF('Time &amp; Technical'!Y18='Time &amp; Technical'!$D$16,Construction!$E$37,Y22+Y25)</f>
        <v>85675.369704307712</v>
      </c>
      <c r="Z26" s="240">
        <f ca="1">IF('Time &amp; Technical'!Z18='Time &amp; Technical'!$D$16,Construction!$E$37,Z22+Z25)</f>
        <v>87908.581397368835</v>
      </c>
      <c r="AA26" s="240">
        <f ca="1">IF('Time &amp; Technical'!AA18='Time &amp; Technical'!$D$16,Construction!$E$37,AA22+AA25)</f>
        <v>89368.443961294077</v>
      </c>
      <c r="AB26" s="240">
        <f ca="1">IF('Time &amp; Technical'!AB18='Time &amp; Technical'!$D$16,Construction!$E$37,AB22+AB25)</f>
        <v>92350.504906588132</v>
      </c>
      <c r="AC26" s="240">
        <f ca="1">IF('Time &amp; Technical'!AC18='Time &amp; Technical'!$D$16,Construction!$E$37,AC22+AC25)</f>
        <v>94351.553005360547</v>
      </c>
      <c r="AD26" s="240">
        <f ca="1">IF('Time &amp; Technical'!AD18='Time &amp; Technical'!$D$16,Construction!$E$37,AD22+AD25)</f>
        <v>106324.35185066902</v>
      </c>
      <c r="AE26" s="240">
        <f ca="1">IF('Time &amp; Technical'!AE18='Time &amp; Technical'!$D$16,Construction!$E$37,AE22+AE25)</f>
        <v>111328.24016208485</v>
      </c>
      <c r="AF26" s="240">
        <f ca="1">IF('Time &amp; Technical'!AF18='Time &amp; Technical'!$D$16,Construction!$E$37,AF22+AF25)</f>
        <v>115217.29906301449</v>
      </c>
      <c r="AG26" s="240">
        <f ca="1">IF('Time &amp; Technical'!AG18='Time &amp; Technical'!$D$16,Construction!$E$37,AG22+AG25)</f>
        <v>118507.94261928881</v>
      </c>
      <c r="AH26" s="240">
        <f ca="1">IF('Time &amp; Technical'!AH18='Time &amp; Technical'!$D$16,Construction!$E$37,AH22+AH25)</f>
        <v>123178.74948070032</v>
      </c>
      <c r="AI26" s="240">
        <f ca="1">IF('Time &amp; Technical'!AI18='Time &amp; Technical'!$D$16,Construction!$E$37,AI22+AI25)</f>
        <v>127390.95140628073</v>
      </c>
      <c r="AJ26" s="240">
        <f ca="1">IF('Time &amp; Technical'!AJ18='Time &amp; Technical'!$D$16,Construction!$E$37,AJ22+AJ25)</f>
        <v>133332.82842743493</v>
      </c>
      <c r="AK26" s="240">
        <f ca="1">IF('Time &amp; Technical'!AK18='Time &amp; Technical'!$D$16,Construction!$E$37,AK22+AK25)</f>
        <v>139439.03537735972</v>
      </c>
      <c r="AL26" s="240">
        <f ca="1">IF('Time &amp; Technical'!AL18='Time &amp; Technical'!$D$16,Construction!$E$37,AL22+AL25)</f>
        <v>149875.49478987817</v>
      </c>
      <c r="AM26" s="240">
        <f ca="1">IF('Time &amp; Technical'!AM18='Time &amp; Technical'!$D$16,Construction!$E$37,AM22+AM25)</f>
        <v>163674.50094582734</v>
      </c>
      <c r="AN26" s="240">
        <f ca="1">IF('Time &amp; Technical'!AN18='Time &amp; Technical'!$D$16,Construction!$E$37,AN22+AN25)</f>
        <v>178341.84646882108</v>
      </c>
      <c r="AO26" s="240">
        <f ca="1">IF('Time &amp; Technical'!AO18='Time &amp; Technical'!$D$16,Construction!$E$37,AO22+AO25)</f>
        <v>185111.6251065337</v>
      </c>
      <c r="AP26" s="240">
        <f ca="1">IF('Time &amp; Technical'!AP18='Time &amp; Technical'!$D$16,Construction!$E$37,AP22+AP25)</f>
        <v>192818.44681875323</v>
      </c>
      <c r="AQ26" s="240">
        <f ca="1">IF('Time &amp; Technical'!AQ18='Time &amp; Technical'!$D$16,Construction!$E$37,AQ22+AQ25)</f>
        <v>200573.78701185502</v>
      </c>
      <c r="AR26" s="240">
        <f ca="1">IF('Time &amp; Technical'!AR18='Time &amp; Technical'!$D$16,Construction!$E$37,AR22+AR25)</f>
        <v>209496.76901828073</v>
      </c>
      <c r="AS26" s="240">
        <f ca="1">IF('Time &amp; Technical'!AS18='Time &amp; Technical'!$D$16,Construction!$E$37,AS22+AS25)</f>
        <v>218249.10267075858</v>
      </c>
      <c r="AT26" s="240">
        <f ca="1">IF('Time &amp; Technical'!AT18='Time &amp; Technical'!$D$16,Construction!$E$37,AT22+AT25)</f>
        <v>232659.40736182308</v>
      </c>
      <c r="AU26" s="240">
        <f ca="1">IF('Time &amp; Technical'!AU18='Time &amp; Technical'!$D$16,Construction!$E$37,AU22+AU25)</f>
        <v>250713.08140573959</v>
      </c>
      <c r="AV26" s="240">
        <f ca="1">IF('Time &amp; Technical'!AV18='Time &amp; Technical'!$D$16,Construction!$E$37,AV22+AV25)</f>
        <v>243593.98479650219</v>
      </c>
      <c r="AW26" s="240">
        <f ca="1">IF('Time &amp; Technical'!AW18='Time &amp; Technical'!$D$16,Construction!$E$37,AW22+AW25)</f>
        <v>235250.05176152225</v>
      </c>
      <c r="AX26" s="240">
        <f ca="1">IF('Time &amp; Technical'!AX18='Time &amp; Technical'!$D$16,Construction!$E$37,AX22+AX25)</f>
        <v>227638.88000336458</v>
      </c>
      <c r="AY26" s="240">
        <f ca="1">IF('Time &amp; Technical'!AY18='Time &amp; Technical'!$D$16,Construction!$E$37,AY22+AY25)</f>
        <v>219440.70611452687</v>
      </c>
      <c r="AZ26" s="240">
        <f ca="1">IF('Time &amp; Technical'!AZ18='Time &amp; Technical'!$D$16,Construction!$E$37,AZ22+AZ25)</f>
        <v>211979.61286093094</v>
      </c>
      <c r="BA26" s="240">
        <f ca="1">IF('Time &amp; Technical'!BA18='Time &amp; Technical'!$D$16,Construction!$E$37,BA22+BA25)</f>
        <v>203629.09627485735</v>
      </c>
      <c r="BB26" s="240">
        <f ca="1">IF('Time &amp; Technical'!BB18='Time &amp; Technical'!$D$16,Construction!$E$37,BB22+BB25)</f>
        <v>215221.24466426991</v>
      </c>
      <c r="BC26" s="240">
        <f ca="1">IF('Time &amp; Technical'!BC18='Time &amp; Technical'!$D$16,Construction!$E$37,BC22+BC25)</f>
        <v>209529.95374158391</v>
      </c>
      <c r="BD26" s="240">
        <f ca="1">IF('Time &amp; Technical'!BD18='Time &amp; Technical'!$D$16,Construction!$E$37,BD22+BD25)</f>
        <v>201402.93942249077</v>
      </c>
      <c r="BE26" s="240">
        <f ca="1">IF('Time &amp; Technical'!BE18='Time &amp; Technical'!$D$16,Construction!$E$37,BE22+BE25)</f>
        <v>192338.34397336084</v>
      </c>
      <c r="BF26" s="240">
        <f ca="1">IF('Time &amp; Technical'!BF18='Time &amp; Technical'!$D$16,Construction!$E$37,BF22+BF25)</f>
        <v>184292.32913809907</v>
      </c>
      <c r="BG26" s="240">
        <f ca="1">IF('Time &amp; Technical'!BG18='Time &amp; Technical'!$D$16,Construction!$E$37,BG22+BG25)</f>
        <v>175621.5592090837</v>
      </c>
      <c r="BH26" s="240">
        <f ca="1">IF('Time &amp; Technical'!BH18='Time &amp; Technical'!$D$16,Construction!$E$37,BH22+BH25)</f>
        <v>167734.94280404292</v>
      </c>
      <c r="BI26" s="240">
        <f ca="1">IF('Time &amp; Technical'!BI18='Time &amp; Technical'!$D$16,Construction!$E$37,BI22+BI25)</f>
        <v>158902.05111500958</v>
      </c>
      <c r="BJ26" s="240">
        <f ca="1">IF('Time &amp; Technical'!BJ18='Time &amp; Technical'!$D$16,Construction!$E$37,BJ22+BJ25)</f>
        <v>164098.39645065236</v>
      </c>
      <c r="BK26" t="s">
        <v>102</v>
      </c>
    </row>
    <row r="27" spans="1:63" ht="11.25" customHeight="1" thickTop="1" x14ac:dyDescent="0.25">
      <c r="A27" s="12" t="s">
        <v>26</v>
      </c>
      <c r="B27" s="228" t="s">
        <v>275</v>
      </c>
      <c r="C27" s="237" t="s">
        <v>1</v>
      </c>
      <c r="D27" s="228"/>
      <c r="E27" s="1">
        <f t="shared" ca="1" si="0"/>
        <v>13256189.211728839</v>
      </c>
      <c r="F27" s="312" t="s">
        <v>26</v>
      </c>
      <c r="G27" s="230">
        <f ca="1">G26+G19</f>
        <v>0</v>
      </c>
      <c r="H27" s="230">
        <f t="shared" ref="H27:BJ27" ca="1" si="5">H26+H19</f>
        <v>0</v>
      </c>
      <c r="I27" s="230">
        <f t="shared" ca="1" si="5"/>
        <v>0</v>
      </c>
      <c r="J27" s="230">
        <f t="shared" ca="1" si="5"/>
        <v>0</v>
      </c>
      <c r="K27" s="230">
        <f t="shared" ca="1" si="5"/>
        <v>0</v>
      </c>
      <c r="L27" s="230">
        <f t="shared" ca="1" si="5"/>
        <v>0</v>
      </c>
      <c r="M27" s="230">
        <f t="shared" ca="1" si="5"/>
        <v>0</v>
      </c>
      <c r="N27" s="230">
        <f t="shared" ca="1" si="5"/>
        <v>0</v>
      </c>
      <c r="O27" s="230">
        <f t="shared" ca="1" si="5"/>
        <v>0</v>
      </c>
      <c r="P27" s="230">
        <f t="shared" ca="1" si="5"/>
        <v>0</v>
      </c>
      <c r="Q27" s="230">
        <f t="shared" ca="1" si="5"/>
        <v>0</v>
      </c>
      <c r="R27" s="230">
        <f t="shared" ca="1" si="5"/>
        <v>0</v>
      </c>
      <c r="S27" s="230">
        <f t="shared" ca="1" si="5"/>
        <v>0</v>
      </c>
      <c r="T27" s="230">
        <f t="shared" ca="1" si="5"/>
        <v>0</v>
      </c>
      <c r="U27" s="230">
        <f t="shared" ca="1" si="5"/>
        <v>0</v>
      </c>
      <c r="V27" s="230">
        <f t="shared" ca="1" si="5"/>
        <v>412807.64247024566</v>
      </c>
      <c r="W27" s="230">
        <f t="shared" ca="1" si="5"/>
        <v>413796.46284162818</v>
      </c>
      <c r="X27" s="230">
        <f t="shared" ca="1" si="5"/>
        <v>409501.65575384541</v>
      </c>
      <c r="Y27" s="230">
        <f t="shared" ca="1" si="5"/>
        <v>403815.95955410204</v>
      </c>
      <c r="Z27" s="230">
        <f t="shared" ca="1" si="5"/>
        <v>399486.70491367008</v>
      </c>
      <c r="AA27" s="230">
        <f t="shared" ca="1" si="5"/>
        <v>393939.0360044518</v>
      </c>
      <c r="AB27" s="230">
        <f t="shared" ca="1" si="5"/>
        <v>389761.55842302181</v>
      </c>
      <c r="AC27" s="230">
        <f t="shared" ca="1" si="5"/>
        <v>384063.94706118142</v>
      </c>
      <c r="AD27" s="230">
        <f t="shared" ca="1" si="5"/>
        <v>377769.96405730088</v>
      </c>
      <c r="AE27" s="230">
        <f t="shared" ca="1" si="5"/>
        <v>375134.84009288432</v>
      </c>
      <c r="AF27" s="230">
        <f t="shared" ca="1" si="5"/>
        <v>370604.73358476843</v>
      </c>
      <c r="AG27" s="230">
        <f t="shared" ca="1" si="5"/>
        <v>364881.10708231502</v>
      </c>
      <c r="AH27" s="230">
        <f t="shared" ca="1" si="5"/>
        <v>360319.45919495099</v>
      </c>
      <c r="AI27" s="230">
        <f t="shared" ca="1" si="5"/>
        <v>354747.39664062078</v>
      </c>
      <c r="AJ27" s="230">
        <f t="shared" ca="1" si="5"/>
        <v>350660.13783849397</v>
      </c>
      <c r="AK27" s="230">
        <f t="shared" ca="1" si="5"/>
        <v>352676.62160206854</v>
      </c>
      <c r="AL27" s="230">
        <f t="shared" ca="1" si="5"/>
        <v>340341.85844067181</v>
      </c>
      <c r="AM27" s="230">
        <f t="shared" ca="1" si="5"/>
        <v>344182.62259391707</v>
      </c>
      <c r="AN27" s="230">
        <f t="shared" ca="1" si="5"/>
        <v>347303.23332993686</v>
      </c>
      <c r="AO27" s="230">
        <f t="shared" ca="1" si="5"/>
        <v>341714.22276176931</v>
      </c>
      <c r="AP27" s="230">
        <f t="shared" ca="1" si="5"/>
        <v>336770.81383526919</v>
      </c>
      <c r="AQ27" s="230">
        <f t="shared" ca="1" si="5"/>
        <v>331181.68350603501</v>
      </c>
      <c r="AR27" s="230">
        <f t="shared" ca="1" si="5"/>
        <v>326433.08836752444</v>
      </c>
      <c r="AS27" s="230">
        <f t="shared" ca="1" si="5"/>
        <v>320623.59364537569</v>
      </c>
      <c r="AT27" s="230">
        <f t="shared" ca="1" si="5"/>
        <v>306829.84462701716</v>
      </c>
      <c r="AU27" s="230">
        <f t="shared" ca="1" si="5"/>
        <v>310797.6087163958</v>
      </c>
      <c r="AV27" s="230">
        <f t="shared" ca="1" si="5"/>
        <v>287765.12116048671</v>
      </c>
      <c r="AW27" s="230">
        <f t="shared" ca="1" si="5"/>
        <v>281929.33939515933</v>
      </c>
      <c r="AX27" s="230">
        <f t="shared" ca="1" si="5"/>
        <v>277247.88257420709</v>
      </c>
      <c r="AY27" s="230">
        <f t="shared" ca="1" si="5"/>
        <v>271642.2039481714</v>
      </c>
      <c r="AZ27" s="230">
        <f t="shared" ca="1" si="5"/>
        <v>267206.30992816971</v>
      </c>
      <c r="BA27" s="230">
        <f t="shared" ca="1" si="5"/>
        <v>261360.25231721887</v>
      </c>
      <c r="BB27" s="230">
        <f t="shared" ca="1" si="5"/>
        <v>261014.42886440654</v>
      </c>
      <c r="BC27" s="230">
        <f t="shared" ca="1" si="5"/>
        <v>259824.73626016179</v>
      </c>
      <c r="BD27" s="230">
        <f t="shared" ca="1" si="5"/>
        <v>255050.52188159307</v>
      </c>
      <c r="BE27" s="230">
        <f t="shared" ca="1" si="5"/>
        <v>248780.52670905605</v>
      </c>
      <c r="BF27" s="230">
        <f t="shared" ca="1" si="5"/>
        <v>244080.6217461105</v>
      </c>
      <c r="BG27" s="230">
        <f t="shared" ca="1" si="5"/>
        <v>238378.44612738019</v>
      </c>
      <c r="BH27" s="230">
        <f t="shared" ca="1" si="5"/>
        <v>233944.84129735862</v>
      </c>
      <c r="BI27" s="230">
        <f t="shared" ca="1" si="5"/>
        <v>227981.98712557688</v>
      </c>
      <c r="BJ27" s="230">
        <f t="shared" ca="1" si="5"/>
        <v>219836.19545432201</v>
      </c>
      <c r="BK27" t="s">
        <v>102</v>
      </c>
    </row>
    <row r="28" spans="1:63" ht="11.25" customHeight="1" x14ac:dyDescent="0.25">
      <c r="A28" s="12"/>
      <c r="B28" s="17"/>
      <c r="C28" s="17"/>
      <c r="D28" s="17"/>
      <c r="E28" s="104"/>
      <c r="F28" s="313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2"/>
      <c r="AM28" s="112"/>
      <c r="AN28" s="112"/>
      <c r="AO28" s="112"/>
      <c r="AP28" s="112"/>
      <c r="AQ28" s="112"/>
      <c r="AR28" s="112"/>
      <c r="AS28" s="112"/>
      <c r="AT28" s="112"/>
      <c r="AU28" s="112"/>
      <c r="AV28" s="112"/>
      <c r="AW28" s="112"/>
      <c r="AX28" s="112"/>
      <c r="AY28" s="112"/>
      <c r="AZ28" s="112"/>
      <c r="BA28" s="112"/>
      <c r="BB28" s="112"/>
      <c r="BC28" s="112"/>
      <c r="BD28" s="112"/>
      <c r="BE28" s="112"/>
      <c r="BF28" s="112"/>
      <c r="BG28" s="112"/>
      <c r="BH28" s="112"/>
      <c r="BI28" s="112"/>
      <c r="BJ28" s="112"/>
      <c r="BK28" t="s">
        <v>102</v>
      </c>
    </row>
    <row r="29" spans="1:63" ht="11.25" customHeight="1" x14ac:dyDescent="0.25">
      <c r="A29" s="12" t="s">
        <v>26</v>
      </c>
      <c r="B29" s="113" t="s">
        <v>276</v>
      </c>
      <c r="C29" s="113"/>
      <c r="D29" s="113"/>
      <c r="E29" s="114"/>
      <c r="F29" s="303" t="s">
        <v>26</v>
      </c>
      <c r="G29" s="114">
        <f ca="1">G12-G27</f>
        <v>0</v>
      </c>
      <c r="H29" s="114">
        <f t="shared" ref="H29:BJ29" ca="1" si="6">H12-H27</f>
        <v>0</v>
      </c>
      <c r="I29" s="114">
        <f t="shared" ca="1" si="6"/>
        <v>0</v>
      </c>
      <c r="J29" s="114">
        <f t="shared" ca="1" si="6"/>
        <v>0</v>
      </c>
      <c r="K29" s="114">
        <f t="shared" ca="1" si="6"/>
        <v>0</v>
      </c>
      <c r="L29" s="114">
        <f t="shared" ca="1" si="6"/>
        <v>0</v>
      </c>
      <c r="M29" s="114">
        <f t="shared" ca="1" si="6"/>
        <v>0</v>
      </c>
      <c r="N29" s="114">
        <f t="shared" ca="1" si="6"/>
        <v>0</v>
      </c>
      <c r="O29" s="114">
        <f t="shared" ca="1" si="6"/>
        <v>0</v>
      </c>
      <c r="P29" s="114">
        <f t="shared" ca="1" si="6"/>
        <v>0</v>
      </c>
      <c r="Q29" s="114">
        <f t="shared" ca="1" si="6"/>
        <v>0</v>
      </c>
      <c r="R29" s="114">
        <f t="shared" ca="1" si="6"/>
        <v>0</v>
      </c>
      <c r="S29" s="114">
        <f t="shared" ca="1" si="6"/>
        <v>0</v>
      </c>
      <c r="T29" s="114">
        <f t="shared" ca="1" si="6"/>
        <v>0</v>
      </c>
      <c r="U29" s="114">
        <f t="shared" ca="1" si="6"/>
        <v>0</v>
      </c>
      <c r="V29" s="114">
        <f t="shared" ca="1" si="6"/>
        <v>0</v>
      </c>
      <c r="W29" s="114">
        <f t="shared" ca="1" si="6"/>
        <v>0</v>
      </c>
      <c r="X29" s="114">
        <f t="shared" ca="1" si="6"/>
        <v>0</v>
      </c>
      <c r="Y29" s="114">
        <f t="shared" ca="1" si="6"/>
        <v>0</v>
      </c>
      <c r="Z29" s="114">
        <f t="shared" ca="1" si="6"/>
        <v>0</v>
      </c>
      <c r="AA29" s="114">
        <f t="shared" ca="1" si="6"/>
        <v>0</v>
      </c>
      <c r="AB29" s="114">
        <f t="shared" ca="1" si="6"/>
        <v>0</v>
      </c>
      <c r="AC29" s="114">
        <f t="shared" ca="1" si="6"/>
        <v>0</v>
      </c>
      <c r="AD29" s="114">
        <f t="shared" ca="1" si="6"/>
        <v>0</v>
      </c>
      <c r="AE29" s="114">
        <f t="shared" ca="1" si="6"/>
        <v>0</v>
      </c>
      <c r="AF29" s="114">
        <f t="shared" ca="1" si="6"/>
        <v>0</v>
      </c>
      <c r="AG29" s="114">
        <f t="shared" ca="1" si="6"/>
        <v>0</v>
      </c>
      <c r="AH29" s="114">
        <f t="shared" ca="1" si="6"/>
        <v>0</v>
      </c>
      <c r="AI29" s="114">
        <f t="shared" ca="1" si="6"/>
        <v>0</v>
      </c>
      <c r="AJ29" s="114">
        <f t="shared" ca="1" si="6"/>
        <v>0</v>
      </c>
      <c r="AK29" s="114">
        <f t="shared" ca="1" si="6"/>
        <v>0</v>
      </c>
      <c r="AL29" s="114">
        <f t="shared" ca="1" si="6"/>
        <v>0</v>
      </c>
      <c r="AM29" s="114">
        <f t="shared" ca="1" si="6"/>
        <v>0</v>
      </c>
      <c r="AN29" s="114">
        <f t="shared" ca="1" si="6"/>
        <v>0</v>
      </c>
      <c r="AO29" s="114">
        <f t="shared" ca="1" si="6"/>
        <v>0</v>
      </c>
      <c r="AP29" s="114">
        <f t="shared" ca="1" si="6"/>
        <v>0</v>
      </c>
      <c r="AQ29" s="114">
        <f t="shared" ca="1" si="6"/>
        <v>0</v>
      </c>
      <c r="AR29" s="114">
        <f t="shared" ca="1" si="6"/>
        <v>0</v>
      </c>
      <c r="AS29" s="114">
        <f t="shared" ca="1" si="6"/>
        <v>0</v>
      </c>
      <c r="AT29" s="114">
        <f t="shared" ca="1" si="6"/>
        <v>0</v>
      </c>
      <c r="AU29" s="114">
        <f t="shared" ca="1" si="6"/>
        <v>0</v>
      </c>
      <c r="AV29" s="114">
        <f t="shared" ca="1" si="6"/>
        <v>0</v>
      </c>
      <c r="AW29" s="114">
        <f t="shared" ca="1" si="6"/>
        <v>0</v>
      </c>
      <c r="AX29" s="114">
        <f t="shared" ca="1" si="6"/>
        <v>0</v>
      </c>
      <c r="AY29" s="114">
        <f t="shared" ca="1" si="6"/>
        <v>0</v>
      </c>
      <c r="AZ29" s="114">
        <f t="shared" ca="1" si="6"/>
        <v>4.6566128730773926E-10</v>
      </c>
      <c r="BA29" s="114">
        <f t="shared" ca="1" si="6"/>
        <v>4.9476511776447296E-10</v>
      </c>
      <c r="BB29" s="114">
        <f t="shared" ca="1" si="6"/>
        <v>4.6566128730773926E-10</v>
      </c>
      <c r="BC29" s="114">
        <f t="shared" ca="1" si="6"/>
        <v>5.2386894822120667E-10</v>
      </c>
      <c r="BD29" s="114">
        <f t="shared" ca="1" si="6"/>
        <v>4.9476511776447296E-10</v>
      </c>
      <c r="BE29" s="114">
        <f t="shared" ca="1" si="6"/>
        <v>5.5297277867794037E-10</v>
      </c>
      <c r="BF29" s="114">
        <f t="shared" ca="1" si="6"/>
        <v>5.2386894822120667E-10</v>
      </c>
      <c r="BG29" s="114">
        <f t="shared" ca="1" si="6"/>
        <v>5.8207660913467407E-10</v>
      </c>
      <c r="BH29" s="114">
        <f t="shared" ca="1" si="6"/>
        <v>5.8207660913467407E-10</v>
      </c>
      <c r="BI29" s="114">
        <f t="shared" ca="1" si="6"/>
        <v>6.1118043959140778E-10</v>
      </c>
      <c r="BJ29" s="114">
        <f t="shared" ca="1" si="6"/>
        <v>6.4028427004814148E-10</v>
      </c>
      <c r="BK29" t="s">
        <v>102</v>
      </c>
    </row>
    <row r="30" spans="1:63" ht="11.25" customHeight="1" x14ac:dyDescent="0.25"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165"/>
      <c r="AL30" s="165"/>
      <c r="AM30" s="165"/>
      <c r="AN30" s="165"/>
      <c r="AO30" s="165"/>
      <c r="AP30" s="165"/>
      <c r="AQ30" s="165"/>
      <c r="AR30" s="165"/>
      <c r="AS30" s="165"/>
      <c r="AT30" s="165"/>
      <c r="AU30" s="165"/>
      <c r="AV30" s="165"/>
      <c r="AW30" s="165"/>
      <c r="AX30" s="165"/>
      <c r="AY30" s="165"/>
      <c r="AZ30" s="165"/>
      <c r="BA30" s="165"/>
      <c r="BB30" s="165"/>
      <c r="BC30" s="165"/>
      <c r="BD30" s="165"/>
      <c r="BE30" s="165"/>
      <c r="BF30" s="165"/>
      <c r="BG30" s="165"/>
      <c r="BH30" s="165"/>
      <c r="BI30" s="165"/>
      <c r="BJ30" s="165"/>
      <c r="BK30" t="s">
        <v>102</v>
      </c>
    </row>
    <row r="31" spans="1:63" ht="11.25" customHeight="1" x14ac:dyDescent="0.25">
      <c r="V31" t="s">
        <v>20</v>
      </c>
    </row>
  </sheetData>
  <pageMargins left="0.7" right="0.7" top="0.75" bottom="0.75" header="0.3" footer="0.3"/>
  <pageSetup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tabColor theme="1" tint="0.499984740745262"/>
  </sheetPr>
  <dimension ref="A1:BK68"/>
  <sheetViews>
    <sheetView zoomScale="120" zoomScaleNormal="120" workbookViewId="0">
      <selection activeCell="E13" sqref="E13"/>
    </sheetView>
  </sheetViews>
  <sheetFormatPr defaultColWidth="8.7109375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style="305" customWidth="1"/>
    <col min="7" max="62" width="8.7109375" customWidth="1"/>
  </cols>
  <sheetData>
    <row r="1" spans="1:63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63" ht="11.25" customHeight="1" x14ac:dyDescent="0.25">
      <c r="A2" s="200" t="s">
        <v>8</v>
      </c>
      <c r="B2" s="201"/>
      <c r="C2" s="202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63" ht="11.25" customHeight="1" x14ac:dyDescent="0.25">
      <c r="A3" s="200"/>
      <c r="B3" s="201"/>
      <c r="C3" s="202"/>
      <c r="D3" s="200"/>
      <c r="E3" s="203" t="s">
        <v>403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63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302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t="s">
        <v>102</v>
      </c>
    </row>
    <row r="5" spans="1:63" ht="11.25" customHeight="1" x14ac:dyDescent="0.25">
      <c r="A5" s="5"/>
      <c r="B5" s="5"/>
      <c r="C5" s="5"/>
      <c r="D5" s="5"/>
      <c r="E5" s="5"/>
      <c r="F5" s="302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t="s">
        <v>102</v>
      </c>
    </row>
    <row r="6" spans="1:63" ht="11.25" customHeight="1" x14ac:dyDescent="0.25">
      <c r="A6" s="5" t="s">
        <v>26</v>
      </c>
      <c r="B6" s="3" t="s">
        <v>10</v>
      </c>
      <c r="C6" s="5"/>
      <c r="D6" s="5"/>
      <c r="E6" s="5"/>
      <c r="F6" s="302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t="s">
        <v>102</v>
      </c>
    </row>
    <row r="7" spans="1:63" ht="11.25" customHeight="1" x14ac:dyDescent="0.25">
      <c r="A7" s="5"/>
      <c r="B7" s="5" t="s">
        <v>121</v>
      </c>
      <c r="C7" s="7" t="s">
        <v>50</v>
      </c>
      <c r="D7" s="257">
        <f>Assumptions!D10</f>
        <v>44926</v>
      </c>
      <c r="E7" s="5"/>
      <c r="F7" s="302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t="s">
        <v>102</v>
      </c>
    </row>
    <row r="8" spans="1:63" ht="11.25" customHeight="1" x14ac:dyDescent="0.25">
      <c r="A8" s="5"/>
      <c r="B8" s="5" t="s">
        <v>288</v>
      </c>
      <c r="C8" s="94" t="s">
        <v>34</v>
      </c>
      <c r="D8" s="404">
        <f>Assumptions!D145</f>
        <v>0.19500000000000001</v>
      </c>
      <c r="E8" s="5"/>
      <c r="F8" s="302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t="s">
        <v>102</v>
      </c>
    </row>
    <row r="9" spans="1:63" ht="11.25" customHeight="1" x14ac:dyDescent="0.25">
      <c r="A9" s="5"/>
      <c r="B9" s="5" t="s">
        <v>289</v>
      </c>
      <c r="C9" s="94" t="s">
        <v>1</v>
      </c>
      <c r="D9" s="88"/>
      <c r="E9" s="1">
        <f>SUM(G9:BJ9)</f>
        <v>-82561.528494049111</v>
      </c>
      <c r="F9" s="302" t="s">
        <v>26</v>
      </c>
      <c r="G9" s="1">
        <f>-Construction!G37</f>
        <v>0</v>
      </c>
      <c r="H9" s="1">
        <f>-Construction!H37</f>
        <v>-14552.590673542869</v>
      </c>
      <c r="I9" s="1">
        <f>-Construction!I37</f>
        <v>-4542.6183626905186</v>
      </c>
      <c r="J9" s="1">
        <f>-Construction!J37</f>
        <v>-5211.9449585072562</v>
      </c>
      <c r="K9" s="1">
        <f>-Construction!K37</f>
        <v>-4060.012959665361</v>
      </c>
      <c r="L9" s="1">
        <f>-Construction!L37</f>
        <v>-2283.0367289185911</v>
      </c>
      <c r="M9" s="1">
        <f>-Construction!M37</f>
        <v>-4752.8531885982675</v>
      </c>
      <c r="N9" s="1">
        <f>-Construction!N37</f>
        <v>-3594.9254512413609</v>
      </c>
      <c r="O9" s="1">
        <f>-Construction!O37</f>
        <v>-5471.8751776345734</v>
      </c>
      <c r="P9" s="1">
        <f>-Construction!P37</f>
        <v>-4933.3378674544811</v>
      </c>
      <c r="Q9" s="1">
        <f>-Construction!Q37</f>
        <v>-4387.7672600034357</v>
      </c>
      <c r="R9" s="1">
        <f>-Construction!R37</f>
        <v>-6275.0715004190806</v>
      </c>
      <c r="S9" s="1">
        <f>-Construction!S37</f>
        <v>-2697.0239342145546</v>
      </c>
      <c r="T9" s="1">
        <f>-Construction!T37</f>
        <v>-5782.2470667953958</v>
      </c>
      <c r="U9" s="1">
        <f>-Construction!U37</f>
        <v>-3417.7632134877445</v>
      </c>
      <c r="V9" s="1">
        <f>-Construction!V37</f>
        <v>-10598.460150875615</v>
      </c>
      <c r="W9" s="1">
        <f>-Construction!W37</f>
        <v>0</v>
      </c>
      <c r="X9" s="1">
        <f>-Construction!X37</f>
        <v>0</v>
      </c>
      <c r="Y9" s="1">
        <f>-Construction!Y37</f>
        <v>0</v>
      </c>
      <c r="Z9" s="1">
        <f>-Construction!Z37</f>
        <v>0</v>
      </c>
      <c r="AA9" s="1">
        <f>-Construction!AA37</f>
        <v>0</v>
      </c>
      <c r="AB9" s="1">
        <f>-Construction!AB37</f>
        <v>0</v>
      </c>
      <c r="AC9" s="1">
        <f>-Construction!AC37</f>
        <v>0</v>
      </c>
      <c r="AD9" s="1">
        <f>-Construction!AD37</f>
        <v>0</v>
      </c>
      <c r="AE9" s="1">
        <f>-Construction!AE37</f>
        <v>0</v>
      </c>
      <c r="AF9" s="1">
        <f>-Construction!AF37</f>
        <v>0</v>
      </c>
      <c r="AG9" s="1">
        <f>-Construction!AG37</f>
        <v>0</v>
      </c>
      <c r="AH9" s="1">
        <f>-Construction!AH37</f>
        <v>0</v>
      </c>
      <c r="AI9" s="1">
        <f>-Construction!AI37</f>
        <v>0</v>
      </c>
      <c r="AJ9" s="1">
        <f>-Construction!AJ37</f>
        <v>0</v>
      </c>
      <c r="AK9" s="1">
        <f>-Construction!AK37</f>
        <v>0</v>
      </c>
      <c r="AL9" s="1">
        <f>-Construction!AL37</f>
        <v>0</v>
      </c>
      <c r="AM9" s="1">
        <f>-Construction!AM37</f>
        <v>0</v>
      </c>
      <c r="AN9" s="1">
        <f>-Construction!AN37</f>
        <v>0</v>
      </c>
      <c r="AO9" s="1">
        <f>-Construction!AO37</f>
        <v>0</v>
      </c>
      <c r="AP9" s="1">
        <f>-Construction!AP37</f>
        <v>0</v>
      </c>
      <c r="AQ9" s="1">
        <f>-Construction!AQ37</f>
        <v>0</v>
      </c>
      <c r="AR9" s="1">
        <f>-Construction!AR37</f>
        <v>0</v>
      </c>
      <c r="AS9" s="1">
        <f>-Construction!AS37</f>
        <v>0</v>
      </c>
      <c r="AT9" s="1">
        <f>-Construction!AT37</f>
        <v>0</v>
      </c>
      <c r="AU9" s="1">
        <f>-Construction!AU37</f>
        <v>0</v>
      </c>
      <c r="AV9" s="1">
        <f>-Construction!AV37</f>
        <v>0</v>
      </c>
      <c r="AW9" s="1">
        <f>-Construction!AW37</f>
        <v>0</v>
      </c>
      <c r="AX9" s="1">
        <f>-Construction!AX37</f>
        <v>0</v>
      </c>
      <c r="AY9" s="1">
        <f>-Construction!AY37</f>
        <v>0</v>
      </c>
      <c r="AZ9" s="1">
        <f>-Construction!AZ37</f>
        <v>0</v>
      </c>
      <c r="BA9" s="1">
        <f>-Construction!BA37</f>
        <v>0</v>
      </c>
      <c r="BB9" s="1">
        <f>-Construction!BB37</f>
        <v>0</v>
      </c>
      <c r="BC9" s="1">
        <f>-Construction!BC37</f>
        <v>0</v>
      </c>
      <c r="BD9" s="1">
        <f>-Construction!BD37</f>
        <v>0</v>
      </c>
      <c r="BE9" s="1">
        <f>-Construction!BE37</f>
        <v>0</v>
      </c>
      <c r="BF9" s="1">
        <f>-Construction!BF37</f>
        <v>0</v>
      </c>
      <c r="BG9" s="1">
        <f>-Construction!BG37</f>
        <v>0</v>
      </c>
      <c r="BH9" s="1">
        <f>-Construction!BH37</f>
        <v>0</v>
      </c>
      <c r="BI9" s="1">
        <f>-Construction!BI37</f>
        <v>0</v>
      </c>
      <c r="BJ9" s="1">
        <f>-Construction!BJ37</f>
        <v>0</v>
      </c>
      <c r="BK9" t="s">
        <v>102</v>
      </c>
    </row>
    <row r="10" spans="1:63" ht="11.25" customHeight="1" x14ac:dyDescent="0.25">
      <c r="A10" s="5"/>
      <c r="B10" s="5" t="s">
        <v>290</v>
      </c>
      <c r="C10" s="94" t="s">
        <v>1</v>
      </c>
      <c r="D10" s="5"/>
      <c r="E10" s="1">
        <f t="shared" ref="E10:E13" si="0">SUM(G10:BJ10)</f>
        <v>583543.30021945189</v>
      </c>
      <c r="F10" s="302" t="s">
        <v>26</v>
      </c>
      <c r="G10" s="1">
        <f>CF!G31</f>
        <v>0</v>
      </c>
      <c r="H10" s="1">
        <f>CF!H31</f>
        <v>0</v>
      </c>
      <c r="I10" s="1">
        <f>CF!I31</f>
        <v>0</v>
      </c>
      <c r="J10" s="1">
        <f>CF!J31</f>
        <v>0</v>
      </c>
      <c r="K10" s="1">
        <f>CF!K31</f>
        <v>0</v>
      </c>
      <c r="L10" s="1">
        <f>CF!L31</f>
        <v>0</v>
      </c>
      <c r="M10" s="1">
        <f>CF!M31</f>
        <v>0</v>
      </c>
      <c r="N10" s="1">
        <f>CF!N31</f>
        <v>0</v>
      </c>
      <c r="O10" s="1">
        <f>CF!O31</f>
        <v>0</v>
      </c>
      <c r="P10" s="1">
        <f>CF!P31</f>
        <v>0</v>
      </c>
      <c r="Q10" s="1">
        <f>CF!Q31</f>
        <v>0</v>
      </c>
      <c r="R10" s="1">
        <f>CF!R31</f>
        <v>0</v>
      </c>
      <c r="S10" s="1">
        <f>CF!S31</f>
        <v>0</v>
      </c>
      <c r="T10" s="1">
        <f>CF!T31</f>
        <v>0</v>
      </c>
      <c r="U10" s="1">
        <f>CF!U31</f>
        <v>0</v>
      </c>
      <c r="V10" s="1">
        <f>CF!V31</f>
        <v>0</v>
      </c>
      <c r="W10" s="1">
        <f>CF!W31</f>
        <v>14089.008650181408</v>
      </c>
      <c r="X10" s="1">
        <f>CF!X31</f>
        <v>14050.802078582281</v>
      </c>
      <c r="Y10" s="1">
        <f>CF!Y31</f>
        <v>14600.304552956573</v>
      </c>
      <c r="Z10" s="1">
        <f>CF!Z31</f>
        <v>14247.125004549383</v>
      </c>
      <c r="AA10" s="1">
        <f>CF!AA31</f>
        <v>14677.263969122065</v>
      </c>
      <c r="AB10" s="1">
        <f>CF!AB31</f>
        <v>14311.089279884132</v>
      </c>
      <c r="AC10" s="1">
        <f>CF!AC31</f>
        <v>14965.849687365797</v>
      </c>
      <c r="AD10" s="1">
        <f>CF!AD31</f>
        <v>3524.0643862815909</v>
      </c>
      <c r="AE10" s="1">
        <f>CF!AE31</f>
        <v>14129.925466660605</v>
      </c>
      <c r="AF10" s="1">
        <f>CF!AF31</f>
        <v>15601.887583625961</v>
      </c>
      <c r="AG10" s="1">
        <f>CF!AG31</f>
        <v>15891.379516959036</v>
      </c>
      <c r="AH10" s="1">
        <f>CF!AH31</f>
        <v>15157.413213755661</v>
      </c>
      <c r="AI10" s="1">
        <f>CF!AI31</f>
        <v>15324.15913703098</v>
      </c>
      <c r="AJ10" s="1">
        <f>CF!AJ31</f>
        <v>14982.79488817333</v>
      </c>
      <c r="AK10" s="1">
        <f>CF!AK31</f>
        <v>1844.7440654404018</v>
      </c>
      <c r="AL10" s="1">
        <f>CF!AL31</f>
        <v>-4.5474735088646412E-13</v>
      </c>
      <c r="AM10" s="1">
        <f>CF!AM31</f>
        <v>0</v>
      </c>
      <c r="AN10" s="1">
        <f>CF!AN31</f>
        <v>0</v>
      </c>
      <c r="AO10" s="1">
        <f>CF!AO31</f>
        <v>8112.1458142219053</v>
      </c>
      <c r="AP10" s="1">
        <f>CF!AP31</f>
        <v>7586.7847230429143</v>
      </c>
      <c r="AQ10" s="1">
        <f>CF!AQ31</f>
        <v>7746.0585250775575</v>
      </c>
      <c r="AR10" s="1">
        <f>CF!AR31</f>
        <v>6963.7631836572809</v>
      </c>
      <c r="AS10" s="1">
        <f>CF!AS31</f>
        <v>7365.6786074896354</v>
      </c>
      <c r="AT10" s="1">
        <f>CF!AT31</f>
        <v>9.0949470177292824E-13</v>
      </c>
      <c r="AU10" s="1">
        <f>CF!AU31</f>
        <v>0</v>
      </c>
      <c r="AV10" s="1">
        <f>CF!AV31</f>
        <v>25455.16095218245</v>
      </c>
      <c r="AW10" s="1">
        <f>CF!AW31</f>
        <v>26885.02494470185</v>
      </c>
      <c r="AX10" s="1">
        <f>CF!AX31</f>
        <v>25922.648668528891</v>
      </c>
      <c r="AY10" s="1">
        <f>CF!AY31</f>
        <v>26274.439259897299</v>
      </c>
      <c r="AZ10" s="1">
        <f>CF!AZ31</f>
        <v>25296.472771050685</v>
      </c>
      <c r="BA10" s="1">
        <f>CF!BA31</f>
        <v>25939.257183672868</v>
      </c>
      <c r="BB10" s="1">
        <f>CF!BB31</f>
        <v>3516.0046308037272</v>
      </c>
      <c r="BC10" s="1">
        <f>CF!BC31</f>
        <v>23994.746025743094</v>
      </c>
      <c r="BD10" s="1">
        <f>CF!BD31</f>
        <v>26165.511768410848</v>
      </c>
      <c r="BE10" s="1">
        <f>CF!BE31</f>
        <v>26831.942891849489</v>
      </c>
      <c r="BF10" s="1">
        <f>CF!BF31</f>
        <v>25774.647717040214</v>
      </c>
      <c r="BG10" s="1">
        <f>CF!BG31</f>
        <v>26115.610020196691</v>
      </c>
      <c r="BH10" s="1">
        <f>CF!BH31</f>
        <v>25041.21111705053</v>
      </c>
      <c r="BI10" s="1">
        <f>CF!BI31</f>
        <v>25690.699509440223</v>
      </c>
      <c r="BJ10" s="1">
        <f>CF!BJ31</f>
        <v>9467.6804248245517</v>
      </c>
      <c r="BK10" t="s">
        <v>102</v>
      </c>
    </row>
    <row r="11" spans="1:63" ht="11.25" customHeight="1" x14ac:dyDescent="0.25">
      <c r="A11" s="5"/>
      <c r="B11" s="5" t="s">
        <v>291</v>
      </c>
      <c r="C11" s="94" t="s">
        <v>1</v>
      </c>
      <c r="D11" s="5"/>
      <c r="E11" s="1">
        <f t="shared" si="0"/>
        <v>500981.7717254028</v>
      </c>
      <c r="F11" s="302" t="s">
        <v>26</v>
      </c>
      <c r="G11" s="1">
        <f>SUM(G9:G10)</f>
        <v>0</v>
      </c>
      <c r="H11" s="1">
        <f t="shared" ref="H11:BJ11" si="1">SUM(H9:H10)</f>
        <v>-14552.590673542869</v>
      </c>
      <c r="I11" s="1">
        <f t="shared" si="1"/>
        <v>-4542.6183626905186</v>
      </c>
      <c r="J11" s="1">
        <f t="shared" si="1"/>
        <v>-5211.9449585072562</v>
      </c>
      <c r="K11" s="1">
        <f t="shared" si="1"/>
        <v>-4060.012959665361</v>
      </c>
      <c r="L11" s="1">
        <f t="shared" si="1"/>
        <v>-2283.0367289185911</v>
      </c>
      <c r="M11" s="1">
        <f t="shared" si="1"/>
        <v>-4752.8531885982675</v>
      </c>
      <c r="N11" s="1">
        <f t="shared" si="1"/>
        <v>-3594.9254512413609</v>
      </c>
      <c r="O11" s="1">
        <f t="shared" si="1"/>
        <v>-5471.8751776345734</v>
      </c>
      <c r="P11" s="1">
        <f t="shared" si="1"/>
        <v>-4933.3378674544811</v>
      </c>
      <c r="Q11" s="1">
        <f t="shared" si="1"/>
        <v>-4387.7672600034357</v>
      </c>
      <c r="R11" s="1">
        <f t="shared" si="1"/>
        <v>-6275.0715004190806</v>
      </c>
      <c r="S11" s="1">
        <f t="shared" si="1"/>
        <v>-2697.0239342145546</v>
      </c>
      <c r="T11" s="1">
        <f t="shared" si="1"/>
        <v>-5782.2470667953958</v>
      </c>
      <c r="U11" s="1">
        <f t="shared" si="1"/>
        <v>-3417.7632134877445</v>
      </c>
      <c r="V11" s="1">
        <f t="shared" si="1"/>
        <v>-10598.460150875615</v>
      </c>
      <c r="W11" s="1">
        <f t="shared" si="1"/>
        <v>14089.008650181408</v>
      </c>
      <c r="X11" s="1">
        <f t="shared" si="1"/>
        <v>14050.802078582281</v>
      </c>
      <c r="Y11" s="1">
        <f t="shared" si="1"/>
        <v>14600.304552956573</v>
      </c>
      <c r="Z11" s="1">
        <f t="shared" si="1"/>
        <v>14247.125004549383</v>
      </c>
      <c r="AA11" s="1">
        <f t="shared" si="1"/>
        <v>14677.263969122065</v>
      </c>
      <c r="AB11" s="1">
        <f t="shared" si="1"/>
        <v>14311.089279884132</v>
      </c>
      <c r="AC11" s="1">
        <f t="shared" si="1"/>
        <v>14965.849687365797</v>
      </c>
      <c r="AD11" s="1">
        <f t="shared" si="1"/>
        <v>3524.0643862815909</v>
      </c>
      <c r="AE11" s="1">
        <f t="shared" si="1"/>
        <v>14129.925466660605</v>
      </c>
      <c r="AF11" s="1">
        <f t="shared" si="1"/>
        <v>15601.887583625961</v>
      </c>
      <c r="AG11" s="1">
        <f t="shared" si="1"/>
        <v>15891.379516959036</v>
      </c>
      <c r="AH11" s="1">
        <f t="shared" si="1"/>
        <v>15157.413213755661</v>
      </c>
      <c r="AI11" s="1">
        <f t="shared" si="1"/>
        <v>15324.15913703098</v>
      </c>
      <c r="AJ11" s="1">
        <f t="shared" si="1"/>
        <v>14982.79488817333</v>
      </c>
      <c r="AK11" s="1">
        <f t="shared" si="1"/>
        <v>1844.7440654404018</v>
      </c>
      <c r="AL11" s="1">
        <f t="shared" si="1"/>
        <v>-4.5474735088646412E-13</v>
      </c>
      <c r="AM11" s="1">
        <f t="shared" si="1"/>
        <v>0</v>
      </c>
      <c r="AN11" s="1">
        <f t="shared" si="1"/>
        <v>0</v>
      </c>
      <c r="AO11" s="1">
        <f t="shared" si="1"/>
        <v>8112.1458142219053</v>
      </c>
      <c r="AP11" s="1">
        <f t="shared" si="1"/>
        <v>7586.7847230429143</v>
      </c>
      <c r="AQ11" s="1">
        <f t="shared" si="1"/>
        <v>7746.0585250775575</v>
      </c>
      <c r="AR11" s="1">
        <f t="shared" si="1"/>
        <v>6963.7631836572809</v>
      </c>
      <c r="AS11" s="1">
        <f t="shared" si="1"/>
        <v>7365.6786074896354</v>
      </c>
      <c r="AT11" s="1">
        <f t="shared" si="1"/>
        <v>9.0949470177292824E-13</v>
      </c>
      <c r="AU11" s="1">
        <f t="shared" si="1"/>
        <v>0</v>
      </c>
      <c r="AV11" s="1">
        <f t="shared" si="1"/>
        <v>25455.16095218245</v>
      </c>
      <c r="AW11" s="1">
        <f t="shared" si="1"/>
        <v>26885.02494470185</v>
      </c>
      <c r="AX11" s="1">
        <f t="shared" si="1"/>
        <v>25922.648668528891</v>
      </c>
      <c r="AY11" s="1">
        <f t="shared" si="1"/>
        <v>26274.439259897299</v>
      </c>
      <c r="AZ11" s="1">
        <f t="shared" si="1"/>
        <v>25296.472771050685</v>
      </c>
      <c r="BA11" s="1">
        <f t="shared" si="1"/>
        <v>25939.257183672868</v>
      </c>
      <c r="BB11" s="1">
        <f t="shared" si="1"/>
        <v>3516.0046308037272</v>
      </c>
      <c r="BC11" s="1">
        <f t="shared" si="1"/>
        <v>23994.746025743094</v>
      </c>
      <c r="BD11" s="1">
        <f t="shared" si="1"/>
        <v>26165.511768410848</v>
      </c>
      <c r="BE11" s="1">
        <f t="shared" si="1"/>
        <v>26831.942891849489</v>
      </c>
      <c r="BF11" s="1">
        <f t="shared" si="1"/>
        <v>25774.647717040214</v>
      </c>
      <c r="BG11" s="1">
        <f t="shared" si="1"/>
        <v>26115.610020196691</v>
      </c>
      <c r="BH11" s="1">
        <f t="shared" si="1"/>
        <v>25041.21111705053</v>
      </c>
      <c r="BI11" s="1">
        <f t="shared" si="1"/>
        <v>25690.699509440223</v>
      </c>
      <c r="BJ11" s="1">
        <f t="shared" si="1"/>
        <v>9467.6804248245517</v>
      </c>
      <c r="BK11" t="s">
        <v>102</v>
      </c>
    </row>
    <row r="12" spans="1:63" ht="11.25" customHeight="1" x14ac:dyDescent="0.25">
      <c r="A12" s="5"/>
      <c r="B12" s="5" t="s">
        <v>292</v>
      </c>
      <c r="C12" s="94" t="s">
        <v>102</v>
      </c>
      <c r="D12" s="5"/>
      <c r="E12" s="44">
        <f t="shared" si="0"/>
        <v>16.782443141980604</v>
      </c>
      <c r="F12" s="302" t="s">
        <v>26</v>
      </c>
      <c r="G12" s="44">
        <f>IF(G1&gt;=$D$7,1/((1+$D$8)^(YEARFRAC($D$7,G1,1))),0)</f>
        <v>0</v>
      </c>
      <c r="H12" s="44">
        <f t="shared" ref="H12:BJ12" si="2">IF(H1&gt;=$D$7,1/((1+$D$8)^(YEARFRAC($D$7,H1,1))),0)</f>
        <v>1</v>
      </c>
      <c r="I12" s="44">
        <f t="shared" si="2"/>
        <v>0.95702433764179806</v>
      </c>
      <c r="J12" s="44">
        <f t="shared" si="2"/>
        <v>0.91544866915907719</v>
      </c>
      <c r="K12" s="44">
        <f t="shared" si="2"/>
        <v>0.87525186771139318</v>
      </c>
      <c r="L12" s="44">
        <f t="shared" si="2"/>
        <v>0.83682008368200833</v>
      </c>
      <c r="M12" s="44">
        <f t="shared" si="2"/>
        <v>0.80062897021449908</v>
      </c>
      <c r="N12" s="44">
        <f t="shared" si="2"/>
        <v>0.76587856613747707</v>
      </c>
      <c r="O12" s="44">
        <f t="shared" si="2"/>
        <v>0.73227929863587349</v>
      </c>
      <c r="P12" s="44">
        <f t="shared" si="2"/>
        <v>0.70015403866830717</v>
      </c>
      <c r="Q12" s="44">
        <f t="shared" si="2"/>
        <v>0.67003010802717078</v>
      </c>
      <c r="R12" s="44">
        <f t="shared" si="2"/>
        <v>0.64094171234473585</v>
      </c>
      <c r="S12" s="44">
        <f t="shared" si="2"/>
        <v>0.61281718069154045</v>
      </c>
      <c r="T12" s="44">
        <f t="shared" si="2"/>
        <v>0.58592675389605209</v>
      </c>
      <c r="U12" s="44">
        <f t="shared" si="2"/>
        <v>0.56071861406973955</v>
      </c>
      <c r="V12" s="44">
        <f t="shared" si="2"/>
        <v>0.53637256066274208</v>
      </c>
      <c r="W12" s="44">
        <f t="shared" si="2"/>
        <v>0.49032722608571783</v>
      </c>
      <c r="X12" s="44">
        <f t="shared" si="2"/>
        <v>0.44885830370178803</v>
      </c>
      <c r="Y12" s="44">
        <f t="shared" si="2"/>
        <v>0.41032233916739236</v>
      </c>
      <c r="Z12" s="44">
        <f t="shared" si="2"/>
        <v>0.37558085879448366</v>
      </c>
      <c r="AA12" s="44">
        <f t="shared" si="2"/>
        <v>0.3433460486198523</v>
      </c>
      <c r="AB12" s="44">
        <f t="shared" si="2"/>
        <v>0.31430183396758299</v>
      </c>
      <c r="AC12" s="44">
        <f t="shared" si="2"/>
        <v>0.28732387013243882</v>
      </c>
      <c r="AD12" s="44">
        <f t="shared" si="2"/>
        <v>0.2630194435178837</v>
      </c>
      <c r="AE12" s="44">
        <f t="shared" si="2"/>
        <v>0.24044164061189205</v>
      </c>
      <c r="AF12" s="44">
        <f t="shared" si="2"/>
        <v>0.22010353924327675</v>
      </c>
      <c r="AG12" s="44">
        <f t="shared" si="2"/>
        <v>0.20120857359939409</v>
      </c>
      <c r="AH12" s="44">
        <f t="shared" si="2"/>
        <v>0.18417724135465449</v>
      </c>
      <c r="AI12" s="44">
        <f t="shared" si="2"/>
        <v>0.16836940656221627</v>
      </c>
      <c r="AJ12" s="44">
        <f t="shared" si="2"/>
        <v>0.15412578231802368</v>
      </c>
      <c r="AK12" s="44">
        <f t="shared" si="2"/>
        <v>0.14089646154394317</v>
      </c>
      <c r="AL12" s="44">
        <f t="shared" si="2"/>
        <v>0.12897736849449462</v>
      </c>
      <c r="AM12" s="44">
        <f t="shared" si="2"/>
        <v>0.11790609394429712</v>
      </c>
      <c r="AN12" s="44">
        <f t="shared" si="2"/>
        <v>0.10793215675991631</v>
      </c>
      <c r="AO12" s="44">
        <f t="shared" si="2"/>
        <v>9.8666980220424236E-2</v>
      </c>
      <c r="AP12" s="44">
        <f t="shared" si="2"/>
        <v>9.0316327972769131E-2</v>
      </c>
      <c r="AQ12" s="44">
        <f t="shared" si="2"/>
        <v>8.2564402582749927E-2</v>
      </c>
      <c r="AR12" s="44">
        <f t="shared" si="2"/>
        <v>7.5579440550107901E-2</v>
      </c>
      <c r="AS12" s="44">
        <f t="shared" si="2"/>
        <v>6.9092111513232038E-2</v>
      </c>
      <c r="AT12" s="44">
        <f t="shared" si="2"/>
        <v>6.3247075657010418E-2</v>
      </c>
      <c r="AU12" s="44">
        <f t="shared" si="2"/>
        <v>5.7818080976329858E-2</v>
      </c>
      <c r="AV12" s="44">
        <f t="shared" si="2"/>
        <v>5.2926930405707784E-2</v>
      </c>
      <c r="AW12" s="44">
        <f t="shared" si="2"/>
        <v>4.8383639662116965E-2</v>
      </c>
      <c r="AX12" s="44">
        <f t="shared" si="2"/>
        <v>4.4288989132086606E-2</v>
      </c>
      <c r="AY12" s="44">
        <f t="shared" si="2"/>
        <v>4.0487593533777767E-2</v>
      </c>
      <c r="AZ12" s="44">
        <f t="shared" si="2"/>
        <v>3.7062273086021461E-2</v>
      </c>
      <c r="BA12" s="44">
        <f t="shared" si="2"/>
        <v>3.3881048686719852E-2</v>
      </c>
      <c r="BB12" s="44">
        <f t="shared" si="2"/>
        <v>3.1014725153495792E-2</v>
      </c>
      <c r="BC12" s="44">
        <f t="shared" si="2"/>
        <v>2.8352506515478413E-2</v>
      </c>
      <c r="BD12" s="44">
        <f t="shared" si="2"/>
        <v>2.5953950837695604E-2</v>
      </c>
      <c r="BE12" s="44">
        <f t="shared" si="2"/>
        <v>2.3726072039861931E-2</v>
      </c>
      <c r="BF12" s="44">
        <f t="shared" si="2"/>
        <v>2.1718252364392808E-2</v>
      </c>
      <c r="BG12" s="44">
        <f t="shared" si="2"/>
        <v>1.985412846075086E-2</v>
      </c>
      <c r="BH12" s="44">
        <f t="shared" si="2"/>
        <v>1.8174414580273978E-2</v>
      </c>
      <c r="BI12" s="44">
        <f t="shared" si="2"/>
        <v>1.6614421458114481E-2</v>
      </c>
      <c r="BJ12" s="44">
        <f t="shared" si="2"/>
        <v>1.5208826629824175E-2</v>
      </c>
      <c r="BK12" t="s">
        <v>102</v>
      </c>
    </row>
    <row r="13" spans="1:63" ht="11.25" customHeight="1" x14ac:dyDescent="0.25">
      <c r="A13" s="5" t="s">
        <v>26</v>
      </c>
      <c r="B13" s="241" t="s">
        <v>293</v>
      </c>
      <c r="C13" s="242" t="s">
        <v>1</v>
      </c>
      <c r="D13" s="241"/>
      <c r="E13" s="224">
        <f t="shared" si="0"/>
        <v>8578.3786231248396</v>
      </c>
      <c r="F13" s="307" t="s">
        <v>26</v>
      </c>
      <c r="G13" s="224">
        <f>G11*G12</f>
        <v>0</v>
      </c>
      <c r="H13" s="224">
        <f t="shared" ref="H13:BJ13" si="3">H11*H12</f>
        <v>-14552.590673542869</v>
      </c>
      <c r="I13" s="224">
        <f t="shared" si="3"/>
        <v>-4347.3963297133623</v>
      </c>
      <c r="J13" s="224">
        <f t="shared" si="3"/>
        <v>-4771.2680759958293</v>
      </c>
      <c r="K13" s="224">
        <f t="shared" si="3"/>
        <v>-3553.5339258795684</v>
      </c>
      <c r="L13" s="224">
        <f t="shared" si="3"/>
        <v>-1910.4909865427539</v>
      </c>
      <c r="M13" s="224">
        <f t="shared" si="3"/>
        <v>-3805.2719539681293</v>
      </c>
      <c r="N13" s="224">
        <f t="shared" si="3"/>
        <v>-2753.2763499678563</v>
      </c>
      <c r="O13" s="224">
        <f t="shared" si="3"/>
        <v>-4006.9409173012909</v>
      </c>
      <c r="P13" s="224">
        <f t="shared" si="3"/>
        <v>-3454.0964320135486</v>
      </c>
      <c r="Q13" s="224">
        <f t="shared" si="3"/>
        <v>-2939.9361712181853</v>
      </c>
      <c r="R13" s="224">
        <f t="shared" si="3"/>
        <v>-4021.9550725642562</v>
      </c>
      <c r="S13" s="224">
        <f t="shared" si="3"/>
        <v>-1652.7826036229701</v>
      </c>
      <c r="T13" s="224">
        <f t="shared" si="3"/>
        <v>-3387.9732540723949</v>
      </c>
      <c r="U13" s="224">
        <f t="shared" si="3"/>
        <v>-1916.4034522853874</v>
      </c>
      <c r="V13" s="224">
        <f t="shared" si="3"/>
        <v>-5684.7232102071857</v>
      </c>
      <c r="W13" s="224">
        <f t="shared" si="3"/>
        <v>6908.2245297411328</v>
      </c>
      <c r="X13" s="224">
        <f t="shared" si="3"/>
        <v>6306.8191866420002</v>
      </c>
      <c r="Y13" s="224">
        <f t="shared" si="3"/>
        <v>5990.8311167254697</v>
      </c>
      <c r="Z13" s="224">
        <f t="shared" si="3"/>
        <v>5350.9474445610194</v>
      </c>
      <c r="AA13" s="224">
        <f t="shared" si="3"/>
        <v>5039.3805883485911</v>
      </c>
      <c r="AB13" s="224">
        <f t="shared" si="3"/>
        <v>4498.001606741399</v>
      </c>
      <c r="AC13" s="224">
        <f t="shared" si="3"/>
        <v>4300.0458519942904</v>
      </c>
      <c r="AD13" s="224">
        <f t="shared" si="3"/>
        <v>926.89745380097634</v>
      </c>
      <c r="AE13" s="224">
        <f t="shared" si="3"/>
        <v>3397.4224609276303</v>
      </c>
      <c r="AF13" s="224">
        <f t="shared" si="3"/>
        <v>3434.030676031809</v>
      </c>
      <c r="AG13" s="224">
        <f t="shared" si="3"/>
        <v>3197.4818051339557</v>
      </c>
      <c r="AH13" s="224">
        <f t="shared" si="3"/>
        <v>2791.6505517821056</v>
      </c>
      <c r="AI13" s="224">
        <f t="shared" si="3"/>
        <v>2580.1195799668703</v>
      </c>
      <c r="AJ13" s="224">
        <f t="shared" si="3"/>
        <v>2309.2349834502006</v>
      </c>
      <c r="AK13" s="224">
        <f t="shared" si="3"/>
        <v>259.91791127474096</v>
      </c>
      <c r="AL13" s="224">
        <f t="shared" si="3"/>
        <v>-5.8652116647178728E-14</v>
      </c>
      <c r="AM13" s="224">
        <f t="shared" si="3"/>
        <v>0</v>
      </c>
      <c r="AN13" s="224">
        <f t="shared" si="3"/>
        <v>0</v>
      </c>
      <c r="AO13" s="224">
        <f t="shared" si="3"/>
        <v>800.40093059702997</v>
      </c>
      <c r="AP13" s="224">
        <f t="shared" si="3"/>
        <v>685.21053730513825</v>
      </c>
      <c r="AQ13" s="224">
        <f t="shared" si="3"/>
        <v>639.54869449404555</v>
      </c>
      <c r="AR13" s="224">
        <f t="shared" si="3"/>
        <v>526.3173255442556</v>
      </c>
      <c r="AS13" s="224">
        <f t="shared" si="3"/>
        <v>508.91028771930155</v>
      </c>
      <c r="AT13" s="224">
        <f t="shared" si="3"/>
        <v>5.752288021268252E-14</v>
      </c>
      <c r="AU13" s="224">
        <f t="shared" si="3"/>
        <v>0</v>
      </c>
      <c r="AV13" s="224">
        <f t="shared" si="3"/>
        <v>1347.2635321822509</v>
      </c>
      <c r="AW13" s="224">
        <f t="shared" si="3"/>
        <v>1300.7953592314805</v>
      </c>
      <c r="AX13" s="224">
        <f t="shared" si="3"/>
        <v>1148.0879051553754</v>
      </c>
      <c r="AY13" s="224">
        <f t="shared" si="3"/>
        <v>1063.7888170826545</v>
      </c>
      <c r="AZ13" s="224">
        <f t="shared" si="3"/>
        <v>937.54478195378647</v>
      </c>
      <c r="BA13" s="224">
        <f t="shared" si="3"/>
        <v>878.84923553736803</v>
      </c>
      <c r="BB13" s="224">
        <f t="shared" si="3"/>
        <v>109.04791726279605</v>
      </c>
      <c r="BC13" s="224">
        <f t="shared" si="3"/>
        <v>680.31119303213086</v>
      </c>
      <c r="BD13" s="224">
        <f t="shared" si="3"/>
        <v>679.09840608048091</v>
      </c>
      <c r="BE13" s="224">
        <f t="shared" si="3"/>
        <v>636.61661002148219</v>
      </c>
      <c r="BF13" s="224">
        <f t="shared" si="3"/>
        <v>559.78030372200033</v>
      </c>
      <c r="BG13" s="224">
        <f t="shared" si="3"/>
        <v>518.5026761718575</v>
      </c>
      <c r="BH13" s="224">
        <f t="shared" si="3"/>
        <v>455.10935243344198</v>
      </c>
      <c r="BI13" s="224">
        <f t="shared" si="3"/>
        <v>426.8361092036148</v>
      </c>
      <c r="BJ13" s="224">
        <f t="shared" si="3"/>
        <v>143.99231016773669</v>
      </c>
      <c r="BK13" t="s">
        <v>102</v>
      </c>
    </row>
    <row r="14" spans="1:63" ht="11.25" customHeight="1" x14ac:dyDescent="0.25">
      <c r="A14" s="5"/>
      <c r="B14" s="3" t="s">
        <v>9</v>
      </c>
      <c r="C14" s="96" t="s">
        <v>34</v>
      </c>
      <c r="D14" s="3"/>
      <c r="E14" s="297">
        <f>XIRR(H11:BJ11,H1:BJ1)</f>
        <v>0.21632266640663153</v>
      </c>
      <c r="F14" s="302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t="s">
        <v>102</v>
      </c>
    </row>
    <row r="15" spans="1:63" ht="11.25" customHeight="1" x14ac:dyDescent="0.25">
      <c r="A15" s="5"/>
      <c r="B15" s="3"/>
      <c r="C15" s="96"/>
      <c r="D15" s="3"/>
      <c r="E15" s="5"/>
      <c r="F15" s="302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t="s">
        <v>102</v>
      </c>
    </row>
    <row r="16" spans="1:63" ht="11.25" customHeight="1" x14ac:dyDescent="0.25">
      <c r="A16" s="5" t="s">
        <v>26</v>
      </c>
      <c r="B16" s="3" t="s">
        <v>11</v>
      </c>
      <c r="C16" s="94"/>
      <c r="D16" s="5"/>
      <c r="E16" s="5"/>
      <c r="F16" s="302"/>
      <c r="G16" s="5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  <c r="BK16" t="s">
        <v>102</v>
      </c>
    </row>
    <row r="17" spans="1:63" ht="11.25" customHeight="1" x14ac:dyDescent="0.25">
      <c r="A17" s="5"/>
      <c r="B17" s="5" t="s">
        <v>294</v>
      </c>
      <c r="C17" s="94" t="s">
        <v>1</v>
      </c>
      <c r="D17" s="5"/>
      <c r="E17" s="1">
        <f t="shared" ref="E17:E22" si="4">SUM(G17:BJ17)</f>
        <v>1275593.0107563359</v>
      </c>
      <c r="F17" s="302" t="s">
        <v>26</v>
      </c>
      <c r="G17" s="1">
        <f>CF!G19</f>
        <v>0</v>
      </c>
      <c r="H17" s="1">
        <f>CF!H19</f>
        <v>0</v>
      </c>
      <c r="I17" s="1">
        <f>CF!I19</f>
        <v>0</v>
      </c>
      <c r="J17" s="1">
        <f>CF!J19</f>
        <v>0</v>
      </c>
      <c r="K17" s="1">
        <f>CF!K19</f>
        <v>0</v>
      </c>
      <c r="L17" s="1">
        <f>CF!L19</f>
        <v>0</v>
      </c>
      <c r="M17" s="1">
        <f>CF!M19</f>
        <v>0</v>
      </c>
      <c r="N17" s="1">
        <f>CF!N19</f>
        <v>0</v>
      </c>
      <c r="O17" s="1">
        <f>CF!O19</f>
        <v>0</v>
      </c>
      <c r="P17" s="1">
        <f>CF!P19</f>
        <v>0</v>
      </c>
      <c r="Q17" s="1">
        <f>CF!Q19</f>
        <v>0</v>
      </c>
      <c r="R17" s="1">
        <f>CF!R19</f>
        <v>0</v>
      </c>
      <c r="S17" s="1">
        <f>CF!S19</f>
        <v>0</v>
      </c>
      <c r="T17" s="1">
        <f>CF!T19</f>
        <v>0</v>
      </c>
      <c r="U17" s="1">
        <f>CF!U19</f>
        <v>0</v>
      </c>
      <c r="V17" s="1">
        <f>CF!V19</f>
        <v>0</v>
      </c>
      <c r="W17" s="1">
        <f>CF!W19</f>
        <v>37981.003015992872</v>
      </c>
      <c r="X17" s="1">
        <f>CF!X19</f>
        <v>38875.797955001108</v>
      </c>
      <c r="Y17" s="1">
        <f>CF!Y19</f>
        <v>38118.479381379861</v>
      </c>
      <c r="Z17" s="1">
        <f>CF!Z19</f>
        <v>39331.923635796367</v>
      </c>
      <c r="AA17" s="1">
        <f>CF!AA19</f>
        <v>38563.297502779802</v>
      </c>
      <c r="AB17" s="1">
        <f>CF!AB19</f>
        <v>39782.717753159006</v>
      </c>
      <c r="AC17" s="1">
        <f>CF!AC19</f>
        <v>39014.453473406706</v>
      </c>
      <c r="AD17" s="1">
        <f>CF!AD19</f>
        <v>23423.323696896507</v>
      </c>
      <c r="AE17" s="1">
        <f>CF!AE19</f>
        <v>41391.957425576853</v>
      </c>
      <c r="AF17" s="1">
        <f>CF!AF19</f>
        <v>41498.481236919761</v>
      </c>
      <c r="AG17" s="1">
        <f>CF!AG19</f>
        <v>40703.936916985826</v>
      </c>
      <c r="AH17" s="1">
        <f>CF!AH19</f>
        <v>41169.436459091623</v>
      </c>
      <c r="AI17" s="1">
        <f>CF!AI19</f>
        <v>40370.271857958985</v>
      </c>
      <c r="AJ17" s="1">
        <f>CF!AJ19</f>
        <v>41796.921559180897</v>
      </c>
      <c r="AK17" s="1">
        <f>CF!AK19</f>
        <v>24059.276841480008</v>
      </c>
      <c r="AL17" s="1">
        <f>CF!AL19</f>
        <v>12427.800263078287</v>
      </c>
      <c r="AM17" s="1">
        <f>CF!AM19</f>
        <v>31527.243216645351</v>
      </c>
      <c r="AN17" s="1">
        <f>CF!AN19</f>
        <v>32171.325577546144</v>
      </c>
      <c r="AO17" s="1">
        <f>CF!AO19</f>
        <v>31914.760291416344</v>
      </c>
      <c r="AP17" s="1">
        <f>CF!AP19</f>
        <v>31940.401524283268</v>
      </c>
      <c r="AQ17" s="1">
        <f>CF!AQ19</f>
        <v>31676.914537971141</v>
      </c>
      <c r="AR17" s="1">
        <f>CF!AR19</f>
        <v>31631.166371079787</v>
      </c>
      <c r="AS17" s="1">
        <f>CF!AS19</f>
        <v>31360.311048780146</v>
      </c>
      <c r="AT17" s="1">
        <f>CF!AT19</f>
        <v>11977.394052200019</v>
      </c>
      <c r="AU17" s="1">
        <f>CF!AU19</f>
        <v>32988.115504145069</v>
      </c>
      <c r="AV17" s="1">
        <f>CF!AV19</f>
        <v>32696.580319244895</v>
      </c>
      <c r="AW17" s="1">
        <f>CF!AW19</f>
        <v>32397.786629280701</v>
      </c>
      <c r="AX17" s="1">
        <f>CF!AX19</f>
        <v>32091.633296813117</v>
      </c>
      <c r="AY17" s="1">
        <f>CF!AY19</f>
        <v>31778.017911064264</v>
      </c>
      <c r="AZ17" s="1">
        <f>CF!AZ19</f>
        <v>31456.836772924493</v>
      </c>
      <c r="BA17" s="1">
        <f>CF!BA19</f>
        <v>31127.984879783879</v>
      </c>
      <c r="BB17" s="1">
        <f>CF!BB19</f>
        <v>9817.5778414912638</v>
      </c>
      <c r="BC17" s="1">
        <f>CF!BC19</f>
        <v>32739.973973314889</v>
      </c>
      <c r="BD17" s="1">
        <f>CF!BD19</f>
        <v>32386.697101662387</v>
      </c>
      <c r="BE17" s="1">
        <f>CF!BE19</f>
        <v>32025.163759531511</v>
      </c>
      <c r="BF17" s="1">
        <f>CF!BF19</f>
        <v>31655.259722088857</v>
      </c>
      <c r="BG17" s="1">
        <f>CF!BG19</f>
        <v>31276.869334626055</v>
      </c>
      <c r="BH17" s="1">
        <f>CF!BH19</f>
        <v>30889.875495730608</v>
      </c>
      <c r="BI17" s="1">
        <f>CF!BI19</f>
        <v>30494.159640260143</v>
      </c>
      <c r="BJ17" s="1">
        <f>CF!BJ19</f>
        <v>7061.8829797674989</v>
      </c>
      <c r="BK17" t="s">
        <v>102</v>
      </c>
    </row>
    <row r="18" spans="1:63" ht="11.25" customHeight="1" x14ac:dyDescent="0.25">
      <c r="A18" s="5"/>
      <c r="B18" s="12" t="s">
        <v>245</v>
      </c>
      <c r="C18" s="94" t="s">
        <v>1</v>
      </c>
      <c r="D18" s="5"/>
      <c r="E18" s="1">
        <f t="shared" si="4"/>
        <v>-7682.7101239929798</v>
      </c>
      <c r="F18" s="302" t="s">
        <v>26</v>
      </c>
      <c r="G18" s="1">
        <f>-'Working Capital'!G23</f>
        <v>0</v>
      </c>
      <c r="H18" s="1">
        <f>-'Working Capital'!H23</f>
        <v>0</v>
      </c>
      <c r="I18" s="1">
        <f>-'Working Capital'!I23</f>
        <v>0</v>
      </c>
      <c r="J18" s="1">
        <f>-'Working Capital'!J23</f>
        <v>0</v>
      </c>
      <c r="K18" s="1">
        <f>-'Working Capital'!K23</f>
        <v>0</v>
      </c>
      <c r="L18" s="1">
        <f>-'Working Capital'!L23</f>
        <v>0</v>
      </c>
      <c r="M18" s="1">
        <f>-'Working Capital'!M23</f>
        <v>0</v>
      </c>
      <c r="N18" s="1">
        <f>-'Working Capital'!N23</f>
        <v>0</v>
      </c>
      <c r="O18" s="1">
        <f>-'Working Capital'!O23</f>
        <v>0</v>
      </c>
      <c r="P18" s="1">
        <f>-'Working Capital'!P23</f>
        <v>0</v>
      </c>
      <c r="Q18" s="1">
        <f>-'Working Capital'!Q23</f>
        <v>0</v>
      </c>
      <c r="R18" s="1">
        <f>-'Working Capital'!R23</f>
        <v>0</v>
      </c>
      <c r="S18" s="1">
        <f>-'Working Capital'!S23</f>
        <v>0</v>
      </c>
      <c r="T18" s="1">
        <f>-'Working Capital'!T23</f>
        <v>0</v>
      </c>
      <c r="U18" s="1">
        <f>-'Working Capital'!U23</f>
        <v>0</v>
      </c>
      <c r="V18" s="1">
        <f>-'Working Capital'!V23</f>
        <v>0</v>
      </c>
      <c r="W18" s="1">
        <f>-'Working Capital'!W23</f>
        <v>0</v>
      </c>
      <c r="X18" s="1">
        <f>-'Working Capital'!X23</f>
        <v>-639.20437580240105</v>
      </c>
      <c r="Y18" s="1">
        <f>-'Working Capital'!Y23</f>
        <v>550.84938760258956</v>
      </c>
      <c r="Z18" s="1">
        <f>-'Working Capital'!Z23</f>
        <v>-637.30042588987635</v>
      </c>
      <c r="AA18" s="1">
        <f>-'Working Capital'!AA23</f>
        <v>447.06128351162988</v>
      </c>
      <c r="AB18" s="1">
        <f>-'Working Capital'!AB23</f>
        <v>-753.19242539520928</v>
      </c>
      <c r="AC18" s="1">
        <f>-'Working Capital'!AC23</f>
        <v>561.08144882543274</v>
      </c>
      <c r="AD18" s="1">
        <f>-'Working Capital'!AD23</f>
        <v>898.88726832953762</v>
      </c>
      <c r="AE18" s="1">
        <f>-'Working Capital'!AE23</f>
        <v>-1882.45169044063</v>
      </c>
      <c r="AF18" s="1">
        <f>-'Working Capital'!AF23</f>
        <v>-397.969149325123</v>
      </c>
      <c r="AG18" s="1">
        <f>-'Working Capital'!AG23</f>
        <v>583.0926335011427</v>
      </c>
      <c r="AH18" s="1">
        <f>-'Working Capital'!AH23</f>
        <v>-400.9742111634223</v>
      </c>
      <c r="AI18" s="1">
        <f>-'Working Capital'!AI23</f>
        <v>467.64997572594075</v>
      </c>
      <c r="AJ18" s="1">
        <f>-'Working Capital'!AJ23</f>
        <v>-837.59369211490775</v>
      </c>
      <c r="AK18" s="1">
        <f>-'Working Capital'!AK23</f>
        <v>-562.57342846773099</v>
      </c>
      <c r="AL18" s="1">
        <f>-'Working Capital'!AL23</f>
        <v>-497.38342952810854</v>
      </c>
      <c r="AM18" s="1">
        <f>-'Working Capital'!AM23</f>
        <v>-2611.5431869422137</v>
      </c>
      <c r="AN18" s="1">
        <f>-'Working Capital'!AN23</f>
        <v>-625.05318283195811</v>
      </c>
      <c r="AO18" s="1">
        <f>-'Working Capital'!AO23</f>
        <v>350.14999930900376</v>
      </c>
      <c r="AP18" s="1">
        <f>-'Working Capital'!AP23</f>
        <v>-280.63230809769448</v>
      </c>
      <c r="AQ18" s="1">
        <f>-'Working Capital'!AQ23</f>
        <v>211.39257455470943</v>
      </c>
      <c r="AR18" s="1">
        <f>-'Working Capital'!AR23</f>
        <v>-396.7057760063326</v>
      </c>
      <c r="AS18" s="1">
        <f>-'Working Capital'!AS23</f>
        <v>353.15399342049932</v>
      </c>
      <c r="AT18" s="1">
        <f>-'Working Capital'!AT23</f>
        <v>1546.4969102280229</v>
      </c>
      <c r="AU18" s="1">
        <f>-'Working Capital'!AU23</f>
        <v>-2786.4868978047343</v>
      </c>
      <c r="AV18" s="1">
        <f>-'Working Capital'!AV23</f>
        <v>-506.97649198375802</v>
      </c>
      <c r="AW18" s="1">
        <f>-'Working Capital'!AW23</f>
        <v>373.70161198415735</v>
      </c>
      <c r="AX18" s="1">
        <f>-'Working Capital'!AX23</f>
        <v>-359.05966483811426</v>
      </c>
      <c r="AY18" s="1">
        <f>-'Working Capital'!AY23</f>
        <v>227.94246584193388</v>
      </c>
      <c r="AZ18" s="1">
        <f>-'Working Capital'!AZ23</f>
        <v>-509.13816939985554</v>
      </c>
      <c r="BA18" s="1">
        <f>-'Working Capital'!BA23</f>
        <v>380.28516307778773</v>
      </c>
      <c r="BB18" s="1">
        <f>-'Working Capital'!BB23</f>
        <v>1650.7350845259862</v>
      </c>
      <c r="BC18" s="1">
        <f>-'Working Capital'!BC23</f>
        <v>-2970.9331277078818</v>
      </c>
      <c r="BD18" s="1">
        <f>-'Working Capital'!BD23</f>
        <v>-535.20973130074708</v>
      </c>
      <c r="BE18" s="1">
        <f>-'Working Capital'!BE23</f>
        <v>402.3713987360461</v>
      </c>
      <c r="BF18" s="1">
        <f>-'Working Capital'!BF23</f>
        <v>-377.49574799123729</v>
      </c>
      <c r="BG18" s="1">
        <f>-'Working Capital'!BG23</f>
        <v>247.25934576234067</v>
      </c>
      <c r="BH18" s="1">
        <f>-'Working Capital'!BH23</f>
        <v>-536.89417821223105</v>
      </c>
      <c r="BI18" s="1">
        <f>-'Working Capital'!BI23</f>
        <v>409.38110578030683</v>
      </c>
      <c r="BJ18" s="1">
        <f>-'Working Capital'!BJ23</f>
        <v>1760.5695165341203</v>
      </c>
      <c r="BK18" t="s">
        <v>102</v>
      </c>
    </row>
    <row r="19" spans="1:63" ht="11.25" customHeight="1" x14ac:dyDescent="0.25">
      <c r="A19" s="5"/>
      <c r="B19" s="12" t="s">
        <v>217</v>
      </c>
      <c r="C19" s="94"/>
      <c r="D19" s="5"/>
      <c r="E19" s="1">
        <f t="shared" si="4"/>
        <v>0</v>
      </c>
      <c r="F19" s="302" t="s">
        <v>26</v>
      </c>
      <c r="G19" s="1">
        <f>Costs!G71</f>
        <v>0</v>
      </c>
      <c r="H19" s="1">
        <f>Costs!H71</f>
        <v>0</v>
      </c>
      <c r="I19" s="1">
        <f>Costs!I71</f>
        <v>0</v>
      </c>
      <c r="J19" s="1">
        <f>Costs!J71</f>
        <v>0</v>
      </c>
      <c r="K19" s="1">
        <f>Costs!K71</f>
        <v>0</v>
      </c>
      <c r="L19" s="1">
        <f>Costs!L71</f>
        <v>0</v>
      </c>
      <c r="M19" s="1">
        <f>Costs!M71</f>
        <v>0</v>
      </c>
      <c r="N19" s="1">
        <f>Costs!N71</f>
        <v>0</v>
      </c>
      <c r="O19" s="1">
        <f>Costs!O71</f>
        <v>0</v>
      </c>
      <c r="P19" s="1">
        <f>Costs!P71</f>
        <v>0</v>
      </c>
      <c r="Q19" s="1">
        <f>Costs!Q71</f>
        <v>0</v>
      </c>
      <c r="R19" s="1">
        <f>Costs!R71</f>
        <v>0</v>
      </c>
      <c r="S19" s="1">
        <f>Costs!S71</f>
        <v>0</v>
      </c>
      <c r="T19" s="1">
        <f>Costs!T71</f>
        <v>0</v>
      </c>
      <c r="U19" s="1">
        <f>Costs!U71</f>
        <v>0</v>
      </c>
      <c r="V19" s="1">
        <f>Costs!V71</f>
        <v>0</v>
      </c>
      <c r="W19" s="1">
        <f>Costs!W71</f>
        <v>0</v>
      </c>
      <c r="X19" s="1">
        <f>Costs!X71</f>
        <v>0</v>
      </c>
      <c r="Y19" s="1">
        <f>Costs!Y71</f>
        <v>0</v>
      </c>
      <c r="Z19" s="1">
        <f>Costs!Z71</f>
        <v>0</v>
      </c>
      <c r="AA19" s="1">
        <f>Costs!AA71</f>
        <v>0</v>
      </c>
      <c r="AB19" s="1">
        <f>Costs!AB71</f>
        <v>0</v>
      </c>
      <c r="AC19" s="1">
        <f>Costs!AC71</f>
        <v>0</v>
      </c>
      <c r="AD19" s="1">
        <f>Costs!AD71</f>
        <v>0</v>
      </c>
      <c r="AE19" s="1">
        <f>Costs!AE71</f>
        <v>0</v>
      </c>
      <c r="AF19" s="1">
        <f>Costs!AF71</f>
        <v>0</v>
      </c>
      <c r="AG19" s="1">
        <f>Costs!AG71</f>
        <v>0</v>
      </c>
      <c r="AH19" s="1">
        <f>Costs!AH71</f>
        <v>0</v>
      </c>
      <c r="AI19" s="1">
        <f>Costs!AI71</f>
        <v>0</v>
      </c>
      <c r="AJ19" s="1">
        <f>Costs!AJ71</f>
        <v>0</v>
      </c>
      <c r="AK19" s="1">
        <f>Costs!AK71</f>
        <v>0</v>
      </c>
      <c r="AL19" s="1">
        <f>Costs!AL71</f>
        <v>0</v>
      </c>
      <c r="AM19" s="1">
        <f>Costs!AM71</f>
        <v>0</v>
      </c>
      <c r="AN19" s="1">
        <f>Costs!AN71</f>
        <v>0</v>
      </c>
      <c r="AO19" s="1">
        <f>Costs!AO71</f>
        <v>0</v>
      </c>
      <c r="AP19" s="1">
        <f>Costs!AP71</f>
        <v>0</v>
      </c>
      <c r="AQ19" s="1">
        <f>Costs!AQ71</f>
        <v>0</v>
      </c>
      <c r="AR19" s="1">
        <f>Costs!AR71</f>
        <v>0</v>
      </c>
      <c r="AS19" s="1">
        <f>Costs!AS71</f>
        <v>0</v>
      </c>
      <c r="AT19" s="1">
        <f>Costs!AT71</f>
        <v>0</v>
      </c>
      <c r="AU19" s="1">
        <f>Costs!AU71</f>
        <v>0</v>
      </c>
      <c r="AV19" s="1">
        <f>Costs!AV71</f>
        <v>0</v>
      </c>
      <c r="AW19" s="1">
        <f>Costs!AW71</f>
        <v>0</v>
      </c>
      <c r="AX19" s="1">
        <f>Costs!AX71</f>
        <v>0</v>
      </c>
      <c r="AY19" s="1">
        <f>Costs!AY71</f>
        <v>0</v>
      </c>
      <c r="AZ19" s="1">
        <f>Costs!AZ71</f>
        <v>0</v>
      </c>
      <c r="BA19" s="1">
        <f>Costs!BA71</f>
        <v>0</v>
      </c>
      <c r="BB19" s="1">
        <f>Costs!BB71</f>
        <v>0</v>
      </c>
      <c r="BC19" s="1">
        <f>Costs!BC71</f>
        <v>0</v>
      </c>
      <c r="BD19" s="1">
        <f>Costs!BD71</f>
        <v>0</v>
      </c>
      <c r="BE19" s="1">
        <f>Costs!BE71</f>
        <v>0</v>
      </c>
      <c r="BF19" s="1">
        <f>Costs!BF71</f>
        <v>0</v>
      </c>
      <c r="BG19" s="1">
        <f>Costs!BG71</f>
        <v>0</v>
      </c>
      <c r="BH19" s="1">
        <f>Costs!BH71</f>
        <v>0</v>
      </c>
      <c r="BI19" s="1">
        <f>Costs!BI71</f>
        <v>0</v>
      </c>
      <c r="BJ19" s="1">
        <f>Costs!BJ71</f>
        <v>0</v>
      </c>
      <c r="BK19" t="s">
        <v>102</v>
      </c>
    </row>
    <row r="20" spans="1:63" ht="11.25" customHeight="1" x14ac:dyDescent="0.25">
      <c r="A20" s="5"/>
      <c r="B20" s="12" t="s">
        <v>115</v>
      </c>
      <c r="C20" s="94" t="s">
        <v>1</v>
      </c>
      <c r="D20" s="5"/>
      <c r="E20" s="1">
        <f t="shared" si="4"/>
        <v>-14274.304965395349</v>
      </c>
      <c r="F20" s="302" t="s">
        <v>26</v>
      </c>
      <c r="G20" s="1">
        <f>-CapEx!G13</f>
        <v>0</v>
      </c>
      <c r="H20" s="1">
        <f>-CapEx!H13</f>
        <v>0</v>
      </c>
      <c r="I20" s="1">
        <f>-CapEx!I13</f>
        <v>0</v>
      </c>
      <c r="J20" s="1">
        <f>-CapEx!J13</f>
        <v>0</v>
      </c>
      <c r="K20" s="1">
        <f>-CapEx!K13</f>
        <v>0</v>
      </c>
      <c r="L20" s="1">
        <f>-CapEx!L13</f>
        <v>0</v>
      </c>
      <c r="M20" s="1">
        <f>-CapEx!M13</f>
        <v>0</v>
      </c>
      <c r="N20" s="1">
        <f>-CapEx!N13</f>
        <v>0</v>
      </c>
      <c r="O20" s="1">
        <f>-CapEx!O13</f>
        <v>0</v>
      </c>
      <c r="P20" s="1">
        <f>-CapEx!P13</f>
        <v>0</v>
      </c>
      <c r="Q20" s="1">
        <f>-CapEx!Q13</f>
        <v>0</v>
      </c>
      <c r="R20" s="1">
        <f>-CapEx!R13</f>
        <v>0</v>
      </c>
      <c r="S20" s="1">
        <f>-CapEx!S13</f>
        <v>0</v>
      </c>
      <c r="T20" s="1">
        <f>-CapEx!T13</f>
        <v>0</v>
      </c>
      <c r="U20" s="1">
        <f>-CapEx!U13</f>
        <v>0</v>
      </c>
      <c r="V20" s="1">
        <f>-CapEx!V13</f>
        <v>0</v>
      </c>
      <c r="W20" s="1">
        <f>-CapEx!W13</f>
        <v>0</v>
      </c>
      <c r="X20" s="1">
        <f>-CapEx!X13</f>
        <v>0</v>
      </c>
      <c r="Y20" s="1">
        <f>-CapEx!Y13</f>
        <v>0</v>
      </c>
      <c r="Z20" s="1">
        <f>-CapEx!Z13</f>
        <v>0</v>
      </c>
      <c r="AA20" s="1">
        <f>-CapEx!AA13</f>
        <v>0</v>
      </c>
      <c r="AB20" s="1">
        <f>-CapEx!AB13</f>
        <v>0</v>
      </c>
      <c r="AC20" s="1">
        <f>-CapEx!AC13</f>
        <v>0</v>
      </c>
      <c r="AD20" s="1">
        <f>-CapEx!AD13</f>
        <v>0</v>
      </c>
      <c r="AE20" s="1">
        <f>-CapEx!AE13</f>
        <v>0</v>
      </c>
      <c r="AF20" s="1">
        <f>-CapEx!AF13</f>
        <v>0</v>
      </c>
      <c r="AG20" s="1">
        <f>-CapEx!AG13</f>
        <v>0</v>
      </c>
      <c r="AH20" s="1">
        <f>-CapEx!AH13</f>
        <v>0</v>
      </c>
      <c r="AI20" s="1">
        <f>-CapEx!AI13</f>
        <v>0</v>
      </c>
      <c r="AJ20" s="1">
        <f>-CapEx!AJ13</f>
        <v>0</v>
      </c>
      <c r="AK20" s="1">
        <f>-CapEx!AK13</f>
        <v>0</v>
      </c>
      <c r="AL20" s="1">
        <f>-CapEx!AL13</f>
        <v>-6365.6924570898354</v>
      </c>
      <c r="AM20" s="1">
        <f>-CapEx!AM13</f>
        <v>0</v>
      </c>
      <c r="AN20" s="1">
        <f>-CapEx!AN13</f>
        <v>0</v>
      </c>
      <c r="AO20" s="1">
        <f>-CapEx!AO13</f>
        <v>0</v>
      </c>
      <c r="AP20" s="1">
        <f>-CapEx!AP13</f>
        <v>0</v>
      </c>
      <c r="AQ20" s="1">
        <f>-CapEx!AQ13</f>
        <v>0</v>
      </c>
      <c r="AR20" s="1">
        <f>-CapEx!AR13</f>
        <v>0</v>
      </c>
      <c r="AS20" s="1">
        <f>-CapEx!AS13</f>
        <v>0</v>
      </c>
      <c r="AT20" s="1">
        <f>-CapEx!AT13</f>
        <v>0</v>
      </c>
      <c r="AU20" s="1">
        <f>-CapEx!AU13</f>
        <v>0</v>
      </c>
      <c r="AV20" s="1">
        <f>-CapEx!AV13</f>
        <v>0</v>
      </c>
      <c r="AW20" s="1">
        <f>-CapEx!AW13</f>
        <v>0</v>
      </c>
      <c r="AX20" s="1">
        <f>-CapEx!AX13</f>
        <v>0</v>
      </c>
      <c r="AY20" s="1">
        <f>-CapEx!AY13</f>
        <v>0</v>
      </c>
      <c r="AZ20" s="1">
        <f>-CapEx!AZ13</f>
        <v>0</v>
      </c>
      <c r="BA20" s="1">
        <f>-CapEx!BA13</f>
        <v>0</v>
      </c>
      <c r="BB20" s="1">
        <f>-CapEx!BB13</f>
        <v>-7908.612508305514</v>
      </c>
      <c r="BC20" s="1">
        <f>-CapEx!BC13</f>
        <v>0</v>
      </c>
      <c r="BD20" s="1">
        <f>-CapEx!BD13</f>
        <v>0</v>
      </c>
      <c r="BE20" s="1">
        <f>-CapEx!BE13</f>
        <v>0</v>
      </c>
      <c r="BF20" s="1">
        <f>-CapEx!BF13</f>
        <v>0</v>
      </c>
      <c r="BG20" s="1">
        <f>-CapEx!BG13</f>
        <v>0</v>
      </c>
      <c r="BH20" s="1">
        <f>-CapEx!BH13</f>
        <v>0</v>
      </c>
      <c r="BI20" s="1">
        <f>-CapEx!BI13</f>
        <v>0</v>
      </c>
      <c r="BJ20" s="1">
        <f>-CapEx!BJ13</f>
        <v>0</v>
      </c>
      <c r="BK20" t="s">
        <v>102</v>
      </c>
    </row>
    <row r="21" spans="1:63" ht="11.25" customHeight="1" x14ac:dyDescent="0.25">
      <c r="A21" s="5"/>
      <c r="B21" s="12" t="s">
        <v>295</v>
      </c>
      <c r="C21" s="94" t="s">
        <v>1</v>
      </c>
      <c r="D21" s="5"/>
      <c r="E21" s="1">
        <f t="shared" si="4"/>
        <v>-239277.39176044281</v>
      </c>
      <c r="F21" s="302" t="s">
        <v>26</v>
      </c>
      <c r="G21" s="1">
        <f>-G59</f>
        <v>0</v>
      </c>
      <c r="H21" s="1">
        <f t="shared" ref="H21:BJ21" si="5">-H59</f>
        <v>0</v>
      </c>
      <c r="I21" s="1">
        <f t="shared" si="5"/>
        <v>0</v>
      </c>
      <c r="J21" s="1">
        <f t="shared" si="5"/>
        <v>0</v>
      </c>
      <c r="K21" s="1">
        <f t="shared" si="5"/>
        <v>0</v>
      </c>
      <c r="L21" s="1">
        <f t="shared" si="5"/>
        <v>0</v>
      </c>
      <c r="M21" s="1">
        <f t="shared" si="5"/>
        <v>0</v>
      </c>
      <c r="N21" s="1">
        <f t="shared" si="5"/>
        <v>0</v>
      </c>
      <c r="O21" s="1">
        <f t="shared" si="5"/>
        <v>0</v>
      </c>
      <c r="P21" s="1">
        <f t="shared" si="5"/>
        <v>0</v>
      </c>
      <c r="Q21" s="1">
        <f t="shared" si="5"/>
        <v>0</v>
      </c>
      <c r="R21" s="1">
        <f t="shared" si="5"/>
        <v>0</v>
      </c>
      <c r="S21" s="1">
        <f t="shared" si="5"/>
        <v>0</v>
      </c>
      <c r="T21" s="1">
        <f t="shared" si="5"/>
        <v>0</v>
      </c>
      <c r="U21" s="1">
        <f t="shared" si="5"/>
        <v>0</v>
      </c>
      <c r="V21" s="1">
        <f t="shared" si="5"/>
        <v>0</v>
      </c>
      <c r="W21" s="1">
        <f t="shared" si="5"/>
        <v>-7589.000753998218</v>
      </c>
      <c r="X21" s="1">
        <f t="shared" si="5"/>
        <v>-7812.6994887502769</v>
      </c>
      <c r="Y21" s="1">
        <f t="shared" si="5"/>
        <v>-7623.3698453449651</v>
      </c>
      <c r="Z21" s="1">
        <f t="shared" si="5"/>
        <v>-7926.7309089490918</v>
      </c>
      <c r="AA21" s="1">
        <f t="shared" si="5"/>
        <v>-7734.5743756949505</v>
      </c>
      <c r="AB21" s="1">
        <f t="shared" si="5"/>
        <v>-8039.4294382897515</v>
      </c>
      <c r="AC21" s="1">
        <f t="shared" si="5"/>
        <v>-7847.3633683516764</v>
      </c>
      <c r="AD21" s="1">
        <f t="shared" si="5"/>
        <v>-3949.5809242241266</v>
      </c>
      <c r="AE21" s="1">
        <f t="shared" si="5"/>
        <v>-8441.7393563942132</v>
      </c>
      <c r="AF21" s="1">
        <f t="shared" si="5"/>
        <v>-8468.3703092299402</v>
      </c>
      <c r="AG21" s="1">
        <f t="shared" si="5"/>
        <v>-8269.7342292464564</v>
      </c>
      <c r="AH21" s="1">
        <f t="shared" si="5"/>
        <v>-8386.1091147729057</v>
      </c>
      <c r="AI21" s="1">
        <f t="shared" si="5"/>
        <v>-8186.3179644897464</v>
      </c>
      <c r="AJ21" s="1">
        <f t="shared" si="5"/>
        <v>-8542.9803897952243</v>
      </c>
      <c r="AK21" s="1">
        <f t="shared" si="5"/>
        <v>-4108.5692103700021</v>
      </c>
      <c r="AL21" s="1">
        <f t="shared" si="5"/>
        <v>-1041.557754342326</v>
      </c>
      <c r="AM21" s="1">
        <f t="shared" si="5"/>
        <v>-5816.4184927340921</v>
      </c>
      <c r="AN21" s="1">
        <f t="shared" si="5"/>
        <v>-5977.4390829592903</v>
      </c>
      <c r="AO21" s="1">
        <f t="shared" si="5"/>
        <v>-5913.2977614268402</v>
      </c>
      <c r="AP21" s="1">
        <f t="shared" si="5"/>
        <v>-5919.7080696435714</v>
      </c>
      <c r="AQ21" s="1">
        <f t="shared" si="5"/>
        <v>-5853.8363230655395</v>
      </c>
      <c r="AR21" s="1">
        <f t="shared" si="5"/>
        <v>-5842.3992813427012</v>
      </c>
      <c r="AS21" s="1">
        <f t="shared" si="5"/>
        <v>-5774.6854507677908</v>
      </c>
      <c r="AT21" s="1">
        <f t="shared" si="5"/>
        <v>-928.95620162275918</v>
      </c>
      <c r="AU21" s="1">
        <f t="shared" si="5"/>
        <v>-6181.6365646090217</v>
      </c>
      <c r="AV21" s="1">
        <f t="shared" si="5"/>
        <v>-6267.8950798112237</v>
      </c>
      <c r="AW21" s="1">
        <f t="shared" si="5"/>
        <v>-6193.1966573201753</v>
      </c>
      <c r="AX21" s="1">
        <f t="shared" si="5"/>
        <v>-6116.6583242032793</v>
      </c>
      <c r="AY21" s="1">
        <f t="shared" si="5"/>
        <v>-6038.254477766066</v>
      </c>
      <c r="AZ21" s="1">
        <f t="shared" si="5"/>
        <v>-5957.9591932311232</v>
      </c>
      <c r="BA21" s="1">
        <f t="shared" si="5"/>
        <v>-5875.7462199459696</v>
      </c>
      <c r="BB21" s="1">
        <f t="shared" si="5"/>
        <v>-350.42914766517788</v>
      </c>
      <c r="BC21" s="1">
        <f t="shared" si="5"/>
        <v>-6081.0281806210842</v>
      </c>
      <c r="BD21" s="1">
        <f t="shared" si="5"/>
        <v>-5992.7089627079586</v>
      </c>
      <c r="BE21" s="1">
        <f t="shared" si="5"/>
        <v>-5902.3256271752398</v>
      </c>
      <c r="BF21" s="1">
        <f t="shared" si="5"/>
        <v>-5809.849617814576</v>
      </c>
      <c r="BG21" s="1">
        <f t="shared" si="5"/>
        <v>-5715.2520209488757</v>
      </c>
      <c r="BH21" s="1">
        <f t="shared" si="5"/>
        <v>-5618.503561225014</v>
      </c>
      <c r="BI21" s="1">
        <f t="shared" si="5"/>
        <v>-5519.5745973573976</v>
      </c>
      <c r="BJ21" s="1">
        <f t="shared" si="5"/>
        <v>338.49456776576335</v>
      </c>
      <c r="BK21" t="s">
        <v>102</v>
      </c>
    </row>
    <row r="22" spans="1:63" ht="11.25" customHeight="1" x14ac:dyDescent="0.25">
      <c r="A22" s="5"/>
      <c r="B22" s="49" t="s">
        <v>296</v>
      </c>
      <c r="C22" s="119" t="s">
        <v>1</v>
      </c>
      <c r="D22" s="120"/>
      <c r="E22" s="51">
        <f t="shared" si="4"/>
        <v>1014358.6039065053</v>
      </c>
      <c r="F22" s="308" t="s">
        <v>26</v>
      </c>
      <c r="G22" s="51">
        <f>SUM(G17:G21)</f>
        <v>0</v>
      </c>
      <c r="H22" s="51">
        <f t="shared" ref="H22:BJ22" si="6">SUM(H17:H21)</f>
        <v>0</v>
      </c>
      <c r="I22" s="51">
        <f t="shared" si="6"/>
        <v>0</v>
      </c>
      <c r="J22" s="51">
        <f t="shared" si="6"/>
        <v>0</v>
      </c>
      <c r="K22" s="51">
        <f t="shared" si="6"/>
        <v>0</v>
      </c>
      <c r="L22" s="51">
        <f t="shared" si="6"/>
        <v>0</v>
      </c>
      <c r="M22" s="51">
        <f t="shared" si="6"/>
        <v>0</v>
      </c>
      <c r="N22" s="51">
        <f t="shared" si="6"/>
        <v>0</v>
      </c>
      <c r="O22" s="51">
        <f t="shared" si="6"/>
        <v>0</v>
      </c>
      <c r="P22" s="51">
        <f t="shared" si="6"/>
        <v>0</v>
      </c>
      <c r="Q22" s="51">
        <f t="shared" si="6"/>
        <v>0</v>
      </c>
      <c r="R22" s="51">
        <f t="shared" si="6"/>
        <v>0</v>
      </c>
      <c r="S22" s="51">
        <f t="shared" si="6"/>
        <v>0</v>
      </c>
      <c r="T22" s="51">
        <f t="shared" si="6"/>
        <v>0</v>
      </c>
      <c r="U22" s="51">
        <f t="shared" si="6"/>
        <v>0</v>
      </c>
      <c r="V22" s="51">
        <f t="shared" si="6"/>
        <v>0</v>
      </c>
      <c r="W22" s="51">
        <f t="shared" si="6"/>
        <v>30392.002261994654</v>
      </c>
      <c r="X22" s="51">
        <f t="shared" si="6"/>
        <v>30423.89409044843</v>
      </c>
      <c r="Y22" s="51">
        <f t="shared" si="6"/>
        <v>31045.958923637485</v>
      </c>
      <c r="Z22" s="51">
        <f t="shared" si="6"/>
        <v>30767.892300957403</v>
      </c>
      <c r="AA22" s="51">
        <f t="shared" si="6"/>
        <v>31275.784410596476</v>
      </c>
      <c r="AB22" s="51">
        <f t="shared" si="6"/>
        <v>30990.095889474047</v>
      </c>
      <c r="AC22" s="51">
        <f t="shared" si="6"/>
        <v>31728.171553880464</v>
      </c>
      <c r="AD22" s="51">
        <f t="shared" si="6"/>
        <v>20372.630041001918</v>
      </c>
      <c r="AE22" s="51">
        <f t="shared" si="6"/>
        <v>31067.766378742006</v>
      </c>
      <c r="AF22" s="51">
        <f t="shared" si="6"/>
        <v>32632.141778364698</v>
      </c>
      <c r="AG22" s="51">
        <f t="shared" si="6"/>
        <v>33017.295321240512</v>
      </c>
      <c r="AH22" s="51">
        <f t="shared" si="6"/>
        <v>32382.353133155291</v>
      </c>
      <c r="AI22" s="51">
        <f t="shared" si="6"/>
        <v>32651.603869195184</v>
      </c>
      <c r="AJ22" s="51">
        <f t="shared" si="6"/>
        <v>32416.34747727077</v>
      </c>
      <c r="AK22" s="51">
        <f t="shared" si="6"/>
        <v>19388.134202642275</v>
      </c>
      <c r="AL22" s="51">
        <f t="shared" si="6"/>
        <v>4523.1666221180167</v>
      </c>
      <c r="AM22" s="51">
        <f t="shared" si="6"/>
        <v>23099.281536969043</v>
      </c>
      <c r="AN22" s="51">
        <f t="shared" si="6"/>
        <v>25568.833311754897</v>
      </c>
      <c r="AO22" s="51">
        <f t="shared" si="6"/>
        <v>26351.612529298509</v>
      </c>
      <c r="AP22" s="51">
        <f t="shared" si="6"/>
        <v>25740.061146542001</v>
      </c>
      <c r="AQ22" s="51">
        <f t="shared" si="6"/>
        <v>26034.470789460313</v>
      </c>
      <c r="AR22" s="51">
        <f t="shared" si="6"/>
        <v>25392.061313730752</v>
      </c>
      <c r="AS22" s="51">
        <f t="shared" si="6"/>
        <v>25938.779591432853</v>
      </c>
      <c r="AT22" s="51">
        <f t="shared" si="6"/>
        <v>12594.934760805283</v>
      </c>
      <c r="AU22" s="51">
        <f t="shared" si="6"/>
        <v>24019.992041731311</v>
      </c>
      <c r="AV22" s="51">
        <f t="shared" si="6"/>
        <v>25921.708747449913</v>
      </c>
      <c r="AW22" s="51">
        <f t="shared" si="6"/>
        <v>26578.291583944683</v>
      </c>
      <c r="AX22" s="51">
        <f t="shared" si="6"/>
        <v>25615.915307771724</v>
      </c>
      <c r="AY22" s="51">
        <f t="shared" si="6"/>
        <v>25967.705899140132</v>
      </c>
      <c r="AZ22" s="51">
        <f t="shared" si="6"/>
        <v>24989.739410293514</v>
      </c>
      <c r="BA22" s="51">
        <f t="shared" si="6"/>
        <v>25632.523822915697</v>
      </c>
      <c r="BB22" s="51">
        <f t="shared" si="6"/>
        <v>3209.2712700465581</v>
      </c>
      <c r="BC22" s="51">
        <f t="shared" si="6"/>
        <v>23688.012664985923</v>
      </c>
      <c r="BD22" s="51">
        <f t="shared" si="6"/>
        <v>25858.778407653681</v>
      </c>
      <c r="BE22" s="51">
        <f t="shared" si="6"/>
        <v>26525.209531092318</v>
      </c>
      <c r="BF22" s="51">
        <f t="shared" si="6"/>
        <v>25467.914356283043</v>
      </c>
      <c r="BG22" s="51">
        <f t="shared" si="6"/>
        <v>25808.87665943952</v>
      </c>
      <c r="BH22" s="51">
        <f t="shared" si="6"/>
        <v>24734.477756293363</v>
      </c>
      <c r="BI22" s="51">
        <f t="shared" si="6"/>
        <v>25383.966148683052</v>
      </c>
      <c r="BJ22" s="51">
        <f t="shared" si="6"/>
        <v>9160.9470640673826</v>
      </c>
      <c r="BK22" t="s">
        <v>102</v>
      </c>
    </row>
    <row r="23" spans="1:63" ht="11.25" customHeight="1" x14ac:dyDescent="0.25">
      <c r="A23" s="5"/>
      <c r="B23" s="5"/>
      <c r="C23" s="94"/>
      <c r="D23" s="5"/>
      <c r="E23" s="1"/>
      <c r="F23" s="30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t="s">
        <v>102</v>
      </c>
    </row>
    <row r="24" spans="1:63" ht="11.25" customHeight="1" x14ac:dyDescent="0.25">
      <c r="A24" s="5"/>
      <c r="B24" s="5" t="s">
        <v>121</v>
      </c>
      <c r="C24" s="7" t="s">
        <v>50</v>
      </c>
      <c r="D24" s="257">
        <f>D7</f>
        <v>44926</v>
      </c>
      <c r="E24" s="1"/>
      <c r="F24" s="30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t="s">
        <v>102</v>
      </c>
    </row>
    <row r="25" spans="1:63" ht="11.25" customHeight="1" x14ac:dyDescent="0.25">
      <c r="A25" s="5"/>
      <c r="B25" s="5" t="s">
        <v>297</v>
      </c>
      <c r="C25" s="94" t="s">
        <v>34</v>
      </c>
      <c r="D25" s="405">
        <f>Assumptions!D146</f>
        <v>0.105</v>
      </c>
      <c r="E25" s="5"/>
      <c r="F25" s="302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t="s">
        <v>102</v>
      </c>
    </row>
    <row r="26" spans="1:63" ht="11.25" customHeight="1" x14ac:dyDescent="0.25">
      <c r="A26" s="5"/>
      <c r="B26" s="5" t="s">
        <v>298</v>
      </c>
      <c r="C26" s="94" t="s">
        <v>1</v>
      </c>
      <c r="D26" s="5"/>
      <c r="E26" s="1">
        <f t="shared" ref="E26:E31" si="7">SUM(G26:BJ26)</f>
        <v>-363730.30474909861</v>
      </c>
      <c r="F26" s="302" t="s">
        <v>26</v>
      </c>
      <c r="G26" s="1">
        <f>-G38</f>
        <v>0</v>
      </c>
      <c r="H26" s="1">
        <f t="shared" ref="H26:BJ26" si="8">-H38</f>
        <v>-68800</v>
      </c>
      <c r="I26" s="1">
        <f t="shared" si="8"/>
        <v>-21350.000000000004</v>
      </c>
      <c r="J26" s="1">
        <f t="shared" si="8"/>
        <v>-24400</v>
      </c>
      <c r="K26" s="1">
        <f t="shared" si="8"/>
        <v>-18300</v>
      </c>
      <c r="L26" s="1">
        <f t="shared" si="8"/>
        <v>-9150</v>
      </c>
      <c r="M26" s="1">
        <f t="shared" si="8"/>
        <v>-21350.000000000004</v>
      </c>
      <c r="N26" s="1">
        <f t="shared" si="8"/>
        <v>-15249.999999999998</v>
      </c>
      <c r="O26" s="1">
        <f t="shared" si="8"/>
        <v>-24400</v>
      </c>
      <c r="P26" s="1">
        <f t="shared" si="8"/>
        <v>-21350.000000000004</v>
      </c>
      <c r="Q26" s="1">
        <f t="shared" si="8"/>
        <v>-18300</v>
      </c>
      <c r="R26" s="1">
        <f t="shared" si="8"/>
        <v>-27450</v>
      </c>
      <c r="S26" s="1">
        <f t="shared" si="8"/>
        <v>-9150</v>
      </c>
      <c r="T26" s="1">
        <f t="shared" si="8"/>
        <v>-24400</v>
      </c>
      <c r="U26" s="1">
        <f t="shared" si="8"/>
        <v>-12200</v>
      </c>
      <c r="V26" s="1">
        <f t="shared" si="8"/>
        <v>-47880.304749098614</v>
      </c>
      <c r="W26" s="1">
        <f t="shared" si="8"/>
        <v>0</v>
      </c>
      <c r="X26" s="1">
        <f t="shared" si="8"/>
        <v>0</v>
      </c>
      <c r="Y26" s="1">
        <f t="shared" si="8"/>
        <v>0</v>
      </c>
      <c r="Z26" s="1">
        <f t="shared" si="8"/>
        <v>0</v>
      </c>
      <c r="AA26" s="1">
        <f t="shared" si="8"/>
        <v>0</v>
      </c>
      <c r="AB26" s="1">
        <f t="shared" si="8"/>
        <v>0</v>
      </c>
      <c r="AC26" s="1">
        <f t="shared" si="8"/>
        <v>0</v>
      </c>
      <c r="AD26" s="1">
        <f t="shared" si="8"/>
        <v>0</v>
      </c>
      <c r="AE26" s="1">
        <f t="shared" si="8"/>
        <v>0</v>
      </c>
      <c r="AF26" s="1">
        <f t="shared" si="8"/>
        <v>0</v>
      </c>
      <c r="AG26" s="1">
        <f t="shared" si="8"/>
        <v>0</v>
      </c>
      <c r="AH26" s="1">
        <f t="shared" si="8"/>
        <v>0</v>
      </c>
      <c r="AI26" s="1">
        <f t="shared" si="8"/>
        <v>0</v>
      </c>
      <c r="AJ26" s="1">
        <f t="shared" si="8"/>
        <v>0</v>
      </c>
      <c r="AK26" s="1">
        <f t="shared" si="8"/>
        <v>0</v>
      </c>
      <c r="AL26" s="1">
        <f t="shared" si="8"/>
        <v>0</v>
      </c>
      <c r="AM26" s="1">
        <f t="shared" si="8"/>
        <v>0</v>
      </c>
      <c r="AN26" s="1">
        <f t="shared" si="8"/>
        <v>0</v>
      </c>
      <c r="AO26" s="1">
        <f t="shared" si="8"/>
        <v>0</v>
      </c>
      <c r="AP26" s="1">
        <f t="shared" si="8"/>
        <v>0</v>
      </c>
      <c r="AQ26" s="1">
        <f t="shared" si="8"/>
        <v>0</v>
      </c>
      <c r="AR26" s="1">
        <f t="shared" si="8"/>
        <v>0</v>
      </c>
      <c r="AS26" s="1">
        <f t="shared" si="8"/>
        <v>0</v>
      </c>
      <c r="AT26" s="1">
        <f t="shared" si="8"/>
        <v>0</v>
      </c>
      <c r="AU26" s="1">
        <f t="shared" si="8"/>
        <v>0</v>
      </c>
      <c r="AV26" s="1">
        <f t="shared" si="8"/>
        <v>0</v>
      </c>
      <c r="AW26" s="1">
        <f t="shared" si="8"/>
        <v>0</v>
      </c>
      <c r="AX26" s="1">
        <f t="shared" si="8"/>
        <v>0</v>
      </c>
      <c r="AY26" s="1">
        <f t="shared" si="8"/>
        <v>0</v>
      </c>
      <c r="AZ26" s="1">
        <f t="shared" si="8"/>
        <v>0</v>
      </c>
      <c r="BA26" s="1">
        <f t="shared" si="8"/>
        <v>0</v>
      </c>
      <c r="BB26" s="1">
        <f t="shared" si="8"/>
        <v>0</v>
      </c>
      <c r="BC26" s="1">
        <f t="shared" si="8"/>
        <v>0</v>
      </c>
      <c r="BD26" s="1">
        <f t="shared" si="8"/>
        <v>0</v>
      </c>
      <c r="BE26" s="1">
        <f t="shared" si="8"/>
        <v>0</v>
      </c>
      <c r="BF26" s="1">
        <f t="shared" si="8"/>
        <v>0</v>
      </c>
      <c r="BG26" s="1">
        <f t="shared" si="8"/>
        <v>0</v>
      </c>
      <c r="BH26" s="1">
        <f t="shared" si="8"/>
        <v>0</v>
      </c>
      <c r="BI26" s="1">
        <f t="shared" si="8"/>
        <v>0</v>
      </c>
      <c r="BJ26" s="1">
        <f t="shared" si="8"/>
        <v>0</v>
      </c>
      <c r="BK26" t="s">
        <v>102</v>
      </c>
    </row>
    <row r="27" spans="1:63" ht="11.25" customHeight="1" x14ac:dyDescent="0.25">
      <c r="A27" s="5"/>
      <c r="B27" s="5" t="s">
        <v>7</v>
      </c>
      <c r="C27" s="94" t="s">
        <v>1</v>
      </c>
      <c r="D27" s="5"/>
      <c r="E27" s="1">
        <f t="shared" si="7"/>
        <v>19585.209233762856</v>
      </c>
      <c r="F27" s="302" t="s">
        <v>26</v>
      </c>
      <c r="G27" s="1">
        <f>Reserves!G24</f>
        <v>0</v>
      </c>
      <c r="H27" s="1">
        <f>Reserves!H24</f>
        <v>0</v>
      </c>
      <c r="I27" s="1">
        <f>Reserves!I24</f>
        <v>0</v>
      </c>
      <c r="J27" s="1">
        <f>Reserves!J24</f>
        <v>0</v>
      </c>
      <c r="K27" s="1">
        <f>Reserves!K24</f>
        <v>0</v>
      </c>
      <c r="L27" s="1">
        <f>Reserves!L24</f>
        <v>0</v>
      </c>
      <c r="M27" s="1">
        <f>Reserves!M24</f>
        <v>0</v>
      </c>
      <c r="N27" s="1">
        <f>Reserves!N24</f>
        <v>0</v>
      </c>
      <c r="O27" s="1">
        <f>Reserves!O24</f>
        <v>0</v>
      </c>
      <c r="P27" s="1">
        <f>Reserves!P24</f>
        <v>0</v>
      </c>
      <c r="Q27" s="1">
        <f>Reserves!Q24</f>
        <v>0</v>
      </c>
      <c r="R27" s="1">
        <f>Reserves!R24</f>
        <v>0</v>
      </c>
      <c r="S27" s="1">
        <f>Reserves!S24</f>
        <v>0</v>
      </c>
      <c r="T27" s="1">
        <f>Reserves!T24</f>
        <v>0</v>
      </c>
      <c r="U27" s="1">
        <f>Reserves!U24</f>
        <v>0</v>
      </c>
      <c r="V27" s="1">
        <f>Reserves!V24</f>
        <v>19585.209233762856</v>
      </c>
      <c r="W27" s="1">
        <f>Reserves!W24</f>
        <v>0</v>
      </c>
      <c r="X27" s="1">
        <f>Reserves!X24</f>
        <v>0</v>
      </c>
      <c r="Y27" s="1">
        <f>Reserves!Y24</f>
        <v>0</v>
      </c>
      <c r="Z27" s="1">
        <f>Reserves!Z24</f>
        <v>0</v>
      </c>
      <c r="AA27" s="1">
        <f>Reserves!AA24</f>
        <v>0</v>
      </c>
      <c r="AB27" s="1">
        <f>Reserves!AB24</f>
        <v>0</v>
      </c>
      <c r="AC27" s="1">
        <f>Reserves!AC24</f>
        <v>0</v>
      </c>
      <c r="AD27" s="1">
        <f>Reserves!AD24</f>
        <v>0</v>
      </c>
      <c r="AE27" s="1">
        <f>Reserves!AE24</f>
        <v>0</v>
      </c>
      <c r="AF27" s="1">
        <f>Reserves!AF24</f>
        <v>0</v>
      </c>
      <c r="AG27" s="1">
        <f>Reserves!AG24</f>
        <v>0</v>
      </c>
      <c r="AH27" s="1">
        <f>Reserves!AH24</f>
        <v>0</v>
      </c>
      <c r="AI27" s="1">
        <f>Reserves!AI24</f>
        <v>0</v>
      </c>
      <c r="AJ27" s="1">
        <f>Reserves!AJ24</f>
        <v>0</v>
      </c>
      <c r="AK27" s="1">
        <f>Reserves!AK24</f>
        <v>0</v>
      </c>
      <c r="AL27" s="1">
        <f>Reserves!AL24</f>
        <v>0</v>
      </c>
      <c r="AM27" s="1">
        <f>Reserves!AM24</f>
        <v>0</v>
      </c>
      <c r="AN27" s="1">
        <f>Reserves!AN24</f>
        <v>0</v>
      </c>
      <c r="AO27" s="1">
        <f>Reserves!AO24</f>
        <v>0</v>
      </c>
      <c r="AP27" s="1">
        <f>Reserves!AP24</f>
        <v>0</v>
      </c>
      <c r="AQ27" s="1">
        <f>Reserves!AQ24</f>
        <v>0</v>
      </c>
      <c r="AR27" s="1">
        <f>Reserves!AR24</f>
        <v>0</v>
      </c>
      <c r="AS27" s="1">
        <f>Reserves!AS24</f>
        <v>0</v>
      </c>
      <c r="AT27" s="1">
        <f>Reserves!AT24</f>
        <v>0</v>
      </c>
      <c r="AU27" s="1">
        <f>Reserves!AU24</f>
        <v>0</v>
      </c>
      <c r="AV27" s="1">
        <f>Reserves!AV24</f>
        <v>0</v>
      </c>
      <c r="AW27" s="1">
        <f>Reserves!AW24</f>
        <v>0</v>
      </c>
      <c r="AX27" s="1">
        <f>Reserves!AX24</f>
        <v>0</v>
      </c>
      <c r="AY27" s="1">
        <f>Reserves!AY24</f>
        <v>0</v>
      </c>
      <c r="AZ27" s="1">
        <f>Reserves!AZ24</f>
        <v>0</v>
      </c>
      <c r="BA27" s="1">
        <f>Reserves!BA24</f>
        <v>0</v>
      </c>
      <c r="BB27" s="1">
        <f>Reserves!BB24</f>
        <v>0</v>
      </c>
      <c r="BC27" s="1">
        <f>Reserves!BC24</f>
        <v>0</v>
      </c>
      <c r="BD27" s="1">
        <f>Reserves!BD24</f>
        <v>0</v>
      </c>
      <c r="BE27" s="1">
        <f>Reserves!BE24</f>
        <v>0</v>
      </c>
      <c r="BF27" s="1">
        <f>Reserves!BF24</f>
        <v>0</v>
      </c>
      <c r="BG27" s="1">
        <f>Reserves!BG24</f>
        <v>0</v>
      </c>
      <c r="BH27" s="1">
        <f>Reserves!BH24</f>
        <v>0</v>
      </c>
      <c r="BI27" s="1">
        <f>Reserves!BI24</f>
        <v>0</v>
      </c>
      <c r="BJ27" s="1">
        <f>Reserves!BJ24</f>
        <v>0</v>
      </c>
      <c r="BK27" t="s">
        <v>102</v>
      </c>
    </row>
    <row r="28" spans="1:63" ht="11.25" customHeight="1" x14ac:dyDescent="0.25">
      <c r="A28" s="5"/>
      <c r="B28" s="5" t="s">
        <v>299</v>
      </c>
      <c r="C28" s="94" t="s">
        <v>1</v>
      </c>
      <c r="D28" s="5"/>
      <c r="E28" s="1">
        <f t="shared" si="7"/>
        <v>1014358.6039065053</v>
      </c>
      <c r="F28" s="302" t="s">
        <v>26</v>
      </c>
      <c r="G28" s="1">
        <f>G22</f>
        <v>0</v>
      </c>
      <c r="H28" s="1">
        <f t="shared" ref="H28:BJ28" si="9">H22</f>
        <v>0</v>
      </c>
      <c r="I28" s="1">
        <f t="shared" si="9"/>
        <v>0</v>
      </c>
      <c r="J28" s="1">
        <f t="shared" si="9"/>
        <v>0</v>
      </c>
      <c r="K28" s="1">
        <f t="shared" si="9"/>
        <v>0</v>
      </c>
      <c r="L28" s="1">
        <f t="shared" si="9"/>
        <v>0</v>
      </c>
      <c r="M28" s="1">
        <f t="shared" si="9"/>
        <v>0</v>
      </c>
      <c r="N28" s="1">
        <f t="shared" si="9"/>
        <v>0</v>
      </c>
      <c r="O28" s="1">
        <f t="shared" si="9"/>
        <v>0</v>
      </c>
      <c r="P28" s="1">
        <f t="shared" si="9"/>
        <v>0</v>
      </c>
      <c r="Q28" s="1">
        <f t="shared" si="9"/>
        <v>0</v>
      </c>
      <c r="R28" s="1">
        <f t="shared" si="9"/>
        <v>0</v>
      </c>
      <c r="S28" s="1">
        <f t="shared" si="9"/>
        <v>0</v>
      </c>
      <c r="T28" s="1">
        <f t="shared" si="9"/>
        <v>0</v>
      </c>
      <c r="U28" s="1">
        <f t="shared" si="9"/>
        <v>0</v>
      </c>
      <c r="V28" s="1">
        <f t="shared" si="9"/>
        <v>0</v>
      </c>
      <c r="W28" s="1">
        <f t="shared" si="9"/>
        <v>30392.002261994654</v>
      </c>
      <c r="X28" s="1">
        <f t="shared" si="9"/>
        <v>30423.89409044843</v>
      </c>
      <c r="Y28" s="1">
        <f t="shared" si="9"/>
        <v>31045.958923637485</v>
      </c>
      <c r="Z28" s="1">
        <f t="shared" si="9"/>
        <v>30767.892300957403</v>
      </c>
      <c r="AA28" s="1">
        <f t="shared" si="9"/>
        <v>31275.784410596476</v>
      </c>
      <c r="AB28" s="1">
        <f t="shared" si="9"/>
        <v>30990.095889474047</v>
      </c>
      <c r="AC28" s="1">
        <f t="shared" si="9"/>
        <v>31728.171553880464</v>
      </c>
      <c r="AD28" s="1">
        <f t="shared" si="9"/>
        <v>20372.630041001918</v>
      </c>
      <c r="AE28" s="1">
        <f t="shared" si="9"/>
        <v>31067.766378742006</v>
      </c>
      <c r="AF28" s="1">
        <f t="shared" si="9"/>
        <v>32632.141778364698</v>
      </c>
      <c r="AG28" s="1">
        <f t="shared" si="9"/>
        <v>33017.295321240512</v>
      </c>
      <c r="AH28" s="1">
        <f t="shared" si="9"/>
        <v>32382.353133155291</v>
      </c>
      <c r="AI28" s="1">
        <f t="shared" si="9"/>
        <v>32651.603869195184</v>
      </c>
      <c r="AJ28" s="1">
        <f t="shared" si="9"/>
        <v>32416.34747727077</v>
      </c>
      <c r="AK28" s="1">
        <f t="shared" si="9"/>
        <v>19388.134202642275</v>
      </c>
      <c r="AL28" s="1">
        <f t="shared" si="9"/>
        <v>4523.1666221180167</v>
      </c>
      <c r="AM28" s="1">
        <f t="shared" si="9"/>
        <v>23099.281536969043</v>
      </c>
      <c r="AN28" s="1">
        <f t="shared" si="9"/>
        <v>25568.833311754897</v>
      </c>
      <c r="AO28" s="1">
        <f t="shared" si="9"/>
        <v>26351.612529298509</v>
      </c>
      <c r="AP28" s="1">
        <f t="shared" si="9"/>
        <v>25740.061146542001</v>
      </c>
      <c r="AQ28" s="1">
        <f t="shared" si="9"/>
        <v>26034.470789460313</v>
      </c>
      <c r="AR28" s="1">
        <f t="shared" si="9"/>
        <v>25392.061313730752</v>
      </c>
      <c r="AS28" s="1">
        <f t="shared" si="9"/>
        <v>25938.779591432853</v>
      </c>
      <c r="AT28" s="1">
        <f t="shared" si="9"/>
        <v>12594.934760805283</v>
      </c>
      <c r="AU28" s="1">
        <f t="shared" si="9"/>
        <v>24019.992041731311</v>
      </c>
      <c r="AV28" s="1">
        <f t="shared" si="9"/>
        <v>25921.708747449913</v>
      </c>
      <c r="AW28" s="1">
        <f t="shared" si="9"/>
        <v>26578.291583944683</v>
      </c>
      <c r="AX28" s="1">
        <f t="shared" si="9"/>
        <v>25615.915307771724</v>
      </c>
      <c r="AY28" s="1">
        <f t="shared" si="9"/>
        <v>25967.705899140132</v>
      </c>
      <c r="AZ28" s="1">
        <f t="shared" si="9"/>
        <v>24989.739410293514</v>
      </c>
      <c r="BA28" s="1">
        <f t="shared" si="9"/>
        <v>25632.523822915697</v>
      </c>
      <c r="BB28" s="1">
        <f t="shared" si="9"/>
        <v>3209.2712700465581</v>
      </c>
      <c r="BC28" s="1">
        <f t="shared" si="9"/>
        <v>23688.012664985923</v>
      </c>
      <c r="BD28" s="1">
        <f t="shared" si="9"/>
        <v>25858.778407653681</v>
      </c>
      <c r="BE28" s="1">
        <f t="shared" si="9"/>
        <v>26525.209531092318</v>
      </c>
      <c r="BF28" s="1">
        <f t="shared" si="9"/>
        <v>25467.914356283043</v>
      </c>
      <c r="BG28" s="1">
        <f t="shared" si="9"/>
        <v>25808.87665943952</v>
      </c>
      <c r="BH28" s="1">
        <f t="shared" si="9"/>
        <v>24734.477756293363</v>
      </c>
      <c r="BI28" s="1">
        <f t="shared" si="9"/>
        <v>25383.966148683052</v>
      </c>
      <c r="BJ28" s="1">
        <f t="shared" si="9"/>
        <v>9160.9470640673826</v>
      </c>
      <c r="BK28" t="s">
        <v>102</v>
      </c>
    </row>
    <row r="29" spans="1:63" ht="11.25" customHeight="1" x14ac:dyDescent="0.25">
      <c r="A29" s="5"/>
      <c r="B29" s="5" t="s">
        <v>300</v>
      </c>
      <c r="C29" s="94" t="s">
        <v>1</v>
      </c>
      <c r="D29" s="5"/>
      <c r="E29" s="1">
        <f t="shared" si="7"/>
        <v>670213.50839116937</v>
      </c>
      <c r="F29" s="302" t="s">
        <v>26</v>
      </c>
      <c r="G29" s="1">
        <f>SUM(G26:G28)</f>
        <v>0</v>
      </c>
      <c r="H29" s="1">
        <f t="shared" ref="H29:BJ29" si="10">SUM(H26:H28)</f>
        <v>-68800</v>
      </c>
      <c r="I29" s="1">
        <f t="shared" si="10"/>
        <v>-21350.000000000004</v>
      </c>
      <c r="J29" s="1">
        <f t="shared" si="10"/>
        <v>-24400</v>
      </c>
      <c r="K29" s="1">
        <f t="shared" si="10"/>
        <v>-18300</v>
      </c>
      <c r="L29" s="1">
        <f t="shared" si="10"/>
        <v>-9150</v>
      </c>
      <c r="M29" s="1">
        <f t="shared" si="10"/>
        <v>-21350.000000000004</v>
      </c>
      <c r="N29" s="1">
        <f t="shared" si="10"/>
        <v>-15249.999999999998</v>
      </c>
      <c r="O29" s="1">
        <f t="shared" si="10"/>
        <v>-24400</v>
      </c>
      <c r="P29" s="1">
        <f t="shared" si="10"/>
        <v>-21350.000000000004</v>
      </c>
      <c r="Q29" s="1">
        <f t="shared" si="10"/>
        <v>-18300</v>
      </c>
      <c r="R29" s="1">
        <f t="shared" si="10"/>
        <v>-27450</v>
      </c>
      <c r="S29" s="1">
        <f t="shared" si="10"/>
        <v>-9150</v>
      </c>
      <c r="T29" s="1">
        <f t="shared" si="10"/>
        <v>-24400</v>
      </c>
      <c r="U29" s="1">
        <f t="shared" si="10"/>
        <v>-12200</v>
      </c>
      <c r="V29" s="1">
        <f t="shared" si="10"/>
        <v>-28295.095515335757</v>
      </c>
      <c r="W29" s="1">
        <f t="shared" si="10"/>
        <v>30392.002261994654</v>
      </c>
      <c r="X29" s="1">
        <f t="shared" si="10"/>
        <v>30423.89409044843</v>
      </c>
      <c r="Y29" s="1">
        <f t="shared" si="10"/>
        <v>31045.958923637485</v>
      </c>
      <c r="Z29" s="1">
        <f t="shared" si="10"/>
        <v>30767.892300957403</v>
      </c>
      <c r="AA29" s="1">
        <f t="shared" si="10"/>
        <v>31275.784410596476</v>
      </c>
      <c r="AB29" s="1">
        <f t="shared" si="10"/>
        <v>30990.095889474047</v>
      </c>
      <c r="AC29" s="1">
        <f t="shared" si="10"/>
        <v>31728.171553880464</v>
      </c>
      <c r="AD29" s="1">
        <f t="shared" si="10"/>
        <v>20372.630041001918</v>
      </c>
      <c r="AE29" s="1">
        <f t="shared" si="10"/>
        <v>31067.766378742006</v>
      </c>
      <c r="AF29" s="1">
        <f t="shared" si="10"/>
        <v>32632.141778364698</v>
      </c>
      <c r="AG29" s="1">
        <f t="shared" si="10"/>
        <v>33017.295321240512</v>
      </c>
      <c r="AH29" s="1">
        <f t="shared" si="10"/>
        <v>32382.353133155291</v>
      </c>
      <c r="AI29" s="1">
        <f t="shared" si="10"/>
        <v>32651.603869195184</v>
      </c>
      <c r="AJ29" s="1">
        <f t="shared" si="10"/>
        <v>32416.34747727077</v>
      </c>
      <c r="AK29" s="1">
        <f t="shared" si="10"/>
        <v>19388.134202642275</v>
      </c>
      <c r="AL29" s="1">
        <f t="shared" si="10"/>
        <v>4523.1666221180167</v>
      </c>
      <c r="AM29" s="1">
        <f t="shared" si="10"/>
        <v>23099.281536969043</v>
      </c>
      <c r="AN29" s="1">
        <f t="shared" si="10"/>
        <v>25568.833311754897</v>
      </c>
      <c r="AO29" s="1">
        <f t="shared" si="10"/>
        <v>26351.612529298509</v>
      </c>
      <c r="AP29" s="1">
        <f t="shared" si="10"/>
        <v>25740.061146542001</v>
      </c>
      <c r="AQ29" s="1">
        <f t="shared" si="10"/>
        <v>26034.470789460313</v>
      </c>
      <c r="AR29" s="1">
        <f t="shared" si="10"/>
        <v>25392.061313730752</v>
      </c>
      <c r="AS29" s="1">
        <f t="shared" si="10"/>
        <v>25938.779591432853</v>
      </c>
      <c r="AT29" s="1">
        <f t="shared" si="10"/>
        <v>12594.934760805283</v>
      </c>
      <c r="AU29" s="1">
        <f t="shared" si="10"/>
        <v>24019.992041731311</v>
      </c>
      <c r="AV29" s="1">
        <f t="shared" si="10"/>
        <v>25921.708747449913</v>
      </c>
      <c r="AW29" s="1">
        <f t="shared" si="10"/>
        <v>26578.291583944683</v>
      </c>
      <c r="AX29" s="1">
        <f t="shared" si="10"/>
        <v>25615.915307771724</v>
      </c>
      <c r="AY29" s="1">
        <f t="shared" si="10"/>
        <v>25967.705899140132</v>
      </c>
      <c r="AZ29" s="1">
        <f t="shared" si="10"/>
        <v>24989.739410293514</v>
      </c>
      <c r="BA29" s="1">
        <f t="shared" si="10"/>
        <v>25632.523822915697</v>
      </c>
      <c r="BB29" s="1">
        <f t="shared" si="10"/>
        <v>3209.2712700465581</v>
      </c>
      <c r="BC29" s="1">
        <f t="shared" si="10"/>
        <v>23688.012664985923</v>
      </c>
      <c r="BD29" s="1">
        <f t="shared" si="10"/>
        <v>25858.778407653681</v>
      </c>
      <c r="BE29" s="1">
        <f t="shared" si="10"/>
        <v>26525.209531092318</v>
      </c>
      <c r="BF29" s="1">
        <f t="shared" si="10"/>
        <v>25467.914356283043</v>
      </c>
      <c r="BG29" s="1">
        <f t="shared" si="10"/>
        <v>25808.87665943952</v>
      </c>
      <c r="BH29" s="1">
        <f t="shared" si="10"/>
        <v>24734.477756293363</v>
      </c>
      <c r="BI29" s="1">
        <f t="shared" si="10"/>
        <v>25383.966148683052</v>
      </c>
      <c r="BJ29" s="1">
        <f t="shared" si="10"/>
        <v>9160.9470640673826</v>
      </c>
      <c r="BK29" t="s">
        <v>102</v>
      </c>
    </row>
    <row r="30" spans="1:63" ht="11.25" customHeight="1" x14ac:dyDescent="0.25">
      <c r="A30" s="5"/>
      <c r="B30" s="5" t="s">
        <v>292</v>
      </c>
      <c r="C30" s="94" t="s">
        <v>102</v>
      </c>
      <c r="D30" s="5"/>
      <c r="E30" s="44">
        <f t="shared" si="7"/>
        <v>24.576047911904933</v>
      </c>
      <c r="F30" s="302" t="s">
        <v>26</v>
      </c>
      <c r="G30" s="44">
        <f t="shared" ref="G30" si="11">IF(G1&gt;=$D$7,1/((1+$D$25)^(YEARFRAC($D$7,G1,1))),0)</f>
        <v>0</v>
      </c>
      <c r="H30" s="44">
        <f>IF(H1&gt;=$D$7,1/((1+$D$25)^(YEARFRAC($D$7,H1,1))),0)</f>
        <v>1</v>
      </c>
      <c r="I30" s="44">
        <f t="shared" ref="I30:BJ30" si="12">IF(I1&gt;=$D$7,1/((1+$D$25)^(YEARFRAC($D$7,I1,1))),0)</f>
        <v>0.97568118790915515</v>
      </c>
      <c r="J30" s="44">
        <f t="shared" si="12"/>
        <v>0.95169341017923614</v>
      </c>
      <c r="K30" s="44">
        <f t="shared" si="12"/>
        <v>0.9280414886669085</v>
      </c>
      <c r="L30" s="44">
        <f t="shared" si="12"/>
        <v>0.90497737556561086</v>
      </c>
      <c r="M30" s="44">
        <f t="shared" si="12"/>
        <v>0.88282836959028743</v>
      </c>
      <c r="N30" s="44">
        <f t="shared" si="12"/>
        <v>0.86114299932706351</v>
      </c>
      <c r="O30" s="44">
        <f t="shared" si="12"/>
        <v>0.83976076066820027</v>
      </c>
      <c r="P30" s="44">
        <f t="shared" si="12"/>
        <v>0.81890944443502223</v>
      </c>
      <c r="Q30" s="44">
        <f t="shared" si="12"/>
        <v>0.79897158475543817</v>
      </c>
      <c r="R30" s="44">
        <f t="shared" si="12"/>
        <v>0.779341609917933</v>
      </c>
      <c r="S30" s="44">
        <f t="shared" si="12"/>
        <v>0.75998614551453536</v>
      </c>
      <c r="T30" s="44">
        <f t="shared" si="12"/>
        <v>0.74111138687290334</v>
      </c>
      <c r="U30" s="44">
        <f t="shared" si="12"/>
        <v>0.72306852725080883</v>
      </c>
      <c r="V30" s="44">
        <f t="shared" si="12"/>
        <v>0.70530101650749644</v>
      </c>
      <c r="W30" s="44">
        <f t="shared" si="12"/>
        <v>0.67069819996872471</v>
      </c>
      <c r="X30" s="44">
        <f t="shared" si="12"/>
        <v>0.63829020815170079</v>
      </c>
      <c r="Y30" s="44">
        <f t="shared" si="12"/>
        <v>0.60697222577554022</v>
      </c>
      <c r="Z30" s="44">
        <f t="shared" si="12"/>
        <v>0.57760993936498217</v>
      </c>
      <c r="AA30" s="44">
        <f t="shared" si="12"/>
        <v>0.54927826634769483</v>
      </c>
      <c r="AB30" s="44">
        <f t="shared" si="12"/>
        <v>0.52273159701619965</v>
      </c>
      <c r="AC30" s="44">
        <f t="shared" si="12"/>
        <v>0.49708925315531127</v>
      </c>
      <c r="AD30" s="44">
        <f t="shared" si="12"/>
        <v>0.47306566848702131</v>
      </c>
      <c r="AE30" s="44">
        <f t="shared" si="12"/>
        <v>0.44985794159261266</v>
      </c>
      <c r="AF30" s="44">
        <f t="shared" si="12"/>
        <v>0.42811763699375038</v>
      </c>
      <c r="AG30" s="44">
        <f t="shared" si="12"/>
        <v>0.40711373128089107</v>
      </c>
      <c r="AH30" s="44">
        <f t="shared" si="12"/>
        <v>0.38742519728761254</v>
      </c>
      <c r="AI30" s="44">
        <f t="shared" si="12"/>
        <v>0.36842139595636814</v>
      </c>
      <c r="AJ30" s="44">
        <f t="shared" si="12"/>
        <v>0.35061431218574396</v>
      </c>
      <c r="AK30" s="44">
        <f t="shared" si="12"/>
        <v>0.33341509789119067</v>
      </c>
      <c r="AL30" s="44">
        <f t="shared" si="12"/>
        <v>0.3173005273889925</v>
      </c>
      <c r="AM30" s="44">
        <f t="shared" si="12"/>
        <v>0.3017347054627092</v>
      </c>
      <c r="AN30" s="44">
        <f t="shared" si="12"/>
        <v>0.28715174365518614</v>
      </c>
      <c r="AO30" s="44">
        <f t="shared" si="12"/>
        <v>0.27306431162386546</v>
      </c>
      <c r="AP30" s="44">
        <f t="shared" si="12"/>
        <v>0.2598602381638111</v>
      </c>
      <c r="AQ30" s="44">
        <f t="shared" si="12"/>
        <v>0.24711348790235849</v>
      </c>
      <c r="AR30" s="44">
        <f t="shared" si="12"/>
        <v>0.23516924672466794</v>
      </c>
      <c r="AS30" s="44">
        <f t="shared" si="12"/>
        <v>0.22363313388120973</v>
      </c>
      <c r="AT30" s="44">
        <f t="shared" si="12"/>
        <v>0.2128241337348877</v>
      </c>
      <c r="AU30" s="44">
        <f t="shared" si="12"/>
        <v>0.20238373965104403</v>
      </c>
      <c r="AV30" s="44">
        <f t="shared" si="12"/>
        <v>0.19260206059499724</v>
      </c>
      <c r="AW30" s="44">
        <f t="shared" si="12"/>
        <v>0.18315335966541021</v>
      </c>
      <c r="AX30" s="44">
        <f t="shared" si="12"/>
        <v>0.17429757552817624</v>
      </c>
      <c r="AY30" s="44">
        <f t="shared" si="12"/>
        <v>0.16574779318304128</v>
      </c>
      <c r="AZ30" s="44">
        <f t="shared" si="12"/>
        <v>0.15773621521687681</v>
      </c>
      <c r="BA30" s="44">
        <f t="shared" si="12"/>
        <v>0.14999854201519186</v>
      </c>
      <c r="BB30" s="44">
        <f t="shared" si="12"/>
        <v>0.14274840435080718</v>
      </c>
      <c r="BC30" s="44">
        <f t="shared" si="12"/>
        <v>0.13574572836089763</v>
      </c>
      <c r="BD30" s="44">
        <f t="shared" si="12"/>
        <v>0.12918465084721195</v>
      </c>
      <c r="BE30" s="44">
        <f t="shared" si="12"/>
        <v>0.12284717621978682</v>
      </c>
      <c r="BF30" s="44">
        <f t="shared" si="12"/>
        <v>0.11690757238262212</v>
      </c>
      <c r="BG30" s="44">
        <f t="shared" si="12"/>
        <v>0.11117289477060492</v>
      </c>
      <c r="BH30" s="44">
        <f t="shared" si="12"/>
        <v>0.10579918053687853</v>
      </c>
      <c r="BI30" s="44">
        <f t="shared" si="12"/>
        <v>0.10060925327207854</v>
      </c>
      <c r="BJ30" s="44">
        <f t="shared" si="12"/>
        <v>9.5746258155676695E-2</v>
      </c>
      <c r="BK30" t="s">
        <v>102</v>
      </c>
    </row>
    <row r="31" spans="1:63" ht="11.25" customHeight="1" x14ac:dyDescent="0.25">
      <c r="A31" s="5" t="s">
        <v>26</v>
      </c>
      <c r="B31" s="241" t="s">
        <v>293</v>
      </c>
      <c r="C31" s="242" t="s">
        <v>1</v>
      </c>
      <c r="D31" s="241"/>
      <c r="E31" s="298">
        <f t="shared" si="7"/>
        <v>25063.23611780073</v>
      </c>
      <c r="F31" s="307" t="s">
        <v>26</v>
      </c>
      <c r="G31" s="224">
        <f>G29*G30</f>
        <v>0</v>
      </c>
      <c r="H31" s="224">
        <f t="shared" ref="H31:BJ31" si="13">H29*H30</f>
        <v>-68800</v>
      </c>
      <c r="I31" s="224">
        <f t="shared" si="13"/>
        <v>-20830.793361860466</v>
      </c>
      <c r="J31" s="224">
        <f t="shared" si="13"/>
        <v>-23221.319208373363</v>
      </c>
      <c r="K31" s="224">
        <f t="shared" si="13"/>
        <v>-16983.159242604426</v>
      </c>
      <c r="L31" s="224">
        <f t="shared" si="13"/>
        <v>-8280.5429864253401</v>
      </c>
      <c r="M31" s="224">
        <f t="shared" si="13"/>
        <v>-18848.385690752639</v>
      </c>
      <c r="N31" s="224">
        <f t="shared" si="13"/>
        <v>-13132.430739737716</v>
      </c>
      <c r="O31" s="224">
        <f t="shared" si="13"/>
        <v>-20490.162560304085</v>
      </c>
      <c r="P31" s="224">
        <f t="shared" si="13"/>
        <v>-17483.716638687729</v>
      </c>
      <c r="Q31" s="224">
        <f t="shared" si="13"/>
        <v>-14621.180001024519</v>
      </c>
      <c r="R31" s="224">
        <f t="shared" si="13"/>
        <v>-21392.927192247262</v>
      </c>
      <c r="S31" s="224">
        <f t="shared" si="13"/>
        <v>-6953.8732314579984</v>
      </c>
      <c r="T31" s="224">
        <f t="shared" si="13"/>
        <v>-18083.11783969884</v>
      </c>
      <c r="U31" s="224">
        <f t="shared" si="13"/>
        <v>-8821.4360324598674</v>
      </c>
      <c r="V31" s="224">
        <f t="shared" si="13"/>
        <v>-19956.559629143012</v>
      </c>
      <c r="W31" s="224">
        <f t="shared" si="13"/>
        <v>20383.861210565225</v>
      </c>
      <c r="X31" s="224">
        <f t="shared" si="13"/>
        <v>19419.273691777627</v>
      </c>
      <c r="Y31" s="224">
        <f t="shared" si="13"/>
        <v>18844.034789216239</v>
      </c>
      <c r="Z31" s="224">
        <f t="shared" si="13"/>
        <v>17771.840406344309</v>
      </c>
      <c r="AA31" s="224">
        <f t="shared" si="13"/>
        <v>17179.108639716695</v>
      </c>
      <c r="AB31" s="224">
        <f t="shared" si="13"/>
        <v>16199.502315989932</v>
      </c>
      <c r="AC31" s="224">
        <f t="shared" si="13"/>
        <v>15771.733101702031</v>
      </c>
      <c r="AD31" s="224">
        <f t="shared" si="13"/>
        <v>9637.5918491853445</v>
      </c>
      <c r="AE31" s="224">
        <f t="shared" si="13"/>
        <v>13976.081433021056</v>
      </c>
      <c r="AF31" s="224">
        <f t="shared" si="13"/>
        <v>13970.395428198533</v>
      </c>
      <c r="AG31" s="224">
        <f t="shared" si="13"/>
        <v>13441.794295033331</v>
      </c>
      <c r="AH31" s="224">
        <f t="shared" si="13"/>
        <v>12545.739551249826</v>
      </c>
      <c r="AI31" s="224">
        <f t="shared" si="13"/>
        <v>12029.54947770324</v>
      </c>
      <c r="AJ31" s="224">
        <f t="shared" si="13"/>
        <v>11365.635374317368</v>
      </c>
      <c r="AK31" s="224">
        <f t="shared" si="13"/>
        <v>6464.2966631015161</v>
      </c>
      <c r="AL31" s="224">
        <f t="shared" si="13"/>
        <v>1435.2031546663345</v>
      </c>
      <c r="AM31" s="224">
        <f t="shared" si="13"/>
        <v>6969.8549109575506</v>
      </c>
      <c r="AN31" s="224">
        <f t="shared" si="13"/>
        <v>7342.1350686992264</v>
      </c>
      <c r="AO31" s="224">
        <f t="shared" si="13"/>
        <v>7195.6849354917258</v>
      </c>
      <c r="AP31" s="224">
        <f t="shared" si="13"/>
        <v>6688.8184198914651</v>
      </c>
      <c r="AQ31" s="224">
        <f t="shared" si="13"/>
        <v>6433.4688824756067</v>
      </c>
      <c r="AR31" s="224">
        <f t="shared" si="13"/>
        <v>5971.4319319366432</v>
      </c>
      <c r="AS31" s="224">
        <f t="shared" si="13"/>
        <v>5800.7705690860939</v>
      </c>
      <c r="AT31" s="224">
        <f t="shared" si="13"/>
        <v>2680.5060799158096</v>
      </c>
      <c r="AU31" s="224">
        <f t="shared" si="13"/>
        <v>4861.2558157938993</v>
      </c>
      <c r="AV31" s="224">
        <f t="shared" si="13"/>
        <v>4992.5745189022182</v>
      </c>
      <c r="AW31" s="224">
        <f t="shared" si="13"/>
        <v>4867.9033977663657</v>
      </c>
      <c r="AX31" s="224">
        <f t="shared" si="13"/>
        <v>4464.7919330797076</v>
      </c>
      <c r="AY31" s="224">
        <f t="shared" si="13"/>
        <v>4304.08994680872</v>
      </c>
      <c r="AZ31" s="224">
        <f t="shared" si="13"/>
        <v>3941.786913835726</v>
      </c>
      <c r="BA31" s="224">
        <f t="shared" si="13"/>
        <v>3844.8412016070265</v>
      </c>
      <c r="BB31" s="224">
        <f t="shared" si="13"/>
        <v>458.1183529280346</v>
      </c>
      <c r="BC31" s="224">
        <f t="shared" si="13"/>
        <v>3215.5465326306817</v>
      </c>
      <c r="BD31" s="224">
        <f t="shared" si="13"/>
        <v>3340.5572599281641</v>
      </c>
      <c r="BE31" s="224">
        <f t="shared" si="13"/>
        <v>3258.5470895328667</v>
      </c>
      <c r="BF31" s="224">
        <f t="shared" si="13"/>
        <v>2977.3920410415808</v>
      </c>
      <c r="BG31" s="224">
        <f t="shared" si="13"/>
        <v>2869.2475290073912</v>
      </c>
      <c r="BH31" s="224">
        <f t="shared" si="13"/>
        <v>2616.8874776234879</v>
      </c>
      <c r="BI31" s="224">
        <f t="shared" si="13"/>
        <v>2553.8618793027213</v>
      </c>
      <c r="BJ31" s="224">
        <f t="shared" si="13"/>
        <v>877.12640254668406</v>
      </c>
      <c r="BK31" t="s">
        <v>102</v>
      </c>
    </row>
    <row r="32" spans="1:63" ht="11.25" customHeight="1" x14ac:dyDescent="0.25">
      <c r="A32" s="5"/>
      <c r="B32" s="3" t="s">
        <v>9</v>
      </c>
      <c r="C32" s="96" t="s">
        <v>34</v>
      </c>
      <c r="D32" s="3"/>
      <c r="E32" s="296">
        <f>XIRR(H29:BJ29,H1:BJ1)</f>
        <v>0.11544112563133241</v>
      </c>
      <c r="F32" s="302"/>
      <c r="G32" s="1"/>
      <c r="H32" s="1"/>
      <c r="I32" s="1"/>
      <c r="J32" s="1"/>
      <c r="K32" s="5"/>
      <c r="L32" s="5"/>
      <c r="M32" s="117"/>
      <c r="N32" s="117"/>
      <c r="O32" s="117"/>
      <c r="P32" s="117"/>
      <c r="Q32" s="117"/>
      <c r="R32" s="117"/>
      <c r="S32" s="117"/>
      <c r="T32" s="117"/>
      <c r="U32" s="117"/>
      <c r="V32" s="117"/>
      <c r="W32" s="117"/>
      <c r="X32" s="117"/>
      <c r="Y32" s="117"/>
      <c r="Z32" s="117"/>
      <c r="AA32" s="117"/>
      <c r="AB32" s="117"/>
      <c r="AC32" s="117"/>
      <c r="AD32" s="117"/>
      <c r="AE32" s="117"/>
      <c r="AF32" s="117"/>
      <c r="AG32" s="117"/>
      <c r="AH32" s="117"/>
      <c r="AI32" s="117"/>
      <c r="AJ32" s="117"/>
      <c r="AK32" s="117"/>
      <c r="AL32" s="117"/>
      <c r="AM32" s="117"/>
      <c r="AN32" s="117"/>
      <c r="AO32" s="117"/>
      <c r="AP32" s="117"/>
      <c r="AQ32" s="117"/>
      <c r="AR32" s="117"/>
      <c r="AS32" s="117"/>
      <c r="AT32" s="117"/>
      <c r="AU32" s="117"/>
      <c r="AV32" s="117"/>
      <c r="AW32" s="117"/>
      <c r="AX32" s="117"/>
      <c r="AY32" s="117"/>
      <c r="AZ32" s="117"/>
      <c r="BA32" s="117"/>
      <c r="BB32" s="117"/>
      <c r="BC32" s="117"/>
      <c r="BD32" s="117"/>
      <c r="BE32" s="117"/>
      <c r="BF32" s="117"/>
      <c r="BG32" s="117"/>
      <c r="BH32" s="117"/>
      <c r="BI32" s="117"/>
      <c r="BJ32" s="117"/>
      <c r="BK32" t="s">
        <v>102</v>
      </c>
    </row>
    <row r="33" spans="1:63" ht="11.25" customHeight="1" x14ac:dyDescent="0.25">
      <c r="A33" s="5"/>
      <c r="B33" s="5"/>
      <c r="C33" s="94"/>
      <c r="D33" s="5"/>
      <c r="E33" s="5"/>
      <c r="F33" s="302"/>
      <c r="G33" s="5"/>
      <c r="H33" s="5"/>
      <c r="I33" s="5"/>
      <c r="J33" s="5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  <c r="BK33" t="s">
        <v>102</v>
      </c>
    </row>
    <row r="34" spans="1:63" ht="11.25" customHeight="1" x14ac:dyDescent="0.25">
      <c r="A34" s="5"/>
      <c r="B34" s="5" t="s">
        <v>301</v>
      </c>
      <c r="C34" s="94" t="s">
        <v>1</v>
      </c>
      <c r="D34" s="5"/>
      <c r="E34" s="1">
        <f t="shared" ref="E34:E38" si="14">SUM(G34:BJ34)</f>
        <v>412807.6424702456</v>
      </c>
      <c r="F34" s="302" t="s">
        <v>26</v>
      </c>
      <c r="G34" s="1">
        <f>Construction!G26</f>
        <v>0</v>
      </c>
      <c r="H34" s="1">
        <f>Construction!H26</f>
        <v>72762.953367714363</v>
      </c>
      <c r="I34" s="1">
        <f>Construction!I26</f>
        <v>22713.0918134526</v>
      </c>
      <c r="J34" s="1">
        <f>Construction!J26</f>
        <v>26059.724792536286</v>
      </c>
      <c r="K34" s="1">
        <f>Construction!K26</f>
        <v>20300.06479832681</v>
      </c>
      <c r="L34" s="1">
        <f>Construction!L26</f>
        <v>11415.183644592958</v>
      </c>
      <c r="M34" s="1">
        <f>Construction!M26</f>
        <v>23764.265942991344</v>
      </c>
      <c r="N34" s="1">
        <f>Construction!N26</f>
        <v>17974.627256206808</v>
      </c>
      <c r="O34" s="1">
        <f>Construction!O26</f>
        <v>27359.375888172872</v>
      </c>
      <c r="P34" s="1">
        <f>Construction!P26</f>
        <v>24666.689337272412</v>
      </c>
      <c r="Q34" s="1">
        <f>Construction!Q26</f>
        <v>21938.836300017185</v>
      </c>
      <c r="R34" s="1">
        <f>Construction!R26</f>
        <v>31375.357502095412</v>
      </c>
      <c r="S34" s="1">
        <f>Construction!S26</f>
        <v>13485.119671072776</v>
      </c>
      <c r="T34" s="1">
        <f>Construction!T26</f>
        <v>28911.235333976987</v>
      </c>
      <c r="U34" s="1">
        <f>Construction!U26</f>
        <v>17088.816067438725</v>
      </c>
      <c r="V34" s="1">
        <f>Construction!V26</f>
        <v>52992.300754378084</v>
      </c>
      <c r="W34" s="1">
        <f>Construction!W26</f>
        <v>0</v>
      </c>
      <c r="X34" s="1">
        <f>Construction!X26</f>
        <v>0</v>
      </c>
      <c r="Y34" s="1">
        <f>Construction!Y26</f>
        <v>0</v>
      </c>
      <c r="Z34" s="1">
        <f>Construction!Z26</f>
        <v>0</v>
      </c>
      <c r="AA34" s="1">
        <f>Construction!AA26</f>
        <v>0</v>
      </c>
      <c r="AB34" s="1">
        <f>Construction!AB26</f>
        <v>0</v>
      </c>
      <c r="AC34" s="1">
        <f>Construction!AC26</f>
        <v>0</v>
      </c>
      <c r="AD34" s="1">
        <f>Construction!AD26</f>
        <v>0</v>
      </c>
      <c r="AE34" s="1">
        <f>Construction!AE26</f>
        <v>0</v>
      </c>
      <c r="AF34" s="1">
        <f>Construction!AF26</f>
        <v>0</v>
      </c>
      <c r="AG34" s="1">
        <f>Construction!AG26</f>
        <v>0</v>
      </c>
      <c r="AH34" s="1">
        <f>Construction!AH26</f>
        <v>0</v>
      </c>
      <c r="AI34" s="1">
        <f>Construction!AI26</f>
        <v>0</v>
      </c>
      <c r="AJ34" s="1">
        <f>Construction!AJ26</f>
        <v>0</v>
      </c>
      <c r="AK34" s="1">
        <f>Construction!AK26</f>
        <v>0</v>
      </c>
      <c r="AL34" s="1">
        <f>Construction!AL26</f>
        <v>0</v>
      </c>
      <c r="AM34" s="1">
        <f>Construction!AM26</f>
        <v>0</v>
      </c>
      <c r="AN34" s="1">
        <f>Construction!AN26</f>
        <v>0</v>
      </c>
      <c r="AO34" s="1">
        <f>Construction!AO26</f>
        <v>0</v>
      </c>
      <c r="AP34" s="1">
        <f>Construction!AP26</f>
        <v>0</v>
      </c>
      <c r="AQ34" s="1">
        <f>Construction!AQ26</f>
        <v>0</v>
      </c>
      <c r="AR34" s="1">
        <f>Construction!AR26</f>
        <v>0</v>
      </c>
      <c r="AS34" s="1">
        <f>Construction!AS26</f>
        <v>0</v>
      </c>
      <c r="AT34" s="1">
        <f>Construction!AT26</f>
        <v>0</v>
      </c>
      <c r="AU34" s="1">
        <f>Construction!AU26</f>
        <v>0</v>
      </c>
      <c r="AV34" s="1">
        <f>Construction!AV26</f>
        <v>0</v>
      </c>
      <c r="AW34" s="1">
        <f>Construction!AW26</f>
        <v>0</v>
      </c>
      <c r="AX34" s="1">
        <f>Construction!AX26</f>
        <v>0</v>
      </c>
      <c r="AY34" s="1">
        <f>Construction!AY26</f>
        <v>0</v>
      </c>
      <c r="AZ34" s="1">
        <f>Construction!AZ26</f>
        <v>0</v>
      </c>
      <c r="BA34" s="1">
        <f>Construction!BA26</f>
        <v>0</v>
      </c>
      <c r="BB34" s="1">
        <f>Construction!BB26</f>
        <v>0</v>
      </c>
      <c r="BC34" s="1">
        <f>Construction!BC26</f>
        <v>0</v>
      </c>
      <c r="BD34" s="1">
        <f>Construction!BD26</f>
        <v>0</v>
      </c>
      <c r="BE34" s="1">
        <f>Construction!BE26</f>
        <v>0</v>
      </c>
      <c r="BF34" s="1">
        <f>Construction!BF26</f>
        <v>0</v>
      </c>
      <c r="BG34" s="1">
        <f>Construction!BG26</f>
        <v>0</v>
      </c>
      <c r="BH34" s="1">
        <f>Construction!BH26</f>
        <v>0</v>
      </c>
      <c r="BI34" s="1">
        <f>Construction!BI26</f>
        <v>0</v>
      </c>
      <c r="BJ34" s="1">
        <f>Construction!BJ26</f>
        <v>0</v>
      </c>
      <c r="BK34" t="s">
        <v>102</v>
      </c>
    </row>
    <row r="35" spans="1:63" ht="11.25" customHeight="1" x14ac:dyDescent="0.25">
      <c r="A35" s="5"/>
      <c r="B35" s="5" t="s">
        <v>160</v>
      </c>
      <c r="C35" s="94" t="s">
        <v>1</v>
      </c>
      <c r="D35" s="5"/>
      <c r="E35" s="1">
        <f t="shared" si="14"/>
        <v>42346.95158234454</v>
      </c>
      <c r="F35" s="302" t="s">
        <v>26</v>
      </c>
      <c r="G35" s="1">
        <f>Construction!G17</f>
        <v>0</v>
      </c>
      <c r="H35" s="1">
        <f>Construction!H17</f>
        <v>0</v>
      </c>
      <c r="I35" s="1">
        <f>Construction!I17</f>
        <v>1023.047124350064</v>
      </c>
      <c r="J35" s="1">
        <f>Construction!J17</f>
        <v>1342.3931952472074</v>
      </c>
      <c r="K35" s="1">
        <f>Construction!K17</f>
        <v>1708.7929258302677</v>
      </c>
      <c r="L35" s="1">
        <f>Construction!L17</f>
        <v>1994.2118368947429</v>
      </c>
      <c r="M35" s="1">
        <f>Construction!M17</f>
        <v>2154.7093189377197</v>
      </c>
      <c r="N35" s="1">
        <f>Construction!N17</f>
        <v>2488.8348980961782</v>
      </c>
      <c r="O35" s="1">
        <f>Construction!O17</f>
        <v>2741.5581573184459</v>
      </c>
      <c r="P35" s="1">
        <f>Construction!P17</f>
        <v>3126.2309823061564</v>
      </c>
      <c r="Q35" s="1">
        <f>Construction!Q17</f>
        <v>3473.0446343882063</v>
      </c>
      <c r="R35" s="1">
        <f>Construction!R17</f>
        <v>3781.504672766448</v>
      </c>
      <c r="S35" s="1">
        <f>Construction!S17</f>
        <v>4222.6421992459091</v>
      </c>
      <c r="T35" s="1">
        <f>Construction!T17</f>
        <v>4412.2429818211922</v>
      </c>
      <c r="U35" s="1">
        <f>Construction!U17</f>
        <v>4818.7349506169094</v>
      </c>
      <c r="V35" s="1">
        <f>Construction!V17</f>
        <v>5059.0037045250974</v>
      </c>
      <c r="W35" s="1">
        <f>Construction!W17</f>
        <v>0</v>
      </c>
      <c r="X35" s="1">
        <f>Construction!X17</f>
        <v>0</v>
      </c>
      <c r="Y35" s="1">
        <f>Construction!Y17</f>
        <v>0</v>
      </c>
      <c r="Z35" s="1">
        <f>Construction!Z17</f>
        <v>0</v>
      </c>
      <c r="AA35" s="1">
        <f>Construction!AA17</f>
        <v>0</v>
      </c>
      <c r="AB35" s="1">
        <f>Construction!AB17</f>
        <v>0</v>
      </c>
      <c r="AC35" s="1">
        <f>Construction!AC17</f>
        <v>0</v>
      </c>
      <c r="AD35" s="1">
        <f>Construction!AD17</f>
        <v>0</v>
      </c>
      <c r="AE35" s="1">
        <f>Construction!AE17</f>
        <v>0</v>
      </c>
      <c r="AF35" s="1">
        <f>Construction!AF17</f>
        <v>0</v>
      </c>
      <c r="AG35" s="1">
        <f>Construction!AG17</f>
        <v>0</v>
      </c>
      <c r="AH35" s="1">
        <f>Construction!AH17</f>
        <v>0</v>
      </c>
      <c r="AI35" s="1">
        <f>Construction!AI17</f>
        <v>0</v>
      </c>
      <c r="AJ35" s="1">
        <f>Construction!AJ17</f>
        <v>0</v>
      </c>
      <c r="AK35" s="1">
        <f>Construction!AK17</f>
        <v>0</v>
      </c>
      <c r="AL35" s="1">
        <f>Construction!AL17</f>
        <v>0</v>
      </c>
      <c r="AM35" s="1">
        <f>Construction!AM17</f>
        <v>0</v>
      </c>
      <c r="AN35" s="1">
        <f>Construction!AN17</f>
        <v>0</v>
      </c>
      <c r="AO35" s="1">
        <f>Construction!AO17</f>
        <v>0</v>
      </c>
      <c r="AP35" s="1">
        <f>Construction!AP17</f>
        <v>0</v>
      </c>
      <c r="AQ35" s="1">
        <f>Construction!AQ17</f>
        <v>0</v>
      </c>
      <c r="AR35" s="1">
        <f>Construction!AR17</f>
        <v>0</v>
      </c>
      <c r="AS35" s="1">
        <f>Construction!AS17</f>
        <v>0</v>
      </c>
      <c r="AT35" s="1">
        <f>Construction!AT17</f>
        <v>0</v>
      </c>
      <c r="AU35" s="1">
        <f>Construction!AU17</f>
        <v>0</v>
      </c>
      <c r="AV35" s="1">
        <f>Construction!AV17</f>
        <v>0</v>
      </c>
      <c r="AW35" s="1">
        <f>Construction!AW17</f>
        <v>0</v>
      </c>
      <c r="AX35" s="1">
        <f>Construction!AX17</f>
        <v>0</v>
      </c>
      <c r="AY35" s="1">
        <f>Construction!AY17</f>
        <v>0</v>
      </c>
      <c r="AZ35" s="1">
        <f>Construction!AZ17</f>
        <v>0</v>
      </c>
      <c r="BA35" s="1">
        <f>Construction!BA17</f>
        <v>0</v>
      </c>
      <c r="BB35" s="1">
        <f>Construction!BB17</f>
        <v>0</v>
      </c>
      <c r="BC35" s="1">
        <f>Construction!BC17</f>
        <v>0</v>
      </c>
      <c r="BD35" s="1">
        <f>Construction!BD17</f>
        <v>0</v>
      </c>
      <c r="BE35" s="1">
        <f>Construction!BE17</f>
        <v>0</v>
      </c>
      <c r="BF35" s="1">
        <f>Construction!BF17</f>
        <v>0</v>
      </c>
      <c r="BG35" s="1">
        <f>Construction!BG17</f>
        <v>0</v>
      </c>
      <c r="BH35" s="1">
        <f>Construction!BH17</f>
        <v>0</v>
      </c>
      <c r="BI35" s="1">
        <f>Construction!BI17</f>
        <v>0</v>
      </c>
      <c r="BJ35" s="1">
        <f>Construction!BJ17</f>
        <v>0</v>
      </c>
      <c r="BK35" t="s">
        <v>102</v>
      </c>
    </row>
    <row r="36" spans="1:63" ht="11.25" customHeight="1" x14ac:dyDescent="0.25">
      <c r="A36" s="5"/>
      <c r="B36" s="5" t="s">
        <v>57</v>
      </c>
      <c r="C36" s="94" t="s">
        <v>1</v>
      </c>
      <c r="D36" s="5"/>
      <c r="E36" s="1">
        <f t="shared" si="14"/>
        <v>3962.9533677143586</v>
      </c>
      <c r="F36" s="302" t="s">
        <v>26</v>
      </c>
      <c r="G36" s="1">
        <f>Construction!G19</f>
        <v>0</v>
      </c>
      <c r="H36" s="1">
        <f>Construction!H19</f>
        <v>3962.9533677143586</v>
      </c>
      <c r="I36" s="1">
        <f>Construction!I19</f>
        <v>0</v>
      </c>
      <c r="J36" s="1">
        <f>Construction!J19</f>
        <v>0</v>
      </c>
      <c r="K36" s="1">
        <f>Construction!K19</f>
        <v>0</v>
      </c>
      <c r="L36" s="1">
        <f>Construction!L19</f>
        <v>0</v>
      </c>
      <c r="M36" s="1">
        <f>Construction!M19</f>
        <v>0</v>
      </c>
      <c r="N36" s="1">
        <f>Construction!N19</f>
        <v>0</v>
      </c>
      <c r="O36" s="1">
        <f>Construction!O19</f>
        <v>0</v>
      </c>
      <c r="P36" s="1">
        <f>Construction!P19</f>
        <v>0</v>
      </c>
      <c r="Q36" s="1">
        <f>Construction!Q19</f>
        <v>0</v>
      </c>
      <c r="R36" s="1">
        <f>Construction!R19</f>
        <v>0</v>
      </c>
      <c r="S36" s="1">
        <f>Construction!S19</f>
        <v>0</v>
      </c>
      <c r="T36" s="1">
        <f>Construction!T19</f>
        <v>0</v>
      </c>
      <c r="U36" s="1">
        <f>Construction!U19</f>
        <v>0</v>
      </c>
      <c r="V36" s="1">
        <f>Construction!V19</f>
        <v>0</v>
      </c>
      <c r="W36" s="1">
        <f>Construction!W19</f>
        <v>0</v>
      </c>
      <c r="X36" s="1">
        <f>Construction!X19</f>
        <v>0</v>
      </c>
      <c r="Y36" s="1">
        <f>Construction!Y19</f>
        <v>0</v>
      </c>
      <c r="Z36" s="1">
        <f>Construction!Z19</f>
        <v>0</v>
      </c>
      <c r="AA36" s="1">
        <f>Construction!AA19</f>
        <v>0</v>
      </c>
      <c r="AB36" s="1">
        <f>Construction!AB19</f>
        <v>0</v>
      </c>
      <c r="AC36" s="1">
        <f>Construction!AC19</f>
        <v>0</v>
      </c>
      <c r="AD36" s="1">
        <f>Construction!AD19</f>
        <v>0</v>
      </c>
      <c r="AE36" s="1">
        <f>Construction!AE19</f>
        <v>0</v>
      </c>
      <c r="AF36" s="1">
        <f>Construction!AF19</f>
        <v>0</v>
      </c>
      <c r="AG36" s="1">
        <f>Construction!AG19</f>
        <v>0</v>
      </c>
      <c r="AH36" s="1">
        <f>Construction!AH19</f>
        <v>0</v>
      </c>
      <c r="AI36" s="1">
        <f>Construction!AI19</f>
        <v>0</v>
      </c>
      <c r="AJ36" s="1">
        <f>Construction!AJ19</f>
        <v>0</v>
      </c>
      <c r="AK36" s="1">
        <f>Construction!AK19</f>
        <v>0</v>
      </c>
      <c r="AL36" s="1">
        <f>Construction!AL19</f>
        <v>0</v>
      </c>
      <c r="AM36" s="1">
        <f>Construction!AM19</f>
        <v>0</v>
      </c>
      <c r="AN36" s="1">
        <f>Construction!AN19</f>
        <v>0</v>
      </c>
      <c r="AO36" s="1">
        <f>Construction!AO19</f>
        <v>0</v>
      </c>
      <c r="AP36" s="1">
        <f>Construction!AP19</f>
        <v>0</v>
      </c>
      <c r="AQ36" s="1">
        <f>Construction!AQ19</f>
        <v>0</v>
      </c>
      <c r="AR36" s="1">
        <f>Construction!AR19</f>
        <v>0</v>
      </c>
      <c r="AS36" s="1">
        <f>Construction!AS19</f>
        <v>0</v>
      </c>
      <c r="AT36" s="1">
        <f>Construction!AT19</f>
        <v>0</v>
      </c>
      <c r="AU36" s="1">
        <f>Construction!AU19</f>
        <v>0</v>
      </c>
      <c r="AV36" s="1">
        <f>Construction!AV19</f>
        <v>0</v>
      </c>
      <c r="AW36" s="1">
        <f>Construction!AW19</f>
        <v>0</v>
      </c>
      <c r="AX36" s="1">
        <f>Construction!AX19</f>
        <v>0</v>
      </c>
      <c r="AY36" s="1">
        <f>Construction!AY19</f>
        <v>0</v>
      </c>
      <c r="AZ36" s="1">
        <f>Construction!AZ19</f>
        <v>0</v>
      </c>
      <c r="BA36" s="1">
        <f>Construction!BA19</f>
        <v>0</v>
      </c>
      <c r="BB36" s="1">
        <f>Construction!BB19</f>
        <v>0</v>
      </c>
      <c r="BC36" s="1">
        <f>Construction!BC19</f>
        <v>0</v>
      </c>
      <c r="BD36" s="1">
        <f>Construction!BD19</f>
        <v>0</v>
      </c>
      <c r="BE36" s="1">
        <f>Construction!BE19</f>
        <v>0</v>
      </c>
      <c r="BF36" s="1">
        <f>Construction!BF19</f>
        <v>0</v>
      </c>
      <c r="BG36" s="1">
        <f>Construction!BG19</f>
        <v>0</v>
      </c>
      <c r="BH36" s="1">
        <f>Construction!BH19</f>
        <v>0</v>
      </c>
      <c r="BI36" s="1">
        <f>Construction!BI19</f>
        <v>0</v>
      </c>
      <c r="BJ36" s="1">
        <f>Construction!BJ19</f>
        <v>0</v>
      </c>
      <c r="BK36" t="s">
        <v>102</v>
      </c>
    </row>
    <row r="37" spans="1:63" ht="11.25" customHeight="1" x14ac:dyDescent="0.25">
      <c r="A37" s="5"/>
      <c r="B37" s="5" t="s">
        <v>58</v>
      </c>
      <c r="C37" s="94" t="s">
        <v>1</v>
      </c>
      <c r="D37" s="5"/>
      <c r="E37" s="1">
        <f t="shared" si="14"/>
        <v>2767.4327710880953</v>
      </c>
      <c r="F37" s="302" t="s">
        <v>26</v>
      </c>
      <c r="G37" s="1">
        <f>Construction!G21</f>
        <v>0</v>
      </c>
      <c r="H37" s="1">
        <f>Construction!H21</f>
        <v>0</v>
      </c>
      <c r="I37" s="1">
        <f>Construction!I21</f>
        <v>340.04468910253132</v>
      </c>
      <c r="J37" s="1">
        <f>Construction!J21</f>
        <v>317.33159728907873</v>
      </c>
      <c r="K37" s="1">
        <f>Construction!K21</f>
        <v>291.27187249654247</v>
      </c>
      <c r="L37" s="1">
        <f>Construction!L21</f>
        <v>270.97180769821563</v>
      </c>
      <c r="M37" s="1">
        <f>Construction!M21</f>
        <v>259.55662405362267</v>
      </c>
      <c r="N37" s="1">
        <f>Construction!N21</f>
        <v>235.79235811063131</v>
      </c>
      <c r="O37" s="1">
        <f>Construction!O21</f>
        <v>217.81773085442452</v>
      </c>
      <c r="P37" s="1">
        <f>Construction!P21</f>
        <v>190.45835496625165</v>
      </c>
      <c r="Q37" s="1">
        <f>Construction!Q21</f>
        <v>165.79166562897925</v>
      </c>
      <c r="R37" s="1">
        <f>Construction!R21</f>
        <v>143.85282932896209</v>
      </c>
      <c r="S37" s="1">
        <f>Construction!S21</f>
        <v>112.47747182686668</v>
      </c>
      <c r="T37" s="1">
        <f>Construction!T21</f>
        <v>98.992352155793895</v>
      </c>
      <c r="U37" s="1">
        <f>Construction!U21</f>
        <v>70.081116821816906</v>
      </c>
      <c r="V37" s="1">
        <f>Construction!V21</f>
        <v>52.992300754378157</v>
      </c>
      <c r="W37" s="1">
        <f>Construction!W21</f>
        <v>0</v>
      </c>
      <c r="X37" s="1">
        <f>Construction!X21</f>
        <v>0</v>
      </c>
      <c r="Y37" s="1">
        <f>Construction!Y21</f>
        <v>0</v>
      </c>
      <c r="Z37" s="1">
        <f>Construction!Z21</f>
        <v>0</v>
      </c>
      <c r="AA37" s="1">
        <f>Construction!AA21</f>
        <v>0</v>
      </c>
      <c r="AB37" s="1">
        <f>Construction!AB21</f>
        <v>0</v>
      </c>
      <c r="AC37" s="1">
        <f>Construction!AC21</f>
        <v>0</v>
      </c>
      <c r="AD37" s="1">
        <f>Construction!AD21</f>
        <v>0</v>
      </c>
      <c r="AE37" s="1">
        <f>Construction!AE21</f>
        <v>0</v>
      </c>
      <c r="AF37" s="1">
        <f>Construction!AF21</f>
        <v>0</v>
      </c>
      <c r="AG37" s="1">
        <f>Construction!AG21</f>
        <v>0</v>
      </c>
      <c r="AH37" s="1">
        <f>Construction!AH21</f>
        <v>0</v>
      </c>
      <c r="AI37" s="1">
        <f>Construction!AI21</f>
        <v>0</v>
      </c>
      <c r="AJ37" s="1">
        <f>Construction!AJ21</f>
        <v>0</v>
      </c>
      <c r="AK37" s="1">
        <f>Construction!AK21</f>
        <v>0</v>
      </c>
      <c r="AL37" s="1">
        <f>Construction!AL21</f>
        <v>0</v>
      </c>
      <c r="AM37" s="1">
        <f>Construction!AM21</f>
        <v>0</v>
      </c>
      <c r="AN37" s="1">
        <f>Construction!AN21</f>
        <v>0</v>
      </c>
      <c r="AO37" s="1">
        <f>Construction!AO21</f>
        <v>0</v>
      </c>
      <c r="AP37" s="1">
        <f>Construction!AP21</f>
        <v>0</v>
      </c>
      <c r="AQ37" s="1">
        <f>Construction!AQ21</f>
        <v>0</v>
      </c>
      <c r="AR37" s="1">
        <f>Construction!AR21</f>
        <v>0</v>
      </c>
      <c r="AS37" s="1">
        <f>Construction!AS21</f>
        <v>0</v>
      </c>
      <c r="AT37" s="1">
        <f>Construction!AT21</f>
        <v>0</v>
      </c>
      <c r="AU37" s="1">
        <f>Construction!AU21</f>
        <v>0</v>
      </c>
      <c r="AV37" s="1">
        <f>Construction!AV21</f>
        <v>0</v>
      </c>
      <c r="AW37" s="1">
        <f>Construction!AW21</f>
        <v>0</v>
      </c>
      <c r="AX37" s="1">
        <f>Construction!AX21</f>
        <v>0</v>
      </c>
      <c r="AY37" s="1">
        <f>Construction!AY21</f>
        <v>0</v>
      </c>
      <c r="AZ37" s="1">
        <f>Construction!AZ21</f>
        <v>0</v>
      </c>
      <c r="BA37" s="1">
        <f>Construction!BA21</f>
        <v>0</v>
      </c>
      <c r="BB37" s="1">
        <f>Construction!BB21</f>
        <v>0</v>
      </c>
      <c r="BC37" s="1">
        <f>Construction!BC21</f>
        <v>0</v>
      </c>
      <c r="BD37" s="1">
        <f>Construction!BD21</f>
        <v>0</v>
      </c>
      <c r="BE37" s="1">
        <f>Construction!BE21</f>
        <v>0</v>
      </c>
      <c r="BF37" s="1">
        <f>Construction!BF21</f>
        <v>0</v>
      </c>
      <c r="BG37" s="1">
        <f>Construction!BG21</f>
        <v>0</v>
      </c>
      <c r="BH37" s="1">
        <f>Construction!BH21</f>
        <v>0</v>
      </c>
      <c r="BI37" s="1">
        <f>Construction!BI21</f>
        <v>0</v>
      </c>
      <c r="BJ37" s="1">
        <f>Construction!BJ21</f>
        <v>0</v>
      </c>
      <c r="BK37" t="s">
        <v>102</v>
      </c>
    </row>
    <row r="38" spans="1:63" ht="11.25" customHeight="1" x14ac:dyDescent="0.25">
      <c r="A38" s="5"/>
      <c r="B38" s="120" t="s">
        <v>302</v>
      </c>
      <c r="C38" s="119" t="s">
        <v>1</v>
      </c>
      <c r="D38" s="120"/>
      <c r="E38" s="121">
        <f t="shared" si="14"/>
        <v>363730.30474909861</v>
      </c>
      <c r="F38" s="308" t="s">
        <v>26</v>
      </c>
      <c r="G38" s="121">
        <f>G34-G35-G36-G37</f>
        <v>0</v>
      </c>
      <c r="H38" s="121">
        <f t="shared" ref="H38:BJ38" si="15">H34-H35-H36-H37</f>
        <v>68800</v>
      </c>
      <c r="I38" s="121">
        <f t="shared" si="15"/>
        <v>21350.000000000004</v>
      </c>
      <c r="J38" s="121">
        <f t="shared" si="15"/>
        <v>24400</v>
      </c>
      <c r="K38" s="121">
        <f t="shared" si="15"/>
        <v>18300</v>
      </c>
      <c r="L38" s="121">
        <f t="shared" si="15"/>
        <v>9150</v>
      </c>
      <c r="M38" s="121">
        <f t="shared" si="15"/>
        <v>21350.000000000004</v>
      </c>
      <c r="N38" s="121">
        <f t="shared" si="15"/>
        <v>15249.999999999998</v>
      </c>
      <c r="O38" s="121">
        <f t="shared" si="15"/>
        <v>24400</v>
      </c>
      <c r="P38" s="121">
        <f t="shared" si="15"/>
        <v>21350.000000000004</v>
      </c>
      <c r="Q38" s="121">
        <f t="shared" si="15"/>
        <v>18300</v>
      </c>
      <c r="R38" s="121">
        <f t="shared" si="15"/>
        <v>27450</v>
      </c>
      <c r="S38" s="121">
        <f t="shared" si="15"/>
        <v>9150</v>
      </c>
      <c r="T38" s="121">
        <f t="shared" si="15"/>
        <v>24400</v>
      </c>
      <c r="U38" s="121">
        <f t="shared" si="15"/>
        <v>12200</v>
      </c>
      <c r="V38" s="121">
        <f t="shared" si="15"/>
        <v>47880.304749098614</v>
      </c>
      <c r="W38" s="121">
        <f t="shared" si="15"/>
        <v>0</v>
      </c>
      <c r="X38" s="121">
        <f t="shared" si="15"/>
        <v>0</v>
      </c>
      <c r="Y38" s="121">
        <f t="shared" si="15"/>
        <v>0</v>
      </c>
      <c r="Z38" s="121">
        <f t="shared" si="15"/>
        <v>0</v>
      </c>
      <c r="AA38" s="121">
        <f t="shared" si="15"/>
        <v>0</v>
      </c>
      <c r="AB38" s="121">
        <f t="shared" si="15"/>
        <v>0</v>
      </c>
      <c r="AC38" s="121">
        <f t="shared" si="15"/>
        <v>0</v>
      </c>
      <c r="AD38" s="121">
        <f t="shared" si="15"/>
        <v>0</v>
      </c>
      <c r="AE38" s="121">
        <f t="shared" si="15"/>
        <v>0</v>
      </c>
      <c r="AF38" s="121">
        <f t="shared" si="15"/>
        <v>0</v>
      </c>
      <c r="AG38" s="121">
        <f t="shared" si="15"/>
        <v>0</v>
      </c>
      <c r="AH38" s="121">
        <f t="shared" si="15"/>
        <v>0</v>
      </c>
      <c r="AI38" s="121">
        <f t="shared" si="15"/>
        <v>0</v>
      </c>
      <c r="AJ38" s="121">
        <f t="shared" si="15"/>
        <v>0</v>
      </c>
      <c r="AK38" s="121">
        <f t="shared" si="15"/>
        <v>0</v>
      </c>
      <c r="AL38" s="121">
        <f t="shared" si="15"/>
        <v>0</v>
      </c>
      <c r="AM38" s="121">
        <f t="shared" si="15"/>
        <v>0</v>
      </c>
      <c r="AN38" s="121">
        <f t="shared" si="15"/>
        <v>0</v>
      </c>
      <c r="AO38" s="121">
        <f t="shared" si="15"/>
        <v>0</v>
      </c>
      <c r="AP38" s="121">
        <f t="shared" si="15"/>
        <v>0</v>
      </c>
      <c r="AQ38" s="121">
        <f t="shared" si="15"/>
        <v>0</v>
      </c>
      <c r="AR38" s="121">
        <f t="shared" si="15"/>
        <v>0</v>
      </c>
      <c r="AS38" s="121">
        <f t="shared" si="15"/>
        <v>0</v>
      </c>
      <c r="AT38" s="121">
        <f t="shared" si="15"/>
        <v>0</v>
      </c>
      <c r="AU38" s="121">
        <f t="shared" si="15"/>
        <v>0</v>
      </c>
      <c r="AV38" s="121">
        <f t="shared" si="15"/>
        <v>0</v>
      </c>
      <c r="AW38" s="121">
        <f t="shared" si="15"/>
        <v>0</v>
      </c>
      <c r="AX38" s="121">
        <f t="shared" si="15"/>
        <v>0</v>
      </c>
      <c r="AY38" s="121">
        <f t="shared" si="15"/>
        <v>0</v>
      </c>
      <c r="AZ38" s="121">
        <f t="shared" si="15"/>
        <v>0</v>
      </c>
      <c r="BA38" s="121">
        <f t="shared" si="15"/>
        <v>0</v>
      </c>
      <c r="BB38" s="121">
        <f t="shared" si="15"/>
        <v>0</v>
      </c>
      <c r="BC38" s="121">
        <f t="shared" si="15"/>
        <v>0</v>
      </c>
      <c r="BD38" s="121">
        <f t="shared" si="15"/>
        <v>0</v>
      </c>
      <c r="BE38" s="121">
        <f t="shared" si="15"/>
        <v>0</v>
      </c>
      <c r="BF38" s="121">
        <f t="shared" si="15"/>
        <v>0</v>
      </c>
      <c r="BG38" s="121">
        <f t="shared" si="15"/>
        <v>0</v>
      </c>
      <c r="BH38" s="121">
        <f t="shared" si="15"/>
        <v>0</v>
      </c>
      <c r="BI38" s="121">
        <f t="shared" si="15"/>
        <v>0</v>
      </c>
      <c r="BJ38" s="121">
        <f t="shared" si="15"/>
        <v>0</v>
      </c>
      <c r="BK38" t="s">
        <v>102</v>
      </c>
    </row>
    <row r="39" spans="1:63" ht="11.25" customHeight="1" x14ac:dyDescent="0.25">
      <c r="A39" s="5"/>
      <c r="B39" s="5"/>
      <c r="C39" s="94"/>
      <c r="D39" s="5"/>
      <c r="E39" s="83"/>
      <c r="F39" s="302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B39" s="83"/>
      <c r="BC39" s="83"/>
      <c r="BD39" s="83"/>
      <c r="BE39" s="83"/>
      <c r="BF39" s="83"/>
      <c r="BG39" s="83"/>
      <c r="BH39" s="83"/>
      <c r="BI39" s="83"/>
      <c r="BJ39" s="83"/>
      <c r="BK39" t="s">
        <v>102</v>
      </c>
    </row>
    <row r="40" spans="1:63" ht="11.25" customHeight="1" x14ac:dyDescent="0.25">
      <c r="A40" s="5" t="s">
        <v>26</v>
      </c>
      <c r="B40" s="5" t="s">
        <v>303</v>
      </c>
      <c r="C40" s="94"/>
      <c r="D40" s="5"/>
      <c r="E40" s="5"/>
      <c r="F40" s="302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t="s">
        <v>102</v>
      </c>
    </row>
    <row r="41" spans="1:63" ht="11.25" customHeight="1" x14ac:dyDescent="0.25">
      <c r="A41" s="5"/>
      <c r="B41" s="5" t="s">
        <v>159</v>
      </c>
      <c r="C41" s="94" t="s">
        <v>101</v>
      </c>
      <c r="D41" s="5"/>
      <c r="E41" s="83">
        <f t="shared" ref="E41:E42" si="16">SUM(G41:BJ41)</f>
        <v>40</v>
      </c>
      <c r="F41" s="302" t="s">
        <v>26</v>
      </c>
      <c r="G41" s="83">
        <f>'Time &amp; Technical'!G26</f>
        <v>0</v>
      </c>
      <c r="H41" s="83">
        <f>'Time &amp; Technical'!H26</f>
        <v>0</v>
      </c>
      <c r="I41" s="83">
        <f>'Time &amp; Technical'!I26</f>
        <v>0</v>
      </c>
      <c r="J41" s="83">
        <f>'Time &amp; Technical'!J26</f>
        <v>0</v>
      </c>
      <c r="K41" s="83">
        <f>'Time &amp; Technical'!K26</f>
        <v>0</v>
      </c>
      <c r="L41" s="83">
        <f>'Time &amp; Technical'!L26</f>
        <v>0</v>
      </c>
      <c r="M41" s="83">
        <f>'Time &amp; Technical'!M26</f>
        <v>0</v>
      </c>
      <c r="N41" s="83">
        <f>'Time &amp; Technical'!N26</f>
        <v>0</v>
      </c>
      <c r="O41" s="83">
        <f>'Time &amp; Technical'!O26</f>
        <v>0</v>
      </c>
      <c r="P41" s="83">
        <f>'Time &amp; Technical'!P26</f>
        <v>0</v>
      </c>
      <c r="Q41" s="83">
        <f>'Time &amp; Technical'!Q26</f>
        <v>0</v>
      </c>
      <c r="R41" s="83">
        <f>'Time &amp; Technical'!R26</f>
        <v>0</v>
      </c>
      <c r="S41" s="83">
        <f>'Time &amp; Technical'!S26</f>
        <v>0</v>
      </c>
      <c r="T41" s="83">
        <f>'Time &amp; Technical'!T26</f>
        <v>0</v>
      </c>
      <c r="U41" s="83">
        <f>'Time &amp; Technical'!U26</f>
        <v>0</v>
      </c>
      <c r="V41" s="83">
        <f>'Time &amp; Technical'!V26</f>
        <v>0</v>
      </c>
      <c r="W41" s="83">
        <f>'Time &amp; Technical'!W26</f>
        <v>1</v>
      </c>
      <c r="X41" s="83">
        <f>'Time &amp; Technical'!X26</f>
        <v>1</v>
      </c>
      <c r="Y41" s="83">
        <f>'Time &amp; Technical'!Y26</f>
        <v>1</v>
      </c>
      <c r="Z41" s="83">
        <f>'Time &amp; Technical'!Z26</f>
        <v>1</v>
      </c>
      <c r="AA41" s="83">
        <f>'Time &amp; Technical'!AA26</f>
        <v>1</v>
      </c>
      <c r="AB41" s="83">
        <f>'Time &amp; Technical'!AB26</f>
        <v>1</v>
      </c>
      <c r="AC41" s="83">
        <f>'Time &amp; Technical'!AC26</f>
        <v>1</v>
      </c>
      <c r="AD41" s="83">
        <f>'Time &amp; Technical'!AD26</f>
        <v>1</v>
      </c>
      <c r="AE41" s="83">
        <f>'Time &amp; Technical'!AE26</f>
        <v>1</v>
      </c>
      <c r="AF41" s="83">
        <f>'Time &amp; Technical'!AF26</f>
        <v>1</v>
      </c>
      <c r="AG41" s="83">
        <f>'Time &amp; Technical'!AG26</f>
        <v>1</v>
      </c>
      <c r="AH41" s="83">
        <f>'Time &amp; Technical'!AH26</f>
        <v>1</v>
      </c>
      <c r="AI41" s="83">
        <f>'Time &amp; Technical'!AI26</f>
        <v>1</v>
      </c>
      <c r="AJ41" s="83">
        <f>'Time &amp; Technical'!AJ26</f>
        <v>1</v>
      </c>
      <c r="AK41" s="83">
        <f>'Time &amp; Technical'!AK26</f>
        <v>1</v>
      </c>
      <c r="AL41" s="83">
        <f>'Time &amp; Technical'!AL26</f>
        <v>1</v>
      </c>
      <c r="AM41" s="83">
        <f>'Time &amp; Technical'!AM26</f>
        <v>1</v>
      </c>
      <c r="AN41" s="83">
        <f>'Time &amp; Technical'!AN26</f>
        <v>1</v>
      </c>
      <c r="AO41" s="83">
        <f>'Time &amp; Technical'!AO26</f>
        <v>1</v>
      </c>
      <c r="AP41" s="83">
        <f>'Time &amp; Technical'!AP26</f>
        <v>1</v>
      </c>
      <c r="AQ41" s="83">
        <f>'Time &amp; Technical'!AQ26</f>
        <v>1</v>
      </c>
      <c r="AR41" s="83">
        <f>'Time &amp; Technical'!AR26</f>
        <v>1</v>
      </c>
      <c r="AS41" s="83">
        <f>'Time &amp; Technical'!AS26</f>
        <v>1</v>
      </c>
      <c r="AT41" s="83">
        <f>'Time &amp; Technical'!AT26</f>
        <v>1</v>
      </c>
      <c r="AU41" s="83">
        <f>'Time &amp; Technical'!AU26</f>
        <v>1</v>
      </c>
      <c r="AV41" s="83">
        <f>'Time &amp; Technical'!AV26</f>
        <v>1</v>
      </c>
      <c r="AW41" s="83">
        <f>'Time &amp; Technical'!AW26</f>
        <v>1</v>
      </c>
      <c r="AX41" s="83">
        <f>'Time &amp; Technical'!AX26</f>
        <v>1</v>
      </c>
      <c r="AY41" s="83">
        <f>'Time &amp; Technical'!AY26</f>
        <v>1</v>
      </c>
      <c r="AZ41" s="83">
        <f>'Time &amp; Technical'!AZ26</f>
        <v>1</v>
      </c>
      <c r="BA41" s="83">
        <f>'Time &amp; Technical'!BA26</f>
        <v>1</v>
      </c>
      <c r="BB41" s="83">
        <f>'Time &amp; Technical'!BB26</f>
        <v>1</v>
      </c>
      <c r="BC41" s="83">
        <f>'Time &amp; Technical'!BC26</f>
        <v>1</v>
      </c>
      <c r="BD41" s="83">
        <f>'Time &amp; Technical'!BD26</f>
        <v>1</v>
      </c>
      <c r="BE41" s="83">
        <f>'Time &amp; Technical'!BE26</f>
        <v>1</v>
      </c>
      <c r="BF41" s="83">
        <f>'Time &amp; Technical'!BF26</f>
        <v>1</v>
      </c>
      <c r="BG41" s="83">
        <f>'Time &amp; Technical'!BG26</f>
        <v>1</v>
      </c>
      <c r="BH41" s="83">
        <f>'Time &amp; Technical'!BH26</f>
        <v>1</v>
      </c>
      <c r="BI41" s="83">
        <f>'Time &amp; Technical'!BI26</f>
        <v>1</v>
      </c>
      <c r="BJ41" s="83">
        <f>'Time &amp; Technical'!BJ26</f>
        <v>1</v>
      </c>
      <c r="BK41" t="s">
        <v>102</v>
      </c>
    </row>
    <row r="42" spans="1:63" ht="11.25" customHeight="1" x14ac:dyDescent="0.25">
      <c r="A42" s="5"/>
      <c r="B42" s="5" t="s">
        <v>73</v>
      </c>
      <c r="C42" s="94" t="s">
        <v>108</v>
      </c>
      <c r="D42" s="5"/>
      <c r="E42" s="83">
        <f t="shared" si="16"/>
        <v>820</v>
      </c>
      <c r="F42" s="302" t="s">
        <v>26</v>
      </c>
      <c r="G42" s="83">
        <f>Depreciation!G8</f>
        <v>0</v>
      </c>
      <c r="H42" s="83">
        <f>Depreciation!H8</f>
        <v>0</v>
      </c>
      <c r="I42" s="83">
        <f>Depreciation!I8</f>
        <v>0</v>
      </c>
      <c r="J42" s="83">
        <f>Depreciation!J8</f>
        <v>0</v>
      </c>
      <c r="K42" s="83">
        <f>Depreciation!K8</f>
        <v>0</v>
      </c>
      <c r="L42" s="83">
        <f>Depreciation!L8</f>
        <v>0</v>
      </c>
      <c r="M42" s="83">
        <f>Depreciation!M8</f>
        <v>0</v>
      </c>
      <c r="N42" s="83">
        <f>Depreciation!N8</f>
        <v>0</v>
      </c>
      <c r="O42" s="83">
        <f>Depreciation!O8</f>
        <v>0</v>
      </c>
      <c r="P42" s="83">
        <f>Depreciation!P8</f>
        <v>0</v>
      </c>
      <c r="Q42" s="83">
        <f>Depreciation!Q8</f>
        <v>0</v>
      </c>
      <c r="R42" s="83">
        <f>Depreciation!R8</f>
        <v>0</v>
      </c>
      <c r="S42" s="83">
        <f>Depreciation!S8</f>
        <v>0</v>
      </c>
      <c r="T42" s="83">
        <f>Depreciation!T8</f>
        <v>0</v>
      </c>
      <c r="U42" s="83">
        <f>Depreciation!U8</f>
        <v>0</v>
      </c>
      <c r="V42" s="83">
        <f>Depreciation!V8</f>
        <v>0</v>
      </c>
      <c r="W42" s="83">
        <f>Depreciation!W8</f>
        <v>1</v>
      </c>
      <c r="X42" s="83">
        <f>Depreciation!X8</f>
        <v>2</v>
      </c>
      <c r="Y42" s="83">
        <f>Depreciation!Y8</f>
        <v>3</v>
      </c>
      <c r="Z42" s="83">
        <f>Depreciation!Z8</f>
        <v>4</v>
      </c>
      <c r="AA42" s="83">
        <f>Depreciation!AA8</f>
        <v>5</v>
      </c>
      <c r="AB42" s="83">
        <f>Depreciation!AB8</f>
        <v>6</v>
      </c>
      <c r="AC42" s="83">
        <f>Depreciation!AC8</f>
        <v>7</v>
      </c>
      <c r="AD42" s="83">
        <f>Depreciation!AD8</f>
        <v>8</v>
      </c>
      <c r="AE42" s="83">
        <f>Depreciation!AE8</f>
        <v>9</v>
      </c>
      <c r="AF42" s="83">
        <f>Depreciation!AF8</f>
        <v>10</v>
      </c>
      <c r="AG42" s="83">
        <f>Depreciation!AG8</f>
        <v>11</v>
      </c>
      <c r="AH42" s="83">
        <f>Depreciation!AH8</f>
        <v>12</v>
      </c>
      <c r="AI42" s="83">
        <f>Depreciation!AI8</f>
        <v>13</v>
      </c>
      <c r="AJ42" s="83">
        <f>Depreciation!AJ8</f>
        <v>14</v>
      </c>
      <c r="AK42" s="83">
        <f>Depreciation!AK8</f>
        <v>15</v>
      </c>
      <c r="AL42" s="83">
        <f>Depreciation!AL8</f>
        <v>16</v>
      </c>
      <c r="AM42" s="83">
        <f>Depreciation!AM8</f>
        <v>17</v>
      </c>
      <c r="AN42" s="83">
        <f>Depreciation!AN8</f>
        <v>18</v>
      </c>
      <c r="AO42" s="83">
        <f>Depreciation!AO8</f>
        <v>19</v>
      </c>
      <c r="AP42" s="83">
        <f>Depreciation!AP8</f>
        <v>20</v>
      </c>
      <c r="AQ42" s="83">
        <f>Depreciation!AQ8</f>
        <v>21</v>
      </c>
      <c r="AR42" s="83">
        <f>Depreciation!AR8</f>
        <v>22</v>
      </c>
      <c r="AS42" s="83">
        <f>Depreciation!AS8</f>
        <v>23</v>
      </c>
      <c r="AT42" s="83">
        <f>Depreciation!AT8</f>
        <v>24</v>
      </c>
      <c r="AU42" s="83">
        <f>Depreciation!AU8</f>
        <v>25</v>
      </c>
      <c r="AV42" s="83">
        <f>Depreciation!AV8</f>
        <v>26</v>
      </c>
      <c r="AW42" s="83">
        <f>Depreciation!AW8</f>
        <v>27</v>
      </c>
      <c r="AX42" s="83">
        <f>Depreciation!AX8</f>
        <v>28</v>
      </c>
      <c r="AY42" s="83">
        <f>Depreciation!AY8</f>
        <v>29</v>
      </c>
      <c r="AZ42" s="83">
        <f>Depreciation!AZ8</f>
        <v>30</v>
      </c>
      <c r="BA42" s="83">
        <f>Depreciation!BA8</f>
        <v>31</v>
      </c>
      <c r="BB42" s="83">
        <f>Depreciation!BB8</f>
        <v>32</v>
      </c>
      <c r="BC42" s="83">
        <f>Depreciation!BC8</f>
        <v>33</v>
      </c>
      <c r="BD42" s="83">
        <f>Depreciation!BD8</f>
        <v>34</v>
      </c>
      <c r="BE42" s="83">
        <f>Depreciation!BE8</f>
        <v>35</v>
      </c>
      <c r="BF42" s="83">
        <f>Depreciation!BF8</f>
        <v>36</v>
      </c>
      <c r="BG42" s="83">
        <f>Depreciation!BG8</f>
        <v>37</v>
      </c>
      <c r="BH42" s="83">
        <f>Depreciation!BH8</f>
        <v>38</v>
      </c>
      <c r="BI42" s="83">
        <f>Depreciation!BI8</f>
        <v>39</v>
      </c>
      <c r="BJ42" s="83">
        <f>Depreciation!BJ8</f>
        <v>40</v>
      </c>
      <c r="BK42" t="s">
        <v>102</v>
      </c>
    </row>
    <row r="43" spans="1:63" ht="11.25" customHeight="1" x14ac:dyDescent="0.25">
      <c r="A43" s="5"/>
      <c r="B43" s="5" t="s">
        <v>17</v>
      </c>
      <c r="C43" s="94" t="s">
        <v>1</v>
      </c>
      <c r="D43" s="280">
        <f>'Time &amp; Technical'!D32</f>
        <v>305000</v>
      </c>
      <c r="E43" s="5"/>
      <c r="F43" s="302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t="s">
        <v>102</v>
      </c>
    </row>
    <row r="44" spans="1:63" ht="11.25" customHeight="1" x14ac:dyDescent="0.25">
      <c r="A44" s="5"/>
      <c r="B44" s="5" t="s">
        <v>73</v>
      </c>
      <c r="C44" s="94" t="s">
        <v>69</v>
      </c>
      <c r="D44" s="280">
        <f>Depreciation!D14</f>
        <v>20</v>
      </c>
      <c r="E44" s="5"/>
      <c r="F44" s="302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t="s">
        <v>102</v>
      </c>
    </row>
    <row r="45" spans="1:63" ht="11.25" customHeight="1" x14ac:dyDescent="0.25">
      <c r="A45" s="5"/>
      <c r="B45" s="5" t="s">
        <v>73</v>
      </c>
      <c r="C45" s="94" t="s">
        <v>15</v>
      </c>
      <c r="D45" s="163">
        <f>Depreciation!D15</f>
        <v>40</v>
      </c>
      <c r="E45" s="5"/>
      <c r="F45" s="302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t="s">
        <v>102</v>
      </c>
    </row>
    <row r="46" spans="1:63" ht="11.25" customHeight="1" x14ac:dyDescent="0.25">
      <c r="A46" s="5"/>
      <c r="B46" s="5" t="s">
        <v>73</v>
      </c>
      <c r="C46" s="94" t="s">
        <v>65</v>
      </c>
      <c r="D46" s="164">
        <f>Depreciation!D16</f>
        <v>2.5000000000000001E-2</v>
      </c>
      <c r="E46" s="5"/>
      <c r="F46" s="302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t="s">
        <v>102</v>
      </c>
    </row>
    <row r="47" spans="1:63" ht="11.25" customHeight="1" x14ac:dyDescent="0.25">
      <c r="A47" s="5"/>
      <c r="B47" s="5" t="s">
        <v>163</v>
      </c>
      <c r="C47" s="94" t="s">
        <v>1</v>
      </c>
      <c r="D47" s="5"/>
      <c r="E47" s="1">
        <f t="shared" ref="E47:E48" si="17">SUM(G47:BJ47)</f>
        <v>6252500</v>
      </c>
      <c r="F47" s="302" t="s">
        <v>26</v>
      </c>
      <c r="G47" s="1">
        <f>F49</f>
        <v>0</v>
      </c>
      <c r="H47" s="1">
        <f t="shared" ref="H47:BJ47" si="18">G49</f>
        <v>0</v>
      </c>
      <c r="I47" s="1">
        <f t="shared" si="18"/>
        <v>0</v>
      </c>
      <c r="J47" s="1">
        <f t="shared" si="18"/>
        <v>0</v>
      </c>
      <c r="K47" s="1">
        <f t="shared" si="18"/>
        <v>0</v>
      </c>
      <c r="L47" s="1">
        <f t="shared" si="18"/>
        <v>0</v>
      </c>
      <c r="M47" s="1">
        <f t="shared" si="18"/>
        <v>0</v>
      </c>
      <c r="N47" s="1">
        <f t="shared" si="18"/>
        <v>0</v>
      </c>
      <c r="O47" s="1">
        <f t="shared" si="18"/>
        <v>0</v>
      </c>
      <c r="P47" s="1">
        <f t="shared" si="18"/>
        <v>0</v>
      </c>
      <c r="Q47" s="1">
        <f t="shared" si="18"/>
        <v>0</v>
      </c>
      <c r="R47" s="1">
        <f t="shared" si="18"/>
        <v>0</v>
      </c>
      <c r="S47" s="1">
        <f t="shared" si="18"/>
        <v>0</v>
      </c>
      <c r="T47" s="1">
        <f t="shared" si="18"/>
        <v>0</v>
      </c>
      <c r="U47" s="1">
        <f t="shared" si="18"/>
        <v>0</v>
      </c>
      <c r="V47" s="1">
        <f t="shared" si="18"/>
        <v>0</v>
      </c>
      <c r="W47" s="1">
        <f t="shared" si="18"/>
        <v>305000</v>
      </c>
      <c r="X47" s="1">
        <f t="shared" si="18"/>
        <v>297375</v>
      </c>
      <c r="Y47" s="1">
        <f t="shared" si="18"/>
        <v>289750</v>
      </c>
      <c r="Z47" s="1">
        <f t="shared" si="18"/>
        <v>282125</v>
      </c>
      <c r="AA47" s="1">
        <f t="shared" si="18"/>
        <v>274500</v>
      </c>
      <c r="AB47" s="1">
        <f t="shared" si="18"/>
        <v>266875</v>
      </c>
      <c r="AC47" s="1">
        <f t="shared" si="18"/>
        <v>259250</v>
      </c>
      <c r="AD47" s="1">
        <f t="shared" si="18"/>
        <v>251625</v>
      </c>
      <c r="AE47" s="1">
        <f t="shared" si="18"/>
        <v>244000</v>
      </c>
      <c r="AF47" s="1">
        <f t="shared" si="18"/>
        <v>236375</v>
      </c>
      <c r="AG47" s="1">
        <f t="shared" si="18"/>
        <v>228750</v>
      </c>
      <c r="AH47" s="1">
        <f t="shared" si="18"/>
        <v>221125</v>
      </c>
      <c r="AI47" s="1">
        <f t="shared" si="18"/>
        <v>213500</v>
      </c>
      <c r="AJ47" s="1">
        <f t="shared" si="18"/>
        <v>205875</v>
      </c>
      <c r="AK47" s="1">
        <f t="shared" si="18"/>
        <v>198250</v>
      </c>
      <c r="AL47" s="1">
        <f t="shared" si="18"/>
        <v>190625</v>
      </c>
      <c r="AM47" s="1">
        <f t="shared" si="18"/>
        <v>183000</v>
      </c>
      <c r="AN47" s="1">
        <f t="shared" si="18"/>
        <v>175375</v>
      </c>
      <c r="AO47" s="1">
        <f t="shared" si="18"/>
        <v>167750</v>
      </c>
      <c r="AP47" s="1">
        <f t="shared" si="18"/>
        <v>160125</v>
      </c>
      <c r="AQ47" s="1">
        <f t="shared" si="18"/>
        <v>152500</v>
      </c>
      <c r="AR47" s="1">
        <f t="shared" si="18"/>
        <v>144875</v>
      </c>
      <c r="AS47" s="1">
        <f t="shared" si="18"/>
        <v>137250</v>
      </c>
      <c r="AT47" s="1">
        <f t="shared" si="18"/>
        <v>129625</v>
      </c>
      <c r="AU47" s="1">
        <f t="shared" si="18"/>
        <v>122000</v>
      </c>
      <c r="AV47" s="1">
        <f t="shared" si="18"/>
        <v>114375</v>
      </c>
      <c r="AW47" s="1">
        <f t="shared" si="18"/>
        <v>106750</v>
      </c>
      <c r="AX47" s="1">
        <f t="shared" si="18"/>
        <v>99125</v>
      </c>
      <c r="AY47" s="1">
        <f t="shared" si="18"/>
        <v>91500</v>
      </c>
      <c r="AZ47" s="1">
        <f t="shared" si="18"/>
        <v>83875</v>
      </c>
      <c r="BA47" s="1">
        <f t="shared" si="18"/>
        <v>76250</v>
      </c>
      <c r="BB47" s="1">
        <f t="shared" si="18"/>
        <v>68625</v>
      </c>
      <c r="BC47" s="1">
        <f t="shared" si="18"/>
        <v>61000</v>
      </c>
      <c r="BD47" s="1">
        <f t="shared" si="18"/>
        <v>53375</v>
      </c>
      <c r="BE47" s="1">
        <f t="shared" si="18"/>
        <v>45750</v>
      </c>
      <c r="BF47" s="1">
        <f t="shared" si="18"/>
        <v>38125</v>
      </c>
      <c r="BG47" s="1">
        <f t="shared" si="18"/>
        <v>30500</v>
      </c>
      <c r="BH47" s="1">
        <f t="shared" si="18"/>
        <v>22875</v>
      </c>
      <c r="BI47" s="1">
        <f t="shared" si="18"/>
        <v>15250</v>
      </c>
      <c r="BJ47" s="1">
        <f t="shared" si="18"/>
        <v>7625</v>
      </c>
      <c r="BK47" t="s">
        <v>102</v>
      </c>
    </row>
    <row r="48" spans="1:63" ht="11.25" customHeight="1" x14ac:dyDescent="0.25">
      <c r="A48" s="5"/>
      <c r="B48" s="5" t="s">
        <v>73</v>
      </c>
      <c r="C48" s="94" t="s">
        <v>1</v>
      </c>
      <c r="D48" s="5"/>
      <c r="E48" s="1">
        <f t="shared" si="17"/>
        <v>305000</v>
      </c>
      <c r="F48" s="302" t="s">
        <v>26</v>
      </c>
      <c r="G48" s="1">
        <f t="shared" ref="G48" si="19">IF(G42&gt;0,$D$43*$D$46,0)</f>
        <v>0</v>
      </c>
      <c r="H48" s="1">
        <f>IF(H42&gt;0,$D$43*$D$46,0)</f>
        <v>0</v>
      </c>
      <c r="I48" s="1">
        <f t="shared" ref="I48:BJ48" si="20">IF(I42&gt;0,$D$43*$D$46,0)</f>
        <v>0</v>
      </c>
      <c r="J48" s="1">
        <f t="shared" si="20"/>
        <v>0</v>
      </c>
      <c r="K48" s="1">
        <f t="shared" si="20"/>
        <v>0</v>
      </c>
      <c r="L48" s="1">
        <f t="shared" si="20"/>
        <v>0</v>
      </c>
      <c r="M48" s="1">
        <f t="shared" si="20"/>
        <v>0</v>
      </c>
      <c r="N48" s="1">
        <f t="shared" si="20"/>
        <v>0</v>
      </c>
      <c r="O48" s="1">
        <f t="shared" si="20"/>
        <v>0</v>
      </c>
      <c r="P48" s="1">
        <f t="shared" si="20"/>
        <v>0</v>
      </c>
      <c r="Q48" s="1">
        <f t="shared" si="20"/>
        <v>0</v>
      </c>
      <c r="R48" s="1">
        <f t="shared" si="20"/>
        <v>0</v>
      </c>
      <c r="S48" s="1">
        <f t="shared" si="20"/>
        <v>0</v>
      </c>
      <c r="T48" s="1">
        <f t="shared" si="20"/>
        <v>0</v>
      </c>
      <c r="U48" s="1">
        <f t="shared" si="20"/>
        <v>0</v>
      </c>
      <c r="V48" s="1">
        <f t="shared" si="20"/>
        <v>0</v>
      </c>
      <c r="W48" s="1">
        <f t="shared" si="20"/>
        <v>7625</v>
      </c>
      <c r="X48" s="1">
        <f t="shared" si="20"/>
        <v>7625</v>
      </c>
      <c r="Y48" s="1">
        <f t="shared" si="20"/>
        <v>7625</v>
      </c>
      <c r="Z48" s="1">
        <f t="shared" si="20"/>
        <v>7625</v>
      </c>
      <c r="AA48" s="1">
        <f t="shared" si="20"/>
        <v>7625</v>
      </c>
      <c r="AB48" s="1">
        <f t="shared" si="20"/>
        <v>7625</v>
      </c>
      <c r="AC48" s="1">
        <f t="shared" si="20"/>
        <v>7625</v>
      </c>
      <c r="AD48" s="1">
        <f t="shared" si="20"/>
        <v>7625</v>
      </c>
      <c r="AE48" s="1">
        <f t="shared" si="20"/>
        <v>7625</v>
      </c>
      <c r="AF48" s="1">
        <f t="shared" si="20"/>
        <v>7625</v>
      </c>
      <c r="AG48" s="1">
        <f t="shared" si="20"/>
        <v>7625</v>
      </c>
      <c r="AH48" s="1">
        <f t="shared" si="20"/>
        <v>7625</v>
      </c>
      <c r="AI48" s="1">
        <f t="shared" si="20"/>
        <v>7625</v>
      </c>
      <c r="AJ48" s="1">
        <f t="shared" si="20"/>
        <v>7625</v>
      </c>
      <c r="AK48" s="1">
        <f t="shared" si="20"/>
        <v>7625</v>
      </c>
      <c r="AL48" s="1">
        <f t="shared" si="20"/>
        <v>7625</v>
      </c>
      <c r="AM48" s="1">
        <f t="shared" si="20"/>
        <v>7625</v>
      </c>
      <c r="AN48" s="1">
        <f t="shared" si="20"/>
        <v>7625</v>
      </c>
      <c r="AO48" s="1">
        <f t="shared" si="20"/>
        <v>7625</v>
      </c>
      <c r="AP48" s="1">
        <f t="shared" si="20"/>
        <v>7625</v>
      </c>
      <c r="AQ48" s="1">
        <f t="shared" si="20"/>
        <v>7625</v>
      </c>
      <c r="AR48" s="1">
        <f t="shared" si="20"/>
        <v>7625</v>
      </c>
      <c r="AS48" s="1">
        <f t="shared" si="20"/>
        <v>7625</v>
      </c>
      <c r="AT48" s="1">
        <f t="shared" si="20"/>
        <v>7625</v>
      </c>
      <c r="AU48" s="1">
        <f t="shared" si="20"/>
        <v>7625</v>
      </c>
      <c r="AV48" s="1">
        <f t="shared" si="20"/>
        <v>7625</v>
      </c>
      <c r="AW48" s="1">
        <f t="shared" si="20"/>
        <v>7625</v>
      </c>
      <c r="AX48" s="1">
        <f t="shared" si="20"/>
        <v>7625</v>
      </c>
      <c r="AY48" s="1">
        <f t="shared" si="20"/>
        <v>7625</v>
      </c>
      <c r="AZ48" s="1">
        <f t="shared" si="20"/>
        <v>7625</v>
      </c>
      <c r="BA48" s="1">
        <f t="shared" si="20"/>
        <v>7625</v>
      </c>
      <c r="BB48" s="1">
        <f t="shared" si="20"/>
        <v>7625</v>
      </c>
      <c r="BC48" s="1">
        <f t="shared" si="20"/>
        <v>7625</v>
      </c>
      <c r="BD48" s="1">
        <f t="shared" si="20"/>
        <v>7625</v>
      </c>
      <c r="BE48" s="1">
        <f t="shared" si="20"/>
        <v>7625</v>
      </c>
      <c r="BF48" s="1">
        <f t="shared" si="20"/>
        <v>7625</v>
      </c>
      <c r="BG48" s="1">
        <f t="shared" si="20"/>
        <v>7625</v>
      </c>
      <c r="BH48" s="1">
        <f t="shared" si="20"/>
        <v>7625</v>
      </c>
      <c r="BI48" s="1">
        <f t="shared" si="20"/>
        <v>7625</v>
      </c>
      <c r="BJ48" s="1">
        <f t="shared" si="20"/>
        <v>7625</v>
      </c>
      <c r="BK48" t="s">
        <v>102</v>
      </c>
    </row>
    <row r="49" spans="1:63" ht="11.25" customHeight="1" x14ac:dyDescent="0.25">
      <c r="A49" s="5" t="s">
        <v>26</v>
      </c>
      <c r="B49" s="5" t="s">
        <v>164</v>
      </c>
      <c r="C49" s="94" t="s">
        <v>1</v>
      </c>
      <c r="D49" s="5"/>
      <c r="E49" s="1"/>
      <c r="F49" s="302"/>
      <c r="G49" s="1">
        <f t="shared" ref="G49" si="21">IF(AND(G42=0,H42=1),$D$43,G47-G48)</f>
        <v>0</v>
      </c>
      <c r="H49" s="1">
        <f>IF(AND(H42=0,I42=1),$D$43,H47-H48)</f>
        <v>0</v>
      </c>
      <c r="I49" s="1">
        <f t="shared" ref="I49:BJ49" si="22">IF(AND(I42=0,J42=1),$D$43,I47-I48)</f>
        <v>0</v>
      </c>
      <c r="J49" s="1">
        <f t="shared" si="22"/>
        <v>0</v>
      </c>
      <c r="K49" s="1">
        <f t="shared" si="22"/>
        <v>0</v>
      </c>
      <c r="L49" s="1">
        <f t="shared" si="22"/>
        <v>0</v>
      </c>
      <c r="M49" s="1">
        <f t="shared" si="22"/>
        <v>0</v>
      </c>
      <c r="N49" s="1">
        <f t="shared" si="22"/>
        <v>0</v>
      </c>
      <c r="O49" s="1">
        <f t="shared" si="22"/>
        <v>0</v>
      </c>
      <c r="P49" s="1">
        <f t="shared" si="22"/>
        <v>0</v>
      </c>
      <c r="Q49" s="1">
        <f t="shared" si="22"/>
        <v>0</v>
      </c>
      <c r="R49" s="1">
        <f t="shared" si="22"/>
        <v>0</v>
      </c>
      <c r="S49" s="1">
        <f t="shared" si="22"/>
        <v>0</v>
      </c>
      <c r="T49" s="1">
        <f t="shared" si="22"/>
        <v>0</v>
      </c>
      <c r="U49" s="1">
        <f t="shared" si="22"/>
        <v>0</v>
      </c>
      <c r="V49" s="1">
        <f t="shared" si="22"/>
        <v>305000</v>
      </c>
      <c r="W49" s="1">
        <f t="shared" si="22"/>
        <v>297375</v>
      </c>
      <c r="X49" s="1">
        <f t="shared" si="22"/>
        <v>289750</v>
      </c>
      <c r="Y49" s="1">
        <f t="shared" si="22"/>
        <v>282125</v>
      </c>
      <c r="Z49" s="1">
        <f t="shared" si="22"/>
        <v>274500</v>
      </c>
      <c r="AA49" s="1">
        <f t="shared" si="22"/>
        <v>266875</v>
      </c>
      <c r="AB49" s="1">
        <f t="shared" si="22"/>
        <v>259250</v>
      </c>
      <c r="AC49" s="1">
        <f t="shared" si="22"/>
        <v>251625</v>
      </c>
      <c r="AD49" s="1">
        <f t="shared" si="22"/>
        <v>244000</v>
      </c>
      <c r="AE49" s="1">
        <f t="shared" si="22"/>
        <v>236375</v>
      </c>
      <c r="AF49" s="1">
        <f t="shared" si="22"/>
        <v>228750</v>
      </c>
      <c r="AG49" s="1">
        <f t="shared" si="22"/>
        <v>221125</v>
      </c>
      <c r="AH49" s="1">
        <f t="shared" si="22"/>
        <v>213500</v>
      </c>
      <c r="AI49" s="1">
        <f t="shared" si="22"/>
        <v>205875</v>
      </c>
      <c r="AJ49" s="1">
        <f t="shared" si="22"/>
        <v>198250</v>
      </c>
      <c r="AK49" s="1">
        <f t="shared" si="22"/>
        <v>190625</v>
      </c>
      <c r="AL49" s="1">
        <f t="shared" si="22"/>
        <v>183000</v>
      </c>
      <c r="AM49" s="1">
        <f t="shared" si="22"/>
        <v>175375</v>
      </c>
      <c r="AN49" s="1">
        <f t="shared" si="22"/>
        <v>167750</v>
      </c>
      <c r="AO49" s="1">
        <f t="shared" si="22"/>
        <v>160125</v>
      </c>
      <c r="AP49" s="1">
        <f t="shared" si="22"/>
        <v>152500</v>
      </c>
      <c r="AQ49" s="1">
        <f t="shared" si="22"/>
        <v>144875</v>
      </c>
      <c r="AR49" s="1">
        <f t="shared" si="22"/>
        <v>137250</v>
      </c>
      <c r="AS49" s="1">
        <f t="shared" si="22"/>
        <v>129625</v>
      </c>
      <c r="AT49" s="1">
        <f t="shared" si="22"/>
        <v>122000</v>
      </c>
      <c r="AU49" s="1">
        <f t="shared" si="22"/>
        <v>114375</v>
      </c>
      <c r="AV49" s="1">
        <f t="shared" si="22"/>
        <v>106750</v>
      </c>
      <c r="AW49" s="1">
        <f t="shared" si="22"/>
        <v>99125</v>
      </c>
      <c r="AX49" s="1">
        <f t="shared" si="22"/>
        <v>91500</v>
      </c>
      <c r="AY49" s="1">
        <f t="shared" si="22"/>
        <v>83875</v>
      </c>
      <c r="AZ49" s="1">
        <f t="shared" si="22"/>
        <v>76250</v>
      </c>
      <c r="BA49" s="1">
        <f t="shared" si="22"/>
        <v>68625</v>
      </c>
      <c r="BB49" s="1">
        <f t="shared" si="22"/>
        <v>61000</v>
      </c>
      <c r="BC49" s="1">
        <f t="shared" si="22"/>
        <v>53375</v>
      </c>
      <c r="BD49" s="1">
        <f t="shared" si="22"/>
        <v>45750</v>
      </c>
      <c r="BE49" s="1">
        <f t="shared" si="22"/>
        <v>38125</v>
      </c>
      <c r="BF49" s="1">
        <f t="shared" si="22"/>
        <v>30500</v>
      </c>
      <c r="BG49" s="1">
        <f t="shared" si="22"/>
        <v>22875</v>
      </c>
      <c r="BH49" s="1">
        <f t="shared" si="22"/>
        <v>15250</v>
      </c>
      <c r="BI49" s="1">
        <f t="shared" si="22"/>
        <v>7625</v>
      </c>
      <c r="BJ49" s="1">
        <f t="shared" si="22"/>
        <v>0</v>
      </c>
      <c r="BK49" t="s">
        <v>102</v>
      </c>
    </row>
    <row r="50" spans="1:63" ht="11.25" customHeight="1" x14ac:dyDescent="0.25">
      <c r="A50" s="5"/>
      <c r="B50" s="12" t="s">
        <v>170</v>
      </c>
      <c r="C50" s="94" t="s">
        <v>1</v>
      </c>
      <c r="D50" s="5"/>
      <c r="E50" s="1">
        <f t="shared" ref="E50:E52" si="23">SUM(G50:BJ50)</f>
        <v>6365.6924570898354</v>
      </c>
      <c r="F50" s="302" t="s">
        <v>26</v>
      </c>
      <c r="G50" s="1">
        <f>Depreciation!G29</f>
        <v>0</v>
      </c>
      <c r="H50" s="1">
        <f>Depreciation!H29</f>
        <v>0</v>
      </c>
      <c r="I50" s="1">
        <f>Depreciation!I29</f>
        <v>0</v>
      </c>
      <c r="J50" s="1">
        <f>Depreciation!J29</f>
        <v>0</v>
      </c>
      <c r="K50" s="1">
        <f>Depreciation!K29</f>
        <v>0</v>
      </c>
      <c r="L50" s="1">
        <f>Depreciation!L29</f>
        <v>0</v>
      </c>
      <c r="M50" s="1">
        <f>Depreciation!M29</f>
        <v>0</v>
      </c>
      <c r="N50" s="1">
        <f>Depreciation!N29</f>
        <v>0</v>
      </c>
      <c r="O50" s="1">
        <f>Depreciation!O29</f>
        <v>0</v>
      </c>
      <c r="P50" s="1">
        <f>Depreciation!P29</f>
        <v>0</v>
      </c>
      <c r="Q50" s="1">
        <f>Depreciation!Q29</f>
        <v>0</v>
      </c>
      <c r="R50" s="1">
        <f>Depreciation!R29</f>
        <v>0</v>
      </c>
      <c r="S50" s="1">
        <f>Depreciation!S29</f>
        <v>0</v>
      </c>
      <c r="T50" s="1">
        <f>Depreciation!T29</f>
        <v>0</v>
      </c>
      <c r="U50" s="1">
        <f>Depreciation!U29</f>
        <v>0</v>
      </c>
      <c r="V50" s="1">
        <f>Depreciation!V29</f>
        <v>0</v>
      </c>
      <c r="W50" s="1">
        <f>Depreciation!W29</f>
        <v>0</v>
      </c>
      <c r="X50" s="1">
        <f>Depreciation!X29</f>
        <v>0</v>
      </c>
      <c r="Y50" s="1">
        <f>Depreciation!Y29</f>
        <v>0</v>
      </c>
      <c r="Z50" s="1">
        <f>Depreciation!Z29</f>
        <v>0</v>
      </c>
      <c r="AA50" s="1">
        <f>Depreciation!AA29</f>
        <v>0</v>
      </c>
      <c r="AB50" s="1">
        <f>Depreciation!AB29</f>
        <v>0</v>
      </c>
      <c r="AC50" s="1">
        <f>Depreciation!AC29</f>
        <v>0</v>
      </c>
      <c r="AD50" s="1">
        <f>Depreciation!AD29</f>
        <v>0</v>
      </c>
      <c r="AE50" s="1">
        <f>Depreciation!AE29</f>
        <v>0</v>
      </c>
      <c r="AF50" s="1">
        <f>Depreciation!AF29</f>
        <v>0</v>
      </c>
      <c r="AG50" s="1">
        <f>Depreciation!AG29</f>
        <v>0</v>
      </c>
      <c r="AH50" s="1">
        <f>Depreciation!AH29</f>
        <v>0</v>
      </c>
      <c r="AI50" s="1">
        <f>Depreciation!AI29</f>
        <v>0</v>
      </c>
      <c r="AJ50" s="1">
        <f>Depreciation!AJ29</f>
        <v>0</v>
      </c>
      <c r="AK50" s="1">
        <f>Depreciation!AK29</f>
        <v>0</v>
      </c>
      <c r="AL50" s="1">
        <f>Depreciation!AL29</f>
        <v>636.56924570898354</v>
      </c>
      <c r="AM50" s="1">
        <f>Depreciation!AM29</f>
        <v>636.56924570898354</v>
      </c>
      <c r="AN50" s="1">
        <f>Depreciation!AN29</f>
        <v>636.56924570898354</v>
      </c>
      <c r="AO50" s="1">
        <f>Depreciation!AO29</f>
        <v>636.56924570898354</v>
      </c>
      <c r="AP50" s="1">
        <f>Depreciation!AP29</f>
        <v>636.56924570898354</v>
      </c>
      <c r="AQ50" s="1">
        <f>Depreciation!AQ29</f>
        <v>636.56924570898354</v>
      </c>
      <c r="AR50" s="1">
        <f>Depreciation!AR29</f>
        <v>636.56924570898354</v>
      </c>
      <c r="AS50" s="1">
        <f>Depreciation!AS29</f>
        <v>636.56924570898354</v>
      </c>
      <c r="AT50" s="1">
        <f>Depreciation!AT29</f>
        <v>636.56924570898354</v>
      </c>
      <c r="AU50" s="1">
        <f>Depreciation!AU29</f>
        <v>636.56924570898354</v>
      </c>
      <c r="AV50" s="1">
        <f>Depreciation!AV29</f>
        <v>0</v>
      </c>
      <c r="AW50" s="1">
        <f>Depreciation!AW29</f>
        <v>0</v>
      </c>
      <c r="AX50" s="1">
        <f>Depreciation!AX29</f>
        <v>0</v>
      </c>
      <c r="AY50" s="1">
        <f>Depreciation!AY29</f>
        <v>0</v>
      </c>
      <c r="AZ50" s="1">
        <f>Depreciation!AZ29</f>
        <v>0</v>
      </c>
      <c r="BA50" s="1">
        <f>Depreciation!BA29</f>
        <v>0</v>
      </c>
      <c r="BB50" s="1">
        <f>Depreciation!BB29</f>
        <v>0</v>
      </c>
      <c r="BC50" s="1">
        <f>Depreciation!BC29</f>
        <v>0</v>
      </c>
      <c r="BD50" s="1">
        <f>Depreciation!BD29</f>
        <v>0</v>
      </c>
      <c r="BE50" s="1">
        <f>Depreciation!BE29</f>
        <v>0</v>
      </c>
      <c r="BF50" s="1">
        <f>Depreciation!BF29</f>
        <v>0</v>
      </c>
      <c r="BG50" s="1">
        <f>Depreciation!BG29</f>
        <v>0</v>
      </c>
      <c r="BH50" s="1">
        <f>Depreciation!BH29</f>
        <v>0</v>
      </c>
      <c r="BI50" s="1">
        <f>Depreciation!BI29</f>
        <v>0</v>
      </c>
      <c r="BJ50" s="1">
        <f>Depreciation!BJ29</f>
        <v>0</v>
      </c>
      <c r="BK50" t="s">
        <v>102</v>
      </c>
    </row>
    <row r="51" spans="1:63" ht="11.25" customHeight="1" x14ac:dyDescent="0.25">
      <c r="A51" s="5"/>
      <c r="B51" s="12" t="s">
        <v>174</v>
      </c>
      <c r="C51" s="94" t="s">
        <v>1</v>
      </c>
      <c r="D51" s="5"/>
      <c r="E51" s="1">
        <f t="shared" si="23"/>
        <v>7117.7512574749626</v>
      </c>
      <c r="F51" s="302" t="s">
        <v>26</v>
      </c>
      <c r="G51" s="1">
        <f>Depreciation!G39</f>
        <v>0</v>
      </c>
      <c r="H51" s="1">
        <f>Depreciation!H39</f>
        <v>0</v>
      </c>
      <c r="I51" s="1">
        <f>Depreciation!I39</f>
        <v>0</v>
      </c>
      <c r="J51" s="1">
        <f>Depreciation!J39</f>
        <v>0</v>
      </c>
      <c r="K51" s="1">
        <f>Depreciation!K39</f>
        <v>0</v>
      </c>
      <c r="L51" s="1">
        <f>Depreciation!L39</f>
        <v>0</v>
      </c>
      <c r="M51" s="1">
        <f>Depreciation!M39</f>
        <v>0</v>
      </c>
      <c r="N51" s="1">
        <f>Depreciation!N39</f>
        <v>0</v>
      </c>
      <c r="O51" s="1">
        <f>Depreciation!O39</f>
        <v>0</v>
      </c>
      <c r="P51" s="1">
        <f>Depreciation!P39</f>
        <v>0</v>
      </c>
      <c r="Q51" s="1">
        <f>Depreciation!Q39</f>
        <v>0</v>
      </c>
      <c r="R51" s="1">
        <f>Depreciation!R39</f>
        <v>0</v>
      </c>
      <c r="S51" s="1">
        <f>Depreciation!S39</f>
        <v>0</v>
      </c>
      <c r="T51" s="1">
        <f>Depreciation!T39</f>
        <v>0</v>
      </c>
      <c r="U51" s="1">
        <f>Depreciation!U39</f>
        <v>0</v>
      </c>
      <c r="V51" s="1">
        <f>Depreciation!V39</f>
        <v>0</v>
      </c>
      <c r="W51" s="1">
        <f>Depreciation!W39</f>
        <v>0</v>
      </c>
      <c r="X51" s="1">
        <f>Depreciation!X39</f>
        <v>0</v>
      </c>
      <c r="Y51" s="1">
        <f>Depreciation!Y39</f>
        <v>0</v>
      </c>
      <c r="Z51" s="1">
        <f>Depreciation!Z39</f>
        <v>0</v>
      </c>
      <c r="AA51" s="1">
        <f>Depreciation!AA39</f>
        <v>0</v>
      </c>
      <c r="AB51" s="1">
        <f>Depreciation!AB39</f>
        <v>0</v>
      </c>
      <c r="AC51" s="1">
        <f>Depreciation!AC39</f>
        <v>0</v>
      </c>
      <c r="AD51" s="1">
        <f>Depreciation!AD39</f>
        <v>0</v>
      </c>
      <c r="AE51" s="1">
        <f>Depreciation!AE39</f>
        <v>0</v>
      </c>
      <c r="AF51" s="1">
        <f>Depreciation!AF39</f>
        <v>0</v>
      </c>
      <c r="AG51" s="1">
        <f>Depreciation!AG39</f>
        <v>0</v>
      </c>
      <c r="AH51" s="1">
        <f>Depreciation!AH39</f>
        <v>0</v>
      </c>
      <c r="AI51" s="1">
        <f>Depreciation!AI39</f>
        <v>0</v>
      </c>
      <c r="AJ51" s="1">
        <f>Depreciation!AJ39</f>
        <v>0</v>
      </c>
      <c r="AK51" s="1">
        <f>Depreciation!AK39</f>
        <v>0</v>
      </c>
      <c r="AL51" s="1">
        <f>Depreciation!AL39</f>
        <v>0</v>
      </c>
      <c r="AM51" s="1">
        <f>Depreciation!AM39</f>
        <v>0</v>
      </c>
      <c r="AN51" s="1">
        <f>Depreciation!AN39</f>
        <v>0</v>
      </c>
      <c r="AO51" s="1">
        <f>Depreciation!AO39</f>
        <v>0</v>
      </c>
      <c r="AP51" s="1">
        <f>Depreciation!AP39</f>
        <v>0</v>
      </c>
      <c r="AQ51" s="1">
        <f>Depreciation!AQ39</f>
        <v>0</v>
      </c>
      <c r="AR51" s="1">
        <f>Depreciation!AR39</f>
        <v>0</v>
      </c>
      <c r="AS51" s="1">
        <f>Depreciation!AS39</f>
        <v>0</v>
      </c>
      <c r="AT51" s="1">
        <f>Depreciation!AT39</f>
        <v>0</v>
      </c>
      <c r="AU51" s="1">
        <f>Depreciation!AU39</f>
        <v>0</v>
      </c>
      <c r="AV51" s="1">
        <f>Depreciation!AV39</f>
        <v>0</v>
      </c>
      <c r="AW51" s="1">
        <f>Depreciation!AW39</f>
        <v>0</v>
      </c>
      <c r="AX51" s="1">
        <f>Depreciation!AX39</f>
        <v>0</v>
      </c>
      <c r="AY51" s="1">
        <f>Depreciation!AY39</f>
        <v>0</v>
      </c>
      <c r="AZ51" s="1">
        <f>Depreciation!AZ39</f>
        <v>0</v>
      </c>
      <c r="BA51" s="1">
        <f>Depreciation!BA39</f>
        <v>0</v>
      </c>
      <c r="BB51" s="1">
        <f>Depreciation!BB39</f>
        <v>790.8612508305514</v>
      </c>
      <c r="BC51" s="1">
        <f>Depreciation!BC39</f>
        <v>790.8612508305514</v>
      </c>
      <c r="BD51" s="1">
        <f>Depreciation!BD39</f>
        <v>790.8612508305514</v>
      </c>
      <c r="BE51" s="1">
        <f>Depreciation!BE39</f>
        <v>790.8612508305514</v>
      </c>
      <c r="BF51" s="1">
        <f>Depreciation!BF39</f>
        <v>790.8612508305514</v>
      </c>
      <c r="BG51" s="1">
        <f>Depreciation!BG39</f>
        <v>790.8612508305514</v>
      </c>
      <c r="BH51" s="1">
        <f>Depreciation!BH39</f>
        <v>790.8612508305514</v>
      </c>
      <c r="BI51" s="1">
        <f>Depreciation!BI39</f>
        <v>790.8612508305514</v>
      </c>
      <c r="BJ51" s="1">
        <f>Depreciation!BJ39</f>
        <v>790.8612508305514</v>
      </c>
      <c r="BK51" t="s">
        <v>102</v>
      </c>
    </row>
    <row r="52" spans="1:63" ht="11.25" customHeight="1" x14ac:dyDescent="0.25">
      <c r="A52" s="5"/>
      <c r="B52" s="5" t="s">
        <v>417</v>
      </c>
      <c r="C52" s="94" t="s">
        <v>1</v>
      </c>
      <c r="D52" s="5"/>
      <c r="E52" s="1">
        <f t="shared" si="23"/>
        <v>318483.44371456502</v>
      </c>
      <c r="F52" s="302" t="s">
        <v>26</v>
      </c>
      <c r="G52" s="1">
        <f t="shared" ref="G52" si="24">G48+G50+G51</f>
        <v>0</v>
      </c>
      <c r="H52" s="1">
        <f>H48+H50+H51</f>
        <v>0</v>
      </c>
      <c r="I52" s="1">
        <f t="shared" ref="I52:BJ52" si="25">I48+I50+I51</f>
        <v>0</v>
      </c>
      <c r="J52" s="1">
        <f t="shared" si="25"/>
        <v>0</v>
      </c>
      <c r="K52" s="1">
        <f t="shared" si="25"/>
        <v>0</v>
      </c>
      <c r="L52" s="1">
        <f t="shared" si="25"/>
        <v>0</v>
      </c>
      <c r="M52" s="1">
        <f t="shared" si="25"/>
        <v>0</v>
      </c>
      <c r="N52" s="1">
        <f t="shared" si="25"/>
        <v>0</v>
      </c>
      <c r="O52" s="1">
        <f t="shared" si="25"/>
        <v>0</v>
      </c>
      <c r="P52" s="1">
        <f t="shared" si="25"/>
        <v>0</v>
      </c>
      <c r="Q52" s="1">
        <f t="shared" si="25"/>
        <v>0</v>
      </c>
      <c r="R52" s="1">
        <f t="shared" si="25"/>
        <v>0</v>
      </c>
      <c r="S52" s="1">
        <f t="shared" si="25"/>
        <v>0</v>
      </c>
      <c r="T52" s="1">
        <f t="shared" si="25"/>
        <v>0</v>
      </c>
      <c r="U52" s="1">
        <f t="shared" si="25"/>
        <v>0</v>
      </c>
      <c r="V52" s="1">
        <f t="shared" si="25"/>
        <v>0</v>
      </c>
      <c r="W52" s="1">
        <f t="shared" si="25"/>
        <v>7625</v>
      </c>
      <c r="X52" s="1">
        <f t="shared" si="25"/>
        <v>7625</v>
      </c>
      <c r="Y52" s="1">
        <f t="shared" si="25"/>
        <v>7625</v>
      </c>
      <c r="Z52" s="1">
        <f t="shared" si="25"/>
        <v>7625</v>
      </c>
      <c r="AA52" s="1">
        <f t="shared" si="25"/>
        <v>7625</v>
      </c>
      <c r="AB52" s="1">
        <f t="shared" si="25"/>
        <v>7625</v>
      </c>
      <c r="AC52" s="1">
        <f t="shared" si="25"/>
        <v>7625</v>
      </c>
      <c r="AD52" s="1">
        <f t="shared" si="25"/>
        <v>7625</v>
      </c>
      <c r="AE52" s="1">
        <f t="shared" si="25"/>
        <v>7625</v>
      </c>
      <c r="AF52" s="1">
        <f t="shared" si="25"/>
        <v>7625</v>
      </c>
      <c r="AG52" s="1">
        <f t="shared" si="25"/>
        <v>7625</v>
      </c>
      <c r="AH52" s="1">
        <f t="shared" si="25"/>
        <v>7625</v>
      </c>
      <c r="AI52" s="1">
        <f t="shared" si="25"/>
        <v>7625</v>
      </c>
      <c r="AJ52" s="1">
        <f t="shared" si="25"/>
        <v>7625</v>
      </c>
      <c r="AK52" s="1">
        <f t="shared" si="25"/>
        <v>7625</v>
      </c>
      <c r="AL52" s="1">
        <f t="shared" si="25"/>
        <v>8261.5692457089826</v>
      </c>
      <c r="AM52" s="1">
        <f t="shared" si="25"/>
        <v>8261.5692457089826</v>
      </c>
      <c r="AN52" s="1">
        <f t="shared" si="25"/>
        <v>8261.5692457089826</v>
      </c>
      <c r="AO52" s="1">
        <f t="shared" si="25"/>
        <v>8261.5692457089826</v>
      </c>
      <c r="AP52" s="1">
        <f t="shared" si="25"/>
        <v>8261.5692457089826</v>
      </c>
      <c r="AQ52" s="1">
        <f t="shared" si="25"/>
        <v>8261.5692457089826</v>
      </c>
      <c r="AR52" s="1">
        <f t="shared" si="25"/>
        <v>8261.5692457089826</v>
      </c>
      <c r="AS52" s="1">
        <f t="shared" si="25"/>
        <v>8261.5692457089826</v>
      </c>
      <c r="AT52" s="1">
        <f t="shared" si="25"/>
        <v>8261.5692457089826</v>
      </c>
      <c r="AU52" s="1">
        <f t="shared" si="25"/>
        <v>8261.5692457089826</v>
      </c>
      <c r="AV52" s="1">
        <f t="shared" si="25"/>
        <v>7625</v>
      </c>
      <c r="AW52" s="1">
        <f t="shared" si="25"/>
        <v>7625</v>
      </c>
      <c r="AX52" s="1">
        <f t="shared" si="25"/>
        <v>7625</v>
      </c>
      <c r="AY52" s="1">
        <f t="shared" si="25"/>
        <v>7625</v>
      </c>
      <c r="AZ52" s="1">
        <f t="shared" si="25"/>
        <v>7625</v>
      </c>
      <c r="BA52" s="1">
        <f t="shared" si="25"/>
        <v>7625</v>
      </c>
      <c r="BB52" s="1">
        <f t="shared" si="25"/>
        <v>8415.8612508305523</v>
      </c>
      <c r="BC52" s="1">
        <f t="shared" si="25"/>
        <v>8415.8612508305523</v>
      </c>
      <c r="BD52" s="1">
        <f t="shared" si="25"/>
        <v>8415.8612508305523</v>
      </c>
      <c r="BE52" s="1">
        <f t="shared" si="25"/>
        <v>8415.8612508305523</v>
      </c>
      <c r="BF52" s="1">
        <f t="shared" si="25"/>
        <v>8415.8612508305523</v>
      </c>
      <c r="BG52" s="1">
        <f t="shared" si="25"/>
        <v>8415.8612508305523</v>
      </c>
      <c r="BH52" s="1">
        <f t="shared" si="25"/>
        <v>8415.8612508305523</v>
      </c>
      <c r="BI52" s="1">
        <f t="shared" si="25"/>
        <v>8415.8612508305523</v>
      </c>
      <c r="BJ52" s="1">
        <f t="shared" si="25"/>
        <v>8415.8612508305523</v>
      </c>
      <c r="BK52" t="s">
        <v>102</v>
      </c>
    </row>
    <row r="53" spans="1:63" ht="11.25" customHeight="1" x14ac:dyDescent="0.25">
      <c r="A53" s="5"/>
      <c r="B53" s="5"/>
      <c r="C53" s="94"/>
      <c r="D53" s="5"/>
      <c r="E53" s="5"/>
      <c r="F53" s="302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t="s">
        <v>102</v>
      </c>
    </row>
    <row r="54" spans="1:63" ht="11.25" customHeight="1" x14ac:dyDescent="0.25">
      <c r="A54" s="12" t="s">
        <v>26</v>
      </c>
      <c r="B54" s="17" t="s">
        <v>304</v>
      </c>
      <c r="C54" s="94"/>
      <c r="D54" s="12"/>
      <c r="E54" s="12"/>
      <c r="F54" s="80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t="s">
        <v>102</v>
      </c>
    </row>
    <row r="55" spans="1:63" ht="11.25" customHeight="1" x14ac:dyDescent="0.25">
      <c r="A55" s="12"/>
      <c r="B55" s="12" t="s">
        <v>215</v>
      </c>
      <c r="C55" s="94" t="s">
        <v>1</v>
      </c>
      <c r="D55" s="12"/>
      <c r="E55" s="1">
        <f t="shared" ref="E55:E57" si="26">SUM(G55:BJ55)</f>
        <v>1275593.0107563359</v>
      </c>
      <c r="F55" s="302" t="s">
        <v>26</v>
      </c>
      <c r="G55" s="1">
        <f>CF!G19</f>
        <v>0</v>
      </c>
      <c r="H55" s="1">
        <f>CF!H19</f>
        <v>0</v>
      </c>
      <c r="I55" s="1">
        <f>CF!I19</f>
        <v>0</v>
      </c>
      <c r="J55" s="1">
        <f>CF!J19</f>
        <v>0</v>
      </c>
      <c r="K55" s="1">
        <f>CF!K19</f>
        <v>0</v>
      </c>
      <c r="L55" s="1">
        <f>CF!L19</f>
        <v>0</v>
      </c>
      <c r="M55" s="1">
        <f>CF!M19</f>
        <v>0</v>
      </c>
      <c r="N55" s="1">
        <f>CF!N19</f>
        <v>0</v>
      </c>
      <c r="O55" s="1">
        <f>CF!O19</f>
        <v>0</v>
      </c>
      <c r="P55" s="1">
        <f>CF!P19</f>
        <v>0</v>
      </c>
      <c r="Q55" s="1">
        <f>CF!Q19</f>
        <v>0</v>
      </c>
      <c r="R55" s="1">
        <f>CF!R19</f>
        <v>0</v>
      </c>
      <c r="S55" s="1">
        <f>CF!S19</f>
        <v>0</v>
      </c>
      <c r="T55" s="1">
        <f>CF!T19</f>
        <v>0</v>
      </c>
      <c r="U55" s="1">
        <f>CF!U19</f>
        <v>0</v>
      </c>
      <c r="V55" s="1">
        <f>CF!V19</f>
        <v>0</v>
      </c>
      <c r="W55" s="1">
        <f>CF!W19</f>
        <v>37981.003015992872</v>
      </c>
      <c r="X55" s="1">
        <f>CF!X19</f>
        <v>38875.797955001108</v>
      </c>
      <c r="Y55" s="1">
        <f>CF!Y19</f>
        <v>38118.479381379861</v>
      </c>
      <c r="Z55" s="1">
        <f>CF!Z19</f>
        <v>39331.923635796367</v>
      </c>
      <c r="AA55" s="1">
        <f>CF!AA19</f>
        <v>38563.297502779802</v>
      </c>
      <c r="AB55" s="1">
        <f>CF!AB19</f>
        <v>39782.717753159006</v>
      </c>
      <c r="AC55" s="1">
        <f>CF!AC19</f>
        <v>39014.453473406706</v>
      </c>
      <c r="AD55" s="1">
        <f>CF!AD19</f>
        <v>23423.323696896507</v>
      </c>
      <c r="AE55" s="1">
        <f>CF!AE19</f>
        <v>41391.957425576853</v>
      </c>
      <c r="AF55" s="1">
        <f>CF!AF19</f>
        <v>41498.481236919761</v>
      </c>
      <c r="AG55" s="1">
        <f>CF!AG19</f>
        <v>40703.936916985826</v>
      </c>
      <c r="AH55" s="1">
        <f>CF!AH19</f>
        <v>41169.436459091623</v>
      </c>
      <c r="AI55" s="1">
        <f>CF!AI19</f>
        <v>40370.271857958985</v>
      </c>
      <c r="AJ55" s="1">
        <f>CF!AJ19</f>
        <v>41796.921559180897</v>
      </c>
      <c r="AK55" s="1">
        <f>CF!AK19</f>
        <v>24059.276841480008</v>
      </c>
      <c r="AL55" s="1">
        <f>CF!AL19</f>
        <v>12427.800263078287</v>
      </c>
      <c r="AM55" s="1">
        <f>CF!AM19</f>
        <v>31527.243216645351</v>
      </c>
      <c r="AN55" s="1">
        <f>CF!AN19</f>
        <v>32171.325577546144</v>
      </c>
      <c r="AO55" s="1">
        <f>CF!AO19</f>
        <v>31914.760291416344</v>
      </c>
      <c r="AP55" s="1">
        <f>CF!AP19</f>
        <v>31940.401524283268</v>
      </c>
      <c r="AQ55" s="1">
        <f>CF!AQ19</f>
        <v>31676.914537971141</v>
      </c>
      <c r="AR55" s="1">
        <f>CF!AR19</f>
        <v>31631.166371079787</v>
      </c>
      <c r="AS55" s="1">
        <f>CF!AS19</f>
        <v>31360.311048780146</v>
      </c>
      <c r="AT55" s="1">
        <f>CF!AT19</f>
        <v>11977.394052200019</v>
      </c>
      <c r="AU55" s="1">
        <f>CF!AU19</f>
        <v>32988.115504145069</v>
      </c>
      <c r="AV55" s="1">
        <f>CF!AV19</f>
        <v>32696.580319244895</v>
      </c>
      <c r="AW55" s="1">
        <f>CF!AW19</f>
        <v>32397.786629280701</v>
      </c>
      <c r="AX55" s="1">
        <f>CF!AX19</f>
        <v>32091.633296813117</v>
      </c>
      <c r="AY55" s="1">
        <f>CF!AY19</f>
        <v>31778.017911064264</v>
      </c>
      <c r="AZ55" s="1">
        <f>CF!AZ19</f>
        <v>31456.836772924493</v>
      </c>
      <c r="BA55" s="1">
        <f>CF!BA19</f>
        <v>31127.984879783879</v>
      </c>
      <c r="BB55" s="1">
        <f>CF!BB19</f>
        <v>9817.5778414912638</v>
      </c>
      <c r="BC55" s="1">
        <f>CF!BC19</f>
        <v>32739.973973314889</v>
      </c>
      <c r="BD55" s="1">
        <f>CF!BD19</f>
        <v>32386.697101662387</v>
      </c>
      <c r="BE55" s="1">
        <f>CF!BE19</f>
        <v>32025.163759531511</v>
      </c>
      <c r="BF55" s="1">
        <f>CF!BF19</f>
        <v>31655.259722088857</v>
      </c>
      <c r="BG55" s="1">
        <f>CF!BG19</f>
        <v>31276.869334626055</v>
      </c>
      <c r="BH55" s="1">
        <f>CF!BH19</f>
        <v>30889.875495730608</v>
      </c>
      <c r="BI55" s="1">
        <f>CF!BI19</f>
        <v>30494.159640260143</v>
      </c>
      <c r="BJ55" s="1">
        <f>CF!BJ19</f>
        <v>7061.8829797674989</v>
      </c>
      <c r="BK55" t="s">
        <v>102</v>
      </c>
    </row>
    <row r="56" spans="1:63" ht="11.25" customHeight="1" x14ac:dyDescent="0.25">
      <c r="A56" s="12"/>
      <c r="B56" s="12" t="s">
        <v>219</v>
      </c>
      <c r="C56" s="94" t="s">
        <v>1</v>
      </c>
      <c r="D56" s="12"/>
      <c r="E56" s="1">
        <f t="shared" si="26"/>
        <v>318483.44371456502</v>
      </c>
      <c r="F56" s="302" t="s">
        <v>26</v>
      </c>
      <c r="G56" s="1">
        <f>G52</f>
        <v>0</v>
      </c>
      <c r="H56" s="1">
        <f t="shared" ref="H56:BJ56" si="27">H52</f>
        <v>0</v>
      </c>
      <c r="I56" s="1">
        <f t="shared" si="27"/>
        <v>0</v>
      </c>
      <c r="J56" s="1">
        <f t="shared" si="27"/>
        <v>0</v>
      </c>
      <c r="K56" s="1">
        <f t="shared" si="27"/>
        <v>0</v>
      </c>
      <c r="L56" s="1">
        <f t="shared" si="27"/>
        <v>0</v>
      </c>
      <c r="M56" s="1">
        <f t="shared" si="27"/>
        <v>0</v>
      </c>
      <c r="N56" s="1">
        <f t="shared" si="27"/>
        <v>0</v>
      </c>
      <c r="O56" s="1">
        <f t="shared" si="27"/>
        <v>0</v>
      </c>
      <c r="P56" s="1">
        <f t="shared" si="27"/>
        <v>0</v>
      </c>
      <c r="Q56" s="1">
        <f t="shared" si="27"/>
        <v>0</v>
      </c>
      <c r="R56" s="1">
        <f t="shared" si="27"/>
        <v>0</v>
      </c>
      <c r="S56" s="1">
        <f t="shared" si="27"/>
        <v>0</v>
      </c>
      <c r="T56" s="1">
        <f t="shared" si="27"/>
        <v>0</v>
      </c>
      <c r="U56" s="1">
        <f t="shared" si="27"/>
        <v>0</v>
      </c>
      <c r="V56" s="1">
        <f t="shared" si="27"/>
        <v>0</v>
      </c>
      <c r="W56" s="1">
        <f t="shared" si="27"/>
        <v>7625</v>
      </c>
      <c r="X56" s="1">
        <f t="shared" si="27"/>
        <v>7625</v>
      </c>
      <c r="Y56" s="1">
        <f t="shared" si="27"/>
        <v>7625</v>
      </c>
      <c r="Z56" s="1">
        <f t="shared" si="27"/>
        <v>7625</v>
      </c>
      <c r="AA56" s="1">
        <f t="shared" si="27"/>
        <v>7625</v>
      </c>
      <c r="AB56" s="1">
        <f t="shared" si="27"/>
        <v>7625</v>
      </c>
      <c r="AC56" s="1">
        <f t="shared" si="27"/>
        <v>7625</v>
      </c>
      <c r="AD56" s="1">
        <f t="shared" si="27"/>
        <v>7625</v>
      </c>
      <c r="AE56" s="1">
        <f t="shared" si="27"/>
        <v>7625</v>
      </c>
      <c r="AF56" s="1">
        <f t="shared" si="27"/>
        <v>7625</v>
      </c>
      <c r="AG56" s="1">
        <f t="shared" si="27"/>
        <v>7625</v>
      </c>
      <c r="AH56" s="1">
        <f t="shared" si="27"/>
        <v>7625</v>
      </c>
      <c r="AI56" s="1">
        <f t="shared" si="27"/>
        <v>7625</v>
      </c>
      <c r="AJ56" s="1">
        <f t="shared" si="27"/>
        <v>7625</v>
      </c>
      <c r="AK56" s="1">
        <f t="shared" si="27"/>
        <v>7625</v>
      </c>
      <c r="AL56" s="1">
        <f t="shared" si="27"/>
        <v>8261.5692457089826</v>
      </c>
      <c r="AM56" s="1">
        <f t="shared" si="27"/>
        <v>8261.5692457089826</v>
      </c>
      <c r="AN56" s="1">
        <f t="shared" si="27"/>
        <v>8261.5692457089826</v>
      </c>
      <c r="AO56" s="1">
        <f t="shared" si="27"/>
        <v>8261.5692457089826</v>
      </c>
      <c r="AP56" s="1">
        <f t="shared" si="27"/>
        <v>8261.5692457089826</v>
      </c>
      <c r="AQ56" s="1">
        <f t="shared" si="27"/>
        <v>8261.5692457089826</v>
      </c>
      <c r="AR56" s="1">
        <f t="shared" si="27"/>
        <v>8261.5692457089826</v>
      </c>
      <c r="AS56" s="1">
        <f t="shared" si="27"/>
        <v>8261.5692457089826</v>
      </c>
      <c r="AT56" s="1">
        <f t="shared" si="27"/>
        <v>8261.5692457089826</v>
      </c>
      <c r="AU56" s="1">
        <f t="shared" si="27"/>
        <v>8261.5692457089826</v>
      </c>
      <c r="AV56" s="1">
        <f t="shared" si="27"/>
        <v>7625</v>
      </c>
      <c r="AW56" s="1">
        <f t="shared" si="27"/>
        <v>7625</v>
      </c>
      <c r="AX56" s="1">
        <f t="shared" si="27"/>
        <v>7625</v>
      </c>
      <c r="AY56" s="1">
        <f t="shared" si="27"/>
        <v>7625</v>
      </c>
      <c r="AZ56" s="1">
        <f t="shared" si="27"/>
        <v>7625</v>
      </c>
      <c r="BA56" s="1">
        <f t="shared" si="27"/>
        <v>7625</v>
      </c>
      <c r="BB56" s="1">
        <f t="shared" si="27"/>
        <v>8415.8612508305523</v>
      </c>
      <c r="BC56" s="1">
        <f t="shared" si="27"/>
        <v>8415.8612508305523</v>
      </c>
      <c r="BD56" s="1">
        <f t="shared" si="27"/>
        <v>8415.8612508305523</v>
      </c>
      <c r="BE56" s="1">
        <f t="shared" si="27"/>
        <v>8415.8612508305523</v>
      </c>
      <c r="BF56" s="1">
        <f t="shared" si="27"/>
        <v>8415.8612508305523</v>
      </c>
      <c r="BG56" s="1">
        <f t="shared" si="27"/>
        <v>8415.8612508305523</v>
      </c>
      <c r="BH56" s="1">
        <f t="shared" si="27"/>
        <v>8415.8612508305523</v>
      </c>
      <c r="BI56" s="1">
        <f t="shared" si="27"/>
        <v>8415.8612508305523</v>
      </c>
      <c r="BJ56" s="1">
        <f t="shared" si="27"/>
        <v>8415.8612508305523</v>
      </c>
      <c r="BK56" t="s">
        <v>102</v>
      </c>
    </row>
    <row r="57" spans="1:63" ht="11.25" customHeight="1" x14ac:dyDescent="0.25">
      <c r="A57" s="12"/>
      <c r="B57" s="49" t="s">
        <v>220</v>
      </c>
      <c r="C57" s="122" t="s">
        <v>1</v>
      </c>
      <c r="D57" s="49"/>
      <c r="E57" s="51">
        <f t="shared" si="26"/>
        <v>957109.56704177125</v>
      </c>
      <c r="F57" s="308" t="s">
        <v>26</v>
      </c>
      <c r="G57" s="51">
        <f>G55-G56</f>
        <v>0</v>
      </c>
      <c r="H57" s="51">
        <f t="shared" ref="H57:BJ57" si="28">H55-H56</f>
        <v>0</v>
      </c>
      <c r="I57" s="51">
        <f t="shared" si="28"/>
        <v>0</v>
      </c>
      <c r="J57" s="51">
        <f t="shared" si="28"/>
        <v>0</v>
      </c>
      <c r="K57" s="51">
        <f t="shared" si="28"/>
        <v>0</v>
      </c>
      <c r="L57" s="51">
        <f t="shared" si="28"/>
        <v>0</v>
      </c>
      <c r="M57" s="51">
        <f t="shared" si="28"/>
        <v>0</v>
      </c>
      <c r="N57" s="51">
        <f t="shared" si="28"/>
        <v>0</v>
      </c>
      <c r="O57" s="51">
        <f t="shared" si="28"/>
        <v>0</v>
      </c>
      <c r="P57" s="51">
        <f t="shared" si="28"/>
        <v>0</v>
      </c>
      <c r="Q57" s="51">
        <f t="shared" si="28"/>
        <v>0</v>
      </c>
      <c r="R57" s="51">
        <f t="shared" si="28"/>
        <v>0</v>
      </c>
      <c r="S57" s="51">
        <f t="shared" si="28"/>
        <v>0</v>
      </c>
      <c r="T57" s="51">
        <f t="shared" si="28"/>
        <v>0</v>
      </c>
      <c r="U57" s="51">
        <f t="shared" si="28"/>
        <v>0</v>
      </c>
      <c r="V57" s="51">
        <f t="shared" si="28"/>
        <v>0</v>
      </c>
      <c r="W57" s="51">
        <f t="shared" si="28"/>
        <v>30356.003015992872</v>
      </c>
      <c r="X57" s="51">
        <f t="shared" si="28"/>
        <v>31250.797955001108</v>
      </c>
      <c r="Y57" s="51">
        <f t="shared" si="28"/>
        <v>30493.479381379861</v>
      </c>
      <c r="Z57" s="51">
        <f t="shared" si="28"/>
        <v>31706.923635796367</v>
      </c>
      <c r="AA57" s="51">
        <f t="shared" si="28"/>
        <v>30938.297502779802</v>
      </c>
      <c r="AB57" s="51">
        <f t="shared" si="28"/>
        <v>32157.717753159006</v>
      </c>
      <c r="AC57" s="51">
        <f t="shared" si="28"/>
        <v>31389.453473406706</v>
      </c>
      <c r="AD57" s="51">
        <f t="shared" si="28"/>
        <v>15798.323696896507</v>
      </c>
      <c r="AE57" s="51">
        <f t="shared" si="28"/>
        <v>33766.957425576853</v>
      </c>
      <c r="AF57" s="51">
        <f t="shared" si="28"/>
        <v>33873.481236919761</v>
      </c>
      <c r="AG57" s="51">
        <f t="shared" si="28"/>
        <v>33078.936916985826</v>
      </c>
      <c r="AH57" s="51">
        <f t="shared" si="28"/>
        <v>33544.436459091623</v>
      </c>
      <c r="AI57" s="51">
        <f t="shared" si="28"/>
        <v>32745.271857958985</v>
      </c>
      <c r="AJ57" s="51">
        <f t="shared" si="28"/>
        <v>34171.921559180897</v>
      </c>
      <c r="AK57" s="51">
        <f t="shared" si="28"/>
        <v>16434.276841480008</v>
      </c>
      <c r="AL57" s="51">
        <f t="shared" si="28"/>
        <v>4166.231017369304</v>
      </c>
      <c r="AM57" s="51">
        <f t="shared" si="28"/>
        <v>23265.673970936368</v>
      </c>
      <c r="AN57" s="51">
        <f t="shared" si="28"/>
        <v>23909.756331837161</v>
      </c>
      <c r="AO57" s="51">
        <f t="shared" si="28"/>
        <v>23653.191045707361</v>
      </c>
      <c r="AP57" s="51">
        <f t="shared" si="28"/>
        <v>23678.832278574286</v>
      </c>
      <c r="AQ57" s="51">
        <f t="shared" si="28"/>
        <v>23415.345292262158</v>
      </c>
      <c r="AR57" s="51">
        <f t="shared" si="28"/>
        <v>23369.597125370805</v>
      </c>
      <c r="AS57" s="51">
        <f t="shared" si="28"/>
        <v>23098.741803071163</v>
      </c>
      <c r="AT57" s="51">
        <f t="shared" si="28"/>
        <v>3715.8248064910367</v>
      </c>
      <c r="AU57" s="51">
        <f t="shared" si="28"/>
        <v>24726.546258436087</v>
      </c>
      <c r="AV57" s="51">
        <f t="shared" si="28"/>
        <v>25071.580319244895</v>
      </c>
      <c r="AW57" s="51">
        <f t="shared" si="28"/>
        <v>24772.786629280701</v>
      </c>
      <c r="AX57" s="51">
        <f t="shared" si="28"/>
        <v>24466.633296813117</v>
      </c>
      <c r="AY57" s="51">
        <f t="shared" si="28"/>
        <v>24153.017911064264</v>
      </c>
      <c r="AZ57" s="51">
        <f t="shared" si="28"/>
        <v>23831.836772924493</v>
      </c>
      <c r="BA57" s="51">
        <f t="shared" si="28"/>
        <v>23502.984879783879</v>
      </c>
      <c r="BB57" s="51">
        <f t="shared" si="28"/>
        <v>1401.7165906607115</v>
      </c>
      <c r="BC57" s="51">
        <f t="shared" si="28"/>
        <v>24324.112722484337</v>
      </c>
      <c r="BD57" s="51">
        <f t="shared" si="28"/>
        <v>23970.835850831834</v>
      </c>
      <c r="BE57" s="51">
        <f t="shared" si="28"/>
        <v>23609.302508700959</v>
      </c>
      <c r="BF57" s="51">
        <f t="shared" si="28"/>
        <v>23239.398471258304</v>
      </c>
      <c r="BG57" s="51">
        <f t="shared" si="28"/>
        <v>22861.008083795503</v>
      </c>
      <c r="BH57" s="51">
        <f t="shared" si="28"/>
        <v>22474.014244900056</v>
      </c>
      <c r="BI57" s="51">
        <f t="shared" si="28"/>
        <v>22078.29838942959</v>
      </c>
      <c r="BJ57" s="51">
        <f t="shared" si="28"/>
        <v>-1353.9782710630534</v>
      </c>
      <c r="BK57" t="s">
        <v>102</v>
      </c>
    </row>
    <row r="58" spans="1:63" ht="11.25" customHeight="1" x14ac:dyDescent="0.25">
      <c r="A58" s="12"/>
      <c r="B58" s="12" t="s">
        <v>90</v>
      </c>
      <c r="C58" s="123" t="s">
        <v>34</v>
      </c>
      <c r="D58" s="372">
        <f>Assumptions!D136</f>
        <v>0.25</v>
      </c>
      <c r="E58" s="1"/>
      <c r="F58" s="80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t="s">
        <v>102</v>
      </c>
    </row>
    <row r="59" spans="1:63" ht="11.25" customHeight="1" x14ac:dyDescent="0.25">
      <c r="A59" s="12" t="s">
        <v>26</v>
      </c>
      <c r="B59" s="17" t="s">
        <v>305</v>
      </c>
      <c r="C59" s="124" t="s">
        <v>1</v>
      </c>
      <c r="D59" s="17"/>
      <c r="E59" s="59">
        <f>SUM(G59:BJ59)</f>
        <v>239277.39176044281</v>
      </c>
      <c r="F59" s="302" t="s">
        <v>26</v>
      </c>
      <c r="G59" s="59">
        <f>$D$58*G57</f>
        <v>0</v>
      </c>
      <c r="H59" s="59">
        <f t="shared" ref="H59:BJ59" si="29">$D$58*H57</f>
        <v>0</v>
      </c>
      <c r="I59" s="59">
        <f t="shared" si="29"/>
        <v>0</v>
      </c>
      <c r="J59" s="59">
        <f t="shared" si="29"/>
        <v>0</v>
      </c>
      <c r="K59" s="59">
        <f t="shared" si="29"/>
        <v>0</v>
      </c>
      <c r="L59" s="59">
        <f t="shared" si="29"/>
        <v>0</v>
      </c>
      <c r="M59" s="59">
        <f t="shared" si="29"/>
        <v>0</v>
      </c>
      <c r="N59" s="59">
        <f t="shared" si="29"/>
        <v>0</v>
      </c>
      <c r="O59" s="59">
        <f t="shared" si="29"/>
        <v>0</v>
      </c>
      <c r="P59" s="59">
        <f t="shared" si="29"/>
        <v>0</v>
      </c>
      <c r="Q59" s="59">
        <f t="shared" si="29"/>
        <v>0</v>
      </c>
      <c r="R59" s="59">
        <f t="shared" si="29"/>
        <v>0</v>
      </c>
      <c r="S59" s="59">
        <f t="shared" si="29"/>
        <v>0</v>
      </c>
      <c r="T59" s="59">
        <f t="shared" si="29"/>
        <v>0</v>
      </c>
      <c r="U59" s="59">
        <f t="shared" si="29"/>
        <v>0</v>
      </c>
      <c r="V59" s="59">
        <f t="shared" si="29"/>
        <v>0</v>
      </c>
      <c r="W59" s="59">
        <f t="shared" si="29"/>
        <v>7589.000753998218</v>
      </c>
      <c r="X59" s="59">
        <f t="shared" si="29"/>
        <v>7812.6994887502769</v>
      </c>
      <c r="Y59" s="59">
        <f t="shared" si="29"/>
        <v>7623.3698453449651</v>
      </c>
      <c r="Z59" s="59">
        <f t="shared" si="29"/>
        <v>7926.7309089490918</v>
      </c>
      <c r="AA59" s="59">
        <f t="shared" si="29"/>
        <v>7734.5743756949505</v>
      </c>
      <c r="AB59" s="59">
        <f t="shared" si="29"/>
        <v>8039.4294382897515</v>
      </c>
      <c r="AC59" s="59">
        <f t="shared" si="29"/>
        <v>7847.3633683516764</v>
      </c>
      <c r="AD59" s="59">
        <f t="shared" si="29"/>
        <v>3949.5809242241266</v>
      </c>
      <c r="AE59" s="59">
        <f t="shared" si="29"/>
        <v>8441.7393563942132</v>
      </c>
      <c r="AF59" s="59">
        <f t="shared" si="29"/>
        <v>8468.3703092299402</v>
      </c>
      <c r="AG59" s="59">
        <f t="shared" si="29"/>
        <v>8269.7342292464564</v>
      </c>
      <c r="AH59" s="59">
        <f t="shared" si="29"/>
        <v>8386.1091147729057</v>
      </c>
      <c r="AI59" s="59">
        <f t="shared" si="29"/>
        <v>8186.3179644897464</v>
      </c>
      <c r="AJ59" s="59">
        <f t="shared" si="29"/>
        <v>8542.9803897952243</v>
      </c>
      <c r="AK59" s="59">
        <f t="shared" si="29"/>
        <v>4108.5692103700021</v>
      </c>
      <c r="AL59" s="59">
        <f t="shared" si="29"/>
        <v>1041.557754342326</v>
      </c>
      <c r="AM59" s="59">
        <f t="shared" si="29"/>
        <v>5816.4184927340921</v>
      </c>
      <c r="AN59" s="59">
        <f t="shared" si="29"/>
        <v>5977.4390829592903</v>
      </c>
      <c r="AO59" s="59">
        <f t="shared" si="29"/>
        <v>5913.2977614268402</v>
      </c>
      <c r="AP59" s="59">
        <f t="shared" si="29"/>
        <v>5919.7080696435714</v>
      </c>
      <c r="AQ59" s="59">
        <f t="shared" si="29"/>
        <v>5853.8363230655395</v>
      </c>
      <c r="AR59" s="59">
        <f t="shared" si="29"/>
        <v>5842.3992813427012</v>
      </c>
      <c r="AS59" s="59">
        <f t="shared" si="29"/>
        <v>5774.6854507677908</v>
      </c>
      <c r="AT59" s="59">
        <f t="shared" si="29"/>
        <v>928.95620162275918</v>
      </c>
      <c r="AU59" s="59">
        <f t="shared" si="29"/>
        <v>6181.6365646090217</v>
      </c>
      <c r="AV59" s="59">
        <f t="shared" si="29"/>
        <v>6267.8950798112237</v>
      </c>
      <c r="AW59" s="59">
        <f t="shared" si="29"/>
        <v>6193.1966573201753</v>
      </c>
      <c r="AX59" s="59">
        <f t="shared" si="29"/>
        <v>6116.6583242032793</v>
      </c>
      <c r="AY59" s="59">
        <f t="shared" si="29"/>
        <v>6038.254477766066</v>
      </c>
      <c r="AZ59" s="59">
        <f t="shared" si="29"/>
        <v>5957.9591932311232</v>
      </c>
      <c r="BA59" s="59">
        <f t="shared" si="29"/>
        <v>5875.7462199459696</v>
      </c>
      <c r="BB59" s="59">
        <f t="shared" si="29"/>
        <v>350.42914766517788</v>
      </c>
      <c r="BC59" s="59">
        <f t="shared" si="29"/>
        <v>6081.0281806210842</v>
      </c>
      <c r="BD59" s="59">
        <f t="shared" si="29"/>
        <v>5992.7089627079586</v>
      </c>
      <c r="BE59" s="59">
        <f t="shared" si="29"/>
        <v>5902.3256271752398</v>
      </c>
      <c r="BF59" s="59">
        <f t="shared" si="29"/>
        <v>5809.849617814576</v>
      </c>
      <c r="BG59" s="59">
        <f t="shared" si="29"/>
        <v>5715.2520209488757</v>
      </c>
      <c r="BH59" s="59">
        <f t="shared" si="29"/>
        <v>5618.503561225014</v>
      </c>
      <c r="BI59" s="59">
        <f t="shared" si="29"/>
        <v>5519.5745973573976</v>
      </c>
      <c r="BJ59" s="59">
        <f t="shared" si="29"/>
        <v>-338.49456776576335</v>
      </c>
      <c r="BK59" t="s">
        <v>102</v>
      </c>
    </row>
    <row r="60" spans="1:63" ht="11.25" customHeight="1" x14ac:dyDescent="0.25">
      <c r="A60" s="5"/>
      <c r="B60" s="5"/>
      <c r="C60" s="5"/>
      <c r="D60" s="5"/>
      <c r="E60" s="5"/>
      <c r="F60" s="302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t="s">
        <v>102</v>
      </c>
    </row>
    <row r="61" spans="1:63" ht="11.25" customHeight="1" x14ac:dyDescent="0.25">
      <c r="A61" s="5"/>
      <c r="B61" s="3" t="s">
        <v>306</v>
      </c>
      <c r="C61" s="5"/>
      <c r="D61" s="5"/>
      <c r="E61" s="5"/>
      <c r="F61" s="302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t="s">
        <v>102</v>
      </c>
    </row>
    <row r="62" spans="1:63" ht="11.25" customHeight="1" x14ac:dyDescent="0.25">
      <c r="A62" s="5"/>
      <c r="B62" s="5" t="s">
        <v>353</v>
      </c>
      <c r="C62" s="7" t="s">
        <v>112</v>
      </c>
      <c r="D62" s="5"/>
      <c r="E62" s="1">
        <f t="shared" ref="E62:E64" si="30">SUM(G62:BJ62)</f>
        <v>37139.896263869756</v>
      </c>
      <c r="F62" s="302" t="s">
        <v>26</v>
      </c>
      <c r="G62" s="1">
        <f>'Time &amp; Technical'!G63</f>
        <v>0</v>
      </c>
      <c r="H62" s="1">
        <f>'Time &amp; Technical'!H63</f>
        <v>0</v>
      </c>
      <c r="I62" s="1">
        <f>'Time &amp; Technical'!I63</f>
        <v>0</v>
      </c>
      <c r="J62" s="1">
        <f>'Time &amp; Technical'!J63</f>
        <v>0</v>
      </c>
      <c r="K62" s="1">
        <f>'Time &amp; Technical'!K63</f>
        <v>0</v>
      </c>
      <c r="L62" s="1">
        <f>'Time &amp; Technical'!L63</f>
        <v>0</v>
      </c>
      <c r="M62" s="1">
        <f>'Time &amp; Technical'!M63</f>
        <v>0</v>
      </c>
      <c r="N62" s="1">
        <f>'Time &amp; Technical'!N63</f>
        <v>0</v>
      </c>
      <c r="O62" s="1">
        <f>'Time &amp; Technical'!O63</f>
        <v>0</v>
      </c>
      <c r="P62" s="1">
        <f>'Time &amp; Technical'!P63</f>
        <v>0</v>
      </c>
      <c r="Q62" s="1">
        <f>'Time &amp; Technical'!Q63</f>
        <v>0</v>
      </c>
      <c r="R62" s="1">
        <f>'Time &amp; Technical'!R63</f>
        <v>0</v>
      </c>
      <c r="S62" s="1">
        <f>'Time &amp; Technical'!S63</f>
        <v>0</v>
      </c>
      <c r="T62" s="1">
        <f>'Time &amp; Technical'!T63</f>
        <v>0</v>
      </c>
      <c r="U62" s="1">
        <f>'Time &amp; Technical'!U63</f>
        <v>0</v>
      </c>
      <c r="V62" s="1">
        <f>'Time &amp; Technical'!V63</f>
        <v>0</v>
      </c>
      <c r="W62" s="1">
        <f>'Time &amp; Technical'!W63</f>
        <v>1042.1037474876</v>
      </c>
      <c r="X62" s="1">
        <f>'Time &amp; Technical'!X63</f>
        <v>1033.7669175076992</v>
      </c>
      <c r="Y62" s="1">
        <f>'Time &amp; Technical'!Y63</f>
        <v>1025.4967821676378</v>
      </c>
      <c r="Z62" s="1">
        <f>'Time &amp; Technical'!Z63</f>
        <v>1017.2928079102965</v>
      </c>
      <c r="AA62" s="1">
        <f>'Time &amp; Technical'!AA63</f>
        <v>1009.1544654470142</v>
      </c>
      <c r="AB62" s="1">
        <f>'Time &amp; Technical'!AB63</f>
        <v>1001.0812297234381</v>
      </c>
      <c r="AC62" s="1">
        <f>'Time &amp; Technical'!AC63</f>
        <v>993.0725798856505</v>
      </c>
      <c r="AD62" s="1">
        <f>'Time &amp; Technical'!AD63</f>
        <v>907.8426781180857</v>
      </c>
      <c r="AE62" s="1">
        <f>'Time &amp; Technical'!AE63</f>
        <v>1013.8937368245653</v>
      </c>
      <c r="AF62" s="1">
        <f>'Time &amp; Technical'!AF63</f>
        <v>1005.7825869299688</v>
      </c>
      <c r="AG62" s="1">
        <f>'Time &amp; Technical'!AG63</f>
        <v>997.73632623452897</v>
      </c>
      <c r="AH62" s="1">
        <f>'Time &amp; Technical'!AH63</f>
        <v>989.75443562465284</v>
      </c>
      <c r="AI62" s="1">
        <f>'Time &amp; Technical'!AI63</f>
        <v>981.83640013965544</v>
      </c>
      <c r="AJ62" s="1">
        <f>'Time &amp; Technical'!AJ63</f>
        <v>973.98170893853819</v>
      </c>
      <c r="AK62" s="1">
        <f>'Time &amp; Technical'!AK63</f>
        <v>956.40840566365137</v>
      </c>
      <c r="AL62" s="1">
        <f>'Time &amp; Technical'!AL63</f>
        <v>874.32518625407693</v>
      </c>
      <c r="AM62" s="1">
        <f>'Time &amp; Technical'!AM63</f>
        <v>976.46084686015809</v>
      </c>
      <c r="AN62" s="1">
        <f>'Time &amp; Technical'!AN63</f>
        <v>957.64178326612591</v>
      </c>
      <c r="AO62" s="1">
        <f>'Time &amp; Technical'!AO63</f>
        <v>949.98064899999679</v>
      </c>
      <c r="AP62" s="1">
        <f>'Time &amp; Technical'!AP63</f>
        <v>931.54884054583613</v>
      </c>
      <c r="AQ62" s="1">
        <f>'Time &amp; Technical'!AQ63</f>
        <v>924.09644982146938</v>
      </c>
      <c r="AR62" s="1">
        <f>'Time &amp; Technical'!AR63</f>
        <v>906.04433312728258</v>
      </c>
      <c r="AS62" s="1">
        <f>'Time &amp; Technical'!AS63</f>
        <v>898.79597846226409</v>
      </c>
      <c r="AT62" s="1">
        <f>'Time &amp; Technical'!AT63</f>
        <v>821.65731357007485</v>
      </c>
      <c r="AU62" s="1">
        <f>'Time &amp; Technical'!AU63</f>
        <v>917.64049446509557</v>
      </c>
      <c r="AV62" s="1">
        <f>'Time &amp; Technical'!AV63</f>
        <v>910.29937050937485</v>
      </c>
      <c r="AW62" s="1">
        <f>'Time &amp; Technical'!AW63</f>
        <v>903.01697554530006</v>
      </c>
      <c r="AX62" s="1">
        <f>'Time &amp; Technical'!AX63</f>
        <v>895.79283974093755</v>
      </c>
      <c r="AY62" s="1">
        <f>'Time &amp; Technical'!AY63</f>
        <v>888.62649702301007</v>
      </c>
      <c r="AZ62" s="1">
        <f>'Time &amp; Technical'!AZ63</f>
        <v>881.5174850468261</v>
      </c>
      <c r="BA62" s="1">
        <f>'Time &amp; Technical'!BA63</f>
        <v>874.46534516645124</v>
      </c>
      <c r="BB62" s="1">
        <f>'Time &amp; Technical'!BB63</f>
        <v>799.41484334285008</v>
      </c>
      <c r="BC62" s="1">
        <f>'Time &amp; Technical'!BC63</f>
        <v>892.79973537934927</v>
      </c>
      <c r="BD62" s="1">
        <f>'Time &amp; Technical'!BD63</f>
        <v>885.65733749631443</v>
      </c>
      <c r="BE62" s="1">
        <f>'Time &amp; Technical'!BE63</f>
        <v>878.57207879634393</v>
      </c>
      <c r="BF62" s="1">
        <f>'Time &amp; Technical'!BF63</f>
        <v>871.54350216597322</v>
      </c>
      <c r="BG62" s="1">
        <f>'Time &amp; Technical'!BG63</f>
        <v>864.57115414864541</v>
      </c>
      <c r="BH62" s="1">
        <f>'Time &amp; Technical'!BH63</f>
        <v>857.65458491545598</v>
      </c>
      <c r="BI62" s="1">
        <f>'Time &amp; Technical'!BI63</f>
        <v>850.79334823613226</v>
      </c>
      <c r="BJ62" s="1">
        <f>'Time &amp; Technical'!BJ63</f>
        <v>777.77448238141994</v>
      </c>
      <c r="BK62" t="s">
        <v>102</v>
      </c>
    </row>
    <row r="63" spans="1:63" ht="11.25" customHeight="1" x14ac:dyDescent="0.25">
      <c r="A63" s="5"/>
      <c r="B63" s="5" t="s">
        <v>482</v>
      </c>
      <c r="C63" s="87" t="s">
        <v>1</v>
      </c>
      <c r="D63" s="5"/>
      <c r="E63" s="1">
        <f t="shared" si="30"/>
        <v>4422225.9160367223</v>
      </c>
      <c r="F63" s="302" t="s">
        <v>26</v>
      </c>
      <c r="G63" s="1">
        <f>Revenues!G35</f>
        <v>0</v>
      </c>
      <c r="H63" s="1">
        <f>Revenues!H35</f>
        <v>0</v>
      </c>
      <c r="I63" s="1">
        <f>Revenues!I35</f>
        <v>0</v>
      </c>
      <c r="J63" s="1">
        <f>Revenues!J35</f>
        <v>0</v>
      </c>
      <c r="K63" s="1">
        <f>Revenues!K35</f>
        <v>0</v>
      </c>
      <c r="L63" s="1">
        <f>Revenues!L35</f>
        <v>0</v>
      </c>
      <c r="M63" s="1">
        <f>Revenues!M35</f>
        <v>0</v>
      </c>
      <c r="N63" s="1">
        <f>Revenues!N35</f>
        <v>0</v>
      </c>
      <c r="O63" s="1">
        <f>Revenues!O35</f>
        <v>0</v>
      </c>
      <c r="P63" s="1">
        <f>Revenues!P35</f>
        <v>0</v>
      </c>
      <c r="Q63" s="1">
        <f>Revenues!Q35</f>
        <v>0</v>
      </c>
      <c r="R63" s="1">
        <f>Revenues!R35</f>
        <v>0</v>
      </c>
      <c r="S63" s="1">
        <f>Revenues!S35</f>
        <v>0</v>
      </c>
      <c r="T63" s="1">
        <f>Revenues!T35</f>
        <v>0</v>
      </c>
      <c r="U63" s="1">
        <f>Revenues!U35</f>
        <v>0</v>
      </c>
      <c r="V63" s="1">
        <f>Revenues!V35</f>
        <v>0</v>
      </c>
      <c r="W63" s="1">
        <f>Revenues!W35</f>
        <v>77255.968276576561</v>
      </c>
      <c r="X63" s="1">
        <f>Revenues!X35</f>
        <v>78299.405889897258</v>
      </c>
      <c r="Y63" s="1">
        <f>Revenues!Y35</f>
        <v>77673.010642778085</v>
      </c>
      <c r="Z63" s="1">
        <f>Revenues!Z35</f>
        <v>79040.017679904617</v>
      </c>
      <c r="AA63" s="1">
        <f>Revenues!AA35</f>
        <v>78407.697538465392</v>
      </c>
      <c r="AB63" s="1">
        <f>Revenues!AB35</f>
        <v>79786.300968129493</v>
      </c>
      <c r="AC63" s="1">
        <f>Revenues!AC35</f>
        <v>79148.010560384457</v>
      </c>
      <c r="AD63" s="1">
        <f>Revenues!AD35</f>
        <v>74129.752311313263</v>
      </c>
      <c r="AE63" s="1">
        <f>Revenues!AE35</f>
        <v>82789.334972221506</v>
      </c>
      <c r="AF63" s="1">
        <f>Revenues!AF35</f>
        <v>83032.734732281999</v>
      </c>
      <c r="AG63" s="1">
        <f>Revenues!AG35</f>
        <v>82368.472854423744</v>
      </c>
      <c r="AH63" s="1">
        <f>Revenues!AH35</f>
        <v>82979.516076454704</v>
      </c>
      <c r="AI63" s="1">
        <f>Revenues!AI35</f>
        <v>82315.679947843048</v>
      </c>
      <c r="AJ63" s="1">
        <f>Revenues!AJ35</f>
        <v>83902.726257237475</v>
      </c>
      <c r="AK63" s="1">
        <f>Revenues!AK35</f>
        <v>106989.2222775643</v>
      </c>
      <c r="AL63" s="1">
        <f>Revenues!AL35</f>
        <v>104671.66171020181</v>
      </c>
      <c r="AM63" s="1">
        <f>Revenues!AM35</f>
        <v>118495.50580560003</v>
      </c>
      <c r="AN63" s="1">
        <f>Revenues!AN35</f>
        <v>119140.93842011748</v>
      </c>
      <c r="AO63" s="1">
        <f>Revenues!AO35</f>
        <v>119801.87190181589</v>
      </c>
      <c r="AP63" s="1">
        <f>Revenues!AP35</f>
        <v>119813.48522220481</v>
      </c>
      <c r="AQ63" s="1">
        <f>Revenues!AQ35</f>
        <v>120478.14965235304</v>
      </c>
      <c r="AR63" s="1">
        <f>Revenues!AR35</f>
        <v>120408.10911263601</v>
      </c>
      <c r="AS63" s="1">
        <f>Revenues!AS35</f>
        <v>121076.07221445339</v>
      </c>
      <c r="AT63" s="1">
        <f>Revenues!AT35</f>
        <v>112196.3797400217</v>
      </c>
      <c r="AU63" s="1">
        <f>Revenues!AU35</f>
        <v>127014.00311824113</v>
      </c>
      <c r="AV63" s="1">
        <f>Revenues!AV35</f>
        <v>127718.61236858439</v>
      </c>
      <c r="AW63" s="1">
        <f>Revenues!AW35</f>
        <v>128427.13043357397</v>
      </c>
      <c r="AX63" s="1">
        <f>Revenues!AX35</f>
        <v>129139.57899733033</v>
      </c>
      <c r="AY63" s="1">
        <f>Revenues!AY35</f>
        <v>129855.97986426664</v>
      </c>
      <c r="AZ63" s="1">
        <f>Revenues!AZ35</f>
        <v>130576.35495975573</v>
      </c>
      <c r="BA63" s="1">
        <f>Revenues!BA35</f>
        <v>131300.72633080132</v>
      </c>
      <c r="BB63" s="1">
        <f>Revenues!BB35</f>
        <v>121671.15997501519</v>
      </c>
      <c r="BC63" s="1">
        <f>Revenues!BC35</f>
        <v>137740.10470102538</v>
      </c>
      <c r="BD63" s="1">
        <f>Revenues!BD35</f>
        <v>138504.21692119722</v>
      </c>
      <c r="BE63" s="1">
        <f>Revenues!BE35</f>
        <v>139272.56804830389</v>
      </c>
      <c r="BF63" s="1">
        <f>Revenues!BF35</f>
        <v>140045.18159765043</v>
      </c>
      <c r="BG63" s="1">
        <f>Revenues!BG35</f>
        <v>140822.08121499303</v>
      </c>
      <c r="BH63" s="1">
        <f>Revenues!BH35</f>
        <v>141603.29067726227</v>
      </c>
      <c r="BI63" s="1">
        <f>Revenues!BI35</f>
        <v>142388.83389329145</v>
      </c>
      <c r="BJ63" s="1">
        <f>Revenues!BJ35</f>
        <v>131946.06817054914</v>
      </c>
      <c r="BK63" t="s">
        <v>102</v>
      </c>
    </row>
    <row r="64" spans="1:63" ht="11.25" customHeight="1" x14ac:dyDescent="0.25">
      <c r="A64" s="5"/>
      <c r="B64" s="5" t="s">
        <v>307</v>
      </c>
      <c r="C64" s="7" t="s">
        <v>308</v>
      </c>
      <c r="D64" s="5"/>
      <c r="E64" s="125">
        <f t="shared" si="30"/>
        <v>4.8458242613227362</v>
      </c>
      <c r="F64" s="302" t="s">
        <v>26</v>
      </c>
      <c r="G64" s="125">
        <f>IF(G62&gt;0,G63/(G62*1000),0)</f>
        <v>0</v>
      </c>
      <c r="H64" s="125">
        <f t="shared" ref="H64:BJ64" si="31">IF(H62&gt;0,H63/(H62*1000),0)</f>
        <v>0</v>
      </c>
      <c r="I64" s="125">
        <f t="shared" si="31"/>
        <v>0</v>
      </c>
      <c r="J64" s="125">
        <f t="shared" si="31"/>
        <v>0</v>
      </c>
      <c r="K64" s="125">
        <f t="shared" si="31"/>
        <v>0</v>
      </c>
      <c r="L64" s="125">
        <f t="shared" si="31"/>
        <v>0</v>
      </c>
      <c r="M64" s="125">
        <f t="shared" si="31"/>
        <v>0</v>
      </c>
      <c r="N64" s="125">
        <f t="shared" si="31"/>
        <v>0</v>
      </c>
      <c r="O64" s="125">
        <f t="shared" si="31"/>
        <v>0</v>
      </c>
      <c r="P64" s="125">
        <f t="shared" si="31"/>
        <v>0</v>
      </c>
      <c r="Q64" s="125">
        <f t="shared" si="31"/>
        <v>0</v>
      </c>
      <c r="R64" s="125">
        <f t="shared" si="31"/>
        <v>0</v>
      </c>
      <c r="S64" s="125">
        <f t="shared" si="31"/>
        <v>0</v>
      </c>
      <c r="T64" s="125">
        <f t="shared" si="31"/>
        <v>0</v>
      </c>
      <c r="U64" s="125">
        <f t="shared" si="31"/>
        <v>0</v>
      </c>
      <c r="V64" s="125">
        <f t="shared" si="31"/>
        <v>0</v>
      </c>
      <c r="W64" s="125">
        <f t="shared" si="31"/>
        <v>7.4134622836576861E-2</v>
      </c>
      <c r="X64" s="125">
        <f t="shared" si="31"/>
        <v>7.574183751078889E-2</v>
      </c>
      <c r="Y64" s="125">
        <f t="shared" si="31"/>
        <v>7.574183751078889E-2</v>
      </c>
      <c r="Z64" s="125">
        <f t="shared" si="31"/>
        <v>7.7696428270506615E-2</v>
      </c>
      <c r="AA64" s="125">
        <f t="shared" si="31"/>
        <v>7.7696428270506629E-2</v>
      </c>
      <c r="AB64" s="125">
        <f t="shared" si="31"/>
        <v>7.9700126822047704E-2</v>
      </c>
      <c r="AC64" s="125">
        <f t="shared" si="31"/>
        <v>7.9700126822047718E-2</v>
      </c>
      <c r="AD64" s="125">
        <f t="shared" si="31"/>
        <v>8.1654844058422854E-2</v>
      </c>
      <c r="AE64" s="125">
        <f t="shared" si="31"/>
        <v>8.1654844058422854E-2</v>
      </c>
      <c r="AF64" s="125">
        <f t="shared" si="31"/>
        <v>8.2555351237218674E-2</v>
      </c>
      <c r="AG64" s="125">
        <f t="shared" si="31"/>
        <v>8.2555351237218674E-2</v>
      </c>
      <c r="AH64" s="125">
        <f t="shared" si="31"/>
        <v>8.3838488709661346E-2</v>
      </c>
      <c r="AI64" s="125">
        <f t="shared" si="31"/>
        <v>8.3838488709661346E-2</v>
      </c>
      <c r="AJ64" s="125">
        <f t="shared" si="31"/>
        <v>8.6144047149177047E-2</v>
      </c>
      <c r="AK64" s="125">
        <f t="shared" si="31"/>
        <v>0.11186562314174196</v>
      </c>
      <c r="AL64" s="125">
        <f t="shared" si="31"/>
        <v>0.1197170839360728</v>
      </c>
      <c r="AM64" s="125">
        <f t="shared" si="31"/>
        <v>0.12135202981934833</v>
      </c>
      <c r="AN64" s="125">
        <f t="shared" si="31"/>
        <v>0.12441075619505269</v>
      </c>
      <c r="AO64" s="125">
        <f t="shared" si="31"/>
        <v>0.12610980237115996</v>
      </c>
      <c r="AP64" s="125">
        <f t="shared" si="31"/>
        <v>0.12861750238667113</v>
      </c>
      <c r="AQ64" s="125">
        <f t="shared" si="31"/>
        <v>0.13037399902967789</v>
      </c>
      <c r="AR64" s="125">
        <f t="shared" si="31"/>
        <v>0.13289427979427679</v>
      </c>
      <c r="AS64" s="125">
        <f t="shared" si="31"/>
        <v>0.13470918330275636</v>
      </c>
      <c r="AT64" s="125">
        <f t="shared" si="31"/>
        <v>0.13654887248861938</v>
      </c>
      <c r="AU64" s="125">
        <f t="shared" si="31"/>
        <v>0.13841368584358216</v>
      </c>
      <c r="AV64" s="125">
        <f t="shared" si="31"/>
        <v>0.14030396648205642</v>
      </c>
      <c r="AW64" s="125">
        <f t="shared" si="31"/>
        <v>0.14222006220428066</v>
      </c>
      <c r="AX64" s="125">
        <f t="shared" si="31"/>
        <v>0.144162325560313</v>
      </c>
      <c r="AY64" s="125">
        <f t="shared" si="31"/>
        <v>0.14613111391489844</v>
      </c>
      <c r="AZ64" s="125">
        <f t="shared" si="31"/>
        <v>0.14812678951322167</v>
      </c>
      <c r="BA64" s="125">
        <f t="shared" si="31"/>
        <v>0.15014971954755818</v>
      </c>
      <c r="BB64" s="125">
        <f t="shared" si="31"/>
        <v>0.15220027622483526</v>
      </c>
      <c r="BC64" s="125">
        <f t="shared" si="31"/>
        <v>0.15427883683511601</v>
      </c>
      <c r="BD64" s="125">
        <f t="shared" si="31"/>
        <v>0.15638578382101825</v>
      </c>
      <c r="BE64" s="125">
        <f t="shared" si="31"/>
        <v>0.15852150484808175</v>
      </c>
      <c r="BF64" s="125">
        <f t="shared" si="31"/>
        <v>0.16068639287609626</v>
      </c>
      <c r="BG64" s="125">
        <f t="shared" si="31"/>
        <v>0.16288084623140406</v>
      </c>
      <c r="BH64" s="125">
        <f t="shared" si="31"/>
        <v>0.1651052686801889</v>
      </c>
      <c r="BI64" s="125">
        <f t="shared" si="31"/>
        <v>0.16736006950276758</v>
      </c>
      <c r="BJ64" s="125">
        <f t="shared" si="31"/>
        <v>0.16964566356889413</v>
      </c>
      <c r="BK64" t="s">
        <v>102</v>
      </c>
    </row>
    <row r="65" spans="1:63" ht="11.25" customHeight="1" x14ac:dyDescent="0.25">
      <c r="A65" s="5"/>
      <c r="B65" s="5" t="s">
        <v>309</v>
      </c>
      <c r="C65" s="7" t="s">
        <v>308</v>
      </c>
      <c r="D65" s="5"/>
      <c r="E65" s="406">
        <f>AVERAGE(W64:BJ64)</f>
        <v>0.12114560653306841</v>
      </c>
      <c r="F65" s="302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t="s">
        <v>102</v>
      </c>
    </row>
    <row r="66" spans="1:63" ht="11.25" customHeight="1" x14ac:dyDescent="0.25">
      <c r="A66" s="5"/>
      <c r="B66" s="5"/>
      <c r="C66" s="5"/>
      <c r="D66" s="5"/>
      <c r="E66" s="5"/>
      <c r="F66" s="302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</row>
    <row r="67" spans="1:63" ht="11.25" customHeight="1" x14ac:dyDescent="0.25">
      <c r="A67" s="5"/>
      <c r="B67" s="5"/>
      <c r="C67" s="5"/>
      <c r="D67" s="5"/>
      <c r="E67" s="5"/>
      <c r="F67" s="302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</row>
    <row r="68" spans="1:63" ht="11.25" customHeight="1" x14ac:dyDescent="0.25">
      <c r="A68" s="5"/>
      <c r="B68" s="5"/>
      <c r="C68" s="5"/>
      <c r="D68" s="5"/>
      <c r="E68" s="5"/>
      <c r="F68" s="302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</row>
  </sheetData>
  <pageMargins left="0.7" right="0.7" top="0.75" bottom="0.75" header="0.3" footer="0.3"/>
  <pageSetup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theme="1" tint="0.499984740745262"/>
  </sheetPr>
  <dimension ref="A1:BK29"/>
  <sheetViews>
    <sheetView zoomScale="120" zoomScaleNormal="120" workbookViewId="0">
      <selection activeCell="B22" sqref="B22"/>
    </sheetView>
  </sheetViews>
  <sheetFormatPr defaultColWidth="8.7109375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style="305" customWidth="1"/>
    <col min="7" max="62" width="8.7109375" customWidth="1"/>
  </cols>
  <sheetData>
    <row r="1" spans="1:63" ht="11.25" customHeight="1" x14ac:dyDescent="0.25">
      <c r="A1" s="200" t="str">
        <f>Assumptions!A1</f>
        <v>Bien Hoa Power</v>
      </c>
      <c r="B1" s="201"/>
      <c r="C1" s="200" t="s">
        <v>20</v>
      </c>
      <c r="D1" s="200"/>
      <c r="E1" s="203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63" ht="11.25" customHeight="1" x14ac:dyDescent="0.25">
      <c r="A2" s="200" t="s">
        <v>277</v>
      </c>
      <c r="B2" s="201"/>
      <c r="C2" s="200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63" ht="11.25" customHeight="1" x14ac:dyDescent="0.25">
      <c r="A3" s="200"/>
      <c r="B3" s="201"/>
      <c r="C3" s="200"/>
      <c r="D3" s="200"/>
      <c r="E3" s="203" t="s">
        <v>403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63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302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t="s">
        <v>102</v>
      </c>
    </row>
    <row r="5" spans="1:63" ht="11.25" customHeight="1" x14ac:dyDescent="0.25">
      <c r="A5" s="5"/>
      <c r="B5" s="5"/>
      <c r="C5" s="5"/>
      <c r="D5" s="5"/>
      <c r="E5" s="5"/>
      <c r="F5" s="302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t="s">
        <v>102</v>
      </c>
    </row>
    <row r="6" spans="1:63" ht="11.25" customHeight="1" x14ac:dyDescent="0.25">
      <c r="A6" s="5" t="s">
        <v>26</v>
      </c>
      <c r="B6" s="3" t="s">
        <v>277</v>
      </c>
      <c r="C6" s="5"/>
      <c r="D6" s="5"/>
      <c r="E6" s="5"/>
      <c r="F6" s="302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t="s">
        <v>102</v>
      </c>
    </row>
    <row r="7" spans="1:63" ht="11.25" customHeight="1" x14ac:dyDescent="0.25">
      <c r="A7" s="5"/>
      <c r="B7" s="5" t="s">
        <v>278</v>
      </c>
      <c r="C7" s="5"/>
      <c r="D7" s="281">
        <f>Assumptions!D170</f>
        <v>330246.11397619656</v>
      </c>
      <c r="E7" s="5"/>
      <c r="F7" s="302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t="s">
        <v>102</v>
      </c>
    </row>
    <row r="8" spans="1:63" ht="11.25" customHeight="1" x14ac:dyDescent="0.25">
      <c r="A8" s="5"/>
      <c r="B8" s="5" t="s">
        <v>95</v>
      </c>
      <c r="C8" s="7" t="s">
        <v>52</v>
      </c>
      <c r="D8" s="404">
        <f>Assumptions!D157</f>
        <v>0.06</v>
      </c>
      <c r="E8" s="5"/>
      <c r="F8" s="302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t="s">
        <v>102</v>
      </c>
    </row>
    <row r="9" spans="1:63" ht="11.25" customHeight="1" x14ac:dyDescent="0.25">
      <c r="A9" s="5"/>
      <c r="B9" s="5" t="s">
        <v>96</v>
      </c>
      <c r="C9" s="7" t="s">
        <v>34</v>
      </c>
      <c r="D9" s="404">
        <f>Assumptions!D158</f>
        <v>0.45</v>
      </c>
      <c r="E9" s="5"/>
      <c r="F9" s="302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t="s">
        <v>102</v>
      </c>
    </row>
    <row r="10" spans="1:63" ht="11.25" customHeight="1" x14ac:dyDescent="0.25">
      <c r="A10" s="5"/>
      <c r="B10" s="5"/>
      <c r="C10" s="7"/>
      <c r="D10" s="282"/>
      <c r="E10" s="5"/>
      <c r="F10" s="302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9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t="s">
        <v>102</v>
      </c>
    </row>
    <row r="11" spans="1:63" ht="11.25" customHeight="1" x14ac:dyDescent="0.25">
      <c r="A11" s="5"/>
      <c r="B11" s="5" t="s">
        <v>105</v>
      </c>
      <c r="C11" s="7" t="s">
        <v>101</v>
      </c>
      <c r="D11" s="5"/>
      <c r="E11" s="5"/>
      <c r="F11" s="302"/>
      <c r="G11" s="26">
        <f>'Time &amp; Technical'!G26</f>
        <v>0</v>
      </c>
      <c r="H11" s="26">
        <f>'Time &amp; Technical'!H26</f>
        <v>0</v>
      </c>
      <c r="I11" s="26">
        <f>'Time &amp; Technical'!I26</f>
        <v>0</v>
      </c>
      <c r="J11" s="26">
        <f>'Time &amp; Technical'!J26</f>
        <v>0</v>
      </c>
      <c r="K11" s="26">
        <f>'Time &amp; Technical'!K26</f>
        <v>0</v>
      </c>
      <c r="L11" s="26">
        <f>'Time &amp; Technical'!L26</f>
        <v>0</v>
      </c>
      <c r="M11" s="26">
        <f>'Time &amp; Technical'!M26</f>
        <v>0</v>
      </c>
      <c r="N11" s="26">
        <f>'Time &amp; Technical'!N26</f>
        <v>0</v>
      </c>
      <c r="O11" s="26">
        <f>'Time &amp; Technical'!O26</f>
        <v>0</v>
      </c>
      <c r="P11" s="26">
        <f>'Time &amp; Technical'!P26</f>
        <v>0</v>
      </c>
      <c r="Q11" s="26">
        <f>'Time &amp; Technical'!Q26</f>
        <v>0</v>
      </c>
      <c r="R11" s="26">
        <f>'Time &amp; Technical'!R26</f>
        <v>0</v>
      </c>
      <c r="S11" s="26">
        <f>'Time &amp; Technical'!S26</f>
        <v>0</v>
      </c>
      <c r="T11" s="26">
        <f>'Time &amp; Technical'!T26</f>
        <v>0</v>
      </c>
      <c r="U11" s="26">
        <f>'Time &amp; Technical'!U26</f>
        <v>0</v>
      </c>
      <c r="V11" s="26">
        <f>'Time &amp; Technical'!V26</f>
        <v>0</v>
      </c>
      <c r="W11" s="26">
        <f>'Time &amp; Technical'!W26</f>
        <v>1</v>
      </c>
      <c r="X11" s="26">
        <f>'Time &amp; Technical'!X26</f>
        <v>1</v>
      </c>
      <c r="Y11" s="26">
        <f>'Time &amp; Technical'!Y26</f>
        <v>1</v>
      </c>
      <c r="Z11" s="26">
        <f>'Time &amp; Technical'!Z26</f>
        <v>1</v>
      </c>
      <c r="AA11" s="26">
        <f>'Time &amp; Technical'!AA26</f>
        <v>1</v>
      </c>
      <c r="AB11" s="26">
        <f>'Time &amp; Technical'!AB26</f>
        <v>1</v>
      </c>
      <c r="AC11" s="26">
        <f>'Time &amp; Technical'!AC26</f>
        <v>1</v>
      </c>
      <c r="AD11" s="26">
        <f>'Time &amp; Technical'!AD26</f>
        <v>1</v>
      </c>
      <c r="AE11" s="26">
        <f>'Time &amp; Technical'!AE26</f>
        <v>1</v>
      </c>
      <c r="AF11" s="26">
        <f>'Time &amp; Technical'!AF26</f>
        <v>1</v>
      </c>
      <c r="AG11" s="26">
        <f>'Time &amp; Technical'!AG26</f>
        <v>1</v>
      </c>
      <c r="AH11" s="26">
        <f>'Time &amp; Technical'!AH26</f>
        <v>1</v>
      </c>
      <c r="AI11" s="26">
        <f>'Time &amp; Technical'!AI26</f>
        <v>1</v>
      </c>
      <c r="AJ11" s="26">
        <f>'Time &amp; Technical'!AJ26</f>
        <v>1</v>
      </c>
      <c r="AK11" s="26">
        <f>'Time &amp; Technical'!AK26</f>
        <v>1</v>
      </c>
      <c r="AL11" s="26">
        <f>'Time &amp; Technical'!AL26</f>
        <v>1</v>
      </c>
      <c r="AM11" s="26">
        <f>'Time &amp; Technical'!AM26</f>
        <v>1</v>
      </c>
      <c r="AN11" s="26">
        <f>'Time &amp; Technical'!AN26</f>
        <v>1</v>
      </c>
      <c r="AO11" s="26">
        <f>'Time &amp; Technical'!AO26</f>
        <v>1</v>
      </c>
      <c r="AP11" s="26">
        <f>'Time &amp; Technical'!AP26</f>
        <v>1</v>
      </c>
      <c r="AQ11" s="26">
        <f>'Time &amp; Technical'!AQ26</f>
        <v>1</v>
      </c>
      <c r="AR11" s="26">
        <f>'Time &amp; Technical'!AR26</f>
        <v>1</v>
      </c>
      <c r="AS11" s="26">
        <f>'Time &amp; Technical'!AS26</f>
        <v>1</v>
      </c>
      <c r="AT11" s="26">
        <f>'Time &amp; Technical'!AT26</f>
        <v>1</v>
      </c>
      <c r="AU11" s="26">
        <f>'Time &amp; Technical'!AU26</f>
        <v>1</v>
      </c>
      <c r="AV11" s="26">
        <f>'Time &amp; Technical'!AV26</f>
        <v>1</v>
      </c>
      <c r="AW11" s="26">
        <f>'Time &amp; Technical'!AW26</f>
        <v>1</v>
      </c>
      <c r="AX11" s="26">
        <f>'Time &amp; Technical'!AX26</f>
        <v>1</v>
      </c>
      <c r="AY11" s="26">
        <f>'Time &amp; Technical'!AY26</f>
        <v>1</v>
      </c>
      <c r="AZ11" s="26">
        <f>'Time &amp; Technical'!AZ26</f>
        <v>1</v>
      </c>
      <c r="BA11" s="26">
        <f>'Time &amp; Technical'!BA26</f>
        <v>1</v>
      </c>
      <c r="BB11" s="26">
        <f>'Time &amp; Technical'!BB26</f>
        <v>1</v>
      </c>
      <c r="BC11" s="26">
        <f>'Time &amp; Technical'!BC26</f>
        <v>1</v>
      </c>
      <c r="BD11" s="26">
        <f>'Time &amp; Technical'!BD26</f>
        <v>1</v>
      </c>
      <c r="BE11" s="26">
        <f>'Time &amp; Technical'!BE26</f>
        <v>1</v>
      </c>
      <c r="BF11" s="26">
        <f>'Time &amp; Technical'!BF26</f>
        <v>1</v>
      </c>
      <c r="BG11" s="26">
        <f>'Time &amp; Technical'!BG26</f>
        <v>1</v>
      </c>
      <c r="BH11" s="26">
        <f>'Time &amp; Technical'!BH26</f>
        <v>1</v>
      </c>
      <c r="BI11" s="26">
        <f>'Time &amp; Technical'!BI26</f>
        <v>1</v>
      </c>
      <c r="BJ11" s="26">
        <f>'Time &amp; Technical'!BJ26</f>
        <v>1</v>
      </c>
      <c r="BK11" t="s">
        <v>102</v>
      </c>
    </row>
    <row r="12" spans="1:63" ht="11.25" customHeight="1" x14ac:dyDescent="0.25">
      <c r="A12" s="5"/>
      <c r="B12" s="5" t="s">
        <v>279</v>
      </c>
      <c r="C12" s="7" t="s">
        <v>1</v>
      </c>
      <c r="D12" s="5"/>
      <c r="E12" s="5"/>
      <c r="F12" s="302"/>
      <c r="G12" s="1">
        <f>IF(G11=0,Construction!G43,Debt!G17)</f>
        <v>0</v>
      </c>
      <c r="H12" s="1">
        <f>IF(H11=0,Construction!H43,Debt!H17)</f>
        <v>58210.36269417149</v>
      </c>
      <c r="I12" s="1">
        <f>IF(I11=0,Construction!I43,Debt!I17)</f>
        <v>76380.836144933564</v>
      </c>
      <c r="J12" s="1">
        <f>IF(J11=0,Construction!J43,Debt!J17)</f>
        <v>97228.615978962596</v>
      </c>
      <c r="K12" s="1">
        <f>IF(K11=0,Construction!K43,Debt!K17)</f>
        <v>113468.66781762405</v>
      </c>
      <c r="L12" s="1">
        <f>IF(L11=0,Construction!L43,Debt!L17)</f>
        <v>122600.81473329842</v>
      </c>
      <c r="M12" s="1">
        <f>IF(M11=0,Construction!M43,Debt!M17)</f>
        <v>141612.2274876915</v>
      </c>
      <c r="N12" s="1">
        <f>IF(N11=0,Construction!N43,Debt!N17)</f>
        <v>155991.92929265695</v>
      </c>
      <c r="O12" s="1">
        <f>IF(O11=0,Construction!O43,Debt!O17)</f>
        <v>177879.43000319524</v>
      </c>
      <c r="P12" s="1">
        <f>IF(P11=0,Construction!P43,Debt!P17)</f>
        <v>197612.78147301316</v>
      </c>
      <c r="Q12" s="1">
        <f>IF(Q11=0,Construction!Q43,Debt!Q17)</f>
        <v>215163.8505130269</v>
      </c>
      <c r="R12" s="1">
        <f>IF(R11=0,Construction!R43,Debt!R17)</f>
        <v>240264.13651470322</v>
      </c>
      <c r="S12" s="1">
        <f>IF(S11=0,Construction!S43,Debt!S17)</f>
        <v>251052.23225156145</v>
      </c>
      <c r="T12" s="1">
        <f>IF(T11=0,Construction!T43,Debt!T17)</f>
        <v>274181.22051874304</v>
      </c>
      <c r="U12" s="1">
        <f>IF(U11=0,Construction!U43,Debt!U17)</f>
        <v>287852.27337269404</v>
      </c>
      <c r="V12" s="1">
        <f>IF(V11=0,Construction!V43,Debt!V17)</f>
        <v>330246.1139761965</v>
      </c>
      <c r="W12" s="1">
        <f>IF(W11=0,Construction!W43,Debt!W17)</f>
        <v>322269.05564869702</v>
      </c>
      <c r="X12" s="1">
        <f>IF(X11=0,Construction!X43,Debt!X17)</f>
        <v>314011.60372098588</v>
      </c>
      <c r="Y12" s="1">
        <f>IF(Y11=0,Construction!Y43,Debt!Y17)</f>
        <v>305463.90235801565</v>
      </c>
      <c r="Z12" s="1">
        <f>IF(Z11=0,Construction!Z43,Debt!Z17)</f>
        <v>296615.74929213704</v>
      </c>
      <c r="AA12" s="1">
        <f>IF(AA11=0,Construction!AA43,Debt!AA17)</f>
        <v>287456.5836459928</v>
      </c>
      <c r="AB12" s="1">
        <f>IF(AB11=0,Construction!AB43,Debt!AB17)</f>
        <v>277975.4733273866</v>
      </c>
      <c r="AC12" s="1">
        <f>IF(AC11=0,Construction!AC43,Debt!AC17)</f>
        <v>268161.10198108136</v>
      </c>
      <c r="AD12" s="1">
        <f>IF(AD11=0,Construction!AD43,Debt!AD17)</f>
        <v>258001.7554819535</v>
      </c>
      <c r="AE12" s="1">
        <f>IF(AE11=0,Construction!AE43,Debt!AE17)</f>
        <v>247485.3079533813</v>
      </c>
      <c r="AF12" s="1">
        <f>IF(AF11=0,Construction!AF43,Debt!AF17)</f>
        <v>236599.2072941798</v>
      </c>
      <c r="AG12" s="1">
        <f>IF(AG11=0,Construction!AG43,Debt!AG17)</f>
        <v>225330.46019680737</v>
      </c>
      <c r="AH12" s="1">
        <f>IF(AH11=0,Construction!AH43,Debt!AH17)</f>
        <v>213665.6166389623</v>
      </c>
      <c r="AI12" s="1">
        <f>IF(AI11=0,Construction!AI43,Debt!AI17)</f>
        <v>201590.75383005897</v>
      </c>
      <c r="AJ12" s="1">
        <f>IF(AJ11=0,Construction!AJ43,Debt!AJ17)</f>
        <v>189091.45959342268</v>
      </c>
      <c r="AK12" s="1">
        <f>IF(AK11=0,Construction!AK43,Debt!AK17)</f>
        <v>176152.81516436863</v>
      </c>
      <c r="AL12" s="1">
        <f>IF(AL11=0,Construction!AL43,Debt!AL17)</f>
        <v>162759.37738363331</v>
      </c>
      <c r="AM12" s="1">
        <f>IF(AM11=0,Construction!AM43,Debt!AM17)</f>
        <v>148895.16026490516</v>
      </c>
      <c r="AN12" s="1">
        <f>IF(AN11=0,Construction!AN43,Debt!AN17)</f>
        <v>134543.61591445372</v>
      </c>
      <c r="AO12" s="1">
        <f>IF(AO11=0,Construction!AO43,Debt!AO17)</f>
        <v>119687.61478008391</v>
      </c>
      <c r="AP12" s="1">
        <f>IF(AP11=0,Construction!AP43,Debt!AP17)</f>
        <v>104309.42520584101</v>
      </c>
      <c r="AQ12" s="1">
        <f>IF(AQ11=0,Construction!AQ43,Debt!AQ17)</f>
        <v>88390.69226806346</v>
      </c>
      <c r="AR12" s="1">
        <f>IF(AR11=0,Construction!AR43,Debt!AR17)</f>
        <v>71912.415867523028</v>
      </c>
      <c r="AS12" s="1">
        <f>IF(AS11=0,Construction!AS43,Debt!AS17)</f>
        <v>54854.928051503608</v>
      </c>
      <c r="AT12" s="1">
        <f>IF(AT11=0,Construction!AT43,Debt!AT17)</f>
        <v>37197.869538751103</v>
      </c>
      <c r="AU12" s="1">
        <f>IF(AU11=0,Construction!AU43,Debt!AU17)</f>
        <v>18920.165419275349</v>
      </c>
      <c r="AV12" s="1">
        <f>IF(AV11=0,Construction!AV43,Debt!AV17)</f>
        <v>2.1827872842550278E-11</v>
      </c>
      <c r="AW12" s="1">
        <f>IF(AW11=0,Construction!AW43,Debt!AW17)</f>
        <v>2.1827872842550278E-11</v>
      </c>
      <c r="AX12" s="1">
        <f>IF(AX11=0,Construction!AX43,Debt!AX17)</f>
        <v>2.1827872842550278E-11</v>
      </c>
      <c r="AY12" s="1">
        <f>IF(AY11=0,Construction!AY43,Debt!AY17)</f>
        <v>2.1827872842550278E-11</v>
      </c>
      <c r="AZ12" s="1">
        <f>IF(AZ11=0,Construction!AZ43,Debt!AZ17)</f>
        <v>2.1827872842550278E-11</v>
      </c>
      <c r="BA12" s="1">
        <f>IF(BA11=0,Construction!BA43,Debt!BA17)</f>
        <v>2.1827872842550278E-11</v>
      </c>
      <c r="BB12" s="1">
        <f>IF(BB11=0,Construction!BB43,Debt!BB17)</f>
        <v>2.1827872842550278E-11</v>
      </c>
      <c r="BC12" s="1">
        <f>IF(BC11=0,Construction!BC43,Debt!BC17)</f>
        <v>2.1827872842550278E-11</v>
      </c>
      <c r="BD12" s="1">
        <f>IF(BD11=0,Construction!BD43,Debt!BD17)</f>
        <v>2.1827872842550278E-11</v>
      </c>
      <c r="BE12" s="1">
        <f>IF(BE11=0,Construction!BE43,Debt!BE17)</f>
        <v>2.1827872842550278E-11</v>
      </c>
      <c r="BF12" s="1">
        <f>IF(BF11=0,Construction!BF43,Debt!BF17)</f>
        <v>2.1827872842550278E-11</v>
      </c>
      <c r="BG12" s="1">
        <f>IF(BG11=0,Construction!BG43,Debt!BG17)</f>
        <v>2.1827872842550278E-11</v>
      </c>
      <c r="BH12" s="1">
        <f>IF(BH11=0,Construction!BH43,Debt!BH17)</f>
        <v>2.1827872842550278E-11</v>
      </c>
      <c r="BI12" s="1">
        <f>IF(BI11=0,Construction!BI43,Debt!BI17)</f>
        <v>2.1827872842550278E-11</v>
      </c>
      <c r="BJ12" s="1">
        <f>IF(BJ11=0,Construction!BJ43,Debt!BJ17)</f>
        <v>2.1827872842550278E-11</v>
      </c>
      <c r="BK12" t="s">
        <v>102</v>
      </c>
    </row>
    <row r="13" spans="1:63" ht="11.25" customHeight="1" x14ac:dyDescent="0.25">
      <c r="A13" s="5"/>
      <c r="B13" s="5" t="s">
        <v>280</v>
      </c>
      <c r="C13" s="7" t="s">
        <v>34</v>
      </c>
      <c r="D13" s="404">
        <f>Assumptions!D156</f>
        <v>0.13</v>
      </c>
      <c r="E13" s="1"/>
      <c r="F13" s="302" t="s">
        <v>26</v>
      </c>
      <c r="G13" s="1">
        <f>IF(AND(F12=0,G12&gt;0),-$D$13*$D$7,0)</f>
        <v>0</v>
      </c>
      <c r="H13" s="1">
        <f t="shared" ref="H13:BJ13" si="0">IF(AND(G12=0,H12&gt;0),-$D$13*$D$7,0)</f>
        <v>-42931.994816905557</v>
      </c>
      <c r="I13" s="1">
        <f t="shared" si="0"/>
        <v>0</v>
      </c>
      <c r="J13" s="1">
        <f t="shared" si="0"/>
        <v>0</v>
      </c>
      <c r="K13" s="1">
        <f t="shared" si="0"/>
        <v>0</v>
      </c>
      <c r="L13" s="1">
        <f t="shared" si="0"/>
        <v>0</v>
      </c>
      <c r="M13" s="1">
        <f t="shared" si="0"/>
        <v>0</v>
      </c>
      <c r="N13" s="1">
        <f t="shared" si="0"/>
        <v>0</v>
      </c>
      <c r="O13" s="1">
        <f t="shared" si="0"/>
        <v>0</v>
      </c>
      <c r="P13" s="1">
        <f t="shared" si="0"/>
        <v>0</v>
      </c>
      <c r="Q13" s="1">
        <f t="shared" si="0"/>
        <v>0</v>
      </c>
      <c r="R13" s="1">
        <f t="shared" si="0"/>
        <v>0</v>
      </c>
      <c r="S13" s="1">
        <f t="shared" si="0"/>
        <v>0</v>
      </c>
      <c r="T13" s="1">
        <f t="shared" si="0"/>
        <v>0</v>
      </c>
      <c r="U13" s="1">
        <f t="shared" si="0"/>
        <v>0</v>
      </c>
      <c r="V13" s="1">
        <f t="shared" si="0"/>
        <v>0</v>
      </c>
      <c r="W13" s="1">
        <f t="shared" si="0"/>
        <v>0</v>
      </c>
      <c r="X13" s="1">
        <f t="shared" si="0"/>
        <v>0</v>
      </c>
      <c r="Y13" s="1">
        <f t="shared" si="0"/>
        <v>0</v>
      </c>
      <c r="Z13" s="1">
        <f t="shared" si="0"/>
        <v>0</v>
      </c>
      <c r="AA13" s="1">
        <f t="shared" si="0"/>
        <v>0</v>
      </c>
      <c r="AB13" s="1">
        <f t="shared" si="0"/>
        <v>0</v>
      </c>
      <c r="AC13" s="1">
        <f t="shared" si="0"/>
        <v>0</v>
      </c>
      <c r="AD13" s="1">
        <f t="shared" si="0"/>
        <v>0</v>
      </c>
      <c r="AE13" s="1">
        <f t="shared" si="0"/>
        <v>0</v>
      </c>
      <c r="AF13" s="1">
        <f t="shared" si="0"/>
        <v>0</v>
      </c>
      <c r="AG13" s="1">
        <f t="shared" si="0"/>
        <v>0</v>
      </c>
      <c r="AH13" s="1">
        <f t="shared" si="0"/>
        <v>0</v>
      </c>
      <c r="AI13" s="1">
        <f t="shared" si="0"/>
        <v>0</v>
      </c>
      <c r="AJ13" s="1">
        <f t="shared" si="0"/>
        <v>0</v>
      </c>
      <c r="AK13" s="1">
        <f t="shared" si="0"/>
        <v>0</v>
      </c>
      <c r="AL13" s="1">
        <f t="shared" si="0"/>
        <v>0</v>
      </c>
      <c r="AM13" s="1">
        <f t="shared" si="0"/>
        <v>0</v>
      </c>
      <c r="AN13" s="1">
        <f t="shared" si="0"/>
        <v>0</v>
      </c>
      <c r="AO13" s="1">
        <f t="shared" si="0"/>
        <v>0</v>
      </c>
      <c r="AP13" s="1">
        <f t="shared" si="0"/>
        <v>0</v>
      </c>
      <c r="AQ13" s="1">
        <f t="shared" si="0"/>
        <v>0</v>
      </c>
      <c r="AR13" s="1">
        <f t="shared" si="0"/>
        <v>0</v>
      </c>
      <c r="AS13" s="1">
        <f t="shared" si="0"/>
        <v>0</v>
      </c>
      <c r="AT13" s="1">
        <f t="shared" si="0"/>
        <v>0</v>
      </c>
      <c r="AU13" s="1">
        <f t="shared" si="0"/>
        <v>0</v>
      </c>
      <c r="AV13" s="1">
        <f t="shared" si="0"/>
        <v>0</v>
      </c>
      <c r="AW13" s="1">
        <f t="shared" si="0"/>
        <v>0</v>
      </c>
      <c r="AX13" s="1">
        <f t="shared" si="0"/>
        <v>0</v>
      </c>
      <c r="AY13" s="1">
        <f t="shared" si="0"/>
        <v>0</v>
      </c>
      <c r="AZ13" s="1">
        <f t="shared" si="0"/>
        <v>0</v>
      </c>
      <c r="BA13" s="1">
        <f t="shared" si="0"/>
        <v>0</v>
      </c>
      <c r="BB13" s="1">
        <f t="shared" si="0"/>
        <v>0</v>
      </c>
      <c r="BC13" s="1">
        <f t="shared" si="0"/>
        <v>0</v>
      </c>
      <c r="BD13" s="1">
        <f t="shared" si="0"/>
        <v>0</v>
      </c>
      <c r="BE13" s="1">
        <f t="shared" si="0"/>
        <v>0</v>
      </c>
      <c r="BF13" s="1">
        <f t="shared" si="0"/>
        <v>0</v>
      </c>
      <c r="BG13" s="1">
        <f t="shared" si="0"/>
        <v>0</v>
      </c>
      <c r="BH13" s="1">
        <f t="shared" si="0"/>
        <v>0</v>
      </c>
      <c r="BI13" s="1">
        <f t="shared" si="0"/>
        <v>0</v>
      </c>
      <c r="BJ13" s="1">
        <f t="shared" si="0"/>
        <v>0</v>
      </c>
      <c r="BK13" t="s">
        <v>102</v>
      </c>
    </row>
    <row r="14" spans="1:63" ht="11.25" customHeight="1" x14ac:dyDescent="0.25">
      <c r="A14" s="5"/>
      <c r="B14" s="5" t="s">
        <v>281</v>
      </c>
      <c r="C14" s="7" t="s">
        <v>1</v>
      </c>
      <c r="D14" s="5"/>
      <c r="E14" s="1"/>
      <c r="F14" s="302" t="s">
        <v>26</v>
      </c>
      <c r="G14" s="1">
        <f t="shared" ref="G14" si="1">IF(G11=1,$D$13*(F12-G12),0)</f>
        <v>0</v>
      </c>
      <c r="H14" s="1">
        <f>IF(H11=1,$D$13*(G12-H12),0)</f>
        <v>0</v>
      </c>
      <c r="I14" s="1">
        <f t="shared" ref="I14:BJ14" si="2">IF(I11=1,$D$13*(H12-I12),0)</f>
        <v>0</v>
      </c>
      <c r="J14" s="1">
        <f t="shared" si="2"/>
        <v>0</v>
      </c>
      <c r="K14" s="1">
        <f t="shared" si="2"/>
        <v>0</v>
      </c>
      <c r="L14" s="1">
        <f t="shared" si="2"/>
        <v>0</v>
      </c>
      <c r="M14" s="1">
        <f t="shared" si="2"/>
        <v>0</v>
      </c>
      <c r="N14" s="1">
        <f t="shared" si="2"/>
        <v>0</v>
      </c>
      <c r="O14" s="1">
        <f t="shared" si="2"/>
        <v>0</v>
      </c>
      <c r="P14" s="1">
        <f t="shared" si="2"/>
        <v>0</v>
      </c>
      <c r="Q14" s="1">
        <f t="shared" si="2"/>
        <v>0</v>
      </c>
      <c r="R14" s="1">
        <f t="shared" si="2"/>
        <v>0</v>
      </c>
      <c r="S14" s="1">
        <f t="shared" si="2"/>
        <v>0</v>
      </c>
      <c r="T14" s="1">
        <f t="shared" si="2"/>
        <v>0</v>
      </c>
      <c r="U14" s="1">
        <f t="shared" si="2"/>
        <v>0</v>
      </c>
      <c r="V14" s="1">
        <f t="shared" si="2"/>
        <v>0</v>
      </c>
      <c r="W14" s="1">
        <f t="shared" si="2"/>
        <v>1037.0175825749332</v>
      </c>
      <c r="X14" s="1">
        <f t="shared" si="2"/>
        <v>1073.4687506024482</v>
      </c>
      <c r="Y14" s="1">
        <f t="shared" si="2"/>
        <v>1111.2011771861296</v>
      </c>
      <c r="Z14" s="1">
        <f t="shared" si="2"/>
        <v>1150.2598985642189</v>
      </c>
      <c r="AA14" s="1">
        <f t="shared" si="2"/>
        <v>1190.6915339987522</v>
      </c>
      <c r="AB14" s="1">
        <f t="shared" si="2"/>
        <v>1232.5443414188055</v>
      </c>
      <c r="AC14" s="1">
        <f t="shared" si="2"/>
        <v>1275.8682750196813</v>
      </c>
      <c r="AD14" s="1">
        <f t="shared" si="2"/>
        <v>1320.7150448866219</v>
      </c>
      <c r="AE14" s="1">
        <f t="shared" si="2"/>
        <v>1367.138178714386</v>
      </c>
      <c r="AF14" s="1">
        <f t="shared" si="2"/>
        <v>1415.1930856961956</v>
      </c>
      <c r="AG14" s="1">
        <f t="shared" si="2"/>
        <v>1464.9371226584155</v>
      </c>
      <c r="AH14" s="1">
        <f t="shared" si="2"/>
        <v>1516.4296625198597</v>
      </c>
      <c r="AI14" s="1">
        <f t="shared" si="2"/>
        <v>1569.732165157433</v>
      </c>
      <c r="AJ14" s="1">
        <f t="shared" si="2"/>
        <v>1624.908250762717</v>
      </c>
      <c r="AK14" s="1">
        <f t="shared" si="2"/>
        <v>1682.0237757770269</v>
      </c>
      <c r="AL14" s="1">
        <f t="shared" si="2"/>
        <v>1741.1469114955912</v>
      </c>
      <c r="AM14" s="1">
        <f t="shared" si="2"/>
        <v>1802.3482254346595</v>
      </c>
      <c r="AN14" s="1">
        <f t="shared" si="2"/>
        <v>1865.7007655586874</v>
      </c>
      <c r="AO14" s="1">
        <f t="shared" si="2"/>
        <v>1931.2801474680757</v>
      </c>
      <c r="AP14" s="1">
        <f t="shared" si="2"/>
        <v>1999.1646446515776</v>
      </c>
      <c r="AQ14" s="1">
        <f t="shared" si="2"/>
        <v>2069.4352819110809</v>
      </c>
      <c r="AR14" s="1">
        <f t="shared" si="2"/>
        <v>2142.1759320702563</v>
      </c>
      <c r="AS14" s="1">
        <f t="shared" si="2"/>
        <v>2217.4734160825246</v>
      </c>
      <c r="AT14" s="1">
        <f t="shared" si="2"/>
        <v>2295.4176066578257</v>
      </c>
      <c r="AU14" s="1">
        <f t="shared" si="2"/>
        <v>2376.1015355318482</v>
      </c>
      <c r="AV14" s="1">
        <f t="shared" si="2"/>
        <v>2459.6215045057925</v>
      </c>
      <c r="AW14" s="1">
        <f t="shared" si="2"/>
        <v>0</v>
      </c>
      <c r="AX14" s="1">
        <f t="shared" si="2"/>
        <v>0</v>
      </c>
      <c r="AY14" s="1">
        <f t="shared" si="2"/>
        <v>0</v>
      </c>
      <c r="AZ14" s="1">
        <f t="shared" si="2"/>
        <v>0</v>
      </c>
      <c r="BA14" s="1">
        <f t="shared" si="2"/>
        <v>0</v>
      </c>
      <c r="BB14" s="1">
        <f t="shared" si="2"/>
        <v>0</v>
      </c>
      <c r="BC14" s="1">
        <f t="shared" si="2"/>
        <v>0</v>
      </c>
      <c r="BD14" s="1">
        <f t="shared" si="2"/>
        <v>0</v>
      </c>
      <c r="BE14" s="1">
        <f t="shared" si="2"/>
        <v>0</v>
      </c>
      <c r="BF14" s="1">
        <f t="shared" si="2"/>
        <v>0</v>
      </c>
      <c r="BG14" s="1">
        <f t="shared" si="2"/>
        <v>0</v>
      </c>
      <c r="BH14" s="1">
        <f t="shared" si="2"/>
        <v>0</v>
      </c>
      <c r="BI14" s="1">
        <f t="shared" si="2"/>
        <v>0</v>
      </c>
      <c r="BJ14" s="1">
        <f t="shared" si="2"/>
        <v>0</v>
      </c>
      <c r="BK14" t="s">
        <v>102</v>
      </c>
    </row>
    <row r="15" spans="1:63" ht="11.25" customHeight="1" x14ac:dyDescent="0.25">
      <c r="A15" s="5"/>
      <c r="B15" s="5" t="s">
        <v>282</v>
      </c>
      <c r="C15" s="7" t="s">
        <v>34</v>
      </c>
      <c r="D15" s="407">
        <f>Assumptions!D150</f>
        <v>1.2E-2</v>
      </c>
      <c r="E15" s="1"/>
      <c r="F15" s="302" t="s">
        <v>26</v>
      </c>
      <c r="G15" s="1">
        <f>Construction!G19</f>
        <v>0</v>
      </c>
      <c r="H15" s="1">
        <f>Construction!H19</f>
        <v>3962.9533677143586</v>
      </c>
      <c r="I15" s="1">
        <f>Construction!I19</f>
        <v>0</v>
      </c>
      <c r="J15" s="1">
        <f>Construction!J19</f>
        <v>0</v>
      </c>
      <c r="K15" s="1">
        <f>Construction!K19</f>
        <v>0</v>
      </c>
      <c r="L15" s="1">
        <f>Construction!L19</f>
        <v>0</v>
      </c>
      <c r="M15" s="1">
        <f>Construction!M19</f>
        <v>0</v>
      </c>
      <c r="N15" s="1">
        <f>Construction!N19</f>
        <v>0</v>
      </c>
      <c r="O15" s="1">
        <f>Construction!O19</f>
        <v>0</v>
      </c>
      <c r="P15" s="1">
        <f>Construction!P19</f>
        <v>0</v>
      </c>
      <c r="Q15" s="1">
        <f>Construction!Q19</f>
        <v>0</v>
      </c>
      <c r="R15" s="1">
        <f>Construction!R19</f>
        <v>0</v>
      </c>
      <c r="S15" s="1">
        <f>Construction!S19</f>
        <v>0</v>
      </c>
      <c r="T15" s="1">
        <f>Construction!T19</f>
        <v>0</v>
      </c>
      <c r="U15" s="1">
        <f>Construction!U19</f>
        <v>0</v>
      </c>
      <c r="V15" s="1">
        <f>Construction!V19</f>
        <v>0</v>
      </c>
      <c r="W15" s="1">
        <f>Construction!W19</f>
        <v>0</v>
      </c>
      <c r="X15" s="1">
        <f>Construction!X19</f>
        <v>0</v>
      </c>
      <c r="Y15" s="1">
        <f>Construction!Y19</f>
        <v>0</v>
      </c>
      <c r="Z15" s="1">
        <f>Construction!Z19</f>
        <v>0</v>
      </c>
      <c r="AA15" s="1">
        <f>Construction!AA19</f>
        <v>0</v>
      </c>
      <c r="AB15" s="1">
        <f>Construction!AB19</f>
        <v>0</v>
      </c>
      <c r="AC15" s="1">
        <f>Construction!AC19</f>
        <v>0</v>
      </c>
      <c r="AD15" s="1">
        <f>Construction!AD19</f>
        <v>0</v>
      </c>
      <c r="AE15" s="1">
        <f>Construction!AE19</f>
        <v>0</v>
      </c>
      <c r="AF15" s="1">
        <f>Construction!AF19</f>
        <v>0</v>
      </c>
      <c r="AG15" s="1">
        <f>Construction!AG19</f>
        <v>0</v>
      </c>
      <c r="AH15" s="1">
        <f>Construction!AH19</f>
        <v>0</v>
      </c>
      <c r="AI15" s="1">
        <f>Construction!AI19</f>
        <v>0</v>
      </c>
      <c r="AJ15" s="1">
        <f>Construction!AJ19</f>
        <v>0</v>
      </c>
      <c r="AK15" s="1">
        <f>Construction!AK19</f>
        <v>0</v>
      </c>
      <c r="AL15" s="1">
        <f>Construction!AL19</f>
        <v>0</v>
      </c>
      <c r="AM15" s="1">
        <f>Construction!AM19</f>
        <v>0</v>
      </c>
      <c r="AN15" s="1">
        <f>Construction!AN19</f>
        <v>0</v>
      </c>
      <c r="AO15" s="1">
        <f>Construction!AO19</f>
        <v>0</v>
      </c>
      <c r="AP15" s="1">
        <f>Construction!AP19</f>
        <v>0</v>
      </c>
      <c r="AQ15" s="1">
        <f>Construction!AQ19</f>
        <v>0</v>
      </c>
      <c r="AR15" s="1">
        <f>Construction!AR19</f>
        <v>0</v>
      </c>
      <c r="AS15" s="1">
        <f>Construction!AS19</f>
        <v>0</v>
      </c>
      <c r="AT15" s="1">
        <f>Construction!AT19</f>
        <v>0</v>
      </c>
      <c r="AU15" s="1">
        <f>Construction!AU19</f>
        <v>0</v>
      </c>
      <c r="AV15" s="1">
        <f>Construction!AV19</f>
        <v>0</v>
      </c>
      <c r="AW15" s="1">
        <f>Construction!AW19</f>
        <v>0</v>
      </c>
      <c r="AX15" s="1">
        <f>Construction!AX19</f>
        <v>0</v>
      </c>
      <c r="AY15" s="1">
        <f>Construction!AY19</f>
        <v>0</v>
      </c>
      <c r="AZ15" s="1">
        <f>Construction!AZ19</f>
        <v>0</v>
      </c>
      <c r="BA15" s="1">
        <f>Construction!BA19</f>
        <v>0</v>
      </c>
      <c r="BB15" s="1">
        <f>Construction!BB19</f>
        <v>0</v>
      </c>
      <c r="BC15" s="1">
        <f>Construction!BC19</f>
        <v>0</v>
      </c>
      <c r="BD15" s="1">
        <f>Construction!BD19</f>
        <v>0</v>
      </c>
      <c r="BE15" s="1">
        <f>Construction!BE19</f>
        <v>0</v>
      </c>
      <c r="BF15" s="1">
        <f>Construction!BF19</f>
        <v>0</v>
      </c>
      <c r="BG15" s="1">
        <f>Construction!BG19</f>
        <v>0</v>
      </c>
      <c r="BH15" s="1">
        <f>Construction!BH19</f>
        <v>0</v>
      </c>
      <c r="BI15" s="1">
        <f>Construction!BI19</f>
        <v>0</v>
      </c>
      <c r="BJ15" s="1">
        <f>Construction!BJ19</f>
        <v>0</v>
      </c>
      <c r="BK15" t="s">
        <v>102</v>
      </c>
    </row>
    <row r="16" spans="1:63" ht="11.25" customHeight="1" x14ac:dyDescent="0.25">
      <c r="A16" s="5"/>
      <c r="B16" s="5" t="s">
        <v>283</v>
      </c>
      <c r="C16" s="7" t="s">
        <v>34</v>
      </c>
      <c r="D16" s="407">
        <f>Assumptions!D151</f>
        <v>5.0000000000000001E-3</v>
      </c>
      <c r="E16" s="1"/>
      <c r="F16" s="302" t="s">
        <v>26</v>
      </c>
      <c r="G16" s="1">
        <f>Construction!G21</f>
        <v>0</v>
      </c>
      <c r="H16" s="1">
        <f>Construction!H21</f>
        <v>0</v>
      </c>
      <c r="I16" s="1">
        <f>Construction!I21</f>
        <v>340.04468910253132</v>
      </c>
      <c r="J16" s="1">
        <f>Construction!J21</f>
        <v>317.33159728907873</v>
      </c>
      <c r="K16" s="1">
        <f>Construction!K21</f>
        <v>291.27187249654247</v>
      </c>
      <c r="L16" s="1">
        <f>Construction!L21</f>
        <v>270.97180769821563</v>
      </c>
      <c r="M16" s="1">
        <f>Construction!M21</f>
        <v>259.55662405362267</v>
      </c>
      <c r="N16" s="1">
        <f>Construction!N21</f>
        <v>235.79235811063131</v>
      </c>
      <c r="O16" s="1">
        <f>Construction!O21</f>
        <v>217.81773085442452</v>
      </c>
      <c r="P16" s="1">
        <f>Construction!P21</f>
        <v>190.45835496625165</v>
      </c>
      <c r="Q16" s="1">
        <f>Construction!Q21</f>
        <v>165.79166562897925</v>
      </c>
      <c r="R16" s="1">
        <f>Construction!R21</f>
        <v>143.85282932896209</v>
      </c>
      <c r="S16" s="1">
        <f>Construction!S21</f>
        <v>112.47747182686668</v>
      </c>
      <c r="T16" s="1">
        <f>Construction!T21</f>
        <v>98.992352155793895</v>
      </c>
      <c r="U16" s="1">
        <f>Construction!U21</f>
        <v>70.081116821816906</v>
      </c>
      <c r="V16" s="1">
        <f>Construction!V21</f>
        <v>52.992300754378157</v>
      </c>
      <c r="W16" s="1">
        <f>Construction!W21</f>
        <v>0</v>
      </c>
      <c r="X16" s="1">
        <f>Construction!X21</f>
        <v>0</v>
      </c>
      <c r="Y16" s="1">
        <f>Construction!Y21</f>
        <v>0</v>
      </c>
      <c r="Z16" s="1">
        <f>Construction!Z21</f>
        <v>0</v>
      </c>
      <c r="AA16" s="1">
        <f>Construction!AA21</f>
        <v>0</v>
      </c>
      <c r="AB16" s="1">
        <f>Construction!AB21</f>
        <v>0</v>
      </c>
      <c r="AC16" s="1">
        <f>Construction!AC21</f>
        <v>0</v>
      </c>
      <c r="AD16" s="1">
        <f>Construction!AD21</f>
        <v>0</v>
      </c>
      <c r="AE16" s="1">
        <f>Construction!AE21</f>
        <v>0</v>
      </c>
      <c r="AF16" s="1">
        <f>Construction!AF21</f>
        <v>0</v>
      </c>
      <c r="AG16" s="1">
        <f>Construction!AG21</f>
        <v>0</v>
      </c>
      <c r="AH16" s="1">
        <f>Construction!AH21</f>
        <v>0</v>
      </c>
      <c r="AI16" s="1">
        <f>Construction!AI21</f>
        <v>0</v>
      </c>
      <c r="AJ16" s="1">
        <f>Construction!AJ21</f>
        <v>0</v>
      </c>
      <c r="AK16" s="1">
        <f>Construction!AK21</f>
        <v>0</v>
      </c>
      <c r="AL16" s="1">
        <f>Construction!AL21</f>
        <v>0</v>
      </c>
      <c r="AM16" s="1">
        <f>Construction!AM21</f>
        <v>0</v>
      </c>
      <c r="AN16" s="1">
        <f>Construction!AN21</f>
        <v>0</v>
      </c>
      <c r="AO16" s="1">
        <f>Construction!AO21</f>
        <v>0</v>
      </c>
      <c r="AP16" s="1">
        <f>Construction!AP21</f>
        <v>0</v>
      </c>
      <c r="AQ16" s="1">
        <f>Construction!AQ21</f>
        <v>0</v>
      </c>
      <c r="AR16" s="1">
        <f>Construction!AR21</f>
        <v>0</v>
      </c>
      <c r="AS16" s="1">
        <f>Construction!AS21</f>
        <v>0</v>
      </c>
      <c r="AT16" s="1">
        <f>Construction!AT21</f>
        <v>0</v>
      </c>
      <c r="AU16" s="1">
        <f>Construction!AU21</f>
        <v>0</v>
      </c>
      <c r="AV16" s="1">
        <f>Construction!AV21</f>
        <v>0</v>
      </c>
      <c r="AW16" s="1">
        <f>Construction!AW21</f>
        <v>0</v>
      </c>
      <c r="AX16" s="1">
        <f>Construction!AX21</f>
        <v>0</v>
      </c>
      <c r="AY16" s="1">
        <f>Construction!AY21</f>
        <v>0</v>
      </c>
      <c r="AZ16" s="1">
        <f>Construction!AZ21</f>
        <v>0</v>
      </c>
      <c r="BA16" s="1">
        <f>Construction!BA21</f>
        <v>0</v>
      </c>
      <c r="BB16" s="1">
        <f>Construction!BB21</f>
        <v>0</v>
      </c>
      <c r="BC16" s="1">
        <f>Construction!BC21</f>
        <v>0</v>
      </c>
      <c r="BD16" s="1">
        <f>Construction!BD21</f>
        <v>0</v>
      </c>
      <c r="BE16" s="1">
        <f>Construction!BE21</f>
        <v>0</v>
      </c>
      <c r="BF16" s="1">
        <f>Construction!BF21</f>
        <v>0</v>
      </c>
      <c r="BG16" s="1">
        <f>Construction!BG21</f>
        <v>0</v>
      </c>
      <c r="BH16" s="1">
        <f>Construction!BH21</f>
        <v>0</v>
      </c>
      <c r="BI16" s="1">
        <f>Construction!BI21</f>
        <v>0</v>
      </c>
      <c r="BJ16" s="1">
        <f>Construction!BJ21</f>
        <v>0</v>
      </c>
      <c r="BK16" t="s">
        <v>102</v>
      </c>
    </row>
    <row r="17" spans="1:63" ht="11.25" customHeight="1" x14ac:dyDescent="0.25">
      <c r="A17" s="5"/>
      <c r="B17" s="5" t="s">
        <v>284</v>
      </c>
      <c r="C17" s="7" t="s">
        <v>1</v>
      </c>
      <c r="D17" s="5"/>
      <c r="E17" s="1"/>
      <c r="F17" s="302" t="s">
        <v>26</v>
      </c>
      <c r="G17" s="1">
        <f>IF(G11=0,Construction!G49,-Debt!G18)</f>
        <v>0</v>
      </c>
      <c r="H17" s="1">
        <f>IF(H11=0,Construction!H49,-Debt!H18)</f>
        <v>0</v>
      </c>
      <c r="I17" s="1">
        <f>IF(I11=0,Construction!I49,-Debt!I18)</f>
        <v>1023.047124350064</v>
      </c>
      <c r="J17" s="1">
        <f>IF(J11=0,Construction!J49,-Debt!J18)</f>
        <v>1342.3931952472074</v>
      </c>
      <c r="K17" s="1">
        <f>IF(K11=0,Construction!K49,-Debt!K18)</f>
        <v>1708.7929258302677</v>
      </c>
      <c r="L17" s="1">
        <f>IF(L11=0,Construction!L49,-Debt!L18)</f>
        <v>1994.2118368947429</v>
      </c>
      <c r="M17" s="1">
        <f>IF(M11=0,Construction!M49,-Debt!M18)</f>
        <v>2154.7093189377197</v>
      </c>
      <c r="N17" s="1">
        <f>IF(N11=0,Construction!N49,-Debt!N18)</f>
        <v>2488.8348980961782</v>
      </c>
      <c r="O17" s="1">
        <f>IF(O11=0,Construction!O49,-Debt!O18)</f>
        <v>2741.5581573184459</v>
      </c>
      <c r="P17" s="1">
        <f>IF(P11=0,Construction!P49,-Debt!P18)</f>
        <v>3126.2309823061564</v>
      </c>
      <c r="Q17" s="1">
        <f>IF(Q11=0,Construction!Q49,-Debt!Q18)</f>
        <v>3473.0446343882063</v>
      </c>
      <c r="R17" s="1">
        <f>IF(R11=0,Construction!R49,-Debt!R18)</f>
        <v>3781.504672766448</v>
      </c>
      <c r="S17" s="1">
        <f>IF(S11=0,Construction!S49,-Debt!S18)</f>
        <v>4222.6421992459091</v>
      </c>
      <c r="T17" s="1">
        <f>IF(T11=0,Construction!T49,-Debt!T18)</f>
        <v>4412.2429818211922</v>
      </c>
      <c r="U17" s="1">
        <f>IF(U11=0,Construction!U49,-Debt!U18)</f>
        <v>4818.7349506169094</v>
      </c>
      <c r="V17" s="1">
        <f>IF(V11=0,Construction!V49,-Debt!V18)</f>
        <v>5059.0037045250974</v>
      </c>
      <c r="W17" s="1">
        <f>IF(W11=0,Construction!W49,-Debt!W18)</f>
        <v>11608.150906263309</v>
      </c>
      <c r="X17" s="1">
        <f>IF(X11=0,Construction!X49,-Debt!X18)</f>
        <v>11327.757306051701</v>
      </c>
      <c r="Y17" s="1">
        <f>IF(Y11=0,Construction!Y49,-Debt!Y18)</f>
        <v>11037.507870792653</v>
      </c>
      <c r="Z17" s="1">
        <f>IF(Z11=0,Construction!Z49,-Debt!Z18)</f>
        <v>10737.05616788425</v>
      </c>
      <c r="AA17" s="1">
        <f>IF(AA11=0,Construction!AA49,-Debt!AA18)</f>
        <v>10426.043587618617</v>
      </c>
      <c r="AB17" s="1">
        <f>IF(AB11=0,Construction!AB49,-Debt!AB18)</f>
        <v>10104.098915156646</v>
      </c>
      <c r="AC17" s="1">
        <f>IF(AC11=0,Construction!AC49,-Debt!AC18)</f>
        <v>9770.8378874576392</v>
      </c>
      <c r="AD17" s="1">
        <f>IF(AD11=0,Construction!AD49,-Debt!AD18)</f>
        <v>9425.8627346350095</v>
      </c>
      <c r="AE17" s="1">
        <f>IF(AE11=0,Construction!AE49,-Debt!AE18)</f>
        <v>9068.7617051906655</v>
      </c>
      <c r="AF17" s="1">
        <f>IF(AF11=0,Construction!AF49,-Debt!AF18)</f>
        <v>8699.1085745613527</v>
      </c>
      <c r="AG17" s="1">
        <f>IF(AG11=0,Construction!AG49,-Debt!AG18)</f>
        <v>8316.4621363904207</v>
      </c>
      <c r="AH17" s="1">
        <f>IF(AH11=0,Construction!AH49,-Debt!AH18)</f>
        <v>7920.3656759177793</v>
      </c>
      <c r="AI17" s="1">
        <f>IF(AI11=0,Construction!AI49,-Debt!AI18)</f>
        <v>7510.3464248595246</v>
      </c>
      <c r="AJ17" s="1">
        <f>IF(AJ11=0,Construction!AJ49,-Debt!AJ18)</f>
        <v>7085.9149971265724</v>
      </c>
      <c r="AK17" s="1">
        <f>IF(AK11=0,Construction!AK49,-Debt!AK18)</f>
        <v>6646.5648047088071</v>
      </c>
      <c r="AL17" s="1">
        <f>IF(AL11=0,Construction!AL49,-Debt!AL18)</f>
        <v>6191.7714530275571</v>
      </c>
      <c r="AM17" s="1">
        <f>IF(AM11=0,Construction!AM49,-Debt!AM18)</f>
        <v>5720.9921150347109</v>
      </c>
      <c r="AN17" s="1">
        <f>IF(AN11=0,Construction!AN49,-Debt!AN18)</f>
        <v>5233.6648833114168</v>
      </c>
      <c r="AO17" s="1">
        <f>IF(AO11=0,Construction!AO49,-Debt!AO18)</f>
        <v>4729.2080993930485</v>
      </c>
      <c r="AP17" s="1">
        <f>IF(AP11=0,Construction!AP49,-Debt!AP18)</f>
        <v>4207.0196595199495</v>
      </c>
      <c r="AQ17" s="1">
        <f>IF(AQ11=0,Construction!AQ49,-Debt!AQ18)</f>
        <v>3666.4762959853115</v>
      </c>
      <c r="AR17" s="1">
        <f>IF(AR11=0,Construction!AR49,-Debt!AR18)</f>
        <v>3106.9328332224309</v>
      </c>
      <c r="AS17" s="1">
        <f>IF(AS11=0,Construction!AS49,-Debt!AS18)</f>
        <v>2527.7214177434344</v>
      </c>
      <c r="AT17" s="1">
        <f>IF(AT11=0,Construction!AT49,-Debt!AT18)</f>
        <v>1928.1507210103518</v>
      </c>
      <c r="AU17" s="1">
        <f>IF(AU11=0,Construction!AU49,-Debt!AU18)</f>
        <v>1307.5051142871014</v>
      </c>
      <c r="AV17" s="1">
        <f>IF(AV11=0,Construction!AV49,-Debt!AV18)</f>
        <v>665.04381448752849</v>
      </c>
      <c r="AW17" s="1">
        <f>IF(AW11=0,Construction!AW49,-Debt!AW18)</f>
        <v>0</v>
      </c>
      <c r="AX17" s="1">
        <f>IF(AX11=0,Construction!AX49,-Debt!AX18)</f>
        <v>0</v>
      </c>
      <c r="AY17" s="1">
        <f>IF(AY11=0,Construction!AY49,-Debt!AY18)</f>
        <v>0</v>
      </c>
      <c r="AZ17" s="1">
        <f>IF(AZ11=0,Construction!AZ49,-Debt!AZ18)</f>
        <v>0</v>
      </c>
      <c r="BA17" s="1">
        <f>IF(BA11=0,Construction!BA49,-Debt!BA18)</f>
        <v>0</v>
      </c>
      <c r="BB17" s="1">
        <f>IF(BB11=0,Construction!BB49,-Debt!BB18)</f>
        <v>0</v>
      </c>
      <c r="BC17" s="1">
        <f>IF(BC11=0,Construction!BC49,-Debt!BC18)</f>
        <v>0</v>
      </c>
      <c r="BD17" s="1">
        <f>IF(BD11=0,Construction!BD49,-Debt!BD18)</f>
        <v>0</v>
      </c>
      <c r="BE17" s="1">
        <f>IF(BE11=0,Construction!BE49,-Debt!BE18)</f>
        <v>0</v>
      </c>
      <c r="BF17" s="1">
        <f>IF(BF11=0,Construction!BF49,-Debt!BF18)</f>
        <v>0</v>
      </c>
      <c r="BG17" s="1">
        <f>IF(BG11=0,Construction!BG49,-Debt!BG18)</f>
        <v>0</v>
      </c>
      <c r="BH17" s="1">
        <f>IF(BH11=0,Construction!BH49,-Debt!BH18)</f>
        <v>0</v>
      </c>
      <c r="BI17" s="1">
        <f>IF(BI11=0,Construction!BI49,-Debt!BI18)</f>
        <v>0</v>
      </c>
      <c r="BJ17" s="1">
        <f>IF(BJ11=0,Construction!BJ49,-Debt!BJ18)</f>
        <v>0</v>
      </c>
      <c r="BK17" t="s">
        <v>102</v>
      </c>
    </row>
    <row r="18" spans="1:63" ht="11.25" customHeight="1" x14ac:dyDescent="0.25">
      <c r="A18" s="5"/>
      <c r="B18" s="5" t="s">
        <v>285</v>
      </c>
      <c r="C18" s="7" t="s">
        <v>34</v>
      </c>
      <c r="D18" s="407">
        <f>Assumptions!D154</f>
        <v>2.0299999999999999E-2</v>
      </c>
      <c r="E18" s="83"/>
      <c r="F18" s="302"/>
      <c r="G18" s="83">
        <f>-$D$18*G3*F12</f>
        <v>0</v>
      </c>
      <c r="H18" s="83">
        <f t="shared" ref="H18:BJ18" si="3">-$D$18*H3*G12</f>
        <v>0</v>
      </c>
      <c r="I18" s="83">
        <f t="shared" si="3"/>
        <v>-295.41759067292031</v>
      </c>
      <c r="J18" s="83">
        <f t="shared" si="3"/>
        <v>-387.6327434355378</v>
      </c>
      <c r="K18" s="83">
        <f t="shared" si="3"/>
        <v>-493.43522609323514</v>
      </c>
      <c r="L18" s="83">
        <f t="shared" si="3"/>
        <v>-575.85348917444207</v>
      </c>
      <c r="M18" s="83">
        <f t="shared" si="3"/>
        <v>-622.19913477148941</v>
      </c>
      <c r="N18" s="83">
        <f t="shared" si="3"/>
        <v>-718.68205450003438</v>
      </c>
      <c r="O18" s="83">
        <f t="shared" si="3"/>
        <v>-791.65904116023398</v>
      </c>
      <c r="P18" s="83">
        <f t="shared" si="3"/>
        <v>-902.73810726621582</v>
      </c>
      <c r="Q18" s="83">
        <f t="shared" si="3"/>
        <v>-1002.8848659755417</v>
      </c>
      <c r="R18" s="83">
        <f t="shared" si="3"/>
        <v>-1091.9565413536116</v>
      </c>
      <c r="S18" s="83">
        <f t="shared" si="3"/>
        <v>-1219.3404928121188</v>
      </c>
      <c r="T18" s="83">
        <f t="shared" si="3"/>
        <v>-1274.0900786766742</v>
      </c>
      <c r="U18" s="83">
        <f t="shared" si="3"/>
        <v>-1391.4696941326208</v>
      </c>
      <c r="V18" s="83">
        <f t="shared" si="3"/>
        <v>-1460.8502873664222</v>
      </c>
      <c r="W18" s="83">
        <f t="shared" si="3"/>
        <v>-3351.9980568583942</v>
      </c>
      <c r="X18" s="83">
        <f t="shared" si="3"/>
        <v>-3271.0309148342744</v>
      </c>
      <c r="Y18" s="83">
        <f t="shared" si="3"/>
        <v>-3187.2177777680063</v>
      </c>
      <c r="Z18" s="83">
        <f t="shared" si="3"/>
        <v>-3100.4586089338586</v>
      </c>
      <c r="AA18" s="83">
        <f t="shared" si="3"/>
        <v>-3010.649855315191</v>
      </c>
      <c r="AB18" s="83">
        <f t="shared" si="3"/>
        <v>-2917.6843240068265</v>
      </c>
      <c r="AC18" s="83">
        <f t="shared" si="3"/>
        <v>-2821.4510542729736</v>
      </c>
      <c r="AD18" s="83">
        <f t="shared" si="3"/>
        <v>-2721.8351851079756</v>
      </c>
      <c r="AE18" s="83">
        <f t="shared" si="3"/>
        <v>-2618.717818141828</v>
      </c>
      <c r="AF18" s="83">
        <f t="shared" si="3"/>
        <v>-2511.97587572682</v>
      </c>
      <c r="AG18" s="83">
        <f t="shared" si="3"/>
        <v>-2401.4819540359249</v>
      </c>
      <c r="AH18" s="83">
        <f t="shared" si="3"/>
        <v>-2287.1041709975948</v>
      </c>
      <c r="AI18" s="83">
        <f t="shared" si="3"/>
        <v>-2168.7060088854673</v>
      </c>
      <c r="AJ18" s="83">
        <f t="shared" si="3"/>
        <v>-2046.1461513750983</v>
      </c>
      <c r="AK18" s="83">
        <f t="shared" si="3"/>
        <v>-1919.2783148732401</v>
      </c>
      <c r="AL18" s="83">
        <f t="shared" si="3"/>
        <v>-1787.9510739183415</v>
      </c>
      <c r="AM18" s="83">
        <f t="shared" si="3"/>
        <v>-1652.0076804438779</v>
      </c>
      <c r="AN18" s="83">
        <f t="shared" si="3"/>
        <v>-1511.2858766887873</v>
      </c>
      <c r="AO18" s="83">
        <f t="shared" si="3"/>
        <v>-1365.6177015317053</v>
      </c>
      <c r="AP18" s="83">
        <f t="shared" si="3"/>
        <v>-1214.8292900178517</v>
      </c>
      <c r="AQ18" s="83">
        <f t="shared" si="3"/>
        <v>-1058.7406658392861</v>
      </c>
      <c r="AR18" s="83">
        <f t="shared" si="3"/>
        <v>-897.16552652084408</v>
      </c>
      <c r="AS18" s="83">
        <f t="shared" si="3"/>
        <v>-729.91102105535867</v>
      </c>
      <c r="AT18" s="83">
        <f t="shared" si="3"/>
        <v>-556.77751972276155</v>
      </c>
      <c r="AU18" s="83">
        <f t="shared" si="3"/>
        <v>-377.55837581832367</v>
      </c>
      <c r="AV18" s="83">
        <f t="shared" si="3"/>
        <v>-192.03967900564479</v>
      </c>
      <c r="AW18" s="83">
        <f t="shared" si="3"/>
        <v>-2.215529093518853E-13</v>
      </c>
      <c r="AX18" s="83">
        <f t="shared" si="3"/>
        <v>-2.215529093518853E-13</v>
      </c>
      <c r="AY18" s="83">
        <f t="shared" si="3"/>
        <v>-2.215529093518853E-13</v>
      </c>
      <c r="AZ18" s="83">
        <f t="shared" si="3"/>
        <v>-2.215529093518853E-13</v>
      </c>
      <c r="BA18" s="83">
        <f t="shared" si="3"/>
        <v>-2.215529093518853E-13</v>
      </c>
      <c r="BB18" s="83">
        <f t="shared" si="3"/>
        <v>-2.215529093518853E-13</v>
      </c>
      <c r="BC18" s="83">
        <f t="shared" si="3"/>
        <v>-2.215529093518853E-13</v>
      </c>
      <c r="BD18" s="83">
        <f t="shared" si="3"/>
        <v>-2.215529093518853E-13</v>
      </c>
      <c r="BE18" s="83">
        <f t="shared" si="3"/>
        <v>-2.215529093518853E-13</v>
      </c>
      <c r="BF18" s="83">
        <f t="shared" si="3"/>
        <v>-2.215529093518853E-13</v>
      </c>
      <c r="BG18" s="83">
        <f t="shared" si="3"/>
        <v>-2.215529093518853E-13</v>
      </c>
      <c r="BH18" s="83">
        <f t="shared" si="3"/>
        <v>-2.215529093518853E-13</v>
      </c>
      <c r="BI18" s="83">
        <f t="shared" si="3"/>
        <v>-2.215529093518853E-13</v>
      </c>
      <c r="BJ18" s="83">
        <f t="shared" si="3"/>
        <v>-2.215529093518853E-13</v>
      </c>
      <c r="BK18" t="s">
        <v>102</v>
      </c>
    </row>
    <row r="19" spans="1:63" ht="11.25" customHeight="1" x14ac:dyDescent="0.25">
      <c r="A19" s="5"/>
      <c r="B19" s="5" t="s">
        <v>286</v>
      </c>
      <c r="C19" s="7" t="s">
        <v>1</v>
      </c>
      <c r="D19" s="5"/>
      <c r="E19" s="1"/>
      <c r="F19" s="302" t="s">
        <v>26</v>
      </c>
      <c r="G19" s="1">
        <f t="shared" ref="G19" si="4">-F12*G3*$D$8*$D$9</f>
        <v>0</v>
      </c>
      <c r="H19" s="1">
        <f>-G12*H3*$D$8*$D$9</f>
        <v>0</v>
      </c>
      <c r="I19" s="1">
        <f t="shared" ref="I19:BJ19" si="5">-H12*I3*$D$8*$D$9</f>
        <v>-392.91994818565757</v>
      </c>
      <c r="J19" s="1">
        <f t="shared" si="5"/>
        <v>-515.57064397830152</v>
      </c>
      <c r="K19" s="1">
        <f t="shared" si="5"/>
        <v>-656.29315785799758</v>
      </c>
      <c r="L19" s="1">
        <f t="shared" si="5"/>
        <v>-765.9135077689624</v>
      </c>
      <c r="M19" s="1">
        <f t="shared" si="5"/>
        <v>-827.5554994497644</v>
      </c>
      <c r="N19" s="1">
        <f t="shared" si="5"/>
        <v>-955.88253554191772</v>
      </c>
      <c r="O19" s="1">
        <f t="shared" si="5"/>
        <v>-1052.9455227254343</v>
      </c>
      <c r="P19" s="1">
        <f t="shared" si="5"/>
        <v>-1200.6861525215677</v>
      </c>
      <c r="Q19" s="1">
        <f t="shared" si="5"/>
        <v>-1333.8862749428388</v>
      </c>
      <c r="R19" s="1">
        <f t="shared" si="5"/>
        <v>-1452.3559909629316</v>
      </c>
      <c r="S19" s="1">
        <f t="shared" si="5"/>
        <v>-1621.7829214742467</v>
      </c>
      <c r="T19" s="1">
        <f t="shared" si="5"/>
        <v>-1694.6025676980398</v>
      </c>
      <c r="U19" s="1">
        <f t="shared" si="5"/>
        <v>-1850.7232385015154</v>
      </c>
      <c r="V19" s="1">
        <f t="shared" si="5"/>
        <v>-1943.0028452656845</v>
      </c>
      <c r="W19" s="1">
        <f t="shared" si="5"/>
        <v>-4458.3225386786526</v>
      </c>
      <c r="X19" s="1">
        <f t="shared" si="5"/>
        <v>-4350.6322512574097</v>
      </c>
      <c r="Y19" s="1">
        <f t="shared" si="5"/>
        <v>-4239.1566502333089</v>
      </c>
      <c r="Z19" s="1">
        <f t="shared" si="5"/>
        <v>-4123.762681833211</v>
      </c>
      <c r="AA19" s="1">
        <f t="shared" si="5"/>
        <v>-4004.3126154438505</v>
      </c>
      <c r="AB19" s="1">
        <f t="shared" si="5"/>
        <v>-3880.6638792209023</v>
      </c>
      <c r="AC19" s="1">
        <f t="shared" si="5"/>
        <v>-3752.6688899197193</v>
      </c>
      <c r="AD19" s="1">
        <f t="shared" si="5"/>
        <v>-3620.1748767445984</v>
      </c>
      <c r="AE19" s="1">
        <f t="shared" si="5"/>
        <v>-3483.0236990063722</v>
      </c>
      <c r="AF19" s="1">
        <f t="shared" si="5"/>
        <v>-3341.0516573706473</v>
      </c>
      <c r="AG19" s="1">
        <f t="shared" si="5"/>
        <v>-3194.0892984714274</v>
      </c>
      <c r="AH19" s="1">
        <f t="shared" si="5"/>
        <v>-3041.9612126568995</v>
      </c>
      <c r="AI19" s="1">
        <f t="shared" si="5"/>
        <v>-2884.485824625991</v>
      </c>
      <c r="AJ19" s="1">
        <f t="shared" si="5"/>
        <v>-2721.475176705796</v>
      </c>
      <c r="AK19" s="1">
        <f t="shared" si="5"/>
        <v>-2552.734704511206</v>
      </c>
      <c r="AL19" s="1">
        <f t="shared" si="5"/>
        <v>-2378.0630047189766</v>
      </c>
      <c r="AM19" s="1">
        <f t="shared" si="5"/>
        <v>-2197.2515946790495</v>
      </c>
      <c r="AN19" s="1">
        <f t="shared" si="5"/>
        <v>-2010.0846635762198</v>
      </c>
      <c r="AO19" s="1">
        <f t="shared" si="5"/>
        <v>-1816.3388148451252</v>
      </c>
      <c r="AP19" s="1">
        <f t="shared" si="5"/>
        <v>-1615.7827995311327</v>
      </c>
      <c r="AQ19" s="1">
        <f t="shared" si="5"/>
        <v>-1408.1772402788536</v>
      </c>
      <c r="AR19" s="1">
        <f t="shared" si="5"/>
        <v>-1193.2743456188566</v>
      </c>
      <c r="AS19" s="1">
        <f t="shared" si="5"/>
        <v>-970.81761421156091</v>
      </c>
      <c r="AT19" s="1">
        <f t="shared" si="5"/>
        <v>-740.54152869529867</v>
      </c>
      <c r="AU19" s="1">
        <f t="shared" si="5"/>
        <v>-502.17123877313986</v>
      </c>
      <c r="AV19" s="1">
        <f t="shared" si="5"/>
        <v>-255.42223316021722</v>
      </c>
      <c r="AW19" s="1">
        <f t="shared" si="5"/>
        <v>-2.9467628337442876E-13</v>
      </c>
      <c r="AX19" s="1">
        <f t="shared" si="5"/>
        <v>-2.9467628337442876E-13</v>
      </c>
      <c r="AY19" s="1">
        <f t="shared" si="5"/>
        <v>-2.9467628337442876E-13</v>
      </c>
      <c r="AZ19" s="1">
        <f t="shared" si="5"/>
        <v>-2.9467628337442876E-13</v>
      </c>
      <c r="BA19" s="1">
        <f t="shared" si="5"/>
        <v>-2.9467628337442876E-13</v>
      </c>
      <c r="BB19" s="1">
        <f t="shared" si="5"/>
        <v>-2.9467628337442876E-13</v>
      </c>
      <c r="BC19" s="1">
        <f t="shared" si="5"/>
        <v>-2.9467628337442876E-13</v>
      </c>
      <c r="BD19" s="1">
        <f t="shared" si="5"/>
        <v>-2.9467628337442876E-13</v>
      </c>
      <c r="BE19" s="1">
        <f t="shared" si="5"/>
        <v>-2.9467628337442876E-13</v>
      </c>
      <c r="BF19" s="1">
        <f t="shared" si="5"/>
        <v>-2.9467628337442876E-13</v>
      </c>
      <c r="BG19" s="1">
        <f t="shared" si="5"/>
        <v>-2.9467628337442876E-13</v>
      </c>
      <c r="BH19" s="1">
        <f t="shared" si="5"/>
        <v>-2.9467628337442876E-13</v>
      </c>
      <c r="BI19" s="1">
        <f t="shared" si="5"/>
        <v>-2.9467628337442876E-13</v>
      </c>
      <c r="BJ19" s="1">
        <f t="shared" si="5"/>
        <v>-2.9467628337442876E-13</v>
      </c>
      <c r="BK19" t="s">
        <v>102</v>
      </c>
    </row>
    <row r="20" spans="1:63" ht="11.25" customHeight="1" x14ac:dyDescent="0.25">
      <c r="A20" s="5"/>
      <c r="B20" s="5" t="s">
        <v>287</v>
      </c>
      <c r="C20" s="7" t="s">
        <v>1</v>
      </c>
      <c r="D20" s="283">
        <f>Assumptions!D159</f>
        <v>100</v>
      </c>
      <c r="E20" s="1"/>
      <c r="F20" s="302" t="s">
        <v>26</v>
      </c>
      <c r="G20" s="1">
        <f>-IF(OR(Debt!G9&gt;0,'Time &amp; Technical'!G18&gt;0),Bank!$D$20*G3,0)</f>
        <v>0</v>
      </c>
      <c r="H20" s="1">
        <f>-IF(OR(Debt!H9&gt;0,'Time &amp; Technical'!H18&gt;0),Bank!$D$20*H3,0)</f>
        <v>0</v>
      </c>
      <c r="I20" s="1">
        <f>-IF(OR(Debt!I9&gt;0,'Time &amp; Technical'!I18&gt;0),Bank!$D$20*I3,0)</f>
        <v>-25</v>
      </c>
      <c r="J20" s="1">
        <f>-IF(OR(Debt!J9&gt;0,'Time &amp; Technical'!J18&gt;0),Bank!$D$20*J3,0)</f>
        <v>-25</v>
      </c>
      <c r="K20" s="1">
        <f>-IF(OR(Debt!K9&gt;0,'Time &amp; Technical'!K18&gt;0),Bank!$D$20*K3,0)</f>
        <v>-25</v>
      </c>
      <c r="L20" s="1">
        <f>-IF(OR(Debt!L9&gt;0,'Time &amp; Technical'!L18&gt;0),Bank!$D$20*L3,0)</f>
        <v>-25</v>
      </c>
      <c r="M20" s="1">
        <f>-IF(OR(Debt!M9&gt;0,'Time &amp; Technical'!M18&gt;0),Bank!$D$20*M3,0)</f>
        <v>-25</v>
      </c>
      <c r="N20" s="1">
        <f>-IF(OR(Debt!N9&gt;0,'Time &amp; Technical'!N18&gt;0),Bank!$D$20*N3,0)</f>
        <v>-25</v>
      </c>
      <c r="O20" s="1">
        <f>-IF(OR(Debt!O9&gt;0,'Time &amp; Technical'!O18&gt;0),Bank!$D$20*O3,0)</f>
        <v>-25</v>
      </c>
      <c r="P20" s="1">
        <f>-IF(OR(Debt!P9&gt;0,'Time &amp; Technical'!P18&gt;0),Bank!$D$20*P3,0)</f>
        <v>-25</v>
      </c>
      <c r="Q20" s="1">
        <f>-IF(OR(Debt!Q9&gt;0,'Time &amp; Technical'!Q18&gt;0),Bank!$D$20*Q3,0)</f>
        <v>-25</v>
      </c>
      <c r="R20" s="1">
        <f>-IF(OR(Debt!R9&gt;0,'Time &amp; Technical'!R18&gt;0),Bank!$D$20*R3,0)</f>
        <v>-25</v>
      </c>
      <c r="S20" s="1">
        <f>-IF(OR(Debt!S9&gt;0,'Time &amp; Technical'!S18&gt;0),Bank!$D$20*S3,0)</f>
        <v>-25</v>
      </c>
      <c r="T20" s="1">
        <f>-IF(OR(Debt!T9&gt;0,'Time &amp; Technical'!T18&gt;0),Bank!$D$20*T3,0)</f>
        <v>-25</v>
      </c>
      <c r="U20" s="1">
        <f>-IF(OR(Debt!U9&gt;0,'Time &amp; Technical'!U18&gt;0),Bank!$D$20*U3,0)</f>
        <v>-25</v>
      </c>
      <c r="V20" s="1">
        <f>-IF(OR(Debt!V9&gt;0,'Time &amp; Technical'!V18&gt;0),Bank!$D$20*V3,0)</f>
        <v>-25</v>
      </c>
      <c r="W20" s="1">
        <f>-IF(OR(Debt!W9&gt;0,'Time &amp; Technical'!W18&gt;0),Bank!$D$20*W3,0)</f>
        <v>-50</v>
      </c>
      <c r="X20" s="1">
        <f>-IF(OR(Debt!X9&gt;0,'Time &amp; Technical'!X18&gt;0),Bank!$D$20*X3,0)</f>
        <v>-50</v>
      </c>
      <c r="Y20" s="1">
        <f>-IF(OR(Debt!Y9&gt;0,'Time &amp; Technical'!Y18&gt;0),Bank!$D$20*Y3,0)</f>
        <v>-50</v>
      </c>
      <c r="Z20" s="1">
        <f>-IF(OR(Debt!Z9&gt;0,'Time &amp; Technical'!Z18&gt;0),Bank!$D$20*Z3,0)</f>
        <v>-50</v>
      </c>
      <c r="AA20" s="1">
        <f>-IF(OR(Debt!AA9&gt;0,'Time &amp; Technical'!AA18&gt;0),Bank!$D$20*AA3,0)</f>
        <v>-50</v>
      </c>
      <c r="AB20" s="1">
        <f>-IF(OR(Debt!AB9&gt;0,'Time &amp; Technical'!AB18&gt;0),Bank!$D$20*AB3,0)</f>
        <v>-50</v>
      </c>
      <c r="AC20" s="1">
        <f>-IF(OR(Debt!AC9&gt;0,'Time &amp; Technical'!AC18&gt;0),Bank!$D$20*AC3,0)</f>
        <v>-50</v>
      </c>
      <c r="AD20" s="1">
        <f>-IF(OR(Debt!AD9&gt;0,'Time &amp; Technical'!AD18&gt;0),Bank!$D$20*AD3,0)</f>
        <v>-50</v>
      </c>
      <c r="AE20" s="1">
        <f>-IF(OR(Debt!AE9&gt;0,'Time &amp; Technical'!AE18&gt;0),Bank!$D$20*AE3,0)</f>
        <v>-50</v>
      </c>
      <c r="AF20" s="1">
        <f>-IF(OR(Debt!AF9&gt;0,'Time &amp; Technical'!AF18&gt;0),Bank!$D$20*AF3,0)</f>
        <v>-50</v>
      </c>
      <c r="AG20" s="1">
        <f>-IF(OR(Debt!AG9&gt;0,'Time &amp; Technical'!AG18&gt;0),Bank!$D$20*AG3,0)</f>
        <v>-50</v>
      </c>
      <c r="AH20" s="1">
        <f>-IF(OR(Debt!AH9&gt;0,'Time &amp; Technical'!AH18&gt;0),Bank!$D$20*AH3,0)</f>
        <v>-50</v>
      </c>
      <c r="AI20" s="1">
        <f>-IF(OR(Debt!AI9&gt;0,'Time &amp; Technical'!AI18&gt;0),Bank!$D$20*AI3,0)</f>
        <v>-50</v>
      </c>
      <c r="AJ20" s="1">
        <f>-IF(OR(Debt!AJ9&gt;0,'Time &amp; Technical'!AJ18&gt;0),Bank!$D$20*AJ3,0)</f>
        <v>-50</v>
      </c>
      <c r="AK20" s="1">
        <f>-IF(OR(Debt!AK9&gt;0,'Time &amp; Technical'!AK18&gt;0),Bank!$D$20*AK3,0)</f>
        <v>-50</v>
      </c>
      <c r="AL20" s="1">
        <f>-IF(OR(Debt!AL9&gt;0,'Time &amp; Technical'!AL18&gt;0),Bank!$D$20*AL3,0)</f>
        <v>-50</v>
      </c>
      <c r="AM20" s="1">
        <f>-IF(OR(Debt!AM9&gt;0,'Time &amp; Technical'!AM18&gt;0),Bank!$D$20*AM3,0)</f>
        <v>-50</v>
      </c>
      <c r="AN20" s="1">
        <f>-IF(OR(Debt!AN9&gt;0,'Time &amp; Technical'!AN18&gt;0),Bank!$D$20*AN3,0)</f>
        <v>-50</v>
      </c>
      <c r="AO20" s="1">
        <f>-IF(OR(Debt!AO9&gt;0,'Time &amp; Technical'!AO18&gt;0),Bank!$D$20*AO3,0)</f>
        <v>-50</v>
      </c>
      <c r="AP20" s="1">
        <f>-IF(OR(Debt!AP9&gt;0,'Time &amp; Technical'!AP18&gt;0),Bank!$D$20*AP3,0)</f>
        <v>-50</v>
      </c>
      <c r="AQ20" s="1">
        <f>-IF(OR(Debt!AQ9&gt;0,'Time &amp; Technical'!AQ18&gt;0),Bank!$D$20*AQ3,0)</f>
        <v>-50</v>
      </c>
      <c r="AR20" s="1">
        <f>-IF(OR(Debt!AR9&gt;0,'Time &amp; Technical'!AR18&gt;0),Bank!$D$20*AR3,0)</f>
        <v>-50</v>
      </c>
      <c r="AS20" s="1">
        <f>-IF(OR(Debt!AS9&gt;0,'Time &amp; Technical'!AS18&gt;0),Bank!$D$20*AS3,0)</f>
        <v>-50</v>
      </c>
      <c r="AT20" s="1">
        <f>-IF(OR(Debt!AT9&gt;0,'Time &amp; Technical'!AT18&gt;0),Bank!$D$20*AT3,0)</f>
        <v>-50</v>
      </c>
      <c r="AU20" s="1">
        <f>-IF(OR(Debt!AU9&gt;0,'Time &amp; Technical'!AU18&gt;0),Bank!$D$20*AU3,0)</f>
        <v>-50</v>
      </c>
      <c r="AV20" s="1">
        <f>-IF(OR(Debt!AV9&gt;0,'Time &amp; Technical'!AV18&gt;0),Bank!$D$20*AV3,0)</f>
        <v>-50</v>
      </c>
      <c r="AW20" s="1">
        <f>-IF(OR(Debt!AW9&gt;0,'Time &amp; Technical'!AW18&gt;0),Bank!$D$20*AW3,0)</f>
        <v>0</v>
      </c>
      <c r="AX20" s="1">
        <f>-IF(OR(Debt!AX9&gt;0,'Time &amp; Technical'!AX18&gt;0),Bank!$D$20*AX3,0)</f>
        <v>0</v>
      </c>
      <c r="AY20" s="1">
        <f>-IF(OR(Debt!AY9&gt;0,'Time &amp; Technical'!AY18&gt;0),Bank!$D$20*AY3,0)</f>
        <v>0</v>
      </c>
      <c r="AZ20" s="1">
        <f>-IF(OR(Debt!AZ9&gt;0,'Time &amp; Technical'!AZ18&gt;0),Bank!$D$20*AZ3,0)</f>
        <v>0</v>
      </c>
      <c r="BA20" s="1">
        <f>-IF(OR(Debt!BA9&gt;0,'Time &amp; Technical'!BA18&gt;0),Bank!$D$20*BA3,0)</f>
        <v>0</v>
      </c>
      <c r="BB20" s="1">
        <f>-IF(OR(Debt!BB9&gt;0,'Time &amp; Technical'!BB18&gt;0),Bank!$D$20*BB3,0)</f>
        <v>0</v>
      </c>
      <c r="BC20" s="1">
        <f>-IF(OR(Debt!BC9&gt;0,'Time &amp; Technical'!BC18&gt;0),Bank!$D$20*BC3,0)</f>
        <v>0</v>
      </c>
      <c r="BD20" s="1">
        <f>-IF(OR(Debt!BD9&gt;0,'Time &amp; Technical'!BD18&gt;0),Bank!$D$20*BD3,0)</f>
        <v>0</v>
      </c>
      <c r="BE20" s="1">
        <f>-IF(OR(Debt!BE9&gt;0,'Time &amp; Technical'!BE18&gt;0),Bank!$D$20*BE3,0)</f>
        <v>0</v>
      </c>
      <c r="BF20" s="1">
        <f>-IF(OR(Debt!BF9&gt;0,'Time &amp; Technical'!BF18&gt;0),Bank!$D$20*BF3,0)</f>
        <v>0</v>
      </c>
      <c r="BG20" s="1">
        <f>-IF(OR(Debt!BG9&gt;0,'Time &amp; Technical'!BG18&gt;0),Bank!$D$20*BG3,0)</f>
        <v>0</v>
      </c>
      <c r="BH20" s="1">
        <f>-IF(OR(Debt!BH9&gt;0,'Time &amp; Technical'!BH18&gt;0),Bank!$D$20*BH3,0)</f>
        <v>0</v>
      </c>
      <c r="BI20" s="1">
        <f>-IF(OR(Debt!BI9&gt;0,'Time &amp; Technical'!BI18&gt;0),Bank!$D$20*BI3,0)</f>
        <v>0</v>
      </c>
      <c r="BJ20" s="1">
        <f>-IF(OR(Debt!BJ9&gt;0,'Time &amp; Technical'!BJ18&gt;0),Bank!$D$20*BJ3,0)</f>
        <v>0</v>
      </c>
      <c r="BK20" t="s">
        <v>102</v>
      </c>
    </row>
    <row r="21" spans="1:63" ht="11.25" customHeight="1" x14ac:dyDescent="0.25">
      <c r="A21" s="3"/>
      <c r="B21" s="241" t="s">
        <v>260</v>
      </c>
      <c r="C21" s="243" t="s">
        <v>1</v>
      </c>
      <c r="D21" s="241"/>
      <c r="E21" s="244">
        <f>SUM(G21:BJ21)</f>
        <v>77488.272152054124</v>
      </c>
      <c r="F21" s="306" t="s">
        <v>26</v>
      </c>
      <c r="G21" s="244">
        <f>SUM(G13:G20)</f>
        <v>0</v>
      </c>
      <c r="H21" s="244">
        <f t="shared" ref="H21:BJ21" si="6">SUM(H13:H20)</f>
        <v>-38969.041449191202</v>
      </c>
      <c r="I21" s="244">
        <f t="shared" si="6"/>
        <v>649.75427459401726</v>
      </c>
      <c r="J21" s="244">
        <f t="shared" si="6"/>
        <v>731.52140512244671</v>
      </c>
      <c r="K21" s="244">
        <f t="shared" si="6"/>
        <v>825.33641437557753</v>
      </c>
      <c r="L21" s="244">
        <f t="shared" si="6"/>
        <v>898.41664764955397</v>
      </c>
      <c r="M21" s="244">
        <f t="shared" si="6"/>
        <v>939.5113087700887</v>
      </c>
      <c r="N21" s="244">
        <f t="shared" si="6"/>
        <v>1025.0626661648575</v>
      </c>
      <c r="O21" s="244">
        <f t="shared" si="6"/>
        <v>1089.7713242872019</v>
      </c>
      <c r="P21" s="244">
        <f t="shared" si="6"/>
        <v>1188.2650774846247</v>
      </c>
      <c r="Q21" s="244">
        <f t="shared" si="6"/>
        <v>1277.0651590988052</v>
      </c>
      <c r="R21" s="244">
        <f t="shared" si="6"/>
        <v>1356.0449697788667</v>
      </c>
      <c r="S21" s="244">
        <f t="shared" si="6"/>
        <v>1468.9962567864097</v>
      </c>
      <c r="T21" s="244">
        <f t="shared" si="6"/>
        <v>1517.5426876022721</v>
      </c>
      <c r="U21" s="244">
        <f t="shared" si="6"/>
        <v>1621.6231348045899</v>
      </c>
      <c r="V21" s="244">
        <f t="shared" si="6"/>
        <v>1683.1428726473694</v>
      </c>
      <c r="W21" s="244">
        <f t="shared" si="6"/>
        <v>4784.8478933011957</v>
      </c>
      <c r="X21" s="244">
        <f t="shared" si="6"/>
        <v>4729.5628905624635</v>
      </c>
      <c r="Y21" s="244">
        <f t="shared" si="6"/>
        <v>4672.3346199774669</v>
      </c>
      <c r="Z21" s="244">
        <f t="shared" si="6"/>
        <v>4613.0947756813976</v>
      </c>
      <c r="AA21" s="244">
        <f t="shared" si="6"/>
        <v>4551.7726508583273</v>
      </c>
      <c r="AB21" s="244">
        <f t="shared" si="6"/>
        <v>4488.2950533477224</v>
      </c>
      <c r="AC21" s="244">
        <f t="shared" si="6"/>
        <v>4422.5862182846267</v>
      </c>
      <c r="AD21" s="244">
        <f t="shared" si="6"/>
        <v>4354.5677176690569</v>
      </c>
      <c r="AE21" s="244">
        <f t="shared" si="6"/>
        <v>4284.1583667568511</v>
      </c>
      <c r="AF21" s="244">
        <f t="shared" si="6"/>
        <v>4211.2741271600808</v>
      </c>
      <c r="AG21" s="244">
        <f t="shared" si="6"/>
        <v>4135.8280065414838</v>
      </c>
      <c r="AH21" s="244">
        <f t="shared" si="6"/>
        <v>4057.7299547831462</v>
      </c>
      <c r="AI21" s="244">
        <f t="shared" si="6"/>
        <v>3976.8867565054998</v>
      </c>
      <c r="AJ21" s="244">
        <f t="shared" si="6"/>
        <v>3893.2019198083954</v>
      </c>
      <c r="AK21" s="244">
        <f t="shared" si="6"/>
        <v>3806.5755611013878</v>
      </c>
      <c r="AL21" s="244">
        <f t="shared" si="6"/>
        <v>3716.9042858858297</v>
      </c>
      <c r="AM21" s="244">
        <f t="shared" si="6"/>
        <v>3624.0810653464437</v>
      </c>
      <c r="AN21" s="244">
        <f t="shared" si="6"/>
        <v>3527.9951086050969</v>
      </c>
      <c r="AO21" s="244">
        <f t="shared" si="6"/>
        <v>3428.5317304842938</v>
      </c>
      <c r="AP21" s="244">
        <f t="shared" si="6"/>
        <v>3325.5722146225435</v>
      </c>
      <c r="AQ21" s="244">
        <f t="shared" si="6"/>
        <v>3218.993671778253</v>
      </c>
      <c r="AR21" s="244">
        <f t="shared" si="6"/>
        <v>3108.668893152987</v>
      </c>
      <c r="AS21" s="244">
        <f t="shared" si="6"/>
        <v>2994.4661985590396</v>
      </c>
      <c r="AT21" s="244">
        <f t="shared" si="6"/>
        <v>2876.2492792501171</v>
      </c>
      <c r="AU21" s="244">
        <f t="shared" si="6"/>
        <v>2753.8770352274855</v>
      </c>
      <c r="AV21" s="244">
        <f t="shared" si="6"/>
        <v>2627.2034068274588</v>
      </c>
      <c r="AW21" s="244">
        <f t="shared" si="6"/>
        <v>-5.1622919272631406E-13</v>
      </c>
      <c r="AX21" s="244">
        <f t="shared" si="6"/>
        <v>-5.1622919272631406E-13</v>
      </c>
      <c r="AY21" s="244">
        <f t="shared" si="6"/>
        <v>-5.1622919272631406E-13</v>
      </c>
      <c r="AZ21" s="244">
        <f t="shared" si="6"/>
        <v>-5.1622919272631406E-13</v>
      </c>
      <c r="BA21" s="244">
        <f t="shared" si="6"/>
        <v>-5.1622919272631406E-13</v>
      </c>
      <c r="BB21" s="244">
        <f t="shared" si="6"/>
        <v>-5.1622919272631406E-13</v>
      </c>
      <c r="BC21" s="244">
        <f t="shared" si="6"/>
        <v>-5.1622919272631406E-13</v>
      </c>
      <c r="BD21" s="244">
        <f t="shared" si="6"/>
        <v>-5.1622919272631406E-13</v>
      </c>
      <c r="BE21" s="244">
        <f t="shared" si="6"/>
        <v>-5.1622919272631406E-13</v>
      </c>
      <c r="BF21" s="244">
        <f t="shared" si="6"/>
        <v>-5.1622919272631406E-13</v>
      </c>
      <c r="BG21" s="244">
        <f t="shared" si="6"/>
        <v>-5.1622919272631406E-13</v>
      </c>
      <c r="BH21" s="244">
        <f t="shared" si="6"/>
        <v>-5.1622919272631406E-13</v>
      </c>
      <c r="BI21" s="244">
        <f t="shared" si="6"/>
        <v>-5.1622919272631406E-13</v>
      </c>
      <c r="BJ21" s="244">
        <f t="shared" si="6"/>
        <v>-5.1622919272631406E-13</v>
      </c>
      <c r="BK21" t="s">
        <v>102</v>
      </c>
    </row>
    <row r="22" spans="1:63" ht="11.25" customHeight="1" x14ac:dyDescent="0.25">
      <c r="A22" s="5" t="s">
        <v>26</v>
      </c>
      <c r="B22" s="3" t="s">
        <v>277</v>
      </c>
      <c r="C22" s="116" t="s">
        <v>34</v>
      </c>
      <c r="D22" s="3"/>
      <c r="E22" s="295">
        <f>XIRR(H21:AV21,H1:AV1)</f>
        <v>0.16269012093544014</v>
      </c>
      <c r="F22" s="302"/>
      <c r="G22" s="5"/>
      <c r="H22" s="5"/>
      <c r="I22" s="5"/>
      <c r="J22" s="5"/>
      <c r="K22" s="5"/>
      <c r="L22" s="5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</row>
    <row r="23" spans="1:63" ht="11.25" customHeight="1" x14ac:dyDescent="0.25">
      <c r="A23" s="5"/>
      <c r="B23" s="5"/>
      <c r="C23" s="5"/>
      <c r="D23" s="5"/>
      <c r="E23" s="9"/>
      <c r="F23" s="302"/>
      <c r="G23" s="5"/>
      <c r="H23" s="5"/>
      <c r="I23" s="5"/>
      <c r="J23" s="5"/>
      <c r="K23" s="117"/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7"/>
      <c r="AA23" s="117"/>
      <c r="AB23" s="117"/>
      <c r="AC23" s="117"/>
      <c r="AD23" s="117"/>
      <c r="AE23" s="117"/>
      <c r="AF23" s="117"/>
      <c r="AG23" s="117"/>
      <c r="AH23" s="117"/>
      <c r="AI23" s="117"/>
      <c r="AJ23" s="117"/>
      <c r="AK23" s="117"/>
      <c r="AL23" s="117"/>
      <c r="AM23" s="117"/>
      <c r="AN23" s="117"/>
      <c r="AO23" s="117"/>
      <c r="AP23" s="117"/>
      <c r="AQ23" s="117"/>
      <c r="AR23" s="117"/>
      <c r="AS23" s="117"/>
      <c r="AT23" s="117"/>
      <c r="AU23" s="117"/>
      <c r="AV23" s="117"/>
      <c r="AW23" s="117"/>
      <c r="AX23" s="117"/>
      <c r="AY23" s="117"/>
      <c r="AZ23" s="117"/>
      <c r="BA23" s="117"/>
      <c r="BB23" s="117"/>
      <c r="BC23" s="117"/>
      <c r="BD23" s="117"/>
      <c r="BE23" s="117"/>
      <c r="BF23" s="117"/>
      <c r="BG23" s="117"/>
      <c r="BH23" s="117"/>
      <c r="BI23" s="117"/>
      <c r="BJ23" s="117"/>
    </row>
    <row r="24" spans="1:63" ht="11.25" customHeight="1" x14ac:dyDescent="0.25">
      <c r="A24" s="5"/>
      <c r="B24" s="5"/>
      <c r="C24" s="5"/>
      <c r="D24" s="5"/>
      <c r="E24" s="5"/>
      <c r="F24" s="302"/>
      <c r="G24" s="5"/>
      <c r="H24" s="5"/>
      <c r="I24" s="5"/>
      <c r="J24" s="5"/>
      <c r="K24" s="5"/>
      <c r="L24" s="5"/>
      <c r="M24" s="44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</row>
    <row r="25" spans="1:63" ht="11.25" customHeight="1" x14ac:dyDescent="0.25">
      <c r="A25" s="5"/>
      <c r="B25" s="5"/>
      <c r="C25" s="5"/>
      <c r="D25" s="5"/>
      <c r="E25" s="5"/>
      <c r="F25" s="302"/>
      <c r="G25" s="409" t="s">
        <v>22</v>
      </c>
      <c r="H25" s="409">
        <f>G2</f>
        <v>2022</v>
      </c>
      <c r="I25" s="409">
        <f>H25+1</f>
        <v>2023</v>
      </c>
      <c r="J25" s="409">
        <f t="shared" ref="J25:W25" si="7">I25+1</f>
        <v>2024</v>
      </c>
      <c r="K25" s="409">
        <f t="shared" si="7"/>
        <v>2025</v>
      </c>
      <c r="L25" s="409">
        <f t="shared" si="7"/>
        <v>2026</v>
      </c>
      <c r="M25" s="409">
        <f t="shared" si="7"/>
        <v>2027</v>
      </c>
      <c r="N25" s="409">
        <f t="shared" si="7"/>
        <v>2028</v>
      </c>
      <c r="O25" s="409">
        <f t="shared" si="7"/>
        <v>2029</v>
      </c>
      <c r="P25" s="409">
        <f t="shared" si="7"/>
        <v>2030</v>
      </c>
      <c r="Q25" s="409">
        <f t="shared" si="7"/>
        <v>2031</v>
      </c>
      <c r="R25" s="409">
        <f t="shared" si="7"/>
        <v>2032</v>
      </c>
      <c r="S25" s="409">
        <f t="shared" si="7"/>
        <v>2033</v>
      </c>
      <c r="T25" s="409">
        <f>S25+1</f>
        <v>2034</v>
      </c>
      <c r="U25" s="409">
        <f t="shared" si="7"/>
        <v>2035</v>
      </c>
      <c r="V25" s="409">
        <f t="shared" si="7"/>
        <v>2036</v>
      </c>
      <c r="W25" s="409">
        <f t="shared" si="7"/>
        <v>2037</v>
      </c>
      <c r="X25" s="409">
        <v>2038</v>
      </c>
      <c r="Y25" s="409">
        <v>2039</v>
      </c>
      <c r="Z25" s="409">
        <v>2040</v>
      </c>
      <c r="AA25" s="409">
        <v>2041</v>
      </c>
      <c r="AB25" s="5">
        <v>2042</v>
      </c>
      <c r="AC25" s="5">
        <v>2043</v>
      </c>
      <c r="AD25" s="5">
        <v>2044</v>
      </c>
      <c r="AE25" s="5">
        <v>2045</v>
      </c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</row>
    <row r="26" spans="1:63" ht="11.25" customHeight="1" x14ac:dyDescent="0.25">
      <c r="A26" s="5"/>
      <c r="B26" s="5"/>
      <c r="C26" s="5"/>
      <c r="D26" s="5"/>
      <c r="E26" s="5"/>
      <c r="F26" s="302"/>
      <c r="G26" s="409" t="s">
        <v>493</v>
      </c>
      <c r="H26" s="410">
        <f>SUMIFS($H$21:$BJ$21,$H$2:$BJ$2, "&gt;="&amp;H25, $H$2:$BJ$2, "&lt;"&amp;I25)</f>
        <v>-38969.041449191202</v>
      </c>
      <c r="I26" s="410">
        <f t="shared" ref="I26:Y26" si="8">SUMIFS($H$21:$BJ$21,$H$2:$BJ$2, "&gt;="&amp;I25, $H$2:$BJ$2, "&lt;"&amp;J25)</f>
        <v>3105.0287417415952</v>
      </c>
      <c r="J26" s="410">
        <f t="shared" si="8"/>
        <v>4242.6103767067725</v>
      </c>
      <c r="K26" s="410">
        <f t="shared" si="8"/>
        <v>5619.6490732663533</v>
      </c>
      <c r="L26" s="410">
        <f t="shared" si="8"/>
        <v>8089.6139007531547</v>
      </c>
      <c r="M26" s="410">
        <f t="shared" si="8"/>
        <v>9401.8975105399295</v>
      </c>
      <c r="N26" s="410">
        <f t="shared" si="8"/>
        <v>9164.867426539724</v>
      </c>
      <c r="O26" s="410">
        <f t="shared" si="8"/>
        <v>8910.8812716323482</v>
      </c>
      <c r="P26" s="410">
        <f t="shared" si="8"/>
        <v>8638.7260844259072</v>
      </c>
      <c r="Q26" s="410">
        <f t="shared" si="8"/>
        <v>8347.1021337015645</v>
      </c>
      <c r="R26" s="410">
        <f t="shared" si="8"/>
        <v>8034.616711288646</v>
      </c>
      <c r="S26" s="410">
        <f t="shared" si="8"/>
        <v>7699.7774809097828</v>
      </c>
      <c r="T26" s="410">
        <f t="shared" si="8"/>
        <v>7340.9853512322734</v>
      </c>
      <c r="U26" s="410">
        <f t="shared" si="8"/>
        <v>6956.5268390893907</v>
      </c>
      <c r="V26" s="410">
        <f t="shared" si="8"/>
        <v>6544.5658864007964</v>
      </c>
      <c r="W26" s="410">
        <f t="shared" si="8"/>
        <v>6103.1350917120271</v>
      </c>
      <c r="X26" s="410">
        <f t="shared" si="8"/>
        <v>5630.1263144776021</v>
      </c>
      <c r="Y26" s="410">
        <f t="shared" si="8"/>
        <v>2627.2034068274584</v>
      </c>
      <c r="Z26" s="410"/>
      <c r="AA26" s="410"/>
      <c r="AB26" s="410"/>
      <c r="AC26" s="410"/>
      <c r="AD26" s="410"/>
      <c r="AE26" s="410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</row>
    <row r="27" spans="1:63" ht="11.25" customHeight="1" x14ac:dyDescent="0.25">
      <c r="A27" s="5"/>
      <c r="B27" s="5"/>
      <c r="C27" s="5"/>
      <c r="D27" s="5"/>
      <c r="E27" s="5"/>
      <c r="F27" s="302"/>
      <c r="G27" s="409" t="s">
        <v>9</v>
      </c>
      <c r="H27" s="409"/>
      <c r="I27" s="409"/>
      <c r="J27" s="409"/>
      <c r="K27" s="409"/>
      <c r="L27" s="409"/>
      <c r="M27" s="409"/>
      <c r="N27" s="409"/>
      <c r="O27" s="409"/>
      <c r="P27" s="409"/>
      <c r="Q27" s="409"/>
      <c r="R27" s="409"/>
      <c r="S27" s="409"/>
      <c r="T27" s="409"/>
      <c r="U27" s="409"/>
      <c r="V27" s="409"/>
      <c r="W27" s="409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</row>
    <row r="28" spans="1:63" ht="11.25" customHeight="1" x14ac:dyDescent="0.25">
      <c r="A28" s="5"/>
      <c r="B28" s="5"/>
      <c r="C28" s="5"/>
      <c r="D28" s="5"/>
      <c r="E28" s="5"/>
      <c r="F28" s="302"/>
      <c r="G28" s="5"/>
      <c r="H28" s="5"/>
      <c r="I28" s="5"/>
      <c r="J28" s="5"/>
      <c r="K28" s="83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</row>
    <row r="29" spans="1:63" ht="11.25" customHeight="1" x14ac:dyDescent="0.25">
      <c r="A29" s="5"/>
      <c r="B29" s="5"/>
      <c r="C29" s="5"/>
      <c r="E29" s="5"/>
      <c r="F29" s="302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</row>
  </sheetData>
  <pageMargins left="0.7" right="0.7" top="0.75" bottom="0.75" header="0.3" footer="0.3"/>
  <pageSetup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8E4F8-6F36-4840-BD4B-A5AEC5D51CE0}">
  <dimension ref="P1:BG29"/>
  <sheetViews>
    <sheetView showGridLines="0" workbookViewId="0">
      <selection activeCell="P28" sqref="P28"/>
    </sheetView>
  </sheetViews>
  <sheetFormatPr defaultColWidth="11.42578125" defaultRowHeight="15" x14ac:dyDescent="0.25"/>
  <cols>
    <col min="15" max="15" width="6.7109375" customWidth="1"/>
    <col min="16" max="16" width="27.28515625" bestFit="1" customWidth="1"/>
    <col min="17" max="17" width="13" bestFit="1" customWidth="1"/>
    <col min="18" max="18" width="11" bestFit="1" customWidth="1"/>
    <col min="19" max="21" width="11.140625" bestFit="1" customWidth="1"/>
    <col min="22" max="22" width="11.28515625" bestFit="1" customWidth="1"/>
    <col min="23" max="37" width="11.140625" bestFit="1" customWidth="1"/>
  </cols>
  <sheetData>
    <row r="1" spans="16:59" ht="15.75" thickBot="1" x14ac:dyDescent="0.3"/>
    <row r="2" spans="16:59" ht="15.75" thickBot="1" x14ac:dyDescent="0.3">
      <c r="P2" s="419" t="s">
        <v>8</v>
      </c>
      <c r="Q2" s="420" t="s">
        <v>494</v>
      </c>
      <c r="R2" s="421" t="s">
        <v>9</v>
      </c>
    </row>
    <row r="3" spans="16:59" x14ac:dyDescent="0.25">
      <c r="P3" s="422" t="s">
        <v>10</v>
      </c>
      <c r="Q3" s="423">
        <f>Value!E13</f>
        <v>8578.3786231248396</v>
      </c>
      <c r="R3" s="424">
        <f>Value!E14</f>
        <v>0.21632266640663153</v>
      </c>
      <c r="AM3" s="183"/>
      <c r="AP3" s="183"/>
      <c r="AQ3" s="183" t="s">
        <v>2</v>
      </c>
      <c r="AR3" s="183"/>
      <c r="AS3" s="183"/>
      <c r="AT3" s="183"/>
      <c r="AU3" s="183"/>
      <c r="AV3" s="183"/>
      <c r="AW3" s="183"/>
      <c r="AX3" s="183"/>
      <c r="AY3" s="183"/>
      <c r="AZ3" s="183"/>
      <c r="BA3" s="183"/>
      <c r="BB3" s="183"/>
      <c r="BC3" s="183"/>
      <c r="BD3" s="183"/>
      <c r="BE3" s="183"/>
      <c r="BF3" s="183"/>
      <c r="BG3" s="183"/>
    </row>
    <row r="4" spans="16:59" ht="15.75" thickBot="1" x14ac:dyDescent="0.3">
      <c r="P4" s="425" t="s">
        <v>11</v>
      </c>
      <c r="Q4" s="426">
        <f>Value!E31</f>
        <v>25063.23611780073</v>
      </c>
      <c r="R4" s="427">
        <f>Value!E32</f>
        <v>0.11544112563133241</v>
      </c>
      <c r="AM4" s="183"/>
      <c r="AP4" s="183"/>
      <c r="AQ4" s="416" t="s">
        <v>3</v>
      </c>
      <c r="AR4" s="417">
        <f>Construction!E14</f>
        <v>305000</v>
      </c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</row>
    <row r="5" spans="16:59" x14ac:dyDescent="0.25">
      <c r="AM5" s="183"/>
      <c r="AP5" s="183"/>
      <c r="AQ5" s="416" t="s">
        <v>4</v>
      </c>
      <c r="AR5" s="417">
        <f>Construction!E15</f>
        <v>20000</v>
      </c>
      <c r="AS5" s="183"/>
      <c r="AT5" s="183"/>
      <c r="AU5" s="183"/>
      <c r="AV5" s="183"/>
      <c r="AW5" s="183"/>
      <c r="AX5" s="183"/>
      <c r="AY5" s="183"/>
      <c r="AZ5" s="183"/>
      <c r="BA5" s="183"/>
      <c r="BB5" s="183"/>
      <c r="BC5" s="183"/>
      <c r="BD5" s="183"/>
      <c r="BE5" s="183"/>
      <c r="BF5" s="183"/>
      <c r="BG5" s="183"/>
    </row>
    <row r="6" spans="16:59" ht="15.75" thickBot="1" x14ac:dyDescent="0.3">
      <c r="AM6" s="183"/>
      <c r="AN6" s="183"/>
      <c r="AO6" s="183"/>
      <c r="AP6" s="183"/>
      <c r="AQ6" s="416" t="s">
        <v>491</v>
      </c>
      <c r="AR6" s="417">
        <f>Construction!E17</f>
        <v>42346.95158234454</v>
      </c>
      <c r="AS6" s="183"/>
      <c r="AT6" s="183"/>
      <c r="AU6" s="183"/>
      <c r="AV6" s="183"/>
      <c r="AW6" s="183"/>
      <c r="AX6" s="183"/>
      <c r="AY6" s="183"/>
      <c r="AZ6" s="183"/>
      <c r="BA6" s="183"/>
      <c r="BB6" s="183"/>
      <c r="BC6" s="183"/>
      <c r="BD6" s="183"/>
      <c r="BE6" s="183"/>
      <c r="BF6" s="183"/>
      <c r="BG6" s="183"/>
    </row>
    <row r="7" spans="16:59" ht="15.75" thickBot="1" x14ac:dyDescent="0.3">
      <c r="P7" s="419" t="s">
        <v>0</v>
      </c>
      <c r="Q7" s="420" t="s">
        <v>495</v>
      </c>
      <c r="R7" s="421" t="s">
        <v>496</v>
      </c>
      <c r="AM7" s="183"/>
      <c r="AN7" s="183"/>
      <c r="AO7" s="183"/>
      <c r="AP7" s="183"/>
      <c r="AQ7" s="416" t="s">
        <v>490</v>
      </c>
      <c r="AR7" s="417">
        <f>Construction!E19</f>
        <v>3962.9533677143586</v>
      </c>
      <c r="AS7" s="183"/>
      <c r="AT7" s="183"/>
      <c r="AU7" s="183"/>
      <c r="AV7" s="183"/>
      <c r="AW7" s="183"/>
      <c r="AX7" s="183"/>
      <c r="AY7" s="183"/>
      <c r="AZ7" s="183"/>
      <c r="BA7" s="183"/>
      <c r="BB7" s="183"/>
      <c r="BC7" s="183"/>
      <c r="BD7" s="183"/>
      <c r="BE7" s="183"/>
      <c r="BF7" s="183"/>
      <c r="BG7" s="183"/>
    </row>
    <row r="8" spans="16:59" x14ac:dyDescent="0.25">
      <c r="P8" s="422" t="s">
        <v>145</v>
      </c>
      <c r="Q8" s="423">
        <f>Construction!E56</f>
        <v>330246.1139761965</v>
      </c>
      <c r="R8" s="424">
        <v>0.2</v>
      </c>
      <c r="AM8" s="183"/>
      <c r="AN8" s="183"/>
      <c r="AO8" s="183"/>
      <c r="AP8" s="183"/>
      <c r="AQ8" s="416" t="s">
        <v>489</v>
      </c>
      <c r="AR8" s="417">
        <f>Construction!E21</f>
        <v>2767.4327710880953</v>
      </c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183"/>
      <c r="BF8" s="183"/>
      <c r="BG8" s="183"/>
    </row>
    <row r="9" spans="16:59" ht="15.75" thickBot="1" x14ac:dyDescent="0.3">
      <c r="P9" s="425" t="s">
        <v>488</v>
      </c>
      <c r="Q9" s="426">
        <f>Construction!E37</f>
        <v>82561.528494049111</v>
      </c>
      <c r="R9" s="427">
        <v>0.8</v>
      </c>
      <c r="AM9" s="183"/>
      <c r="AN9" s="183"/>
      <c r="AO9" s="183"/>
      <c r="AP9" s="183"/>
      <c r="AQ9" s="416" t="s">
        <v>6</v>
      </c>
      <c r="AR9" s="417">
        <f>Construction!E22</f>
        <v>19145.09551533575</v>
      </c>
      <c r="AS9" s="183"/>
      <c r="AT9" s="183"/>
      <c r="AU9" s="183"/>
      <c r="AV9" s="183"/>
      <c r="AW9" s="183"/>
      <c r="AX9" s="183"/>
      <c r="AY9" s="183"/>
      <c r="AZ9" s="183"/>
      <c r="BA9" s="183"/>
      <c r="BB9" s="183"/>
      <c r="BC9" s="183"/>
      <c r="BD9" s="183"/>
      <c r="BE9" s="183"/>
      <c r="BF9" s="183"/>
      <c r="BG9" s="183"/>
    </row>
    <row r="10" spans="16:59" ht="15.75" thickBot="1" x14ac:dyDescent="0.3">
      <c r="AM10" s="183"/>
      <c r="AN10" s="183"/>
      <c r="AO10" s="183"/>
      <c r="AP10" s="183"/>
      <c r="AQ10" s="418" t="s">
        <v>7</v>
      </c>
      <c r="AR10" s="417">
        <f>Construction!E23</f>
        <v>19585.209233762856</v>
      </c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</row>
    <row r="11" spans="16:59" ht="16.5" thickTop="1" thickBot="1" x14ac:dyDescent="0.3"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X11" s="183"/>
      <c r="AY11" s="183"/>
      <c r="AZ11" s="183"/>
      <c r="BA11" s="183"/>
      <c r="BB11" s="183"/>
      <c r="BC11" s="183"/>
      <c r="BD11" s="183"/>
      <c r="BE11" s="183"/>
      <c r="BF11" s="183"/>
      <c r="BG11" s="183"/>
    </row>
    <row r="12" spans="16:59" ht="15.75" thickBot="1" x14ac:dyDescent="0.3">
      <c r="P12" s="419" t="s">
        <v>497</v>
      </c>
      <c r="Q12" s="421"/>
      <c r="AM12" s="183"/>
      <c r="AN12" s="183"/>
      <c r="AO12" s="183"/>
      <c r="AP12" s="183"/>
      <c r="AQ12" s="183"/>
      <c r="AR12" s="183"/>
      <c r="AS12" s="183"/>
      <c r="AT12" s="183"/>
      <c r="AU12" s="183"/>
      <c r="AV12" s="183"/>
      <c r="AW12" s="183"/>
      <c r="AX12" s="183"/>
      <c r="AY12" s="183"/>
      <c r="AZ12" s="183"/>
      <c r="BA12" s="183"/>
      <c r="BB12" s="183"/>
      <c r="BC12" s="183"/>
      <c r="BD12" s="183"/>
      <c r="BE12" s="183"/>
      <c r="BF12" s="183"/>
      <c r="BG12" s="183"/>
    </row>
    <row r="13" spans="16:59" x14ac:dyDescent="0.25">
      <c r="P13" s="422" t="s">
        <v>13</v>
      </c>
      <c r="Q13" s="428">
        <f>Waterfall!E28</f>
        <v>0.32939588767003514</v>
      </c>
      <c r="AM13" s="183"/>
      <c r="AN13" s="183"/>
      <c r="AO13" s="183"/>
      <c r="AP13" s="183"/>
      <c r="AQ13" s="183"/>
      <c r="AR13" s="183"/>
      <c r="AS13" s="183"/>
      <c r="AT13" s="183"/>
      <c r="AU13" s="183"/>
      <c r="AV13" s="183"/>
      <c r="AW13" s="183"/>
      <c r="AX13" s="183"/>
      <c r="AY13" s="183"/>
      <c r="AZ13" s="183"/>
      <c r="BA13" s="183"/>
      <c r="BB13" s="183"/>
      <c r="BC13" s="183"/>
      <c r="BD13" s="183"/>
      <c r="BE13" s="183"/>
      <c r="BF13" s="183"/>
      <c r="BG13" s="183"/>
    </row>
    <row r="14" spans="16:59" x14ac:dyDescent="0.25">
      <c r="P14" s="422" t="s">
        <v>498</v>
      </c>
      <c r="Q14" s="428">
        <f>Waterfall!E27</f>
        <v>1.4733599476395189</v>
      </c>
      <c r="AM14" s="183"/>
      <c r="AN14" s="183"/>
      <c r="AO14" s="183"/>
      <c r="AP14" s="183"/>
      <c r="AQ14" s="183"/>
      <c r="AR14" s="183"/>
      <c r="AS14" s="183"/>
      <c r="AT14" s="183"/>
      <c r="AU14" s="183"/>
      <c r="AV14" s="183"/>
      <c r="AW14" s="183"/>
      <c r="AX14" s="183"/>
      <c r="AY14" s="183"/>
      <c r="AZ14" s="183"/>
      <c r="BA14" s="183"/>
      <c r="BB14" s="183"/>
      <c r="BC14" s="183"/>
      <c r="BD14" s="183"/>
      <c r="BE14" s="183"/>
      <c r="BF14" s="183"/>
      <c r="BG14" s="183"/>
    </row>
    <row r="15" spans="16:59" ht="15.75" thickBot="1" x14ac:dyDescent="0.3">
      <c r="P15" s="425" t="s">
        <v>14</v>
      </c>
      <c r="Q15" s="429">
        <f>Waterfall!E40</f>
        <v>-0.12547734160719912</v>
      </c>
      <c r="AM15" s="183"/>
      <c r="AN15" s="183"/>
      <c r="AO15" s="183"/>
      <c r="AP15" s="183"/>
      <c r="AQ15" s="183"/>
      <c r="AR15" s="183"/>
      <c r="AS15" s="183"/>
      <c r="AT15" s="183"/>
      <c r="AU15" s="183"/>
      <c r="AV15" s="183"/>
      <c r="AW15" s="183"/>
      <c r="AX15" s="183"/>
      <c r="AY15" s="183"/>
      <c r="AZ15" s="183"/>
      <c r="BA15" s="183"/>
      <c r="BB15" s="183"/>
      <c r="BC15" s="183"/>
      <c r="BD15" s="183"/>
      <c r="BE15" s="183"/>
      <c r="BF15" s="183"/>
      <c r="BG15" s="183"/>
    </row>
    <row r="16" spans="16:59" x14ac:dyDescent="0.25">
      <c r="AM16" s="183"/>
      <c r="AN16" s="183"/>
      <c r="AO16" s="183"/>
      <c r="AP16" s="183"/>
      <c r="AQ16" s="183"/>
      <c r="AR16" s="183"/>
      <c r="AS16" s="183"/>
      <c r="AT16" s="183"/>
      <c r="AU16" s="183"/>
      <c r="AV16" s="183"/>
      <c r="AW16" s="183"/>
      <c r="AX16" s="183"/>
      <c r="AY16" s="183"/>
      <c r="AZ16" s="183"/>
      <c r="BA16" s="183"/>
      <c r="BB16" s="183"/>
      <c r="BC16" s="183"/>
      <c r="BD16" s="183"/>
      <c r="BE16" s="183"/>
      <c r="BF16" s="183"/>
      <c r="BG16" s="183"/>
    </row>
    <row r="17" spans="16:59" ht="15.75" thickBot="1" x14ac:dyDescent="0.3">
      <c r="AM17" s="183"/>
      <c r="AN17" s="183"/>
      <c r="AO17" s="183"/>
      <c r="AP17" s="183"/>
      <c r="AQ17" s="183"/>
      <c r="AR17" s="183"/>
      <c r="AS17" s="183"/>
      <c r="AT17" s="183"/>
      <c r="AU17" s="183"/>
      <c r="AV17" s="183"/>
      <c r="AW17" s="183"/>
      <c r="AX17" s="183"/>
      <c r="AY17" s="183"/>
      <c r="AZ17" s="183"/>
      <c r="BA17" s="183"/>
      <c r="BB17" s="183"/>
      <c r="BC17" s="183"/>
      <c r="BD17" s="183"/>
      <c r="BE17" s="183"/>
      <c r="BF17" s="183"/>
      <c r="BG17" s="183"/>
    </row>
    <row r="18" spans="16:59" x14ac:dyDescent="0.25">
      <c r="P18" s="430" t="s">
        <v>277</v>
      </c>
      <c r="Q18" s="431">
        <f>Bank!E22</f>
        <v>0.16269012093544014</v>
      </c>
      <c r="AM18" s="183"/>
      <c r="AN18" s="183"/>
      <c r="AO18" s="183"/>
      <c r="AP18" s="183"/>
      <c r="AQ18" s="183"/>
      <c r="AR18" s="183"/>
      <c r="AS18" s="183"/>
      <c r="AT18" s="183"/>
      <c r="AU18" s="183"/>
      <c r="AV18" s="183"/>
      <c r="AW18" s="183"/>
      <c r="AX18" s="183"/>
      <c r="AY18" s="183"/>
      <c r="AZ18" s="183"/>
      <c r="BA18" s="183"/>
      <c r="BB18" s="183"/>
      <c r="BC18" s="183"/>
      <c r="BD18" s="183"/>
      <c r="BE18" s="183"/>
      <c r="BF18" s="183"/>
      <c r="BG18" s="183"/>
    </row>
    <row r="19" spans="16:59" ht="15.75" thickBot="1" x14ac:dyDescent="0.3">
      <c r="P19" s="425" t="s">
        <v>151</v>
      </c>
      <c r="Q19" s="432">
        <f>Debt!E25</f>
        <v>7.7087784069499312</v>
      </c>
      <c r="AM19" s="183"/>
      <c r="AN19" s="183"/>
      <c r="AO19" s="183"/>
      <c r="AP19" s="183"/>
      <c r="AQ19" s="183"/>
      <c r="AR19" s="183"/>
      <c r="AS19" s="183"/>
      <c r="AT19" s="183"/>
      <c r="AU19" s="183"/>
      <c r="AV19" s="183"/>
      <c r="AW19" s="183"/>
      <c r="AX19" s="183"/>
      <c r="AY19" s="183"/>
      <c r="AZ19" s="183"/>
      <c r="BA19" s="183"/>
      <c r="BB19" s="183"/>
      <c r="BC19" s="183"/>
      <c r="BD19" s="183"/>
      <c r="BE19" s="183"/>
      <c r="BF19" s="183"/>
      <c r="BG19" s="183"/>
    </row>
    <row r="20" spans="16:59" x14ac:dyDescent="0.25">
      <c r="AM20" s="183"/>
      <c r="AN20" s="183"/>
      <c r="AO20" s="183"/>
      <c r="AP20" s="183"/>
      <c r="AQ20" s="183"/>
      <c r="AR20" s="183"/>
      <c r="AS20" s="183"/>
      <c r="AT20" s="183"/>
      <c r="AU20" s="183"/>
      <c r="AV20" s="183"/>
      <c r="AW20" s="183"/>
      <c r="AX20" s="183"/>
      <c r="AY20" s="183"/>
      <c r="AZ20" s="183"/>
      <c r="BA20" s="183"/>
      <c r="BB20" s="183"/>
      <c r="BC20" s="183"/>
      <c r="BD20" s="183"/>
      <c r="BE20" s="183"/>
      <c r="BF20" s="183"/>
      <c r="BG20" s="183"/>
    </row>
    <row r="21" spans="16:59" x14ac:dyDescent="0.25">
      <c r="AM21" s="183"/>
      <c r="AN21" s="183"/>
      <c r="AO21" s="183"/>
      <c r="AP21" s="183"/>
      <c r="AQ21" s="183"/>
      <c r="AR21" s="183"/>
      <c r="AS21" s="183"/>
      <c r="AT21" s="183"/>
      <c r="AU21" s="183"/>
      <c r="AV21" s="183"/>
      <c r="AW21" s="183"/>
      <c r="AX21" s="183"/>
      <c r="AY21" s="183"/>
      <c r="AZ21" s="183"/>
      <c r="BA21" s="183"/>
      <c r="BB21" s="183"/>
      <c r="BC21" s="183"/>
      <c r="BD21" s="183"/>
      <c r="BE21" s="183"/>
      <c r="BF21" s="183"/>
      <c r="BG21" s="183"/>
    </row>
    <row r="22" spans="16:59" x14ac:dyDescent="0.25">
      <c r="AM22" s="183"/>
      <c r="AN22" s="183"/>
      <c r="AO22" s="183"/>
      <c r="AP22" s="183"/>
      <c r="AQ22" s="183"/>
      <c r="AR22" s="183"/>
      <c r="AS22" s="183"/>
      <c r="AT22" s="183"/>
      <c r="AU22" s="183"/>
      <c r="AV22" s="183"/>
      <c r="AW22" s="183"/>
      <c r="AX22" s="183"/>
      <c r="AY22" s="183"/>
      <c r="AZ22" s="183"/>
      <c r="BA22" s="183"/>
      <c r="BB22" s="183"/>
      <c r="BC22" s="183"/>
      <c r="BD22" s="183"/>
      <c r="BE22" s="183"/>
      <c r="BF22" s="183"/>
      <c r="BG22" s="183"/>
    </row>
    <row r="23" spans="16:59" x14ac:dyDescent="0.25">
      <c r="AM23" s="183"/>
      <c r="AN23" s="183">
        <f>Revenues!V38</f>
        <v>2026</v>
      </c>
      <c r="AO23" s="183">
        <f>Revenues!W38</f>
        <v>2027</v>
      </c>
      <c r="AP23" s="183">
        <f>Revenues!X38</f>
        <v>2028</v>
      </c>
      <c r="AQ23" s="183">
        <f>Revenues!Y38</f>
        <v>2029</v>
      </c>
      <c r="AR23" s="183">
        <f>Revenues!Z38</f>
        <v>2030</v>
      </c>
      <c r="AS23" s="183">
        <f>Revenues!AA38</f>
        <v>2031</v>
      </c>
      <c r="AT23" s="183">
        <f>Revenues!AB38</f>
        <v>2032</v>
      </c>
      <c r="AU23" s="183">
        <f>Revenues!AC38</f>
        <v>2033</v>
      </c>
      <c r="AV23" s="183">
        <f>Revenues!AD38</f>
        <v>2034</v>
      </c>
      <c r="AW23" s="183">
        <f>Revenues!AE38</f>
        <v>2035</v>
      </c>
      <c r="AX23" s="183">
        <f>Revenues!AF38</f>
        <v>2036</v>
      </c>
      <c r="AY23" s="183">
        <f>Revenues!AG38</f>
        <v>2037</v>
      </c>
      <c r="AZ23" s="183">
        <f>Revenues!AH38</f>
        <v>2038</v>
      </c>
      <c r="BA23" s="183">
        <f>Revenues!AI38</f>
        <v>2039</v>
      </c>
      <c r="BB23" s="183">
        <f>Revenues!AJ38</f>
        <v>2040</v>
      </c>
      <c r="BC23" s="183">
        <f>Revenues!AK38</f>
        <v>2041</v>
      </c>
      <c r="BD23" s="183">
        <f>Revenues!AL38</f>
        <v>2042</v>
      </c>
      <c r="BE23" s="183">
        <f>Revenues!AM38</f>
        <v>2043</v>
      </c>
      <c r="BF23" s="183">
        <f>Revenues!AN38</f>
        <v>2044</v>
      </c>
      <c r="BG23" s="183">
        <f>Revenues!AO38</f>
        <v>2045</v>
      </c>
    </row>
    <row r="24" spans="16:59" x14ac:dyDescent="0.25">
      <c r="AM24" s="183" t="str">
        <f>Revenues!U39</f>
        <v>Revenues</v>
      </c>
      <c r="AN24" s="417">
        <f>Revenues!V39</f>
        <v>77255.968276576561</v>
      </c>
      <c r="AO24" s="417">
        <f>Revenues!W39</f>
        <v>155972.41653267533</v>
      </c>
      <c r="AP24" s="417">
        <f>Revenues!X39</f>
        <v>157447.71521837002</v>
      </c>
      <c r="AQ24" s="417">
        <f>Revenues!Y39</f>
        <v>158934.31152851396</v>
      </c>
      <c r="AR24" s="417">
        <f>Revenues!Z39</f>
        <v>156919.08728353475</v>
      </c>
      <c r="AS24" s="417">
        <f>Revenues!AA39</f>
        <v>165401.20758670574</v>
      </c>
      <c r="AT24" s="417">
        <f>Revenues!AB39</f>
        <v>165295.19602429774</v>
      </c>
      <c r="AU24" s="417">
        <f>Revenues!AC39</f>
        <v>190891.94853480178</v>
      </c>
      <c r="AV24" s="417">
        <f>Revenues!AD39</f>
        <v>223167.16751580185</v>
      </c>
      <c r="AW24" s="417">
        <f>Revenues!AE39</f>
        <v>238942.81032193336</v>
      </c>
      <c r="AX24" s="417">
        <f>Revenues!AF39</f>
        <v>240291.63487455784</v>
      </c>
      <c r="AY24" s="417">
        <f>Revenues!AG39</f>
        <v>241484.18132708941</v>
      </c>
      <c r="AZ24" s="417">
        <f>Revenues!AH39</f>
        <v>239210.38285826283</v>
      </c>
      <c r="BA24" s="417">
        <f>Revenues!AI39</f>
        <v>256145.74280215835</v>
      </c>
      <c r="BB24" s="417">
        <f>Revenues!AJ39</f>
        <v>258995.55886159698</v>
      </c>
      <c r="BC24" s="417">
        <f>Revenues!AK39</f>
        <v>261877.08129055705</v>
      </c>
      <c r="BD24" s="417">
        <f>Revenues!AL39</f>
        <v>259411.26467604056</v>
      </c>
      <c r="BE24" s="417">
        <f>Revenues!AM39</f>
        <v>277776.78496950108</v>
      </c>
      <c r="BF24" s="417">
        <f>Revenues!AN39</f>
        <v>280867.26281264343</v>
      </c>
      <c r="BG24" s="417">
        <f>Revenues!AO39</f>
        <v>283992.12457055371</v>
      </c>
    </row>
    <row r="25" spans="16:59" x14ac:dyDescent="0.25">
      <c r="AM25" s="183" t="str">
        <f>Revenues!U40</f>
        <v>Operating Costs</v>
      </c>
      <c r="AN25" s="417">
        <f>Revenues!V40</f>
        <v>39274.965260583682</v>
      </c>
      <c r="AO25" s="417">
        <f>Revenues!W40</f>
        <v>78978.139196294389</v>
      </c>
      <c r="AP25" s="417">
        <f>Revenues!X40</f>
        <v>79552.494079793847</v>
      </c>
      <c r="AQ25" s="417">
        <f>Revenues!Y40</f>
        <v>80137.140301948239</v>
      </c>
      <c r="AR25" s="417">
        <f>Revenues!Z40</f>
        <v>92103.80616106141</v>
      </c>
      <c r="AS25" s="417">
        <f>Revenues!AA40</f>
        <v>83198.789432800171</v>
      </c>
      <c r="AT25" s="417">
        <f>Revenues!AB40</f>
        <v>83755.487707247143</v>
      </c>
      <c r="AU25" s="417">
        <f>Revenues!AC40</f>
        <v>125035.75013414086</v>
      </c>
      <c r="AV25" s="417">
        <f>Revenues!AD40</f>
        <v>185577.81649316804</v>
      </c>
      <c r="AW25" s="417">
        <f>Revenues!AE40</f>
        <v>174856.72445297087</v>
      </c>
      <c r="AX25" s="417">
        <f>Revenues!AF40</f>
        <v>176674.31881230342</v>
      </c>
      <c r="AY25" s="417">
        <f>Revenues!AG40</f>
        <v>178492.70390722947</v>
      </c>
      <c r="AZ25" s="417">
        <f>Revenues!AH40</f>
        <v>194244.87330191775</v>
      </c>
      <c r="BA25" s="417">
        <f>Revenues!AI40</f>
        <v>191051.37585363275</v>
      </c>
      <c r="BB25" s="417">
        <f>Revenues!AJ40</f>
        <v>195125.90765371959</v>
      </c>
      <c r="BC25" s="417">
        <f>Revenues!AK40</f>
        <v>199292.25963784871</v>
      </c>
      <c r="BD25" s="417">
        <f>Revenues!AL40</f>
        <v>224762.3253695399</v>
      </c>
      <c r="BE25" s="417">
        <f>Revenues!AM40</f>
        <v>213364.92410830723</v>
      </c>
      <c r="BF25" s="417">
        <f>Revenues!AN40</f>
        <v>217935.13375592857</v>
      </c>
      <c r="BG25" s="417">
        <f>Revenues!AO40</f>
        <v>222608.08943456298</v>
      </c>
    </row>
    <row r="26" spans="16:59" x14ac:dyDescent="0.25">
      <c r="AM26" s="183" t="str">
        <f>Revenues!U41</f>
        <v>Debt Service</v>
      </c>
      <c r="AN26" s="417">
        <f>Revenues!V41</f>
        <v>19585.209233762856</v>
      </c>
      <c r="AO26" s="417">
        <f>Revenues!W41</f>
        <v>39170.418467525713</v>
      </c>
      <c r="AP26" s="417">
        <f>Revenues!X41</f>
        <v>39170.418467525713</v>
      </c>
      <c r="AQ26" s="417">
        <f>Revenues!Y41</f>
        <v>39170.418467525713</v>
      </c>
      <c r="AR26" s="417">
        <f>Revenues!Z41</f>
        <v>39170.418467525713</v>
      </c>
      <c r="AS26" s="417">
        <f>Revenues!AA41</f>
        <v>39170.418467525713</v>
      </c>
      <c r="AT26" s="417">
        <f>Revenues!AB41</f>
        <v>39170.418467525713</v>
      </c>
      <c r="AU26" s="417">
        <f>Revenues!AC41</f>
        <v>39170.418467525713</v>
      </c>
      <c r="AV26" s="417">
        <f>Revenues!AD41</f>
        <v>39170.418467525713</v>
      </c>
      <c r="AW26" s="417">
        <f>Revenues!AE41</f>
        <v>39170.418467525713</v>
      </c>
      <c r="AX26" s="417">
        <f>Revenues!AF41</f>
        <v>39170.418467525713</v>
      </c>
      <c r="AY26" s="417">
        <f>Revenues!AG41</f>
        <v>39170.418467525713</v>
      </c>
      <c r="AZ26" s="417">
        <f>Revenues!AH41</f>
        <v>39170.418467525713</v>
      </c>
      <c r="BA26" s="417">
        <f>Revenues!AI41</f>
        <v>19585.209233762856</v>
      </c>
      <c r="BB26" s="417">
        <f>Revenues!AJ41</f>
        <v>0</v>
      </c>
      <c r="BC26" s="417">
        <f>Revenues!AK41</f>
        <v>0</v>
      </c>
      <c r="BD26" s="417">
        <f>Revenues!AL41</f>
        <v>0</v>
      </c>
      <c r="BE26" s="417">
        <f>Revenues!AM41</f>
        <v>0</v>
      </c>
      <c r="BF26" s="417">
        <f>Revenues!AN41</f>
        <v>0</v>
      </c>
      <c r="BG26" s="417">
        <f>Revenues!AO41</f>
        <v>0</v>
      </c>
    </row>
    <row r="27" spans="16:59" x14ac:dyDescent="0.25">
      <c r="AM27" s="183" t="str">
        <f>Revenues!U42</f>
        <v>Principal</v>
      </c>
      <c r="AN27" s="417">
        <f>Revenues!V42</f>
        <v>7977.0583274995479</v>
      </c>
      <c r="AO27" s="417">
        <f>Revenues!W42</f>
        <v>16805.153290681359</v>
      </c>
      <c r="AP27" s="417">
        <f>Revenues!X42</f>
        <v>18007.318712022847</v>
      </c>
      <c r="AQ27" s="417">
        <f>Revenues!Y42</f>
        <v>19295.481664911429</v>
      </c>
      <c r="AR27" s="417">
        <f>Revenues!Z42</f>
        <v>20675.794027700038</v>
      </c>
      <c r="AS27" s="417">
        <f>Revenues!AA42</f>
        <v>22154.847756573941</v>
      </c>
      <c r="AT27" s="417">
        <f>Revenues!AB42</f>
        <v>23739.706366748411</v>
      </c>
      <c r="AU27" s="417">
        <f>Revenues!AC42</f>
        <v>25437.938665690333</v>
      </c>
      <c r="AV27" s="417">
        <f>Revenues!AD42</f>
        <v>27257.65489946345</v>
      </c>
      <c r="AW27" s="417">
        <f>Revenues!AE42</f>
        <v>29207.54548482125</v>
      </c>
      <c r="AX27" s="417">
        <f>Revenues!AF42</f>
        <v>31296.922512020457</v>
      </c>
      <c r="AY27" s="417">
        <f>Revenues!AG42</f>
        <v>33535.764216559852</v>
      </c>
      <c r="AZ27" s="417">
        <f>Revenues!AH42</f>
        <v>35934.762632228259</v>
      </c>
      <c r="BA27" s="417">
        <f>Revenues!AI42</f>
        <v>18920.165419275327</v>
      </c>
      <c r="BB27" s="417">
        <f>Revenues!AJ42</f>
        <v>0</v>
      </c>
      <c r="BC27" s="417">
        <f>Revenues!AK42</f>
        <v>0</v>
      </c>
      <c r="BD27" s="417">
        <f>Revenues!AL42</f>
        <v>0</v>
      </c>
      <c r="BE27" s="417">
        <f>Revenues!AM42</f>
        <v>0</v>
      </c>
      <c r="BF27" s="417">
        <f>Revenues!AN42</f>
        <v>0</v>
      </c>
      <c r="BG27" s="417">
        <f>Revenues!AO42</f>
        <v>0</v>
      </c>
    </row>
    <row r="28" spans="16:59" x14ac:dyDescent="0.25">
      <c r="AM28" s="183" t="str">
        <f>Revenues!U43</f>
        <v>Interest</v>
      </c>
      <c r="AN28" s="417">
        <f>Revenues!V43</f>
        <v>11608.150906263309</v>
      </c>
      <c r="AO28" s="417">
        <f>Revenues!W43</f>
        <v>22365.265176844354</v>
      </c>
      <c r="AP28" s="417">
        <f>Revenues!X43</f>
        <v>21163.099755502866</v>
      </c>
      <c r="AQ28" s="417">
        <f>Revenues!Y43</f>
        <v>19874.936802614284</v>
      </c>
      <c r="AR28" s="417">
        <f>Revenues!Z43</f>
        <v>18494.624439825675</v>
      </c>
      <c r="AS28" s="417">
        <f>Revenues!AA43</f>
        <v>17015.570710951775</v>
      </c>
      <c r="AT28" s="417">
        <f>Revenues!AB43</f>
        <v>15430.712100777304</v>
      </c>
      <c r="AU28" s="417">
        <f>Revenues!AC43</f>
        <v>13732.479801835379</v>
      </c>
      <c r="AV28" s="417">
        <f>Revenues!AD43</f>
        <v>11912.763568062268</v>
      </c>
      <c r="AW28" s="417">
        <f>Revenues!AE43</f>
        <v>9962.8729827044663</v>
      </c>
      <c r="AX28" s="417">
        <f>Revenues!AF43</f>
        <v>7873.495955505261</v>
      </c>
      <c r="AY28" s="417">
        <f>Revenues!AG43</f>
        <v>5634.6542509658648</v>
      </c>
      <c r="AZ28" s="417">
        <f>Revenues!AH43</f>
        <v>3235.6558352974535</v>
      </c>
      <c r="BA28" s="417">
        <f>Revenues!AI43</f>
        <v>665.04381448752849</v>
      </c>
      <c r="BB28" s="417">
        <f>Revenues!AJ43</f>
        <v>0</v>
      </c>
      <c r="BC28" s="417">
        <f>Revenues!AK43</f>
        <v>0</v>
      </c>
      <c r="BD28" s="417">
        <f>Revenues!AL43</f>
        <v>0</v>
      </c>
      <c r="BE28" s="417">
        <f>Revenues!AM43</f>
        <v>0</v>
      </c>
      <c r="BF28" s="417">
        <f>Revenues!AN43</f>
        <v>0</v>
      </c>
      <c r="BG28" s="417">
        <f>Revenues!AO43</f>
        <v>0</v>
      </c>
    </row>
    <row r="29" spans="16:59" x14ac:dyDescent="0.25">
      <c r="AM29" s="183" t="str">
        <f>Revenues!U44</f>
        <v>Taxes</v>
      </c>
      <c r="AN29" s="417">
        <f>Revenues!V44</f>
        <v>4404.7111782174261</v>
      </c>
      <c r="AO29" s="417">
        <f>Revenues!W44</f>
        <v>9280.2493414542241</v>
      </c>
      <c r="AP29" s="417">
        <f>Revenues!X44</f>
        <v>9806.0266473383963</v>
      </c>
      <c r="AQ29" s="417">
        <f>Revenues!Y44</f>
        <v>10353.554907557927</v>
      </c>
      <c r="AR29" s="417">
        <f>Revenues!Z44</f>
        <v>7203.1604722319917</v>
      </c>
      <c r="AS29" s="417">
        <f>Revenues!AA44</f>
        <v>11919.708162308523</v>
      </c>
      <c r="AT29" s="417">
        <f>Revenues!AB44</f>
        <v>12150.245355638397</v>
      </c>
      <c r="AU29" s="417">
        <f>Revenues!AC44</f>
        <v>8653.9259512764511</v>
      </c>
      <c r="AV29" s="417">
        <f>Revenues!AD44</f>
        <v>3298.8642543146648</v>
      </c>
      <c r="AW29" s="417">
        <f>Revenues!AE44</f>
        <v>8825.421645898361</v>
      </c>
      <c r="AX29" s="417">
        <f>Revenues!AF44</f>
        <v>9240.6667054028658</v>
      </c>
      <c r="AY29" s="417">
        <f>Revenues!AG44</f>
        <v>9643.9174709390936</v>
      </c>
      <c r="AZ29" s="417">
        <f>Revenues!AH44</f>
        <v>5729.5150353558356</v>
      </c>
      <c r="BA29" s="417">
        <f>Revenues!AI44</f>
        <v>11704.584070867055</v>
      </c>
      <c r="BB29" s="417">
        <f>Revenues!AJ44</f>
        <v>11541.446080455007</v>
      </c>
      <c r="BC29" s="417">
        <f>Revenues!AK44</f>
        <v>11220.238691662755</v>
      </c>
      <c r="BD29" s="417">
        <f>Revenues!AL44</f>
        <v>5817.9906067719239</v>
      </c>
      <c r="BE29" s="417">
        <f>Revenues!AM44</f>
        <v>11281.56786836886</v>
      </c>
      <c r="BF29" s="417">
        <f>Revenues!AN44</f>
        <v>10911.634917249114</v>
      </c>
      <c r="BG29" s="417">
        <f>Revenues!AO44</f>
        <v>10524.611437068073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Assumptions</vt:lpstr>
      <vt:lpstr>Time &amp; Technical</vt:lpstr>
      <vt:lpstr>Construction</vt:lpstr>
      <vt:lpstr>Revenues</vt:lpstr>
      <vt:lpstr>Costs</vt:lpstr>
      <vt:lpstr>Debt</vt:lpstr>
      <vt:lpstr>CapEx</vt:lpstr>
      <vt:lpstr>Depreciation</vt:lpstr>
      <vt:lpstr>Working Capital</vt:lpstr>
      <vt:lpstr>Tax</vt:lpstr>
      <vt:lpstr>Reserves</vt:lpstr>
      <vt:lpstr>Waterfall</vt:lpstr>
      <vt:lpstr>CF</vt:lpstr>
      <vt:lpstr>IS</vt:lpstr>
      <vt:lpstr>BS</vt:lpstr>
      <vt:lpstr>Value</vt:lpstr>
      <vt:lpstr>Bank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joshua@simangunsong.me</dc:creator>
  <cp:lastModifiedBy>Joshua Simangunsong</cp:lastModifiedBy>
  <dcterms:created xsi:type="dcterms:W3CDTF">2018-01-31T17:56:02Z</dcterms:created>
  <dcterms:modified xsi:type="dcterms:W3CDTF">2023-12-01T21:19:45Z</dcterms:modified>
</cp:coreProperties>
</file>